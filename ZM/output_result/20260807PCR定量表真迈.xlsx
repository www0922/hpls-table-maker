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0807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8">
    <numFmt numFmtId="164" formatCode="0.00_ "/>
    <numFmt numFmtId="165" formatCode="0.00_);[Red]\(0.00\)"/>
    <numFmt numFmtId="166" formatCode="0_ "/>
    <numFmt numFmtId="167" formatCode="_ [$￥-804]* #,##0.0_ ;_ [$￥-804]* \-#,##0.0_ ;_ [$￥-804]* &quot;-&quot;??_ ;_ @_ "/>
    <numFmt numFmtId="168" formatCode="[$-409]yyyy/m/d\ h:mm\ "/>
    <numFmt numFmtId="169" formatCode="_ [$￥-804]* #,##0.00_ ;_ [$￥-804]* \-#,##0.00_ ;_ [$￥-804]* &quot;-&quot;??_ ;_ @_ "/>
    <numFmt numFmtId="170" formatCode="0.00_)"/>
    <numFmt numFmtId="171" formatCode="_ [$¥-804]* #,##0.00_ ;_ [$¥-804]* \-#,##0.00_ ;_ [$¥-804]* &quot;-&quot;??_ ;_ @_ "/>
  </numFmts>
  <fonts count="72">
    <font>
      <name val="宋体"/>
      <charset val="134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rgb="FFFF0000"/>
      <sz val="11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sz val="12"/>
    </font>
    <font>
      <name val="Times New Roman"/>
      <family val="1"/>
      <color rgb="FF000000"/>
      <sz val="11"/>
    </font>
    <font>
      <name val="宋体"/>
      <charset val="134"/>
      <family val="3"/>
      <b val="1"/>
      <color theme="1"/>
      <sz val="12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2"/>
    </font>
    <font>
      <name val="宋体"/>
      <charset val="134"/>
      <family val="3"/>
      <b val="1"/>
      <color rgb="FFFF0000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42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color indexed="17"/>
      <sz val="11"/>
    </font>
    <font>
      <name val="Arial"/>
      <family val="2"/>
      <sz val="8"/>
    </font>
    <font>
      <name val="宋体"/>
      <charset val="134"/>
      <family val="3"/>
      <b val="1"/>
      <color indexed="54"/>
      <sz val="15"/>
    </font>
    <font>
      <name val="宋体"/>
      <charset val="134"/>
      <family val="3"/>
      <color indexed="42"/>
      <sz val="11"/>
    </font>
    <font>
      <name val="宋体"/>
      <charset val="134"/>
      <family val="3"/>
      <b val="1"/>
      <color indexed="54"/>
      <sz val="11"/>
    </font>
    <font>
      <name val="宋体"/>
      <charset val="134"/>
      <family val="3"/>
      <color indexed="52"/>
      <sz val="11"/>
    </font>
    <font>
      <name val="宋体"/>
      <charset val="134"/>
      <family val="3"/>
      <b val="1"/>
      <color indexed="63"/>
      <sz val="11"/>
    </font>
    <font>
      <name val="Arial"/>
      <family val="2"/>
      <color indexed="12"/>
      <sz val="7.5"/>
      <u val="single"/>
    </font>
    <font>
      <name val="宋体"/>
      <charset val="134"/>
      <family val="3"/>
      <b val="1"/>
      <color indexed="62"/>
      <sz val="11"/>
    </font>
    <font>
      <name val="宋体"/>
      <charset val="134"/>
      <family val="3"/>
      <color indexed="9"/>
      <sz val="11"/>
    </font>
    <font>
      <name val="Arial"/>
      <family val="2"/>
      <sz val="10"/>
    </font>
    <font>
      <name val="Tahoma"/>
      <family val="2"/>
      <color indexed="9"/>
      <sz val="11"/>
    </font>
    <font>
      <name val="宋体"/>
      <charset val="134"/>
      <family val="3"/>
      <b val="1"/>
      <color indexed="54"/>
      <sz val="13"/>
    </font>
    <font>
      <name val="宋体"/>
      <charset val="134"/>
      <family val="3"/>
      <color indexed="60"/>
      <sz val="11"/>
    </font>
    <font>
      <name val="宋体"/>
      <charset val="134"/>
      <family val="3"/>
      <color indexed="12"/>
      <sz val="12"/>
      <u val="single"/>
    </font>
    <font>
      <name val="宋体"/>
      <charset val="134"/>
      <family val="3"/>
      <color indexed="8"/>
      <sz val="12"/>
    </font>
    <font>
      <name val="Tahoma"/>
      <family val="2"/>
      <i val="1"/>
      <color indexed="23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54"/>
      <sz val="18"/>
    </font>
    <font>
      <name val="宋体"/>
      <charset val="134"/>
      <family val="3"/>
      <color indexed="20"/>
      <sz val="11"/>
    </font>
    <font>
      <name val="Tahoma"/>
      <family val="2"/>
      <color indexed="8"/>
      <sz val="11"/>
    </font>
    <font>
      <name val="Tahoma"/>
      <family val="2"/>
      <color indexed="52"/>
      <sz val="11"/>
    </font>
    <font>
      <name val="Tahoma"/>
      <family val="2"/>
      <color indexed="62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i val="1"/>
      <color rgb="FF7F7F7F"/>
      <sz val="11"/>
      <scheme val="minor"/>
    </font>
    <font>
      <name val="宋体"/>
      <charset val="134"/>
      <family val="3"/>
      <b val="1"/>
      <color indexed="9"/>
      <sz val="11"/>
    </font>
    <font>
      <name val="Helv"/>
      <family val="2"/>
      <b val="1"/>
      <i val="1"/>
      <sz val="16"/>
    </font>
    <font>
      <name val="Tahoma"/>
      <family val="2"/>
      <color indexed="17"/>
      <sz val="11"/>
    </font>
    <font>
      <name val="宋体"/>
      <charset val="134"/>
      <family val="3"/>
      <color rgb="FF0000FF"/>
      <sz val="11"/>
      <u val="single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b val="1"/>
      <color indexed="56"/>
      <sz val="18"/>
    </font>
    <font>
      <name val="Tahoma"/>
      <family val="2"/>
      <b val="1"/>
      <color indexed="56"/>
      <sz val="11"/>
    </font>
    <font>
      <name val="宋体"/>
      <charset val="134"/>
      <family val="3"/>
      <b val="1"/>
      <color indexed="62"/>
      <sz val="18"/>
    </font>
    <font>
      <name val="宋体"/>
      <charset val="134"/>
      <family val="3"/>
      <color rgb="FF000000"/>
      <sz val="11"/>
    </font>
    <font>
      <name val="Tahoma"/>
      <family val="2"/>
      <b val="1"/>
      <color indexed="63"/>
      <sz val="11"/>
    </font>
    <font>
      <name val="Tahoma"/>
      <family val="2"/>
      <b val="1"/>
      <color indexed="8"/>
      <sz val="11"/>
    </font>
    <font>
      <name val="Arial"/>
      <family val="2"/>
      <color theme="10"/>
      <sz val="10"/>
      <u val="single"/>
    </font>
    <font>
      <name val="宋体"/>
      <charset val="134"/>
      <family val="3"/>
      <b val="1"/>
      <color indexed="62"/>
      <sz val="15"/>
    </font>
    <font>
      <name val="宋体"/>
      <charset val="134"/>
      <family val="3"/>
      <b val="1"/>
      <color indexed="62"/>
      <sz val="13"/>
    </font>
    <font>
      <name val="Tahoma"/>
      <family val="2"/>
      <color indexed="10"/>
      <sz val="11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theme="10"/>
      <sz val="11"/>
      <u val="single"/>
      <scheme val="minor"/>
    </font>
    <font>
      <name val="Tahoma"/>
      <family val="2"/>
      <b val="1"/>
      <color indexed="56"/>
      <sz val="13"/>
    </font>
    <font>
      <name val="Tahoma"/>
      <family val="2"/>
      <b val="1"/>
      <color indexed="52"/>
      <sz val="11"/>
    </font>
    <font>
      <name val="Tahoma"/>
      <family val="2"/>
      <b val="1"/>
      <color indexed="56"/>
      <sz val="15"/>
    </font>
    <font>
      <name val="Tahoma"/>
      <family val="2"/>
      <color indexed="20"/>
      <sz val="11"/>
    </font>
    <font>
      <name val="Tahoma"/>
      <family val="2"/>
      <color indexed="60"/>
      <sz val="11"/>
    </font>
    <font>
      <name val="Tahoma"/>
      <family val="2"/>
      <b val="1"/>
      <color indexed="9"/>
      <sz val="11"/>
    </font>
    <font>
      <name val="Arial"/>
      <family val="2"/>
      <sz val="10"/>
    </font>
    <font>
      <name val="宋体"/>
      <charset val="134"/>
      <family val="3"/>
      <color theme="1"/>
      <sz val="11"/>
    </font>
    <font>
      <name val="宋体"/>
      <charset val="134"/>
      <family val="3"/>
      <sz val="9"/>
      <scheme val="minor"/>
    </font>
    <font>
      <b val="1"/>
      <color rgb="00FF0000"/>
    </font>
    <font>
      <b val="1"/>
      <sz val="12"/>
    </font>
    <font>
      <name val="Times New Roman"/>
      <sz val="10"/>
    </font>
    <font>
      <name val="Times New Roman"/>
      <b val="1"/>
      <sz val="12"/>
    </font>
  </fonts>
  <fills count="27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209">
    <xf numFmtId="0" fontId="0" fillId="0" borderId="0" applyAlignment="1">
      <alignment vertical="center"/>
    </xf>
    <xf numFmtId="167" fontId="12" fillId="3" borderId="0" applyAlignment="1">
      <alignment vertical="center"/>
    </xf>
    <xf numFmtId="167" fontId="12" fillId="4" borderId="0" applyAlignment="1">
      <alignment vertical="center"/>
    </xf>
    <xf numFmtId="167" fontId="12" fillId="5" borderId="0" applyAlignment="1">
      <alignment vertical="center"/>
    </xf>
    <xf numFmtId="167" fontId="12" fillId="6" borderId="0" applyAlignment="1">
      <alignment vertical="center"/>
    </xf>
    <xf numFmtId="167" fontId="12" fillId="7" borderId="0" applyAlignment="1">
      <alignment vertical="center"/>
    </xf>
    <xf numFmtId="167" fontId="12" fillId="0" borderId="0" applyAlignment="1">
      <alignment vertical="center"/>
    </xf>
    <xf numFmtId="167" fontId="12" fillId="8" borderId="0" applyAlignment="1">
      <alignment vertical="center"/>
    </xf>
    <xf numFmtId="167" fontId="12" fillId="9" borderId="0" applyAlignment="1">
      <alignment vertical="center"/>
    </xf>
    <xf numFmtId="167" fontId="13" fillId="0" borderId="0" applyAlignment="1">
      <alignment vertical="center"/>
    </xf>
    <xf numFmtId="168" fontId="12" fillId="0" borderId="0"/>
    <xf numFmtId="167" fontId="14" fillId="10" borderId="4" applyAlignment="1">
      <alignment vertical="center"/>
    </xf>
    <xf numFmtId="168" fontId="15" fillId="0" borderId="0"/>
    <xf numFmtId="168" fontId="16" fillId="7" borderId="0" applyAlignment="1">
      <alignment vertical="center"/>
    </xf>
    <xf numFmtId="0" fontId="12" fillId="0" borderId="0"/>
    <xf numFmtId="168" fontId="12" fillId="0" borderId="0" applyAlignment="1">
      <alignment vertical="center"/>
    </xf>
    <xf numFmtId="168" fontId="17" fillId="11" borderId="1"/>
    <xf numFmtId="168" fontId="13" fillId="0" borderId="0" applyAlignment="1">
      <alignment vertical="center"/>
    </xf>
    <xf numFmtId="0" fontId="13" fillId="0" borderId="0" applyAlignment="1">
      <alignment vertical="center"/>
    </xf>
    <xf numFmtId="0" fontId="16" fillId="7" borderId="0" applyAlignment="1">
      <alignment vertical="center"/>
    </xf>
    <xf numFmtId="168" fontId="18" fillId="0" borderId="5" applyAlignment="1">
      <alignment vertical="center"/>
    </xf>
    <xf numFmtId="167" fontId="13" fillId="12" borderId="6" applyAlignment="1">
      <alignment vertical="center"/>
    </xf>
    <xf numFmtId="0" fontId="15" fillId="0" borderId="0"/>
    <xf numFmtId="167" fontId="19" fillId="13" borderId="0" applyAlignment="1">
      <alignment vertical="center"/>
    </xf>
    <xf numFmtId="168" fontId="12" fillId="5" borderId="0" applyAlignment="1">
      <alignment vertical="center"/>
    </xf>
    <xf numFmtId="0" fontId="12" fillId="0" borderId="0" applyAlignment="1">
      <alignment vertical="center"/>
    </xf>
    <xf numFmtId="0" fontId="20" fillId="0" borderId="0" applyAlignment="1">
      <alignment vertical="center"/>
    </xf>
    <xf numFmtId="0" fontId="12" fillId="14" borderId="0" applyAlignment="1">
      <alignment vertical="center"/>
    </xf>
    <xf numFmtId="168" fontId="12" fillId="14" borderId="0" applyAlignment="1">
      <alignment vertical="center"/>
    </xf>
    <xf numFmtId="167" fontId="16" fillId="7" borderId="0" applyAlignment="1">
      <alignment vertical="center"/>
    </xf>
    <xf numFmtId="168" fontId="11" fillId="0" borderId="0"/>
    <xf numFmtId="0" fontId="21" fillId="0" borderId="7" applyAlignment="1">
      <alignment vertical="center"/>
    </xf>
    <xf numFmtId="169" fontId="17" fillId="15" borderId="0"/>
    <xf numFmtId="9" fontId="12" fillId="0" borderId="0" applyAlignment="1">
      <alignment vertical="center"/>
    </xf>
    <xf numFmtId="0" fontId="12" fillId="5" borderId="0" applyAlignment="1">
      <alignment vertical="center"/>
    </xf>
    <xf numFmtId="168" fontId="22" fillId="15" borderId="8" applyAlignment="1">
      <alignment vertical="center"/>
    </xf>
    <xf numFmtId="168" fontId="23" fillId="0" borderId="0" applyAlignment="1" applyProtection="1">
      <alignment vertical="top"/>
      <protection locked="0" hidden="0"/>
    </xf>
    <xf numFmtId="167" fontId="24" fillId="0" borderId="9" applyAlignment="1">
      <alignment vertical="center"/>
    </xf>
    <xf numFmtId="168" fontId="25" fillId="16" borderId="0" applyAlignment="1">
      <alignment vertical="center"/>
    </xf>
    <xf numFmtId="167" fontId="11" fillId="0" borderId="0" applyAlignment="1">
      <alignment vertical="center"/>
    </xf>
    <xf numFmtId="167" fontId="19" fillId="7" borderId="0" applyAlignment="1">
      <alignment vertical="center"/>
    </xf>
    <xf numFmtId="167" fontId="65" fillId="0" borderId="0" applyAlignment="1">
      <alignment vertical="center"/>
    </xf>
    <xf numFmtId="168" fontId="25" fillId="17" borderId="0" applyAlignment="1">
      <alignment vertical="center"/>
    </xf>
    <xf numFmtId="167" fontId="27" fillId="18" borderId="0" applyAlignment="1">
      <alignment vertical="center"/>
    </xf>
    <xf numFmtId="168" fontId="28" fillId="0" borderId="10" applyAlignment="1">
      <alignment vertical="center"/>
    </xf>
    <xf numFmtId="167" fontId="19" fillId="18" borderId="0" applyAlignment="1">
      <alignment vertical="center"/>
    </xf>
    <xf numFmtId="167" fontId="29" fillId="6" borderId="0" applyAlignment="1">
      <alignment vertical="center"/>
    </xf>
    <xf numFmtId="168" fontId="12" fillId="11" borderId="0" applyAlignment="1">
      <alignment vertical="center"/>
    </xf>
    <xf numFmtId="168" fontId="12" fillId="12" borderId="0" applyAlignment="1">
      <alignment vertical="center"/>
    </xf>
    <xf numFmtId="168" fontId="29" fillId="14" borderId="0"/>
    <xf numFmtId="167" fontId="27" fillId="16" borderId="0" applyAlignment="1">
      <alignment vertical="center"/>
    </xf>
    <xf numFmtId="167" fontId="24" fillId="0" borderId="0" applyAlignment="1">
      <alignment vertical="center"/>
    </xf>
    <xf numFmtId="0" fontId="12" fillId="3" borderId="0" applyAlignment="1">
      <alignment vertical="center"/>
    </xf>
    <xf numFmtId="167" fontId="30" fillId="0" borderId="0" applyAlignment="1" applyProtection="1">
      <alignment vertical="top"/>
      <protection locked="0" hidden="0"/>
    </xf>
    <xf numFmtId="168" fontId="12" fillId="12" borderId="6" applyAlignment="1">
      <alignment vertical="center"/>
    </xf>
    <xf numFmtId="167" fontId="31" fillId="0" borderId="0" applyAlignment="1">
      <alignment vertical="center"/>
    </xf>
    <xf numFmtId="168" fontId="12" fillId="8" borderId="0" applyAlignment="1">
      <alignment vertical="center"/>
    </xf>
    <xf numFmtId="169" fontId="65" fillId="0" borderId="0"/>
    <xf numFmtId="0" fontId="17" fillId="11" borderId="1"/>
    <xf numFmtId="0" fontId="12" fillId="7" borderId="0" applyAlignment="1">
      <alignment vertical="center"/>
    </xf>
    <xf numFmtId="0" fontId="12" fillId="11" borderId="0" applyAlignment="1">
      <alignment vertical="center"/>
    </xf>
    <xf numFmtId="167" fontId="32" fillId="0" borderId="0" applyAlignment="1">
      <alignment vertical="center"/>
    </xf>
    <xf numFmtId="167" fontId="27" fillId="13" borderId="0" applyAlignment="1">
      <alignment vertical="center"/>
    </xf>
    <xf numFmtId="168" fontId="33" fillId="15" borderId="11" applyAlignment="1">
      <alignment vertical="center"/>
    </xf>
    <xf numFmtId="168" fontId="34" fillId="0" borderId="0" applyAlignment="1">
      <alignment vertical="center"/>
    </xf>
    <xf numFmtId="0" fontId="12" fillId="8" borderId="0" applyAlignment="1">
      <alignment vertical="center"/>
    </xf>
    <xf numFmtId="0" fontId="25" fillId="10" borderId="0" applyAlignment="1">
      <alignment vertical="center"/>
    </xf>
    <xf numFmtId="168" fontId="35" fillId="19" borderId="0" applyAlignment="1">
      <alignment vertical="center"/>
    </xf>
    <xf numFmtId="168" fontId="12" fillId="7" borderId="0" applyAlignment="1">
      <alignment vertical="center"/>
    </xf>
    <xf numFmtId="168" fontId="11" fillId="0" borderId="0" applyAlignment="1">
      <alignment vertical="center"/>
    </xf>
    <xf numFmtId="0" fontId="12" fillId="12" borderId="0" applyAlignment="1">
      <alignment vertical="center"/>
    </xf>
    <xf numFmtId="168" fontId="25" fillId="5" borderId="0" applyAlignment="1">
      <alignment vertical="center"/>
    </xf>
    <xf numFmtId="167" fontId="19" fillId="5" borderId="0" applyAlignment="1">
      <alignment vertical="center"/>
    </xf>
    <xf numFmtId="167" fontId="36" fillId="7" borderId="0" applyAlignment="1">
      <alignment vertical="center"/>
    </xf>
    <xf numFmtId="168" fontId="12" fillId="9" borderId="0" applyAlignment="1">
      <alignment vertical="center"/>
    </xf>
    <xf numFmtId="0" fontId="25" fillId="18" borderId="0" applyAlignment="1">
      <alignment vertical="center"/>
    </xf>
    <xf numFmtId="167" fontId="36" fillId="6" borderId="0" applyAlignment="1">
      <alignment vertical="center"/>
    </xf>
    <xf numFmtId="167" fontId="21" fillId="0" borderId="7" applyAlignment="1">
      <alignment vertical="center"/>
    </xf>
    <xf numFmtId="167" fontId="19" fillId="9" borderId="0" applyAlignment="1">
      <alignment vertical="center"/>
    </xf>
    <xf numFmtId="167" fontId="37" fillId="0" borderId="7" applyAlignment="1">
      <alignment vertical="center"/>
    </xf>
    <xf numFmtId="0" fontId="12" fillId="9" borderId="0" applyAlignment="1">
      <alignment vertical="center"/>
    </xf>
    <xf numFmtId="167" fontId="65" fillId="0" borderId="0"/>
    <xf numFmtId="168" fontId="20" fillId="0" borderId="0" applyAlignment="1">
      <alignment vertical="center"/>
    </xf>
    <xf numFmtId="168" fontId="25" fillId="14" borderId="0" applyAlignment="1">
      <alignment vertical="center"/>
    </xf>
    <xf numFmtId="168" fontId="25" fillId="18" borderId="0" applyAlignment="1">
      <alignment vertical="center"/>
    </xf>
    <xf numFmtId="0" fontId="20" fillId="0" borderId="9" applyAlignment="1">
      <alignment vertical="center"/>
    </xf>
    <xf numFmtId="0" fontId="29" fillId="14" borderId="0"/>
    <xf numFmtId="167" fontId="19" fillId="4" borderId="0" applyAlignment="1">
      <alignment vertical="center"/>
    </xf>
    <xf numFmtId="167" fontId="38" fillId="5" borderId="11" applyAlignment="1">
      <alignment vertical="center"/>
    </xf>
    <xf numFmtId="0" fontId="23" fillId="0" borderId="0" applyAlignment="1" applyProtection="1">
      <alignment vertical="top"/>
      <protection locked="0" hidden="0"/>
    </xf>
    <xf numFmtId="168" fontId="39" fillId="5" borderId="11" applyAlignment="1">
      <alignment vertical="center"/>
    </xf>
    <xf numFmtId="167" fontId="40" fillId="0" borderId="0"/>
    <xf numFmtId="167" fontId="36" fillId="3" borderId="0" applyAlignment="1">
      <alignment vertical="center"/>
    </xf>
    <xf numFmtId="0" fontId="12" fillId="15" borderId="0" applyAlignment="1">
      <alignment vertical="center"/>
    </xf>
    <xf numFmtId="0" fontId="28" fillId="0" borderId="10" applyAlignment="1">
      <alignment vertical="center"/>
    </xf>
    <xf numFmtId="0" fontId="25" fillId="5" borderId="0" applyAlignment="1">
      <alignment vertical="center"/>
    </xf>
    <xf numFmtId="168" fontId="25" fillId="15" borderId="0" applyAlignment="1">
      <alignment vertical="center"/>
    </xf>
    <xf numFmtId="168" fontId="12" fillId="3" borderId="0" applyAlignment="1">
      <alignment vertical="center"/>
    </xf>
    <xf numFmtId="0" fontId="25" fillId="14" borderId="0" applyAlignment="1">
      <alignment vertical="center"/>
    </xf>
    <xf numFmtId="168" fontId="41" fillId="10" borderId="4" applyAlignment="1">
      <alignment vertical="center"/>
    </xf>
    <xf numFmtId="170" fontId="42" fillId="0" borderId="0"/>
    <xf numFmtId="171" fontId="11" fillId="0" borderId="0" applyAlignment="1">
      <alignment vertical="center"/>
    </xf>
    <xf numFmtId="0" fontId="41" fillId="10" borderId="4" applyAlignment="1">
      <alignment vertical="center"/>
    </xf>
    <xf numFmtId="0" fontId="11" fillId="0" borderId="0"/>
    <xf numFmtId="0" fontId="34" fillId="0" borderId="0" applyAlignment="1">
      <alignment vertical="center"/>
    </xf>
    <xf numFmtId="167" fontId="43" fillId="7" borderId="0" applyAlignment="1">
      <alignment vertical="center"/>
    </xf>
    <xf numFmtId="167" fontId="36" fillId="20" borderId="0" applyAlignment="1">
      <alignment vertical="center"/>
    </xf>
    <xf numFmtId="168" fontId="25" fillId="10" borderId="0" applyAlignment="1">
      <alignment vertical="center"/>
    </xf>
    <xf numFmtId="168" fontId="25" fillId="9" borderId="0" applyAlignment="1">
      <alignment vertical="center"/>
    </xf>
    <xf numFmtId="169" fontId="44" fillId="0" borderId="0" applyAlignment="1">
      <alignment vertical="center"/>
    </xf>
    <xf numFmtId="167" fontId="17" fillId="11" borderId="1"/>
    <xf numFmtId="167" fontId="36" fillId="19" borderId="0" applyAlignment="1">
      <alignment vertical="center"/>
    </xf>
    <xf numFmtId="167" fontId="19" fillId="21" borderId="0" applyAlignment="1">
      <alignment vertical="center"/>
    </xf>
    <xf numFmtId="0" fontId="33" fillId="15" borderId="11" applyAlignment="1">
      <alignment vertical="center"/>
    </xf>
    <xf numFmtId="0" fontId="40" fillId="0" borderId="0" applyAlignment="1">
      <alignment vertical="center"/>
    </xf>
    <xf numFmtId="169" fontId="11" fillId="0" borderId="0" applyAlignment="1">
      <alignment vertical="center"/>
    </xf>
    <xf numFmtId="167" fontId="17" fillId="15" borderId="0"/>
    <xf numFmtId="167" fontId="19" fillId="6" borderId="0" applyAlignment="1">
      <alignment vertical="center"/>
    </xf>
    <xf numFmtId="167" fontId="33" fillId="11" borderId="11" applyAlignment="1">
      <alignment vertical="center"/>
    </xf>
    <xf numFmtId="167" fontId="36" fillId="9" borderId="0" applyAlignment="1">
      <alignment vertical="center"/>
    </xf>
    <xf numFmtId="0" fontId="18" fillId="0" borderId="5" applyAlignment="1">
      <alignment vertical="center"/>
    </xf>
    <xf numFmtId="167" fontId="29" fillId="14" borderId="0" applyAlignment="1">
      <alignment vertical="center"/>
    </xf>
    <xf numFmtId="167" fontId="22" fillId="11" borderId="8" applyAlignment="1">
      <alignment vertical="center"/>
    </xf>
    <xf numFmtId="167" fontId="45" fillId="0" borderId="12" applyAlignment="1">
      <alignment vertical="center"/>
    </xf>
    <xf numFmtId="0" fontId="46" fillId="0" borderId="0" applyAlignment="1">
      <alignment vertical="center"/>
    </xf>
    <xf numFmtId="167" fontId="11" fillId="0" borderId="0"/>
    <xf numFmtId="0" fontId="25" fillId="22" borderId="0" applyAlignment="1">
      <alignment vertical="center"/>
    </xf>
    <xf numFmtId="0" fontId="39" fillId="5" borderId="11" applyAlignment="1">
      <alignment vertical="center"/>
    </xf>
    <xf numFmtId="0" fontId="25" fillId="21" borderId="0" applyAlignment="1">
      <alignment vertical="center"/>
    </xf>
    <xf numFmtId="0" fontId="45" fillId="0" borderId="12" applyAlignment="1">
      <alignment vertical="center"/>
    </xf>
    <xf numFmtId="0" fontId="25" fillId="9" borderId="0" applyAlignment="1">
      <alignment vertical="center"/>
    </xf>
    <xf numFmtId="10" fontId="65" fillId="0" borderId="0"/>
    <xf numFmtId="167" fontId="47" fillId="0" borderId="0" applyAlignment="1">
      <alignment vertical="center"/>
    </xf>
    <xf numFmtId="0" fontId="65" fillId="0" borderId="0"/>
    <xf numFmtId="0" fontId="12" fillId="12" borderId="6" applyAlignment="1">
      <alignment vertical="center"/>
    </xf>
    <xf numFmtId="167" fontId="48" fillId="0" borderId="13" applyAlignment="1">
      <alignment vertical="center"/>
    </xf>
    <xf numFmtId="167" fontId="49" fillId="0" borderId="0" applyAlignment="1">
      <alignment vertical="center"/>
    </xf>
    <xf numFmtId="167" fontId="48" fillId="0" borderId="0" applyAlignment="1">
      <alignment vertical="center"/>
    </xf>
    <xf numFmtId="168" fontId="20" fillId="0" borderId="9" applyAlignment="1">
      <alignment vertical="center"/>
    </xf>
    <xf numFmtId="168" fontId="15" fillId="0" borderId="0" applyAlignment="1">
      <alignment vertical="center"/>
    </xf>
    <xf numFmtId="0" fontId="50" fillId="0" borderId="0" applyAlignment="1">
      <alignment vertical="center"/>
    </xf>
    <xf numFmtId="167" fontId="27" fillId="22" borderId="0" applyAlignment="1">
      <alignment vertical="center"/>
    </xf>
    <xf numFmtId="167" fontId="36" fillId="0" borderId="0" applyAlignment="1">
      <alignment vertical="center"/>
    </xf>
    <xf numFmtId="167" fontId="46" fillId="0" borderId="0" applyAlignment="1">
      <alignment vertical="center"/>
    </xf>
    <xf numFmtId="168" fontId="25" fillId="21" borderId="0" applyAlignment="1">
      <alignment vertical="center"/>
    </xf>
    <xf numFmtId="168" fontId="65" fillId="0" borderId="0"/>
    <xf numFmtId="167" fontId="27" fillId="23" borderId="0" applyAlignment="1">
      <alignment vertical="center"/>
    </xf>
    <xf numFmtId="0" fontId="40" fillId="0" borderId="0"/>
    <xf numFmtId="167" fontId="27" fillId="24" borderId="0" applyAlignment="1">
      <alignment vertical="center"/>
    </xf>
    <xf numFmtId="167" fontId="51" fillId="15" borderId="8" applyAlignment="1">
      <alignment vertical="center"/>
    </xf>
    <xf numFmtId="167" fontId="52" fillId="0" borderId="14" applyAlignment="1">
      <alignment vertical="center"/>
    </xf>
    <xf numFmtId="0" fontId="53" fillId="0" borderId="0"/>
    <xf numFmtId="167" fontId="54" fillId="0" borderId="5" applyAlignment="1">
      <alignment vertical="center"/>
    </xf>
    <xf numFmtId="167" fontId="55" fillId="0" borderId="10" applyAlignment="1">
      <alignment vertical="center"/>
    </xf>
    <xf numFmtId="167" fontId="39" fillId="5" borderId="11" applyAlignment="1">
      <alignment vertical="center"/>
    </xf>
    <xf numFmtId="167" fontId="36" fillId="8" borderId="0" applyAlignment="1">
      <alignment vertical="center"/>
    </xf>
    <xf numFmtId="169" fontId="13" fillId="0" borderId="0" applyAlignment="1">
      <alignment vertical="center"/>
    </xf>
    <xf numFmtId="168" fontId="12" fillId="15" borderId="0" applyAlignment="1">
      <alignment vertical="center"/>
    </xf>
    <xf numFmtId="167" fontId="56" fillId="0" borderId="0" applyAlignment="1">
      <alignment vertical="center"/>
    </xf>
    <xf numFmtId="0" fontId="57" fillId="2" borderId="0"/>
    <xf numFmtId="167" fontId="27" fillId="6" borderId="0" applyAlignment="1">
      <alignment vertical="center"/>
    </xf>
    <xf numFmtId="167" fontId="27" fillId="20" borderId="0" applyAlignment="1">
      <alignment vertical="center"/>
    </xf>
    <xf numFmtId="167" fontId="27" fillId="25" borderId="0" applyAlignment="1">
      <alignment vertical="center"/>
    </xf>
    <xf numFmtId="169" fontId="17" fillId="11" borderId="1"/>
    <xf numFmtId="167" fontId="36" fillId="4" borderId="0" applyAlignment="1">
      <alignment vertical="center"/>
    </xf>
    <xf numFmtId="168" fontId="29" fillId="14" borderId="0" applyAlignment="1">
      <alignment vertical="center"/>
    </xf>
    <xf numFmtId="167" fontId="23" fillId="0" borderId="0" applyAlignment="1" applyProtection="1">
      <alignment vertical="top"/>
      <protection locked="0" hidden="0"/>
    </xf>
    <xf numFmtId="0" fontId="29" fillId="14" borderId="0" applyAlignment="1">
      <alignment vertical="center"/>
    </xf>
    <xf numFmtId="169" fontId="40" fillId="0" borderId="0"/>
    <xf numFmtId="168" fontId="25" fillId="22" borderId="0" applyAlignment="1">
      <alignment vertical="center"/>
    </xf>
    <xf numFmtId="0" fontId="25" fillId="17" borderId="0" applyAlignment="1">
      <alignment vertical="center"/>
    </xf>
    <xf numFmtId="167" fontId="19" fillId="26" borderId="0" applyAlignment="1">
      <alignment vertical="center"/>
    </xf>
    <xf numFmtId="0" fontId="17" fillId="15" borderId="0"/>
    <xf numFmtId="9" fontId="13" fillId="0" borderId="0" applyAlignment="1">
      <alignment vertical="center"/>
    </xf>
    <xf numFmtId="0" fontId="44" fillId="0" borderId="0" applyAlignment="1">
      <alignment vertical="center"/>
    </xf>
    <xf numFmtId="168" fontId="21" fillId="0" borderId="7" applyAlignment="1">
      <alignment vertical="center"/>
    </xf>
    <xf numFmtId="0" fontId="25" fillId="15" borderId="0" applyAlignment="1">
      <alignment vertical="center"/>
    </xf>
    <xf numFmtId="167" fontId="58" fillId="0" borderId="0" applyAlignment="1">
      <alignment vertical="center"/>
    </xf>
    <xf numFmtId="0" fontId="35" fillId="19" borderId="0" applyAlignment="1">
      <alignment vertical="center"/>
    </xf>
    <xf numFmtId="167" fontId="13" fillId="0" borderId="0" applyAlignment="1">
      <alignment vertical="top"/>
    </xf>
    <xf numFmtId="167" fontId="15" fillId="0" borderId="0" applyAlignment="1">
      <alignment vertical="center"/>
    </xf>
    <xf numFmtId="167" fontId="59" fillId="0" borderId="15" applyAlignment="1">
      <alignment vertical="center"/>
    </xf>
    <xf numFmtId="0" fontId="11" fillId="0" borderId="0" applyAlignment="1">
      <alignment vertical="center"/>
    </xf>
    <xf numFmtId="0" fontId="25" fillId="16" borderId="0" applyAlignment="1">
      <alignment vertical="center"/>
    </xf>
    <xf numFmtId="167" fontId="19" fillId="22" borderId="0" applyAlignment="1">
      <alignment vertical="center"/>
    </xf>
    <xf numFmtId="167" fontId="36" fillId="5" borderId="0" applyAlignment="1">
      <alignment vertical="center"/>
    </xf>
    <xf numFmtId="167" fontId="36" fillId="17" borderId="0" applyAlignment="1">
      <alignment vertical="center"/>
    </xf>
    <xf numFmtId="168" fontId="45" fillId="0" borderId="12" applyAlignment="1">
      <alignment vertical="center"/>
    </xf>
    <xf numFmtId="167" fontId="57" fillId="2" borderId="0"/>
    <xf numFmtId="168" fontId="17" fillId="15" borderId="0"/>
    <xf numFmtId="167" fontId="27" fillId="21" borderId="0" applyAlignment="1">
      <alignment vertical="center"/>
    </xf>
    <xf numFmtId="0" fontId="22" fillId="15" borderId="8" applyAlignment="1">
      <alignment vertical="center"/>
    </xf>
    <xf numFmtId="168" fontId="46" fillId="0" borderId="0" applyAlignment="1">
      <alignment vertical="center"/>
    </xf>
    <xf numFmtId="167" fontId="60" fillId="15" borderId="11" applyAlignment="1">
      <alignment vertical="center"/>
    </xf>
    <xf numFmtId="169" fontId="23" fillId="0" borderId="0" applyAlignment="1" applyProtection="1">
      <alignment vertical="top"/>
      <protection locked="0" hidden="0"/>
    </xf>
    <xf numFmtId="167" fontId="61" fillId="0" borderId="16" applyAlignment="1">
      <alignment vertical="center"/>
    </xf>
    <xf numFmtId="167" fontId="62" fillId="19" borderId="0" applyAlignment="1">
      <alignment vertical="center"/>
    </xf>
    <xf numFmtId="167" fontId="63" fillId="14" borderId="0" applyAlignment="1">
      <alignment vertical="center"/>
    </xf>
    <xf numFmtId="167" fontId="40" fillId="0" borderId="0" applyAlignment="1">
      <alignment vertical="center"/>
    </xf>
    <xf numFmtId="0" fontId="13" fillId="0" borderId="0" applyAlignment="1">
      <alignment vertical="top"/>
    </xf>
    <xf numFmtId="0" fontId="11" fillId="0" borderId="0" applyAlignment="1">
      <alignment vertical="center"/>
    </xf>
    <xf numFmtId="0" fontId="15" fillId="0" borderId="0" applyAlignment="1">
      <alignment vertical="center"/>
    </xf>
    <xf numFmtId="169" fontId="40" fillId="0" borderId="0" applyAlignment="1">
      <alignment vertical="center"/>
    </xf>
    <xf numFmtId="167" fontId="44" fillId="0" borderId="0" applyAlignment="1">
      <alignment vertical="center"/>
    </xf>
    <xf numFmtId="0" fontId="58" fillId="0" borderId="0" applyAlignment="1">
      <alignment vertical="center"/>
    </xf>
    <xf numFmtId="167" fontId="64" fillId="10" borderId="4" applyAlignment="1">
      <alignment vertical="center"/>
    </xf>
    <xf numFmtId="169" fontId="57" fillId="2" borderId="0"/>
    <xf numFmtId="167" fontId="13" fillId="0" borderId="1" applyAlignment="1">
      <alignment vertical="center"/>
    </xf>
    <xf numFmtId="0" fontId="65" fillId="0" borderId="0"/>
  </cellStyleXfs>
  <cellXfs count="7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applyProtection="1" pivotButton="0" quotePrefix="0" xfId="200">
      <alignment horizontal="center" vertical="center"/>
      <protection locked="0" hidden="0"/>
    </xf>
    <xf numFmtId="0" fontId="6" fillId="0" borderId="1" applyAlignment="1" applyProtection="1" pivotButton="0" quotePrefix="0" xfId="200">
      <alignment horizontal="center" vertical="center" wrapText="1"/>
      <protection locked="0" hidden="0"/>
    </xf>
    <xf numFmtId="164" fontId="6" fillId="0" borderId="1" applyAlignment="1" applyProtection="1" pivotButton="0" quotePrefix="0" xfId="20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58" fontId="6" fillId="0" borderId="1" applyAlignment="1" pivotButton="0" quotePrefix="0" xfId="20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6" fillId="0" borderId="1" applyAlignment="1" applyProtection="1" pivotButton="0" quotePrefix="0" xfId="200">
      <alignment horizontal="center" vertical="center"/>
      <protection locked="0" hidden="0"/>
    </xf>
    <xf numFmtId="166" fontId="6" fillId="0" borderId="1" applyAlignment="1" applyProtection="1" pivotButton="0" quotePrefix="0" xfId="200">
      <alignment horizontal="center" vertical="center"/>
      <protection locked="0" hidden="0"/>
    </xf>
    <xf numFmtId="0" fontId="0" fillId="0" borderId="0" pivotButton="0" quotePrefix="0" xfId="0"/>
    <xf numFmtId="0" fontId="0" fillId="0" borderId="17" pivotButton="0" quotePrefix="0" xfId="0"/>
    <xf numFmtId="0" fontId="0" fillId="0" borderId="19" pivotButton="0" quotePrefix="0" xfId="0"/>
    <xf numFmtId="165" fontId="2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applyProtection="1" pivotButton="0" quotePrefix="0" xfId="0">
      <protection locked="0" hidden="0"/>
    </xf>
    <xf numFmtId="164" fontId="6" fillId="0" borderId="1" applyAlignment="1" applyProtection="1" pivotButton="0" quotePrefix="0" xfId="200">
      <alignment horizontal="center" vertical="center"/>
      <protection locked="0" hidden="0"/>
    </xf>
    <xf numFmtId="0" fontId="0" fillId="0" borderId="24" applyProtection="1" pivotButton="0" quotePrefix="0" xfId="0">
      <protection locked="0" hidden="0"/>
    </xf>
    <xf numFmtId="164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5" pivotButton="0" quotePrefix="0" xfId="0"/>
    <xf numFmtId="0" fontId="6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9" fillId="0" borderId="25" applyAlignment="1" pivotButton="0" quotePrefix="0" xfId="0">
      <alignment horizontal="center" vertical="center"/>
    </xf>
    <xf numFmtId="2" fontId="0" fillId="0" borderId="25" applyAlignment="1" pivotButton="0" quotePrefix="0" xfId="0">
      <alignment horizontal="center" vertical="center"/>
    </xf>
    <xf numFmtId="0" fontId="70" fillId="0" borderId="1" applyAlignment="1" pivotButton="0" quotePrefix="0" xfId="0">
      <alignment horizontal="center" vertical="center"/>
    </xf>
    <xf numFmtId="0" fontId="70" fillId="0" borderId="1" applyAlignment="1" applyProtection="1" pivotButton="0" quotePrefix="0" xfId="200">
      <alignment horizontal="center" vertical="center"/>
      <protection locked="0" hidden="0"/>
    </xf>
    <xf numFmtId="0" fontId="70" fillId="0" borderId="1" applyAlignment="1" applyProtection="1" pivotButton="0" quotePrefix="0" xfId="200">
      <alignment horizontal="center" vertical="center" wrapText="1"/>
      <protection locked="0" hidden="0"/>
    </xf>
    <xf numFmtId="164" fontId="70" fillId="0" borderId="1" applyAlignment="1" applyProtection="1" pivotButton="0" quotePrefix="0" xfId="200">
      <alignment horizontal="center" vertical="center"/>
      <protection locked="0" hidden="0"/>
    </xf>
    <xf numFmtId="58" fontId="70" fillId="0" borderId="1" applyAlignment="1" pivotButton="0" quotePrefix="0" xfId="200">
      <alignment horizontal="center" vertical="center"/>
    </xf>
    <xf numFmtId="164" fontId="70" fillId="0" borderId="1" applyAlignment="1" pivotButton="0" quotePrefix="0" xfId="0">
      <alignment horizontal="center" vertical="center"/>
    </xf>
    <xf numFmtId="0" fontId="70" fillId="0" borderId="1" applyAlignment="1" pivotButton="0" quotePrefix="1" xfId="0">
      <alignment horizontal="center" vertical="center"/>
    </xf>
    <xf numFmtId="0" fontId="70" fillId="0" borderId="2" applyAlignment="1" pivotButton="0" quotePrefix="0" xfId="0">
      <alignment horizontal="center" vertical="center"/>
    </xf>
    <xf numFmtId="166" fontId="70" fillId="0" borderId="1" applyAlignment="1" pivotButton="0" quotePrefix="0" xfId="0">
      <alignment horizontal="center" vertical="center"/>
    </xf>
    <xf numFmtId="0" fontId="70" fillId="0" borderId="3" applyAlignment="1" pivotButton="0" quotePrefix="0" xfId="0">
      <alignment horizontal="center" vertical="center"/>
    </xf>
    <xf numFmtId="166" fontId="70" fillId="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4" fontId="70" fillId="0" borderId="0" applyAlignment="1" pivotButton="0" quotePrefix="0" xfId="0">
      <alignment horizontal="center" vertical="center"/>
    </xf>
    <xf numFmtId="0" fontId="70" fillId="0" borderId="25" applyAlignment="1" pivotButton="0" quotePrefix="0" xfId="0">
      <alignment horizontal="center" vertical="center"/>
    </xf>
    <xf numFmtId="0" fontId="71" fillId="0" borderId="25" applyAlignment="1" pivotButton="0" quotePrefix="0" xfId="0">
      <alignment horizontal="center" vertical="center"/>
    </xf>
    <xf numFmtId="2" fontId="70" fillId="0" borderId="25" applyAlignment="1" pivotButton="0" quotePrefix="0" xfId="0">
      <alignment horizontal="center" vertical="center"/>
    </xf>
    <xf numFmtId="0" fontId="0" fillId="0" borderId="28" pivotButton="0" quotePrefix="0" xfId="0"/>
  </cellXfs>
  <cellStyles count="209">
    <cellStyle name="常规" xfId="0" builtinId="0"/>
    <cellStyle name="20% - 强调文字颜色 1 2 15 4 2" xfId="1"/>
    <cellStyle name="20% - 强调文字颜色 4 2 4 4 3 2" xfId="2"/>
    <cellStyle name="20% - 强调文字颜色 6 2 13 3 4" xfId="3"/>
    <cellStyle name="20% - 强调文字颜色 2 8 3 4 2" xfId="4"/>
    <cellStyle name="20% - 强调文字颜色 3 2 3 4 3 2 2" xfId="5"/>
    <cellStyle name="常规 16 20 3 2 2" xfId="6"/>
    <cellStyle name="20% - 强调文字颜色 5 10 3 2 4" xfId="7"/>
    <cellStyle name="40% - 强调文字颜色 1 2 10 4 3 2" xfId="8"/>
    <cellStyle name="常规 2 2 2 5 3 2" xfId="9"/>
    <cellStyle name="常规 130 3 2 10 3 3 4" xfId="10"/>
    <cellStyle name="检查单元格 4 2 2 3" xfId="11"/>
    <cellStyle name="说明文本 2 2 2 3 2" xfId="12"/>
    <cellStyle name="好 2 3 2 2 4 2" xfId="13"/>
    <cellStyle name="常规 130 3 2 10 2 2 3 2 2 3 2 2" xfId="14"/>
    <cellStyle name="常规 7 3 2 6" xfId="15"/>
    <cellStyle name="Input [yellow] 2 6 2" xfId="16"/>
    <cellStyle name="常规 5 3 4 2 2 2 2" xfId="17"/>
    <cellStyle name="常规 4 3 3 2 2 4 2" xfId="18"/>
    <cellStyle name="好 2 3 2 3 2 2 2 3" xfId="19"/>
    <cellStyle name="标题 1 5 2" xfId="20"/>
    <cellStyle name="注释 2 13 4 2 2" xfId="21"/>
    <cellStyle name="说明文本 3 3 2 3" xfId="22"/>
    <cellStyle name="强调文字颜色 2 2 3 3 2" xfId="23"/>
    <cellStyle name="20% - 强调文字颜色 2 4 2" xfId="24"/>
    <cellStyle name="常规 7 3 2 3 2 2" xfId="25"/>
    <cellStyle name="标题 4 2 4 2" xfId="26"/>
    <cellStyle name="40% - 强调文字颜色 4 2 3 3" xfId="27"/>
    <cellStyle name="40% - 强调文字颜色 6 5" xfId="28"/>
    <cellStyle name="好 2 4 4 3 4" xfId="29"/>
    <cellStyle name="常规 158" xfId="30"/>
    <cellStyle name="链接单元格 2 2 3" xfId="31"/>
    <cellStyle name="Grey 2 5" xfId="32"/>
    <cellStyle name="百分比 3 5 2" xfId="33"/>
    <cellStyle name="20% - 强调文字颜色 2 4 2 2" xfId="34"/>
    <cellStyle name="输出 2" xfId="35"/>
    <cellStyle name="Hyperlink 2" xfId="36"/>
    <cellStyle name="标题 3 3 2 2 3" xfId="37"/>
    <cellStyle name="强调文字颜色 5 5 2" xfId="38"/>
    <cellStyle name="常规 4 20" xfId="39"/>
    <cellStyle name="60% - 强调文字颜色 3 3 2 2 4" xfId="40"/>
    <cellStyle name="_ET_STYLE_NoName_00_" xfId="41"/>
    <cellStyle name="强调文字颜色 4 4 2" xfId="42"/>
    <cellStyle name="60% - 着色 5 2 2" xfId="43"/>
    <cellStyle name="标题 2 3" xfId="44"/>
    <cellStyle name="强调文字颜色 1 2 3 2 3" xfId="45"/>
    <cellStyle name="差 2 2 13 2 2 2" xfId="46"/>
    <cellStyle name="20% - 强调文字颜色 3 4 2" xfId="47"/>
    <cellStyle name="20% - 强调文字颜色 4 4" xfId="48"/>
    <cellStyle name="无色 2 3 2 6" xfId="49"/>
    <cellStyle name="强调文字颜色 1 2 2 2 3" xfId="50"/>
    <cellStyle name="标题 4 3 2 2 3" xfId="51"/>
    <cellStyle name="20% - 强调文字颜色 5 2 2 2 2" xfId="52"/>
    <cellStyle name="超链接 7 2" xfId="53"/>
    <cellStyle name="注释 2 2 3" xfId="54"/>
    <cellStyle name="常规 59 5 2 2 2" xfId="55"/>
    <cellStyle name="20% - 强调文字颜色 1 2" xfId="56"/>
    <cellStyle name="Normal 3 4" xfId="57"/>
    <cellStyle name="Input [yellow] 2 2 2 5 2 2" xfId="58"/>
    <cellStyle name="20% - 强调文字颜色 6 2 2 3" xfId="59"/>
    <cellStyle name="20% - 强调文字颜色 3 6 2" xfId="60"/>
    <cellStyle name="解释性文本 2 2 2 3" xfId="61"/>
    <cellStyle name="着色 2 2 2" xfId="62"/>
    <cellStyle name="计算 2 3 2" xfId="63"/>
    <cellStyle name="标题 5" xfId="64"/>
    <cellStyle name="20% - 强调文字颜色 1 2 2 2 2" xfId="65"/>
    <cellStyle name="强调文字颜色 3 2 2 2 2" xfId="66"/>
    <cellStyle name="差 2 2" xfId="67"/>
    <cellStyle name="20% - 强调文字颜色 6 2 2 2" xfId="68"/>
    <cellStyle name="常规 10 12 2 4" xfId="69"/>
    <cellStyle name="20% - 强调文字颜色 4 6 2" xfId="70"/>
    <cellStyle name="60% - 强调文字颜色 2 4 2" xfId="71"/>
    <cellStyle name="60% - 强调文字颜色 6 3 2 2 3" xfId="72"/>
    <cellStyle name="20% - 强调文字颜色 3 2 18 2" xfId="73"/>
    <cellStyle name="40% - 强调文字颜色 5 5" xfId="74"/>
    <cellStyle name="60% - 强调文字颜色 5 3 3" xfId="75"/>
    <cellStyle name="40% - 强调文字颜色 2 2 18" xfId="76"/>
    <cellStyle name="链接单元格 3 2 3" xfId="77"/>
    <cellStyle name="60% - 强调文字颜色 1 3 2 2 2 2" xfId="78"/>
    <cellStyle name="链接单元格 2 3 2 3" xfId="79"/>
    <cellStyle name="40% - 强调文字颜色 1 4 2 2" xfId="80"/>
    <cellStyle name="常规 2 2 23" xfId="81"/>
    <cellStyle name="标题 4 2 4" xfId="82"/>
    <cellStyle name="60% - 强调文字颜色 4 5" xfId="83"/>
    <cellStyle name="60% - 强调文字颜色 5 5" xfId="84"/>
    <cellStyle name="标题 3 5 3" xfId="85"/>
    <cellStyle name="无色 2 2 8" xfId="86"/>
    <cellStyle name="60% - 强调文字颜色 4 3 2 2 4" xfId="87"/>
    <cellStyle name="输入 2 2 2 2 2" xfId="88"/>
    <cellStyle name="Hyperlink 2 2" xfId="89"/>
    <cellStyle name="输入 2 4" xfId="90"/>
    <cellStyle name="说明文本 2 2 9" xfId="91"/>
    <cellStyle name="20% - 强调文字颜色 1 2 18" xfId="92"/>
    <cellStyle name="40% - 强调文字颜色 3 2 3 3" xfId="93"/>
    <cellStyle name="标题 2 4 2 2" xfId="94"/>
    <cellStyle name="60% - 强调文字颜色 2 6 2" xfId="95"/>
    <cellStyle name="60% - 强调文字颜色 3 2" xfId="96"/>
    <cellStyle name="20% - 强调文字颜色 5 4" xfId="97"/>
    <cellStyle name="60% - 强调文字颜色 4 4 2 2" xfId="98"/>
    <cellStyle name="检查单元格 2 3 2" xfId="99"/>
    <cellStyle name="Normal - Style1" xfId="100"/>
    <cellStyle name="常规 71" xfId="101"/>
    <cellStyle name="检查单元格 2 3 2 2" xfId="102"/>
    <cellStyle name="常规 130 3 2 10" xfId="103"/>
    <cellStyle name="标题 7 3" xfId="104"/>
    <cellStyle name="好 2 9 2 3" xfId="105"/>
    <cellStyle name="40% - 强调文字颜色 3 2 18 2" xfId="106"/>
    <cellStyle name="强调文字颜色 3 5 2" xfId="107"/>
    <cellStyle name="60% - 强调文字颜色 1 2 3" xfId="108"/>
    <cellStyle name="超链接 2 14" xfId="109"/>
    <cellStyle name="Input [yellow] 3 2 7" xfId="110"/>
    <cellStyle name="20% - 强调文字颜色 2 2 18" xfId="111"/>
    <cellStyle name="强调文字颜色 6 2 3 2 2 2" xfId="112"/>
    <cellStyle name="计算 2 3 2 2" xfId="113"/>
    <cellStyle name="解释性文本 2 2 6" xfId="114"/>
    <cellStyle name="常规 4 24" xfId="115"/>
    <cellStyle name="Grey 2 3 2" xfId="116"/>
    <cellStyle name="60% - 强调文字颜色 2 3 2 2 4" xfId="117"/>
    <cellStyle name="计算 5 2 3" xfId="118"/>
    <cellStyle name="40% - 强调文字颜色 1 2 18" xfId="119"/>
    <cellStyle name="标题 1 6 2" xfId="120"/>
    <cellStyle name="适中 3 2 3" xfId="121"/>
    <cellStyle name="输出 3 2 4" xfId="122"/>
    <cellStyle name="汇总 2 3 4" xfId="123"/>
    <cellStyle name="警告文本 2 3 3" xfId="124"/>
    <cellStyle name="常规 144" xfId="125"/>
    <cellStyle name="强调文字颜色 6 2 2 2 2" xfId="126"/>
    <cellStyle name="输入 3 3" xfId="127"/>
    <cellStyle name="强调文字颜色 2 2 2 3" xfId="128"/>
    <cellStyle name="汇总 2 3 3" xfId="129"/>
    <cellStyle name="60% - 强调文字颜色 1 2 4 2" xfId="130"/>
    <cellStyle name="Percent [2]" xfId="131"/>
    <cellStyle name="标题 5 2 2 2 3" xfId="132"/>
    <cellStyle name="Normal 2 2" xfId="133"/>
    <cellStyle name="注释 2 3 2 2" xfId="134"/>
    <cellStyle name="标题 3 2 2 2 3" xfId="135"/>
    <cellStyle name="标题 7 2 3" xfId="136"/>
    <cellStyle name="标题 4 2 2 2 3" xfId="137"/>
    <cellStyle name="标题 3 2 3 2" xfId="138"/>
    <cellStyle name="解释性文本 2 2 2" xfId="139"/>
    <cellStyle name="常规 2 2 26" xfId="140"/>
    <cellStyle name="着色 3 2 2" xfId="141"/>
    <cellStyle name="常规 4 6 2 8" xfId="142"/>
    <cellStyle name="警告文本 3 2 4" xfId="143"/>
    <cellStyle name="强调文字颜色 2 5 2" xfId="144"/>
    <cellStyle name="Normal 3" xfId="145"/>
    <cellStyle name="60% - 强调文字颜色 1 2 2 2 3" xfId="146"/>
    <cellStyle name="说明文本 5 6" xfId="147"/>
    <cellStyle name="60% - 强调文字颜色 6 2 2 2 3" xfId="148"/>
    <cellStyle name="输出 2 2 2 2 4" xfId="149"/>
    <cellStyle name="汇总 2 2 2 2 4" xfId="150"/>
    <cellStyle name="超链接 8" xfId="151"/>
    <cellStyle name="标题 1 4 2 2 2" xfId="152"/>
    <cellStyle name="标题 2 4 2 2 2" xfId="153"/>
    <cellStyle name="输入 3 2 2 2" xfId="154"/>
    <cellStyle name="20% - 强调文字颜色 5 2 18 2" xfId="155"/>
    <cellStyle name="常规 2 112" xfId="156"/>
    <cellStyle name="40% - 强调文字颜色 3 4 2" xfId="157"/>
    <cellStyle name="警告文本 2 2 2 3" xfId="158"/>
    <cellStyle name="无色 2 3 8" xfId="159"/>
    <cellStyle name="60% - 着色 2 2 2" xfId="160"/>
    <cellStyle name="60% - 着色 3 2 2" xfId="161"/>
    <cellStyle name="60% - 着色 4 2 2" xfId="162"/>
    <cellStyle name="Input [yellow] 2 2 4 4" xfId="163"/>
    <cellStyle name="20% - 强调文字颜色 4 2 18 2" xfId="164"/>
    <cellStyle name="适中 2 3" xfId="165"/>
    <cellStyle name="Hyperlink 2 2 2" xfId="166"/>
    <cellStyle name="适中 3 3" xfId="167"/>
    <cellStyle name="说明文本 4 8" xfId="168"/>
    <cellStyle name="60% - 强调文字颜色 6 2" xfId="169"/>
    <cellStyle name="强调文字颜色 4 3 2 2" xfId="170"/>
    <cellStyle name="强调文字颜色 4 4 2 2 2" xfId="171"/>
    <cellStyle name="Grey 3" xfId="172"/>
    <cellStyle name="百分比 2 8" xfId="173"/>
    <cellStyle name="超链接 2 15" xfId="174"/>
    <cellStyle name="链接单元格 2 4" xfId="175"/>
    <cellStyle name="60% - 强调文字颜色 3 2 5" xfId="176"/>
    <cellStyle name="超链接 3 6" xfId="177"/>
    <cellStyle name="差 2 5" xfId="178"/>
    <cellStyle name="常规 2 3 2 6 4" xfId="179"/>
    <cellStyle name="解释性文本 2 3 2 2 2" xfId="180"/>
    <cellStyle name="标题 2 2 2 2 3" xfId="181"/>
    <cellStyle name="常规 2" xfId="182"/>
    <cellStyle name="强调文字颜色 5 4 2 2" xfId="183"/>
    <cellStyle name="强调文字颜色 3 3 2 2 2" xfId="184"/>
    <cellStyle name="20% - 强调文字颜色 6 2 18" xfId="185"/>
    <cellStyle name="40% - 强调文字颜色 6 2 18 2" xfId="186"/>
    <cellStyle name="汇总 2" xfId="187"/>
    <cellStyle name="无色 3 8" xfId="188"/>
    <cellStyle name="Grey 2" xfId="189"/>
    <cellStyle name="着色 6 2 2" xfId="190"/>
    <cellStyle name="输出 5 3" xfId="191"/>
    <cellStyle name="警告文本 2 2" xfId="192"/>
    <cellStyle name="计算 2 2 2 2 4" xfId="193"/>
    <cellStyle name="Hyperlink 2 4" xfId="194"/>
    <cellStyle name="标题 1 2 2 2 3" xfId="195"/>
    <cellStyle name="差 2 9 2" xfId="196"/>
    <cellStyle name="适中 2 2 2 3" xfId="197"/>
    <cellStyle name="解释性文本 6 3" xfId="198"/>
    <cellStyle name="常规 2 3 2 10" xfId="199"/>
    <cellStyle name="常规 3" xfId="200"/>
    <cellStyle name="解释性文本 4 2 2" xfId="201"/>
    <cellStyle name="解释性文本 2 7" xfId="202"/>
    <cellStyle name="超链接 2 12" xfId="203"/>
    <cellStyle name="超链接 3" xfId="204"/>
    <cellStyle name="检查单元格 2 2 2 3" xfId="205"/>
    <cellStyle name="无色 4 8" xfId="206"/>
    <cellStyle name="样式 1" xfId="207"/>
    <cellStyle name="Normal_tmc program 2003may24 (Excel 5.0)" xfId="208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tabSelected="1" zoomScale="80" zoomScaleNormal="80" workbookViewId="0">
      <pane ySplit="5" topLeftCell="A6" activePane="bottomLeft" state="frozen"/>
      <selection pane="bottomLeft" activeCell="C16" sqref="C16"/>
    </sheetView>
  </sheetViews>
  <sheetFormatPr baseColWidth="8" defaultColWidth="9" defaultRowHeight="13.5"/>
  <cols>
    <col width="21.5" customWidth="1" style="33" min="2" max="2"/>
    <col width="24.875" customWidth="1" style="33" min="3" max="3"/>
    <col width="9.875" customWidth="1" style="33" min="4" max="4"/>
    <col width="20.5" customWidth="1" style="33" min="5" max="5"/>
    <col width="27.5" customWidth="1" style="33" min="6" max="6"/>
    <col width="12.625" customWidth="1" style="33" min="14" max="15"/>
    <col width="18.875" customWidth="1" style="33" min="17" max="17"/>
    <col width="33.75" customWidth="1" style="33" min="18" max="18"/>
  </cols>
  <sheetData>
    <row r="1" ht="15.75" customFormat="1" customHeight="1" s="1">
      <c r="A1" s="59" t="inlineStr">
        <is>
          <t> </t>
        </is>
      </c>
      <c r="B1" s="34" t="n"/>
      <c r="C1" s="34" t="n"/>
      <c r="D1" s="34" t="n"/>
      <c r="E1" s="34" t="n"/>
      <c r="F1" s="34" t="n"/>
      <c r="G1" s="34" t="n"/>
      <c r="H1" s="34" t="n"/>
      <c r="I1" s="35" t="n"/>
      <c r="K1" s="36" t="n"/>
      <c r="L1" s="37" t="n"/>
      <c r="M1" s="38" t="n"/>
      <c r="N1" s="38" t="n"/>
      <c r="O1" s="7" t="n"/>
      <c r="P1" s="7" t="n"/>
      <c r="Q1" s="39" t="n"/>
      <c r="R1" s="9" t="n"/>
    </row>
    <row r="2" ht="30.95" customFormat="1" customHeight="1" s="1">
      <c r="A2" s="40" t="n"/>
      <c r="B2" s="41" t="n"/>
      <c r="C2" s="41" t="n"/>
      <c r="D2" s="41" t="n"/>
      <c r="E2" s="41" t="n"/>
      <c r="F2" s="41" t="n"/>
      <c r="G2" s="41" t="n"/>
      <c r="H2" s="41" t="n"/>
      <c r="I2" s="42" t="n"/>
      <c r="K2" s="36" t="n"/>
      <c r="L2" s="37" t="n"/>
      <c r="M2" s="38" t="n"/>
      <c r="N2" s="38" t="n"/>
      <c r="O2" s="7" t="n"/>
      <c r="P2" s="7" t="n"/>
      <c r="Q2" s="39" t="n"/>
      <c r="R2" s="9" t="n"/>
    </row>
    <row r="3" ht="26.1" customFormat="1" customHeight="1" s="1">
      <c r="A3" s="60" t="inlineStr">
        <is>
          <t>实验人</t>
        </is>
      </c>
      <c r="B3" s="43" t="n"/>
      <c r="C3" s="61" t="inlineStr">
        <is>
          <t>TY</t>
        </is>
      </c>
      <c r="D3" s="62" t="inlineStr">
        <is>
          <t>复核人</t>
        </is>
      </c>
      <c r="E3" s="61" t="inlineStr">
        <is>
          <t>TY</t>
        </is>
      </c>
      <c r="F3" s="60" t="inlineStr">
        <is>
          <t>样本个数</t>
        </is>
      </c>
      <c r="G3" s="60" t="n">
        <v>27</v>
      </c>
      <c r="H3" s="45" t="n"/>
      <c r="I3" s="43" t="n"/>
      <c r="J3" s="13" t="n"/>
      <c r="K3" s="36" t="n"/>
      <c r="L3" s="37" t="n"/>
      <c r="M3" s="38" t="n"/>
      <c r="N3" s="38" t="n"/>
      <c r="O3" s="7" t="n"/>
      <c r="P3" s="46" t="n"/>
      <c r="Q3" s="15" t="n"/>
      <c r="R3" s="9" t="n"/>
    </row>
    <row r="4" ht="26.1" customFormat="1" customHeight="1" s="1">
      <c r="A4" s="60" t="inlineStr">
        <is>
          <t>实验日期</t>
        </is>
      </c>
      <c r="B4" s="43" t="n"/>
      <c r="C4" s="63">
        <f>TODAY()</f>
        <v/>
      </c>
      <c r="D4" s="64" t="inlineStr">
        <is>
          <t>试剂批号</t>
        </is>
      </c>
      <c r="E4" s="65" t="inlineStr">
        <is>
          <t>0000137214</t>
        </is>
      </c>
      <c r="F4" s="59" t="inlineStr">
        <is>
          <t>样本初测</t>
        </is>
      </c>
      <c r="G4" s="31" t="n"/>
      <c r="H4" s="45" t="n"/>
      <c r="I4" s="43" t="n"/>
      <c r="J4" s="13" t="n"/>
      <c r="K4" s="36" t="n"/>
      <c r="L4" s="37" t="n"/>
      <c r="M4" s="38" t="n"/>
      <c r="N4" s="38" t="n"/>
      <c r="O4" s="7" t="n"/>
      <c r="P4" s="46" t="n"/>
      <c r="Q4" s="15" t="n"/>
      <c r="R4" s="9" t="n"/>
    </row>
    <row r="5" ht="15" customFormat="1" customHeight="1" s="1">
      <c r="A5" s="66" t="inlineStr">
        <is>
          <t>序号</t>
        </is>
      </c>
      <c r="B5" s="59" t="inlineStr">
        <is>
          <t>HGC编号</t>
        </is>
      </c>
      <c r="C5" s="59" t="inlineStr">
        <is>
          <t>文库名称</t>
        </is>
      </c>
      <c r="D5" s="64" t="inlineStr">
        <is>
          <t>数据量/G</t>
        </is>
      </c>
      <c r="E5" s="59" t="inlineStr">
        <is>
          <t>文库类型</t>
        </is>
      </c>
      <c r="F5" s="59" t="inlineStr">
        <is>
          <t>合同编号</t>
        </is>
      </c>
      <c r="G5" s="59" t="inlineStr">
        <is>
          <t>浓度ng/ul</t>
        </is>
      </c>
      <c r="H5" s="67" t="inlineStr">
        <is>
          <t>片段</t>
        </is>
      </c>
      <c r="I5" s="68" t="inlineStr">
        <is>
          <t>浓度nM</t>
        </is>
      </c>
      <c r="J5" s="13" t="n"/>
      <c r="K5" s="36" t="n"/>
      <c r="L5" s="69" t="inlineStr">
        <is>
          <t>稀释倍数</t>
        </is>
      </c>
      <c r="M5" s="51" t="n"/>
      <c r="N5" s="70" t="inlineStr">
        <is>
          <t>浓度ng/ul</t>
        </is>
      </c>
      <c r="O5" s="70" t="inlineStr">
        <is>
          <t>浓度nM</t>
        </is>
      </c>
      <c r="P5" s="51" t="n"/>
      <c r="Q5" s="70" t="inlineStr">
        <is>
          <t>备注</t>
        </is>
      </c>
      <c r="R5" s="71" t="inlineStr">
        <is>
          <t>客户单位</t>
        </is>
      </c>
      <c r="S5" s="38" t="n"/>
    </row>
    <row r="6">
      <c r="A6" s="72" t="n">
        <v>1</v>
      </c>
      <c r="B6" s="72" t="inlineStr">
        <is>
          <t>P1-53.334</t>
        </is>
      </c>
      <c r="C6" s="72" t="inlineStr">
        <is>
          <t>P1-53.334</t>
        </is>
      </c>
      <c r="D6" s="72" t="n">
        <v>53.334</v>
      </c>
      <c r="E6" s="72" t="inlineStr">
        <is>
          <t>10x5′单细胞免疫组库</t>
        </is>
      </c>
      <c r="F6" s="72" t="inlineStr">
        <is>
          <t>PSM-ZM202601040005-0019</t>
        </is>
      </c>
      <c r="G6" s="54" t="n"/>
      <c r="H6" s="72" t="n">
        <v>404.5</v>
      </c>
      <c r="I6" s="72">
        <f>G6/H6/650*1000000</f>
        <v/>
      </c>
      <c r="J6" s="70" t="inlineStr">
        <is>
          <t>纯化</t>
        </is>
      </c>
      <c r="M6" s="70">
        <f>N6/G6</f>
        <v/>
      </c>
      <c r="N6" s="56" t="n"/>
      <c r="O6" s="56" t="n"/>
      <c r="P6" s="70">
        <f>O6/I6</f>
        <v/>
      </c>
      <c r="Q6" s="56" t="n"/>
      <c r="R6" s="70" t="inlineStr">
        <is>
          <t>四川欣莱科生物科技有限公司</t>
        </is>
      </c>
    </row>
    <row r="7">
      <c r="A7" s="72" t="n">
        <v>2</v>
      </c>
      <c r="B7" s="72" t="inlineStr">
        <is>
          <t>P1-173.332</t>
        </is>
      </c>
      <c r="C7" s="72" t="inlineStr">
        <is>
          <t>P1-173.332</t>
        </is>
      </c>
      <c r="D7" s="72" t="n">
        <v>173.332</v>
      </c>
      <c r="E7" s="72" t="inlineStr">
        <is>
          <t>10x5′单细胞免疫组库</t>
        </is>
      </c>
      <c r="F7" s="72" t="inlineStr">
        <is>
          <t>PSM-ZM202606090002-0072</t>
        </is>
      </c>
      <c r="G7" s="54" t="n"/>
      <c r="H7" s="53" t="n"/>
      <c r="I7" s="72">
        <f>G7/H7/650*1000000</f>
        <v/>
      </c>
      <c r="J7" s="70" t="inlineStr">
        <is>
          <t>纯化</t>
        </is>
      </c>
      <c r="M7" s="70">
        <f>N7/G7</f>
        <v/>
      </c>
      <c r="N7" s="56" t="n"/>
      <c r="O7" s="56" t="n"/>
      <c r="P7" s="70">
        <f>O7/I7</f>
        <v/>
      </c>
      <c r="Q7" s="56" t="n"/>
      <c r="R7" s="70" t="inlineStr">
        <is>
          <t>广州承启生物科技有限公司</t>
        </is>
      </c>
    </row>
    <row r="8">
      <c r="A8" s="72" t="n">
        <v>3</v>
      </c>
      <c r="B8" s="72" t="inlineStr">
        <is>
          <t>P1-16.667</t>
        </is>
      </c>
      <c r="C8" s="72" t="inlineStr">
        <is>
          <t>P1-16.667</t>
        </is>
      </c>
      <c r="D8" s="72" t="n">
        <v>16.667</v>
      </c>
      <c r="E8" s="72" t="inlineStr">
        <is>
          <t>10x5′单细胞免疫组库</t>
        </is>
      </c>
      <c r="F8" s="72" t="inlineStr">
        <is>
          <t>PSM-ZM202606090002-0072</t>
        </is>
      </c>
      <c r="G8" s="54" t="n"/>
      <c r="H8" s="53" t="n"/>
      <c r="I8" s="72">
        <f>G8/H8/650*1000000</f>
        <v/>
      </c>
      <c r="J8" s="70" t="inlineStr">
        <is>
          <t>纯化</t>
        </is>
      </c>
      <c r="M8" s="70">
        <f>N8/G8</f>
        <v/>
      </c>
      <c r="N8" s="56" t="n"/>
      <c r="O8" s="56" t="n"/>
      <c r="P8" s="70">
        <f>O8/I8</f>
        <v/>
      </c>
      <c r="Q8" s="56" t="n"/>
      <c r="R8" s="70" t="inlineStr">
        <is>
          <t>广州承启生物科技有限公司</t>
        </is>
      </c>
    </row>
    <row r="9">
      <c r="A9" s="72" t="n">
        <v>4</v>
      </c>
      <c r="B9" s="72" t="inlineStr">
        <is>
          <t>P1-6.666</t>
        </is>
      </c>
      <c r="C9" s="72" t="inlineStr">
        <is>
          <t>P1-6.666</t>
        </is>
      </c>
      <c r="D9" s="72" t="n">
        <v>6.666</v>
      </c>
      <c r="E9" s="72" t="inlineStr">
        <is>
          <t>10x5′单细胞免疫组库</t>
        </is>
      </c>
      <c r="F9" s="72" t="inlineStr">
        <is>
          <t>PSM-ZM202606050014-0054</t>
        </is>
      </c>
      <c r="G9" s="54" t="n"/>
      <c r="H9" s="72" t="n">
        <v>550.5</v>
      </c>
      <c r="I9" s="72">
        <f>G9/H9/650*1000000</f>
        <v/>
      </c>
      <c r="M9" s="70">
        <f>N9/G9</f>
        <v/>
      </c>
      <c r="N9" s="56" t="n"/>
      <c r="O9" s="56" t="n"/>
      <c r="P9" s="70">
        <f>O9/I9</f>
        <v/>
      </c>
      <c r="Q9" s="56" t="n"/>
      <c r="R9" s="70" t="inlineStr">
        <is>
          <t>武汉迈维代谢生物科技股份有限公司</t>
        </is>
      </c>
    </row>
    <row r="10">
      <c r="A10" s="72" t="n">
        <v>5</v>
      </c>
      <c r="B10" s="72" t="inlineStr">
        <is>
          <t>HGC-Lib-26099231</t>
        </is>
      </c>
      <c r="C10" s="72" t="inlineStr">
        <is>
          <t>L260728sh001c1A</t>
        </is>
      </c>
      <c r="D10" s="72" t="n">
        <v>33.333</v>
      </c>
      <c r="E10" s="72" t="inlineStr">
        <is>
          <t>10x5′单细胞免疫组库</t>
        </is>
      </c>
      <c r="F10" s="72" t="inlineStr">
        <is>
          <t>PSM-ZM202606050014-0054</t>
        </is>
      </c>
      <c r="G10" s="54" t="n"/>
      <c r="H10" s="72" t="n">
        <v>421</v>
      </c>
      <c r="I10" s="72">
        <f>G10/H10/650*1000000</f>
        <v/>
      </c>
      <c r="M10" s="70">
        <f>N10/G10</f>
        <v/>
      </c>
      <c r="N10" s="70" t="n">
        <v>65.74688999999999</v>
      </c>
      <c r="O10" s="56" t="n"/>
      <c r="P10" s="70">
        <f>O10/I10</f>
        <v/>
      </c>
      <c r="Q10" s="56" t="n"/>
      <c r="R10" s="70" t="inlineStr">
        <is>
          <t>武汉迈维代谢生物科技股份有限公司</t>
        </is>
      </c>
    </row>
    <row r="11">
      <c r="A11" s="72" t="n">
        <v>6</v>
      </c>
      <c r="B11" s="72" t="inlineStr">
        <is>
          <t>P2-53.334</t>
        </is>
      </c>
      <c r="C11" s="72" t="inlineStr">
        <is>
          <t>P2-53.334</t>
        </is>
      </c>
      <c r="D11" s="72" t="n">
        <v>53.334</v>
      </c>
      <c r="E11" s="72" t="inlineStr">
        <is>
          <t>10x5′单细胞免疫组库</t>
        </is>
      </c>
      <c r="F11" s="72" t="inlineStr">
        <is>
          <t>PSM-ZM202601040005-0019</t>
        </is>
      </c>
      <c r="G11" s="54" t="n"/>
      <c r="H11" s="72" t="n">
        <v>404.5</v>
      </c>
      <c r="I11" s="72">
        <f>G11/H11/650*1000000</f>
        <v/>
      </c>
      <c r="J11" s="70" t="inlineStr">
        <is>
          <t>纯化</t>
        </is>
      </c>
      <c r="M11" s="70">
        <f>N11/G11</f>
        <v/>
      </c>
      <c r="N11" s="56" t="n"/>
      <c r="O11" s="56" t="n"/>
      <c r="P11" s="70">
        <f>O11/I11</f>
        <v/>
      </c>
      <c r="Q11" s="56" t="n"/>
      <c r="R11" s="70" t="inlineStr">
        <is>
          <t>四川欣莱科生物科技有限公司</t>
        </is>
      </c>
    </row>
    <row r="12">
      <c r="A12" s="72" t="n">
        <v>7</v>
      </c>
      <c r="B12" s="72" t="inlineStr">
        <is>
          <t>P2-173.332</t>
        </is>
      </c>
      <c r="C12" s="72" t="inlineStr">
        <is>
          <t>P2-173.332</t>
        </is>
      </c>
      <c r="D12" s="72" t="n">
        <v>173.332</v>
      </c>
      <c r="E12" s="72" t="inlineStr">
        <is>
          <t>10x5′单细胞免疫组库</t>
        </is>
      </c>
      <c r="F12" s="72" t="inlineStr">
        <is>
          <t>PSM-ZM202606090002-0072</t>
        </is>
      </c>
      <c r="G12" s="54" t="n"/>
      <c r="H12" s="53" t="n"/>
      <c r="I12" s="72">
        <f>G12/H12/650*1000000</f>
        <v/>
      </c>
      <c r="J12" s="70" t="inlineStr">
        <is>
          <t>纯化</t>
        </is>
      </c>
      <c r="M12" s="70">
        <f>N12/G12</f>
        <v/>
      </c>
      <c r="N12" s="56" t="n"/>
      <c r="O12" s="56" t="n"/>
      <c r="P12" s="70">
        <f>O12/I12</f>
        <v/>
      </c>
      <c r="Q12" s="56" t="n"/>
      <c r="R12" s="70" t="inlineStr">
        <is>
          <t>广州承启生物科技有限公司</t>
        </is>
      </c>
    </row>
    <row r="13">
      <c r="A13" s="72" t="n">
        <v>8</v>
      </c>
      <c r="B13" s="72" t="inlineStr">
        <is>
          <t>P2-16.667</t>
        </is>
      </c>
      <c r="C13" s="72" t="inlineStr">
        <is>
          <t>P2-16.667</t>
        </is>
      </c>
      <c r="D13" s="72" t="n">
        <v>16.667</v>
      </c>
      <c r="E13" s="72" t="inlineStr">
        <is>
          <t>10x5′单细胞免疫组库</t>
        </is>
      </c>
      <c r="F13" s="72" t="inlineStr">
        <is>
          <t>PSM-ZM202606090002-0072</t>
        </is>
      </c>
      <c r="G13" s="54" t="n"/>
      <c r="H13" s="53" t="n"/>
      <c r="I13" s="72">
        <f>G13/H13/650*1000000</f>
        <v/>
      </c>
      <c r="J13" s="70" t="inlineStr">
        <is>
          <t>纯化</t>
        </is>
      </c>
      <c r="M13" s="70">
        <f>N13/G13</f>
        <v/>
      </c>
      <c r="N13" s="56" t="n"/>
      <c r="O13" s="56" t="n"/>
      <c r="P13" s="70">
        <f>O13/I13</f>
        <v/>
      </c>
      <c r="Q13" s="56" t="n"/>
      <c r="R13" s="70" t="inlineStr">
        <is>
          <t>广州承启生物科技有限公司</t>
        </is>
      </c>
    </row>
    <row r="14">
      <c r="A14" s="72" t="n">
        <v>9</v>
      </c>
      <c r="B14" s="72" t="inlineStr">
        <is>
          <t>P2-6.666</t>
        </is>
      </c>
      <c r="C14" s="72" t="inlineStr">
        <is>
          <t>P2-6.666</t>
        </is>
      </c>
      <c r="D14" s="72" t="n">
        <v>6.666</v>
      </c>
      <c r="E14" s="72" t="inlineStr">
        <is>
          <t>10x5′单细胞免疫组库</t>
        </is>
      </c>
      <c r="F14" s="72" t="inlineStr">
        <is>
          <t>PSM-ZM202606050014-0054</t>
        </is>
      </c>
      <c r="G14" s="54" t="n"/>
      <c r="H14" s="72" t="n">
        <v>550.5</v>
      </c>
      <c r="I14" s="72">
        <f>G14/H14/650*1000000</f>
        <v/>
      </c>
      <c r="M14" s="70">
        <f>N14/G14</f>
        <v/>
      </c>
      <c r="N14" s="56" t="n"/>
      <c r="O14" s="56" t="n"/>
      <c r="P14" s="70">
        <f>O14/I14</f>
        <v/>
      </c>
      <c r="Q14" s="56" t="n"/>
      <c r="R14" s="70" t="inlineStr">
        <is>
          <t>武汉迈维代谢生物科技股份有限公司</t>
        </is>
      </c>
    </row>
    <row r="15">
      <c r="A15" s="72" t="n">
        <v>10</v>
      </c>
      <c r="B15" s="72" t="inlineStr">
        <is>
          <t>HGC-Lib-26099231</t>
        </is>
      </c>
      <c r="C15" s="72" t="inlineStr">
        <is>
          <t>L260728sh001c1A</t>
        </is>
      </c>
      <c r="D15" s="72" t="n">
        <v>33.333</v>
      </c>
      <c r="E15" s="72" t="inlineStr">
        <is>
          <t>10x5′单细胞免疫组库</t>
        </is>
      </c>
      <c r="F15" s="72" t="inlineStr">
        <is>
          <t>PSM-ZM202606050014-0054</t>
        </is>
      </c>
      <c r="G15" s="54" t="n"/>
      <c r="H15" s="72" t="n">
        <v>421</v>
      </c>
      <c r="I15" s="72">
        <f>G15/H15/650*1000000</f>
        <v/>
      </c>
      <c r="M15" s="70">
        <f>N15/G15</f>
        <v/>
      </c>
      <c r="N15" s="70" t="n">
        <v>65.74688999999999</v>
      </c>
      <c r="O15" s="56" t="n"/>
      <c r="P15" s="70">
        <f>O15/I15</f>
        <v/>
      </c>
      <c r="Q15" s="56" t="n"/>
      <c r="R15" s="70" t="inlineStr">
        <is>
          <t>武汉迈维代谢生物科技股份有限公司</t>
        </is>
      </c>
    </row>
    <row r="16">
      <c r="A16" s="72" t="n">
        <v>11</v>
      </c>
      <c r="B16" s="72" t="inlineStr">
        <is>
          <t>P3-53.334</t>
        </is>
      </c>
      <c r="C16" s="72" t="inlineStr">
        <is>
          <t>P3-53.334</t>
        </is>
      </c>
      <c r="D16" s="72" t="n">
        <v>53.334</v>
      </c>
      <c r="E16" s="72" t="inlineStr">
        <is>
          <t>10x5′单细胞免疫组库</t>
        </is>
      </c>
      <c r="F16" s="72" t="inlineStr">
        <is>
          <t>PSM-ZM202601040005-0019</t>
        </is>
      </c>
      <c r="G16" s="54" t="n"/>
      <c r="H16" s="72" t="n">
        <v>404.5</v>
      </c>
      <c r="I16" s="72">
        <f>G16/H16/650*1000000</f>
        <v/>
      </c>
      <c r="J16" s="70" t="inlineStr">
        <is>
          <t>纯化</t>
        </is>
      </c>
      <c r="M16" s="70">
        <f>N16/G16</f>
        <v/>
      </c>
      <c r="N16" s="56" t="n"/>
      <c r="O16" s="56" t="n"/>
      <c r="P16" s="70">
        <f>O16/I16</f>
        <v/>
      </c>
      <c r="Q16" s="56" t="n"/>
      <c r="R16" s="70" t="inlineStr">
        <is>
          <t>四川欣莱科生物科技有限公司</t>
        </is>
      </c>
    </row>
    <row r="17">
      <c r="A17" s="72" t="n">
        <v>12</v>
      </c>
      <c r="B17" s="72" t="inlineStr">
        <is>
          <t>P3-173.332</t>
        </is>
      </c>
      <c r="C17" s="72" t="inlineStr">
        <is>
          <t>P3-173.332</t>
        </is>
      </c>
      <c r="D17" s="72" t="n">
        <v>173.332</v>
      </c>
      <c r="E17" s="72" t="inlineStr">
        <is>
          <t>10x5′单细胞免疫组库</t>
        </is>
      </c>
      <c r="F17" s="72" t="inlineStr">
        <is>
          <t>PSM-ZM202606090002-0072</t>
        </is>
      </c>
      <c r="G17" s="54" t="n"/>
      <c r="H17" s="53" t="n"/>
      <c r="I17" s="72">
        <f>G17/H17/650*1000000</f>
        <v/>
      </c>
      <c r="J17" s="70" t="inlineStr">
        <is>
          <t>纯化</t>
        </is>
      </c>
      <c r="M17" s="70">
        <f>N17/G17</f>
        <v/>
      </c>
      <c r="N17" s="56" t="n"/>
      <c r="O17" s="56" t="n"/>
      <c r="P17" s="70">
        <f>O17/I17</f>
        <v/>
      </c>
      <c r="Q17" s="56" t="n"/>
      <c r="R17" s="70" t="inlineStr">
        <is>
          <t>广州承启生物科技有限公司</t>
        </is>
      </c>
    </row>
    <row r="18">
      <c r="A18" s="72" t="n">
        <v>13</v>
      </c>
      <c r="B18" s="72" t="inlineStr">
        <is>
          <t>P3-16.667</t>
        </is>
      </c>
      <c r="C18" s="72" t="inlineStr">
        <is>
          <t>P3-16.667</t>
        </is>
      </c>
      <c r="D18" s="72" t="n">
        <v>16.667</v>
      </c>
      <c r="E18" s="72" t="inlineStr">
        <is>
          <t>10x5′单细胞免疫组库</t>
        </is>
      </c>
      <c r="F18" s="72" t="inlineStr">
        <is>
          <t>PSM-ZM202606090002-0072</t>
        </is>
      </c>
      <c r="G18" s="54" t="n"/>
      <c r="H18" s="53" t="n"/>
      <c r="I18" s="72">
        <f>G18/H18/650*1000000</f>
        <v/>
      </c>
      <c r="J18" s="70" t="inlineStr">
        <is>
          <t>纯化</t>
        </is>
      </c>
      <c r="M18" s="70">
        <f>N18/G18</f>
        <v/>
      </c>
      <c r="N18" s="56" t="n"/>
      <c r="O18" s="56" t="n"/>
      <c r="P18" s="70">
        <f>O18/I18</f>
        <v/>
      </c>
      <c r="Q18" s="56" t="n"/>
      <c r="R18" s="70" t="inlineStr">
        <is>
          <t>广州承启生物科技有限公司</t>
        </is>
      </c>
    </row>
    <row r="19" s="33">
      <c r="A19" s="72" t="n">
        <v>14</v>
      </c>
      <c r="B19" s="72" t="inlineStr">
        <is>
          <t>P3-6.666</t>
        </is>
      </c>
      <c r="C19" s="72" t="inlineStr">
        <is>
          <t>P3-6.666</t>
        </is>
      </c>
      <c r="D19" s="72" t="n">
        <v>6.666</v>
      </c>
      <c r="E19" s="72" t="inlineStr">
        <is>
          <t>10x5′单细胞免疫组库</t>
        </is>
      </c>
      <c r="F19" s="72" t="inlineStr">
        <is>
          <t>PSM-ZM202606050014-0054</t>
        </is>
      </c>
      <c r="G19" s="54" t="n"/>
      <c r="H19" s="72" t="n">
        <v>550.5</v>
      </c>
      <c r="I19" s="72">
        <f>G19/H19/650*1000000</f>
        <v/>
      </c>
      <c r="M19" s="70">
        <f>N19/G19</f>
        <v/>
      </c>
      <c r="N19" s="56" t="n"/>
      <c r="O19" s="56" t="n"/>
      <c r="P19" s="70">
        <f>O19/I19</f>
        <v/>
      </c>
      <c r="Q19" s="56" t="n"/>
      <c r="R19" s="70" t="inlineStr">
        <is>
          <t>武汉迈维代谢生物科技股份有限公司</t>
        </is>
      </c>
    </row>
    <row r="20">
      <c r="A20" s="72" t="n">
        <v>15</v>
      </c>
      <c r="B20" s="72" t="inlineStr">
        <is>
          <t>HGC-Lib-26099231</t>
        </is>
      </c>
      <c r="C20" s="72" t="inlineStr">
        <is>
          <t>L260728sh001c1A</t>
        </is>
      </c>
      <c r="D20" s="72" t="n">
        <v>33.333</v>
      </c>
      <c r="E20" s="72" t="inlineStr">
        <is>
          <t>10x5′单细胞免疫组库</t>
        </is>
      </c>
      <c r="F20" s="72" t="inlineStr">
        <is>
          <t>PSM-ZM202606050014-0054</t>
        </is>
      </c>
      <c r="G20" s="54" t="n"/>
      <c r="H20" s="72" t="n">
        <v>421</v>
      </c>
      <c r="I20" s="72">
        <f>G20/H20/650*1000000</f>
        <v/>
      </c>
      <c r="M20" s="70">
        <f>N20/G20</f>
        <v/>
      </c>
      <c r="N20" s="70" t="n">
        <v>65.74688999999999</v>
      </c>
      <c r="O20" s="56" t="n"/>
      <c r="P20" s="70">
        <f>O20/I20</f>
        <v/>
      </c>
      <c r="Q20" s="56" t="n"/>
      <c r="R20" s="70" t="inlineStr">
        <is>
          <t>武汉迈维代谢生物科技股份有限公司</t>
        </is>
      </c>
    </row>
    <row r="21">
      <c r="A21" s="72" t="n">
        <v>16</v>
      </c>
      <c r="B21" s="72" t="inlineStr">
        <is>
          <t>P4-5.867</t>
        </is>
      </c>
      <c r="C21" s="72" t="inlineStr">
        <is>
          <t>P4-5.867</t>
        </is>
      </c>
      <c r="D21" s="72" t="n">
        <v>5.867</v>
      </c>
      <c r="E21" s="72" t="inlineStr">
        <is>
          <t>WGS</t>
        </is>
      </c>
      <c r="F21" s="72" t="inlineStr">
        <is>
          <t>PSM-ZM202607230003-0001</t>
        </is>
      </c>
      <c r="G21" s="54" t="n"/>
      <c r="H21" s="72" t="n">
        <v>298</v>
      </c>
      <c r="I21" s="72">
        <f>G21/H21/650*1000000</f>
        <v/>
      </c>
      <c r="M21" s="70">
        <f>N21/G21</f>
        <v/>
      </c>
      <c r="N21" s="56" t="n"/>
      <c r="O21" s="56" t="n"/>
      <c r="P21" s="70">
        <f>O21/I21</f>
        <v/>
      </c>
      <c r="Q21" s="70" t="inlineStr">
        <is>
          <t>补测_260803_LH00348_0660_A23NNVVLT4</t>
        </is>
      </c>
      <c r="R21" s="70" t="inlineStr">
        <is>
          <t>北京百迈客生物科技有限公司</t>
        </is>
      </c>
    </row>
    <row r="22">
      <c r="A22" s="72" t="n">
        <v>17</v>
      </c>
      <c r="B22" s="72" t="inlineStr">
        <is>
          <t>HGC-Lib-26099715</t>
        </is>
      </c>
      <c r="C22" s="72" t="inlineStr">
        <is>
          <t>P8-GHWZ</t>
        </is>
      </c>
      <c r="D22" s="72" t="n">
        <v>80</v>
      </c>
      <c r="E22" s="72" t="inlineStr">
        <is>
          <t>10x5′单细胞免疫组库</t>
        </is>
      </c>
      <c r="F22" s="72" t="inlineStr">
        <is>
          <t>PSM-ZM202601040005-0019</t>
        </is>
      </c>
      <c r="G22" s="54" t="n"/>
      <c r="H22" s="72" t="n">
        <v>400</v>
      </c>
      <c r="I22" s="72">
        <f>G22/H22/650*1000000</f>
        <v/>
      </c>
      <c r="J22" s="70" t="inlineStr">
        <is>
          <t>纯化</t>
        </is>
      </c>
      <c r="M22" s="70">
        <f>N22/G22</f>
        <v/>
      </c>
      <c r="N22" s="70" t="n">
        <v>26.541</v>
      </c>
      <c r="O22" s="56" t="n"/>
      <c r="P22" s="70">
        <f>O22/I22</f>
        <v/>
      </c>
      <c r="Q22" s="56" t="n"/>
      <c r="R22" s="70" t="inlineStr">
        <is>
          <t>四川欣莱科生物科技有限公司</t>
        </is>
      </c>
    </row>
    <row r="23">
      <c r="A23" s="72" t="n">
        <v>18</v>
      </c>
      <c r="B23" s="72" t="inlineStr">
        <is>
          <t>HGC-POOL-26097627</t>
        </is>
      </c>
      <c r="C23" s="72" t="inlineStr">
        <is>
          <t>ML-GRO-1</t>
        </is>
      </c>
      <c r="D23" s="72" t="n">
        <v>20</v>
      </c>
      <c r="E23" s="72" t="inlineStr">
        <is>
          <t>GRO-seq文库</t>
        </is>
      </c>
      <c r="F23" s="72" t="inlineStr">
        <is>
          <t>PSM-ZM202601090006-0027</t>
        </is>
      </c>
      <c r="G23" s="54" t="n"/>
      <c r="H23" s="72" t="n">
        <v>335</v>
      </c>
      <c r="I23" s="72">
        <f>G23/H23/650*1000000</f>
        <v/>
      </c>
      <c r="J23" s="70" t="inlineStr">
        <is>
          <t>纯化</t>
        </is>
      </c>
      <c r="M23" s="70">
        <f>N23/G23</f>
        <v/>
      </c>
      <c r="N23" s="70" t="n">
        <v>3.1</v>
      </c>
      <c r="O23" s="56" t="n"/>
      <c r="P23" s="70">
        <f>O23/I23</f>
        <v/>
      </c>
      <c r="Q23" s="70" t="inlineStr">
        <is>
          <t>260803_LH00348_0660_A23NNVVLT4</t>
        </is>
      </c>
      <c r="R23" s="70" t="inlineStr">
        <is>
          <t>广州深碳科技有限公司</t>
        </is>
      </c>
    </row>
    <row r="24">
      <c r="A24" s="72" t="n">
        <v>19</v>
      </c>
      <c r="B24" s="72" t="inlineStr">
        <is>
          <t>HGC-POOL-26100066</t>
        </is>
      </c>
      <c r="C24" s="72" t="inlineStr">
        <is>
          <t>0804S1</t>
        </is>
      </c>
      <c r="D24" s="72" t="n">
        <v>100</v>
      </c>
      <c r="E24" s="72" t="inlineStr">
        <is>
          <t>illumina单细胞</t>
        </is>
      </c>
      <c r="F24" s="72" t="inlineStr">
        <is>
          <t>PSM-ZM202606030019-0002</t>
        </is>
      </c>
      <c r="G24" s="54" t="n"/>
      <c r="H24" s="53" t="n"/>
      <c r="I24" s="72">
        <f>G24/H24/650*1000000</f>
        <v/>
      </c>
      <c r="M24" s="70">
        <f>N24/G24</f>
        <v/>
      </c>
      <c r="N24" s="56" t="n"/>
      <c r="O24" s="56" t="n"/>
      <c r="P24" s="70">
        <f>O24/I24</f>
        <v/>
      </c>
      <c r="Q24" s="56" t="n"/>
      <c r="R24" s="70" t="inlineStr">
        <is>
          <t>上海逆耳生物科技有限公司</t>
        </is>
      </c>
    </row>
    <row r="25">
      <c r="A25" s="72" t="n">
        <v>20</v>
      </c>
      <c r="B25" s="72" t="inlineStr">
        <is>
          <t>260574E</t>
        </is>
      </c>
      <c r="C25" s="72" t="inlineStr">
        <is>
          <t>260574E</t>
        </is>
      </c>
      <c r="D25" s="72" t="n">
        <v>80</v>
      </c>
      <c r="E25" s="72" t="inlineStr">
        <is>
          <t>SuperWES</t>
        </is>
      </c>
      <c r="F25" s="72" t="inlineStr">
        <is>
          <t>PSM-ZM202607030006-0001</t>
        </is>
      </c>
      <c r="G25" s="54" t="n"/>
      <c r="H25" s="72" t="n">
        <v>420</v>
      </c>
      <c r="I25" s="72">
        <f>G25/H25/650*1000000</f>
        <v/>
      </c>
      <c r="M25" s="70">
        <f>N25/G25</f>
        <v/>
      </c>
      <c r="N25" s="70" t="n">
        <v>32.94</v>
      </c>
      <c r="O25" s="56" t="n"/>
      <c r="P25" s="70">
        <f>O25/I25</f>
        <v/>
      </c>
      <c r="Q25" s="70" t="inlineStr">
        <is>
          <t>补测_260803_LH00348_0660_A23NNVVLT4</t>
        </is>
      </c>
      <c r="R25" s="70" t="inlineStr">
        <is>
          <t>中山大学肿瘤防治中心</t>
        </is>
      </c>
    </row>
    <row r="26">
      <c r="A26" s="72" t="n">
        <v>21</v>
      </c>
      <c r="B26" s="72" t="inlineStr">
        <is>
          <t>HGC-26095264</t>
        </is>
      </c>
      <c r="C26" s="72" t="inlineStr">
        <is>
          <t>3116_000TR</t>
        </is>
      </c>
      <c r="D26" s="72" t="n">
        <v>2.43</v>
      </c>
      <c r="E26" s="72" t="inlineStr">
        <is>
          <t>WGS</t>
        </is>
      </c>
      <c r="F26" s="72" t="inlineStr">
        <is>
          <t>PSM-ZM202607230003-0001</t>
        </is>
      </c>
      <c r="G26" s="54" t="n"/>
      <c r="H26" s="72" t="n">
        <v>230</v>
      </c>
      <c r="I26" s="72">
        <f>G26/H26/650*1000000</f>
        <v/>
      </c>
      <c r="M26" s="70">
        <f>N26/G26</f>
        <v/>
      </c>
      <c r="N26" s="70" t="n">
        <v>1.23</v>
      </c>
      <c r="O26" s="56" t="n"/>
      <c r="P26" s="70">
        <f>O26/I26</f>
        <v/>
      </c>
      <c r="Q26" s="70" t="inlineStr">
        <is>
          <t>补测_260803_LH00348_0660_A23NNVVLT4</t>
        </is>
      </c>
      <c r="R26" s="70" t="inlineStr">
        <is>
          <t>北京百迈客生物科技有限公司</t>
        </is>
      </c>
    </row>
    <row r="27">
      <c r="A27" s="72" t="n">
        <v>22</v>
      </c>
      <c r="B27" s="72" t="inlineStr">
        <is>
          <t>HGC-26095266</t>
        </is>
      </c>
      <c r="C27" s="72" t="inlineStr">
        <is>
          <t>2485_000TR</t>
        </is>
      </c>
      <c r="D27" s="72" t="n">
        <v>2.143</v>
      </c>
      <c r="E27" s="72" t="inlineStr">
        <is>
          <t>WGS</t>
        </is>
      </c>
      <c r="F27" s="72" t="inlineStr">
        <is>
          <t>PSM-ZM202607230003-0001</t>
        </is>
      </c>
      <c r="G27" s="54" t="n"/>
      <c r="H27" s="72" t="n">
        <v>230</v>
      </c>
      <c r="I27" s="72">
        <f>G27/H27/650*1000000</f>
        <v/>
      </c>
      <c r="M27" s="70">
        <f>N27/G27</f>
        <v/>
      </c>
      <c r="N27" s="70" t="n">
        <v>3.45</v>
      </c>
      <c r="O27" s="56" t="n"/>
      <c r="P27" s="70">
        <f>O27/I27</f>
        <v/>
      </c>
      <c r="Q27" s="70" t="inlineStr">
        <is>
          <t>补测_260803_LH00348_0660_A23NNVVLT4</t>
        </is>
      </c>
      <c r="R27" s="70" t="inlineStr">
        <is>
          <t>北京百迈客生物科技有限公司</t>
        </is>
      </c>
    </row>
    <row r="28">
      <c r="A28" s="72" t="n">
        <v>23</v>
      </c>
      <c r="B28" s="72" t="inlineStr">
        <is>
          <t>S1-300</t>
        </is>
      </c>
      <c r="C28" s="72" t="inlineStr">
        <is>
          <t>S1-300</t>
        </is>
      </c>
      <c r="D28" s="72" t="n">
        <v>300</v>
      </c>
      <c r="E28" s="72" t="inlineStr">
        <is>
          <t>10x3′单细胞转录组</t>
        </is>
      </c>
      <c r="F28" s="72" t="inlineStr">
        <is>
          <t>PSM-ZM202606090002-0072</t>
        </is>
      </c>
      <c r="G28" s="54" t="n"/>
      <c r="H28" s="53" t="n"/>
      <c r="I28" s="72">
        <f>G28/H28/650*1000000</f>
        <v/>
      </c>
      <c r="J28" s="70" t="inlineStr">
        <is>
          <t>纯化</t>
        </is>
      </c>
      <c r="M28" s="70">
        <f>N28/G28</f>
        <v/>
      </c>
      <c r="N28" s="56" t="n"/>
      <c r="O28" s="56" t="n"/>
      <c r="P28" s="70">
        <f>O28/I28</f>
        <v/>
      </c>
      <c r="Q28" s="56" t="n"/>
      <c r="R28" s="70" t="inlineStr">
        <is>
          <t>广州承启生物科技有限公司</t>
        </is>
      </c>
    </row>
    <row r="29">
      <c r="A29" s="72" t="n">
        <v>24</v>
      </c>
      <c r="B29" s="72" t="inlineStr">
        <is>
          <t>S2-300</t>
        </is>
      </c>
      <c r="C29" s="72" t="inlineStr">
        <is>
          <t>S2-300</t>
        </is>
      </c>
      <c r="D29" s="72" t="n">
        <v>300</v>
      </c>
      <c r="E29" s="72" t="inlineStr">
        <is>
          <t>10x3′单细胞转录组</t>
        </is>
      </c>
      <c r="F29" s="72" t="inlineStr">
        <is>
          <t>PSM-ZM202606090002-0072</t>
        </is>
      </c>
      <c r="G29" s="54" t="n"/>
      <c r="H29" s="53" t="n"/>
      <c r="I29" s="72">
        <f>G29/H29/650*1000000</f>
        <v/>
      </c>
      <c r="J29" s="70" t="inlineStr">
        <is>
          <t>纯化</t>
        </is>
      </c>
      <c r="M29" s="70">
        <f>N29/G29</f>
        <v/>
      </c>
      <c r="N29" s="56" t="n"/>
      <c r="O29" s="56" t="n"/>
      <c r="P29" s="70">
        <f>O29/I29</f>
        <v/>
      </c>
      <c r="Q29" s="56" t="n"/>
      <c r="R29" s="70" t="inlineStr">
        <is>
          <t>广州承启生物科技有限公司</t>
        </is>
      </c>
    </row>
    <row r="30">
      <c r="A30" s="72" t="n">
        <v>25</v>
      </c>
      <c r="B30" s="72" t="inlineStr">
        <is>
          <t>S3-300</t>
        </is>
      </c>
      <c r="C30" s="72" t="inlineStr">
        <is>
          <t>S3-300</t>
        </is>
      </c>
      <c r="D30" s="72" t="n">
        <v>300</v>
      </c>
      <c r="E30" s="72" t="inlineStr">
        <is>
          <t>10x3′单细胞转录组</t>
        </is>
      </c>
      <c r="F30" s="72" t="inlineStr">
        <is>
          <t>PSM-ZM202606090002-0072</t>
        </is>
      </c>
      <c r="G30" s="54" t="n"/>
      <c r="H30" s="53" t="n"/>
      <c r="I30" s="72">
        <f>G30/H30/650*1000000</f>
        <v/>
      </c>
      <c r="J30" s="70" t="inlineStr">
        <is>
          <t>纯化</t>
        </is>
      </c>
      <c r="M30" s="70">
        <f>N30/G30</f>
        <v/>
      </c>
      <c r="N30" s="56" t="n"/>
      <c r="O30" s="56" t="n"/>
      <c r="P30" s="70">
        <f>O30/I30</f>
        <v/>
      </c>
      <c r="Q30" s="56" t="n"/>
      <c r="R30" s="70" t="inlineStr">
        <is>
          <t>广州承启生物科技有限公司</t>
        </is>
      </c>
    </row>
    <row r="31">
      <c r="A31" s="72" t="n">
        <v>26</v>
      </c>
      <c r="B31" s="72" t="inlineStr">
        <is>
          <t>S4-300</t>
        </is>
      </c>
      <c r="C31" s="72" t="inlineStr">
        <is>
          <t>S4-300</t>
        </is>
      </c>
      <c r="D31" s="72" t="n">
        <v>300</v>
      </c>
      <c r="E31" s="72" t="inlineStr">
        <is>
          <t>10x3′单细胞转录组</t>
        </is>
      </c>
      <c r="F31" s="72" t="inlineStr">
        <is>
          <t>PSM-ZM202606090002-0072</t>
        </is>
      </c>
      <c r="G31" s="54" t="n"/>
      <c r="H31" s="53" t="n"/>
      <c r="I31" s="72">
        <f>G31/H31/650*1000000</f>
        <v/>
      </c>
      <c r="J31" s="70" t="inlineStr">
        <is>
          <t>纯化</t>
        </is>
      </c>
      <c r="M31" s="70">
        <f>N31/G31</f>
        <v/>
      </c>
      <c r="N31" s="56" t="n"/>
      <c r="O31" s="56" t="n"/>
      <c r="P31" s="70">
        <f>O31/I31</f>
        <v/>
      </c>
      <c r="Q31" s="56" t="n"/>
      <c r="R31" s="70" t="inlineStr">
        <is>
          <t>广州承启生物科技有限公司</t>
        </is>
      </c>
    </row>
    <row r="32"/>
    <row r="33">
      <c r="C33" s="73" t="inlineStr">
        <is>
          <t>样本名称</t>
        </is>
      </c>
      <c r="D33" s="73" t="inlineStr">
        <is>
          <t>浓度ng/ul</t>
        </is>
      </c>
      <c r="E33" s="73" t="inlineStr">
        <is>
          <t>平行检测人</t>
        </is>
      </c>
      <c r="F33" s="73" t="inlineStr">
        <is>
          <t>XCL</t>
        </is>
      </c>
      <c r="G33" s="54" t="n"/>
    </row>
    <row r="34">
      <c r="A34" s="70" t="n">
        <v>1</v>
      </c>
      <c r="C34" s="72" t="inlineStr">
        <is>
          <t>P1-53.334</t>
        </is>
      </c>
      <c r="D34" s="58" t="n"/>
      <c r="E34" s="74">
        <f>AVERAGE(D34,D35)</f>
        <v/>
      </c>
      <c r="F34" s="74">
        <f>STDEV(D34,D35)</f>
        <v/>
      </c>
      <c r="G34" s="74">
        <f>F34/E34</f>
        <v/>
      </c>
    </row>
    <row r="35">
      <c r="C35" s="75" t="n"/>
      <c r="D35" s="58" t="n"/>
      <c r="E35" s="75" t="n"/>
      <c r="F35" s="75" t="n"/>
      <c r="G35" s="75" t="n"/>
    </row>
    <row r="36">
      <c r="A36" s="70" t="n">
        <v>2</v>
      </c>
      <c r="C36" s="72" t="inlineStr">
        <is>
          <t>P1-173.332</t>
        </is>
      </c>
      <c r="D36" s="58" t="n"/>
      <c r="E36" s="74">
        <f>AVERAGE(D36,D37)</f>
        <v/>
      </c>
      <c r="F36" s="74">
        <f>STDEV(D36,D37)</f>
        <v/>
      </c>
      <c r="G36" s="74">
        <f>F36/E36</f>
        <v/>
      </c>
    </row>
    <row r="37">
      <c r="C37" s="75" t="n"/>
      <c r="D37" s="58" t="n"/>
      <c r="E37" s="75" t="n"/>
      <c r="F37" s="75" t="n"/>
      <c r="G37" s="75" t="n"/>
    </row>
    <row r="38">
      <c r="A38" s="70" t="n">
        <v>3</v>
      </c>
      <c r="C38" s="72" t="inlineStr">
        <is>
          <t>P1-16.667</t>
        </is>
      </c>
      <c r="D38" s="58" t="n"/>
      <c r="E38" s="74">
        <f>AVERAGE(D38,D39)</f>
        <v/>
      </c>
      <c r="F38" s="74">
        <f>STDEV(D38,D39)</f>
        <v/>
      </c>
      <c r="G38" s="74">
        <f>F38/E38</f>
        <v/>
      </c>
    </row>
    <row r="39">
      <c r="C39" s="75" t="n"/>
      <c r="D39" s="58" t="n"/>
      <c r="E39" s="75" t="n"/>
      <c r="F39" s="75" t="n"/>
      <c r="G39" s="75" t="n"/>
    </row>
    <row r="40">
      <c r="A40" s="70" t="n">
        <v>4</v>
      </c>
      <c r="C40" s="72" t="inlineStr">
        <is>
          <t>P1-6.666</t>
        </is>
      </c>
      <c r="D40" s="58" t="n"/>
      <c r="E40" s="74">
        <f>AVERAGE(D40,D41)</f>
        <v/>
      </c>
      <c r="F40" s="74">
        <f>STDEV(D40,D41)</f>
        <v/>
      </c>
      <c r="G40" s="74">
        <f>F40/E40</f>
        <v/>
      </c>
    </row>
    <row r="41">
      <c r="C41" s="75" t="n"/>
      <c r="D41" s="58" t="n"/>
      <c r="E41" s="75" t="n"/>
      <c r="F41" s="75" t="n"/>
      <c r="G41" s="75" t="n"/>
    </row>
    <row r="42">
      <c r="A42" s="70" t="n">
        <v>5</v>
      </c>
      <c r="C42" s="72" t="inlineStr">
        <is>
          <t>HGC-Lib-26099231</t>
        </is>
      </c>
      <c r="D42" s="58" t="n"/>
      <c r="E42" s="74">
        <f>AVERAGE(D42,D43)</f>
        <v/>
      </c>
      <c r="F42" s="74">
        <f>STDEV(D42,D43)</f>
        <v/>
      </c>
      <c r="G42" s="74">
        <f>F42/E42</f>
        <v/>
      </c>
    </row>
    <row r="43">
      <c r="C43" s="75" t="n"/>
      <c r="D43" s="58" t="n"/>
      <c r="E43" s="75" t="n"/>
      <c r="F43" s="75" t="n"/>
      <c r="G43" s="75" t="n"/>
    </row>
    <row r="44">
      <c r="A44" s="70" t="n">
        <v>6</v>
      </c>
      <c r="C44" s="72" t="inlineStr">
        <is>
          <t>P2-53.334</t>
        </is>
      </c>
      <c r="D44" s="58" t="n"/>
      <c r="E44" s="74">
        <f>AVERAGE(D44,D45)</f>
        <v/>
      </c>
      <c r="F44" s="74">
        <f>STDEV(D44,D45)</f>
        <v/>
      </c>
      <c r="G44" s="74">
        <f>F44/E44</f>
        <v/>
      </c>
    </row>
    <row r="45">
      <c r="C45" s="75" t="n"/>
      <c r="D45" s="58" t="n"/>
      <c r="E45" s="75" t="n"/>
      <c r="F45" s="75" t="n"/>
      <c r="G45" s="75" t="n"/>
    </row>
    <row r="46">
      <c r="A46" s="70" t="n">
        <v>7</v>
      </c>
      <c r="C46" s="72" t="inlineStr">
        <is>
          <t>P2-173.332</t>
        </is>
      </c>
      <c r="D46" s="58" t="n"/>
      <c r="E46" s="74">
        <f>AVERAGE(D46,D47)</f>
        <v/>
      </c>
      <c r="F46" s="74">
        <f>STDEV(D46,D47)</f>
        <v/>
      </c>
      <c r="G46" s="74">
        <f>F46/E46</f>
        <v/>
      </c>
    </row>
    <row r="47">
      <c r="C47" s="75" t="n"/>
      <c r="D47" s="58" t="n"/>
      <c r="E47" s="75" t="n"/>
      <c r="F47" s="75" t="n"/>
      <c r="G47" s="75" t="n"/>
    </row>
    <row r="48">
      <c r="A48" s="70" t="n">
        <v>8</v>
      </c>
      <c r="C48" s="72" t="inlineStr">
        <is>
          <t>P2-16.667</t>
        </is>
      </c>
      <c r="D48" s="58" t="n"/>
      <c r="E48" s="74">
        <f>AVERAGE(D48,D49)</f>
        <v/>
      </c>
      <c r="F48" s="74">
        <f>STDEV(D48,D49)</f>
        <v/>
      </c>
      <c r="G48" s="74">
        <f>F48/E48</f>
        <v/>
      </c>
    </row>
    <row r="49">
      <c r="C49" s="75" t="n"/>
      <c r="D49" s="58" t="n"/>
      <c r="E49" s="75" t="n"/>
      <c r="F49" s="75" t="n"/>
      <c r="G49" s="75" t="n"/>
    </row>
    <row r="50">
      <c r="A50" s="70" t="n">
        <v>9</v>
      </c>
      <c r="C50" s="72" t="inlineStr">
        <is>
          <t>P2-6.666</t>
        </is>
      </c>
      <c r="D50" s="58" t="n"/>
      <c r="E50" s="74">
        <f>AVERAGE(D50,D51)</f>
        <v/>
      </c>
      <c r="F50" s="74">
        <f>STDEV(D50,D51)</f>
        <v/>
      </c>
      <c r="G50" s="74">
        <f>F50/E50</f>
        <v/>
      </c>
    </row>
    <row r="51">
      <c r="C51" s="75" t="n"/>
      <c r="D51" s="58" t="n"/>
      <c r="E51" s="75" t="n"/>
      <c r="F51" s="75" t="n"/>
      <c r="G51" s="75" t="n"/>
    </row>
    <row r="52">
      <c r="A52" s="70" t="n">
        <v>10</v>
      </c>
      <c r="C52" s="72" t="inlineStr">
        <is>
          <t>HGC-Lib-26099231</t>
        </is>
      </c>
      <c r="D52" s="58" t="n"/>
      <c r="E52" s="74">
        <f>AVERAGE(D52,D53)</f>
        <v/>
      </c>
      <c r="F52" s="74">
        <f>STDEV(D52,D53)</f>
        <v/>
      </c>
      <c r="G52" s="74">
        <f>F52/E52</f>
        <v/>
      </c>
    </row>
    <row r="53">
      <c r="C53" s="75" t="n"/>
      <c r="D53" s="58" t="n"/>
      <c r="E53" s="75" t="n"/>
      <c r="F53" s="75" t="n"/>
      <c r="G53" s="75" t="n"/>
    </row>
    <row r="54">
      <c r="A54" s="70" t="n">
        <v>11</v>
      </c>
      <c r="C54" s="72" t="inlineStr">
        <is>
          <t>P3-53.334</t>
        </is>
      </c>
      <c r="D54" s="58" t="n"/>
      <c r="E54" s="74">
        <f>AVERAGE(D54,D55)</f>
        <v/>
      </c>
      <c r="F54" s="74">
        <f>STDEV(D54,D55)</f>
        <v/>
      </c>
      <c r="G54" s="74">
        <f>F54/E54</f>
        <v/>
      </c>
    </row>
    <row r="55">
      <c r="C55" s="75" t="n"/>
      <c r="D55" s="58" t="n"/>
      <c r="E55" s="75" t="n"/>
      <c r="F55" s="75" t="n"/>
      <c r="G55" s="75" t="n"/>
    </row>
    <row r="56">
      <c r="A56" s="70" t="n">
        <v>12</v>
      </c>
      <c r="C56" s="72" t="inlineStr">
        <is>
          <t>P3-173.332</t>
        </is>
      </c>
      <c r="D56" s="58" t="n"/>
      <c r="E56" s="74">
        <f>AVERAGE(D56,D57)</f>
        <v/>
      </c>
      <c r="F56" s="74">
        <f>STDEV(D56,D57)</f>
        <v/>
      </c>
      <c r="G56" s="74">
        <f>F56/E56</f>
        <v/>
      </c>
    </row>
    <row r="57">
      <c r="C57" s="75" t="n"/>
      <c r="D57" s="58" t="n"/>
      <c r="E57" s="75" t="n"/>
      <c r="F57" s="75" t="n"/>
      <c r="G57" s="75" t="n"/>
    </row>
    <row r="58">
      <c r="A58" s="70" t="n">
        <v>13</v>
      </c>
      <c r="C58" s="72" t="inlineStr">
        <is>
          <t>P3-16.667</t>
        </is>
      </c>
      <c r="D58" s="58" t="n"/>
      <c r="E58" s="74">
        <f>AVERAGE(D58,D59)</f>
        <v/>
      </c>
      <c r="F58" s="74">
        <f>STDEV(D58,D59)</f>
        <v/>
      </c>
      <c r="G58" s="74">
        <f>F58/E58</f>
        <v/>
      </c>
    </row>
    <row r="59">
      <c r="C59" s="75" t="n"/>
      <c r="D59" s="58" t="n"/>
      <c r="E59" s="75" t="n"/>
      <c r="F59" s="75" t="n"/>
      <c r="G59" s="75" t="n"/>
    </row>
    <row r="60">
      <c r="A60" s="70" t="n">
        <v>14</v>
      </c>
      <c r="C60" s="72" t="inlineStr">
        <is>
          <t>P3-6.666</t>
        </is>
      </c>
      <c r="D60" s="58" t="n"/>
      <c r="E60" s="74">
        <f>AVERAGE(D60,D61)</f>
        <v/>
      </c>
      <c r="F60" s="74">
        <f>STDEV(D60,D61)</f>
        <v/>
      </c>
      <c r="G60" s="74">
        <f>F60/E60</f>
        <v/>
      </c>
    </row>
    <row r="61">
      <c r="C61" s="75" t="n"/>
      <c r="D61" s="58" t="n"/>
      <c r="E61" s="75" t="n"/>
      <c r="F61" s="75" t="n"/>
      <c r="G61" s="75" t="n"/>
    </row>
    <row r="62">
      <c r="A62" s="70" t="n">
        <v>15</v>
      </c>
      <c r="C62" s="72" t="inlineStr">
        <is>
          <t>HGC-Lib-26099231</t>
        </is>
      </c>
      <c r="D62" s="58" t="n"/>
      <c r="E62" s="74">
        <f>AVERAGE(D62,D63)</f>
        <v/>
      </c>
      <c r="F62" s="74">
        <f>STDEV(D62,D63)</f>
        <v/>
      </c>
      <c r="G62" s="74">
        <f>F62/E62</f>
        <v/>
      </c>
    </row>
    <row r="63">
      <c r="C63" s="75" t="n"/>
      <c r="D63" s="58" t="n"/>
      <c r="E63" s="75" t="n"/>
      <c r="F63" s="75" t="n"/>
      <c r="G63" s="75" t="n"/>
    </row>
    <row r="64">
      <c r="A64" s="70" t="n">
        <v>16</v>
      </c>
      <c r="C64" s="72" t="inlineStr">
        <is>
          <t>P4-5.867</t>
        </is>
      </c>
      <c r="D64" s="58" t="n"/>
      <c r="E64" s="74">
        <f>AVERAGE(D64,D65)</f>
        <v/>
      </c>
      <c r="F64" s="74">
        <f>STDEV(D64,D65)</f>
        <v/>
      </c>
      <c r="G64" s="74">
        <f>F64/E64</f>
        <v/>
      </c>
    </row>
    <row r="65">
      <c r="C65" s="75" t="n"/>
      <c r="D65" s="58" t="n"/>
      <c r="E65" s="75" t="n"/>
      <c r="F65" s="75" t="n"/>
      <c r="G65" s="75" t="n"/>
    </row>
    <row r="66">
      <c r="A66" s="70" t="n">
        <v>17</v>
      </c>
      <c r="C66" s="72" t="inlineStr">
        <is>
          <t>HGC-Lib-26099715</t>
        </is>
      </c>
      <c r="D66" s="58" t="n"/>
      <c r="E66" s="74">
        <f>AVERAGE(D66,D67)</f>
        <v/>
      </c>
      <c r="F66" s="74">
        <f>STDEV(D66,D67)</f>
        <v/>
      </c>
      <c r="G66" s="74">
        <f>F66/E66</f>
        <v/>
      </c>
    </row>
    <row r="67">
      <c r="C67" s="75" t="n"/>
      <c r="D67" s="58" t="n"/>
      <c r="E67" s="75" t="n"/>
      <c r="F67" s="75" t="n"/>
      <c r="G67" s="75" t="n"/>
    </row>
    <row r="68">
      <c r="A68" s="70" t="n">
        <v>18</v>
      </c>
      <c r="C68" s="72" t="inlineStr">
        <is>
          <t>HGC-POOL-26097627</t>
        </is>
      </c>
      <c r="D68" s="58" t="n"/>
      <c r="E68" s="74">
        <f>AVERAGE(D68,D69)</f>
        <v/>
      </c>
      <c r="F68" s="74">
        <f>STDEV(D68,D69)</f>
        <v/>
      </c>
      <c r="G68" s="74">
        <f>F68/E68</f>
        <v/>
      </c>
    </row>
    <row r="69">
      <c r="C69" s="75" t="n"/>
      <c r="D69" s="58" t="n"/>
      <c r="E69" s="75" t="n"/>
      <c r="F69" s="75" t="n"/>
      <c r="G69" s="75" t="n"/>
    </row>
    <row r="70">
      <c r="A70" s="70" t="n">
        <v>19</v>
      </c>
      <c r="C70" s="72" t="inlineStr">
        <is>
          <t>HGC-POOL-26100066</t>
        </is>
      </c>
      <c r="D70" s="58" t="n"/>
      <c r="E70" s="74">
        <f>AVERAGE(D70,D71)</f>
        <v/>
      </c>
      <c r="F70" s="74">
        <f>STDEV(D70,D71)</f>
        <v/>
      </c>
      <c r="G70" s="74">
        <f>F70/E70</f>
        <v/>
      </c>
    </row>
    <row r="71">
      <c r="C71" s="75" t="n"/>
      <c r="D71" s="58" t="n"/>
      <c r="E71" s="75" t="n"/>
      <c r="F71" s="75" t="n"/>
      <c r="G71" s="75" t="n"/>
    </row>
    <row r="72">
      <c r="A72" s="70" t="n">
        <v>20</v>
      </c>
      <c r="C72" s="72" t="inlineStr">
        <is>
          <t>260574E</t>
        </is>
      </c>
      <c r="D72" s="58" t="n"/>
      <c r="E72" s="74">
        <f>AVERAGE(D72,D73)</f>
        <v/>
      </c>
      <c r="F72" s="74">
        <f>STDEV(D72,D73)</f>
        <v/>
      </c>
      <c r="G72" s="74">
        <f>F72/E72</f>
        <v/>
      </c>
    </row>
    <row r="73">
      <c r="C73" s="75" t="n"/>
      <c r="D73" s="58" t="n"/>
      <c r="E73" s="75" t="n"/>
      <c r="F73" s="75" t="n"/>
      <c r="G73" s="75" t="n"/>
    </row>
    <row r="74">
      <c r="A74" s="70" t="n">
        <v>21</v>
      </c>
      <c r="C74" s="72" t="inlineStr">
        <is>
          <t>HGC-26095264</t>
        </is>
      </c>
      <c r="D74" s="58" t="n"/>
      <c r="E74" s="74">
        <f>AVERAGE(D74,D75)</f>
        <v/>
      </c>
      <c r="F74" s="74">
        <f>STDEV(D74,D75)</f>
        <v/>
      </c>
      <c r="G74" s="74">
        <f>F74/E74</f>
        <v/>
      </c>
    </row>
    <row r="75">
      <c r="C75" s="75" t="n"/>
      <c r="D75" s="58" t="n"/>
      <c r="E75" s="75" t="n"/>
      <c r="F75" s="75" t="n"/>
      <c r="G75" s="75" t="n"/>
    </row>
    <row r="76">
      <c r="A76" s="70" t="n">
        <v>22</v>
      </c>
      <c r="C76" s="72" t="inlineStr">
        <is>
          <t>HGC-26095266</t>
        </is>
      </c>
      <c r="D76" s="58" t="n"/>
      <c r="E76" s="74">
        <f>AVERAGE(D76,D77)</f>
        <v/>
      </c>
      <c r="F76" s="74">
        <f>STDEV(D76,D77)</f>
        <v/>
      </c>
      <c r="G76" s="74">
        <f>F76/E76</f>
        <v/>
      </c>
    </row>
    <row r="77">
      <c r="C77" s="75" t="n"/>
      <c r="D77" s="58" t="n"/>
      <c r="E77" s="75" t="n"/>
      <c r="F77" s="75" t="n"/>
      <c r="G77" s="75" t="n"/>
    </row>
    <row r="78">
      <c r="A78" s="70" t="n">
        <v>23</v>
      </c>
      <c r="C78" s="72" t="inlineStr">
        <is>
          <t>S1-300</t>
        </is>
      </c>
      <c r="D78" s="58" t="n"/>
      <c r="E78" s="74">
        <f>AVERAGE(D78,D79)</f>
        <v/>
      </c>
      <c r="F78" s="74">
        <f>STDEV(D78,D79)</f>
        <v/>
      </c>
      <c r="G78" s="74">
        <f>F78/E78</f>
        <v/>
      </c>
    </row>
    <row r="79">
      <c r="C79" s="75" t="n"/>
      <c r="D79" s="58" t="n"/>
      <c r="E79" s="75" t="n"/>
      <c r="F79" s="75" t="n"/>
      <c r="G79" s="75" t="n"/>
    </row>
    <row r="80">
      <c r="A80" s="70" t="n">
        <v>24</v>
      </c>
      <c r="C80" s="72" t="inlineStr">
        <is>
          <t>S2-300</t>
        </is>
      </c>
      <c r="D80" s="58" t="n"/>
      <c r="E80" s="74">
        <f>AVERAGE(D80,D81)</f>
        <v/>
      </c>
      <c r="F80" s="74">
        <f>STDEV(D80,D81)</f>
        <v/>
      </c>
      <c r="G80" s="74">
        <f>F80/E80</f>
        <v/>
      </c>
    </row>
    <row r="81">
      <c r="C81" s="75" t="n"/>
      <c r="D81" s="58" t="n"/>
      <c r="E81" s="75" t="n"/>
      <c r="F81" s="75" t="n"/>
      <c r="G81" s="75" t="n"/>
    </row>
    <row r="82">
      <c r="A82" s="70" t="n">
        <v>25</v>
      </c>
      <c r="C82" s="72" t="inlineStr">
        <is>
          <t>S3-300</t>
        </is>
      </c>
      <c r="D82" s="58" t="n"/>
      <c r="E82" s="74">
        <f>AVERAGE(D82,D83)</f>
        <v/>
      </c>
      <c r="F82" s="74">
        <f>STDEV(D82,D83)</f>
        <v/>
      </c>
      <c r="G82" s="74">
        <f>F82/E82</f>
        <v/>
      </c>
    </row>
    <row r="83">
      <c r="C83" s="75" t="n"/>
      <c r="D83" s="58" t="n"/>
      <c r="E83" s="75" t="n"/>
      <c r="F83" s="75" t="n"/>
      <c r="G83" s="75" t="n"/>
    </row>
    <row r="84">
      <c r="A84" s="70" t="n">
        <v>26</v>
      </c>
      <c r="C84" s="72" t="inlineStr">
        <is>
          <t>S4-300</t>
        </is>
      </c>
      <c r="D84" s="58" t="n"/>
      <c r="E84" s="74">
        <f>AVERAGE(D84,D85)</f>
        <v/>
      </c>
      <c r="F84" s="74">
        <f>STDEV(D84,D85)</f>
        <v/>
      </c>
      <c r="G84" s="74">
        <f>F84/E84</f>
        <v/>
      </c>
    </row>
    <row r="85">
      <c r="C85" s="75" t="n"/>
      <c r="D85" s="58" t="n"/>
      <c r="E85" s="75" t="n"/>
      <c r="F85" s="75" t="n"/>
      <c r="G85" s="75" t="n"/>
    </row>
  </sheetData>
  <mergeCells count="135">
    <mergeCell ref="F44:F45"/>
    <mergeCell ref="F84:F85"/>
    <mergeCell ref="E48:E49"/>
    <mergeCell ref="G48:G49"/>
    <mergeCell ref="G82:G83"/>
    <mergeCell ref="E74:E75"/>
    <mergeCell ref="F42:F43"/>
    <mergeCell ref="G74:G75"/>
    <mergeCell ref="G68:G69"/>
    <mergeCell ref="F72:F73"/>
    <mergeCell ref="G58:G59"/>
    <mergeCell ref="E76:E77"/>
    <mergeCell ref="F62:F63"/>
    <mergeCell ref="G76:G77"/>
    <mergeCell ref="C66:C67"/>
    <mergeCell ref="G60:G61"/>
    <mergeCell ref="F64:F65"/>
    <mergeCell ref="E50:E51"/>
    <mergeCell ref="G50:G51"/>
    <mergeCell ref="G44:G45"/>
    <mergeCell ref="G84:G85"/>
    <mergeCell ref="F48:F49"/>
    <mergeCell ref="F34:F35"/>
    <mergeCell ref="G36:G37"/>
    <mergeCell ref="F68:F69"/>
    <mergeCell ref="F40:F41"/>
    <mergeCell ref="A48:A49"/>
    <mergeCell ref="G70:G71"/>
    <mergeCell ref="A70:A71"/>
    <mergeCell ref="F36:F37"/>
    <mergeCell ref="E64:E65"/>
    <mergeCell ref="E78:E79"/>
    <mergeCell ref="G78:G79"/>
    <mergeCell ref="A54:A55"/>
    <mergeCell ref="C54:C55"/>
    <mergeCell ref="G62:G63"/>
    <mergeCell ref="E38:E39"/>
    <mergeCell ref="A74:A75"/>
    <mergeCell ref="A56:A57"/>
    <mergeCell ref="C56:C57"/>
    <mergeCell ref="A46:A47"/>
    <mergeCell ref="G4:I4"/>
    <mergeCell ref="G64:G65"/>
    <mergeCell ref="C46:C47"/>
    <mergeCell ref="C40:C41"/>
    <mergeCell ref="E46:E47"/>
    <mergeCell ref="E40:E41"/>
    <mergeCell ref="A76:A77"/>
    <mergeCell ref="E54:E55"/>
    <mergeCell ref="C76:C77"/>
    <mergeCell ref="C60:C61"/>
    <mergeCell ref="C82:C83"/>
    <mergeCell ref="F46:F47"/>
    <mergeCell ref="A68:A69"/>
    <mergeCell ref="E66:E67"/>
    <mergeCell ref="A52:A53"/>
    <mergeCell ref="C34:C35"/>
    <mergeCell ref="C74:C75"/>
    <mergeCell ref="C68:C69"/>
    <mergeCell ref="E68:E69"/>
    <mergeCell ref="C58:C59"/>
    <mergeCell ref="F54:F55"/>
    <mergeCell ref="E58:E59"/>
    <mergeCell ref="E52:E53"/>
    <mergeCell ref="G52:G53"/>
    <mergeCell ref="C42:C43"/>
    <mergeCell ref="A84:A85"/>
    <mergeCell ref="E42:E43"/>
    <mergeCell ref="F74:F75"/>
    <mergeCell ref="A78:A79"/>
    <mergeCell ref="G42:G43"/>
    <mergeCell ref="E60:E61"/>
    <mergeCell ref="E82:E83"/>
    <mergeCell ref="A36:A37"/>
    <mergeCell ref="G3:I3"/>
    <mergeCell ref="A50:A51"/>
    <mergeCell ref="G38:G39"/>
    <mergeCell ref="C50:C51"/>
    <mergeCell ref="C44:C45"/>
    <mergeCell ref="C84:C85"/>
    <mergeCell ref="E44:E45"/>
    <mergeCell ref="F76:F77"/>
    <mergeCell ref="A80:A81"/>
    <mergeCell ref="C80:C81"/>
    <mergeCell ref="E84:E85"/>
    <mergeCell ref="F66:F67"/>
    <mergeCell ref="A1:I2"/>
    <mergeCell ref="F50:F51"/>
    <mergeCell ref="C36:C37"/>
    <mergeCell ref="A3:B3"/>
    <mergeCell ref="G80:G81"/>
    <mergeCell ref="C70:C71"/>
    <mergeCell ref="E70:E71"/>
    <mergeCell ref="F52:F53"/>
    <mergeCell ref="E80:E81"/>
    <mergeCell ref="C78:C79"/>
    <mergeCell ref="E72:E73"/>
    <mergeCell ref="G72:G73"/>
    <mergeCell ref="C48:C49"/>
    <mergeCell ref="C62:C63"/>
    <mergeCell ref="A4:B4"/>
    <mergeCell ref="E62:E63"/>
    <mergeCell ref="E56:E57"/>
    <mergeCell ref="A38:A39"/>
    <mergeCell ref="G56:G57"/>
    <mergeCell ref="C38:C39"/>
    <mergeCell ref="F78:F79"/>
    <mergeCell ref="C64:C65"/>
    <mergeCell ref="A58:A59"/>
    <mergeCell ref="A40:A41"/>
    <mergeCell ref="F80:F81"/>
    <mergeCell ref="A60:A61"/>
    <mergeCell ref="G66:G67"/>
    <mergeCell ref="F70:F71"/>
    <mergeCell ref="E34:E35"/>
    <mergeCell ref="G34:G35"/>
    <mergeCell ref="A66:A67"/>
    <mergeCell ref="F56:F57"/>
    <mergeCell ref="C52:C53"/>
    <mergeCell ref="F38:F39"/>
    <mergeCell ref="A42:A43"/>
    <mergeCell ref="E36:E37"/>
    <mergeCell ref="A72:A73"/>
    <mergeCell ref="C72:C73"/>
    <mergeCell ref="F82:F83"/>
    <mergeCell ref="G54:G55"/>
    <mergeCell ref="F58:F59"/>
    <mergeCell ref="A62:A63"/>
    <mergeCell ref="A44:A45"/>
    <mergeCell ref="A34:A35"/>
    <mergeCell ref="F60:F61"/>
    <mergeCell ref="A64:A65"/>
    <mergeCell ref="G46:G47"/>
    <mergeCell ref="A82:A83"/>
    <mergeCell ref="G40:G41"/>
  </mergeCells>
  <conditionalFormatting sqref="A3:A4">
    <cfRule type="duplicateValues" priority="202" dxfId="0"/>
  </conditionalFormatting>
  <conditionalFormatting sqref="B1:B4">
    <cfRule type="duplicateValues" priority="200" dxfId="0"/>
  </conditionalFormatting>
  <conditionalFormatting sqref="B1:B5">
    <cfRule type="duplicateValues" priority="184" dxfId="0"/>
    <cfRule type="duplicateValues" priority="196" dxfId="0"/>
  </conditionalFormatting>
  <conditionalFormatting sqref="B5">
    <cfRule type="duplicateValues" priority="197" dxfId="0"/>
  </conditionalFormatting>
  <conditionalFormatting sqref="C3:C4">
    <cfRule type="duplicateValues" priority="203" dxfId="0"/>
  </conditionalFormatting>
  <conditionalFormatting sqref="C5">
    <cfRule type="duplicateValues" priority="198" dxfId="0"/>
  </conditionalFormatting>
  <conditionalFormatting sqref="E3">
    <cfRule type="duplicateValues" priority="201" dxfId="0"/>
  </conditionalFormatting>
  <conditionalFormatting sqref="I1:I5">
    <cfRule type="cellIs" priority="186" operator="greaterThan" dxfId="0">
      <formula>100</formula>
    </cfRule>
  </conditionalFormatting>
  <conditionalFormatting sqref="B6:B31">
    <cfRule type="expression" priority="10" dxfId="13">
      <formula>AND(A6&lt;&gt;"",H6="")</formula>
    </cfRule>
  </conditionalFormatting>
  <conditionalFormatting sqref="H6:H31">
    <cfRule type="expression" priority="11" dxfId="13">
      <formula>AND(A6&lt;&gt;"",H6="")</formula>
    </cfRule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2018-01-15T00:58:00Z</dcterms:created>
  <dcterms:modified xsi:type="dcterms:W3CDTF">2026-08-07T07:07:08Z</dcterms:modified>
  <cp:lastModifiedBy>admin</cp:lastModifiedBy>
  <cp:lastPrinted>2021-12-20T07:02:00Z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B0F0A96B9134449F98A5022D16D72D01_13</vt:lpwstr>
  </property>
  <property name="commondata" fmtid="{D5CDD505-2E9C-101B-9397-08002B2CF9AE}" pid="4">
    <vt:lpwstr>eyJoZGlkIjoiOGNmYzQ0ZmE2ODVjMTBhOTlkMmZiMzQxY2E5ZWUzMGMifQ==</vt:lpwstr>
  </property>
  <property name="KSOReadingLayout" fmtid="{D5CDD505-2E9C-101B-9397-08002B2CF9AE}" pid="5">
    <vt:bool>1</vt:bool>
  </property>
  <property name="CalculationRule" fmtid="{D5CDD505-2E9C-101B-9397-08002B2CF9AE}" pid="6">
    <vt:i4>0</vt:i4>
  </property>
</Properties>
</file>