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47" firstSheet="0" activeTab="2" autoFilterDateGrouping="1"/>
  </bookViews>
  <sheets>
    <sheet name="S" sheetId="1" state="visible" r:id="rId1"/>
    <sheet name="P" sheetId="2" state="visible" r:id="rId2"/>
    <sheet name="文库稀释计算表" sheetId="3" state="visible" r:id="rId3"/>
    <sheet name="下机数据统计模版" sheetId="4" state="visible" r:id="rId4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1">
    <numFmt numFmtId="164" formatCode="0.00_);[Red]\(0.00\)"/>
    <numFmt numFmtId="165" formatCode="0.0_);[Red]\(0.0\)"/>
    <numFmt numFmtId="166" formatCode="0.000_);[Red]\(0.000\)"/>
    <numFmt numFmtId="167" formatCode="0.00_ "/>
    <numFmt numFmtId="168" formatCode="yyyy/m/d;@"/>
    <numFmt numFmtId="169" formatCode="0.00_);\(0.00\)"/>
    <numFmt numFmtId="170" formatCode="0.###"/>
    <numFmt numFmtId="171" formatCode="0.000"/>
    <numFmt numFmtId="172" formatCode="[$-409]yyyy/m/d\ h:mm\ "/>
    <numFmt numFmtId="173" formatCode="_ [$¥-804]* #,##0.00_ ;_ [$¥-804]* \-#,##0.00_ ;_ [$¥-804]* &quot;-&quot;??_ ;_ @_ "/>
    <numFmt numFmtId="174" formatCode="_ [$￥-804]* #,##0.00_ ;_ [$￥-804]* \-#,##0.00_ ;_ [$￥-804]* &quot;-&quot;??_ ;_ @_ "/>
  </numFmts>
  <fonts count="24">
    <font>
      <name val="宋体"/>
      <charset val="134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sz val="10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rgb="FFFF0000"/>
      <sz val="12"/>
    </font>
    <font>
      <name val="Times New Roman"/>
      <family val="1"/>
      <color rgb="FFFF0000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2"/>
    </font>
    <font>
      <name val="Times New Roman"/>
      <family val="1"/>
      <b val="1"/>
      <sz val="14"/>
    </font>
    <font>
      <name val="宋体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0"/>
    </font>
    <font>
      <name val="Times New Roman"/>
      <family val="1"/>
      <color rgb="FF000000"/>
      <sz val="14"/>
    </font>
    <font>
      <name val="宋体"/>
      <charset val="134"/>
      <family val="3"/>
      <color rgb="FF000000"/>
      <sz val="14"/>
    </font>
    <font/>
    <font>
      <b val="1"/>
      <color rgb="00FF0000"/>
    </font>
    <font>
      <name val="Times New Roman"/>
      <sz val="10"/>
    </font>
    <font>
      <name val="Times New Roman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99CCFF"/>
        <bgColor rgb="0099CC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0">
    <xf numFmtId="0" fontId="0" fillId="0" borderId="0" applyAlignment="1">
      <alignment vertical="center"/>
    </xf>
    <xf numFmtId="9" fontId="14" fillId="0" borderId="0" applyAlignment="1">
      <alignment vertical="center"/>
    </xf>
    <xf numFmtId="172" fontId="12" fillId="0" borderId="0" applyAlignment="1">
      <alignment vertical="center"/>
    </xf>
    <xf numFmtId="173" fontId="12" fillId="0" borderId="0" applyAlignment="1">
      <alignment vertical="center"/>
    </xf>
    <xf numFmtId="174" fontId="13" fillId="0" borderId="0"/>
    <xf numFmtId="174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172" fontId="12" fillId="0" borderId="0"/>
    <xf numFmtId="0" fontId="14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1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left" vertical="center"/>
    </xf>
    <xf numFmtId="169" fontId="2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9" fontId="9" fillId="3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170" fontId="17" fillId="0" borderId="0" applyAlignment="1" pivotButton="0" quotePrefix="0" xfId="0">
      <alignment horizontal="center" vertical="center"/>
    </xf>
    <xf numFmtId="171" fontId="17" fillId="0" borderId="0" applyAlignment="1" pivotButton="0" quotePrefix="0" xfId="0">
      <alignment horizontal="center" vertical="center"/>
    </xf>
    <xf numFmtId="0" fontId="2" fillId="0" borderId="0" applyAlignment="1" pivotButton="0" quotePrefix="0" xfId="9">
      <alignment horizontal="center" vertical="center"/>
    </xf>
    <xf numFmtId="169" fontId="2" fillId="0" borderId="0" applyAlignment="1" pivotButton="0" quotePrefix="0" xfId="9">
      <alignment horizontal="center" vertical="center"/>
    </xf>
    <xf numFmtId="164" fontId="2" fillId="0" borderId="0" applyAlignment="1" pivotButton="0" quotePrefix="0" xfId="9">
      <alignment horizontal="center" vertical="center"/>
    </xf>
    <xf numFmtId="164" fontId="1" fillId="0" borderId="0" applyAlignment="1" pivotButton="0" quotePrefix="0" xfId="9">
      <alignment horizontal="center" vertical="center"/>
    </xf>
    <xf numFmtId="10" fontId="2" fillId="0" borderId="0" applyAlignment="1" pivotButton="0" quotePrefix="0" xfId="9">
      <alignment horizontal="center" vertical="center"/>
    </xf>
    <xf numFmtId="164" fontId="9" fillId="0" borderId="0" applyAlignment="1" pivotButton="0" quotePrefix="0" xfId="9">
      <alignment horizontal="center" vertical="center"/>
    </xf>
    <xf numFmtId="169" fontId="7" fillId="0" borderId="0" applyAlignment="1" pivotButton="0" quotePrefix="0" xfId="9">
      <alignment horizontal="left" vertical="center"/>
    </xf>
    <xf numFmtId="167" fontId="10" fillId="0" borderId="0" applyAlignment="1" pivotButton="0" quotePrefix="0" xfId="9">
      <alignment horizontal="center" vertical="center"/>
    </xf>
    <xf numFmtId="49" fontId="2" fillId="0" borderId="0" applyAlignment="1" pivotButton="0" quotePrefix="0" xfId="9">
      <alignment horizontal="center" vertical="center"/>
    </xf>
    <xf numFmtId="0" fontId="9" fillId="0" borderId="0" applyAlignment="1" pivotButton="0" quotePrefix="0" xfId="9">
      <alignment horizontal="center" vertical="center"/>
    </xf>
    <xf numFmtId="164" fontId="8" fillId="0" borderId="0" applyAlignment="1" pivotButton="0" quotePrefix="0" xfId="9">
      <alignment horizontal="center" vertical="center"/>
    </xf>
    <xf numFmtId="10" fontId="8" fillId="0" borderId="0" applyAlignment="1" pivotButton="0" quotePrefix="0" xfId="9">
      <alignment horizontal="center" vertical="center"/>
    </xf>
    <xf numFmtId="169" fontId="8" fillId="0" borderId="0" applyAlignment="1" pivotButton="0" quotePrefix="0" xfId="9">
      <alignment horizontal="center" vertical="center"/>
    </xf>
    <xf numFmtId="0" fontId="8" fillId="0" borderId="0" applyAlignment="1" pivotButton="0" quotePrefix="0" xfId="9">
      <alignment horizontal="center" vertical="center"/>
    </xf>
    <xf numFmtId="0" fontId="18" fillId="0" borderId="1" applyAlignment="1" pivotButton="0" quotePrefix="0" xfId="9">
      <alignment horizontal="center" vertical="center" wrapText="1"/>
    </xf>
    <xf numFmtId="0" fontId="18" fillId="5" borderId="1" applyAlignment="1" pivotButton="0" quotePrefix="0" xfId="9">
      <alignment horizontal="center" vertical="center" wrapText="1"/>
    </xf>
    <xf numFmtId="3" fontId="18" fillId="5" borderId="1" applyAlignment="1" pivotButton="0" quotePrefix="0" xfId="9">
      <alignment horizontal="center" vertical="center" wrapText="1"/>
    </xf>
    <xf numFmtId="4" fontId="18" fillId="5" borderId="1" applyAlignment="1" pivotButton="0" quotePrefix="0" xfId="9">
      <alignment horizontal="center" vertical="center" wrapText="1"/>
    </xf>
    <xf numFmtId="4" fontId="18" fillId="4" borderId="1" applyAlignment="1" pivotButton="0" quotePrefix="0" xfId="9">
      <alignment horizontal="center" vertical="center" wrapText="1"/>
    </xf>
    <xf numFmtId="0" fontId="18" fillId="4" borderId="1" applyAlignment="1" pivotButton="0" quotePrefix="0" xfId="9">
      <alignment horizontal="center" vertical="center" wrapText="1"/>
    </xf>
    <xf numFmtId="9" fontId="18" fillId="5" borderId="1" applyAlignment="1" pivotButton="0" quotePrefix="0" xfId="9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9" fillId="4" borderId="1" applyAlignment="1" pivotButton="0" quotePrefix="0" xfId="9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left" vertical="center"/>
    </xf>
    <xf numFmtId="169" fontId="2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9" fontId="9" fillId="3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170" fontId="17" fillId="0" borderId="0" applyAlignment="1" pivotButton="0" quotePrefix="0" xfId="0">
      <alignment horizontal="center" vertical="center"/>
    </xf>
    <xf numFmtId="164" fontId="2" fillId="0" borderId="0" applyAlignment="1" pivotButton="0" quotePrefix="0" xfId="9">
      <alignment horizontal="center" vertical="center"/>
    </xf>
    <xf numFmtId="167" fontId="10" fillId="0" borderId="0" applyAlignment="1" pivotButton="0" quotePrefix="0" xfId="9">
      <alignment horizontal="center" vertical="center"/>
    </xf>
    <xf numFmtId="169" fontId="7" fillId="0" borderId="0" applyAlignment="1" pivotButton="0" quotePrefix="0" xfId="9">
      <alignment horizontal="left" vertical="center"/>
    </xf>
    <xf numFmtId="169" fontId="2" fillId="0" borderId="0" applyAlignment="1" pivotButton="0" quotePrefix="0" xfId="9">
      <alignment horizontal="center" vertical="center"/>
    </xf>
    <xf numFmtId="164" fontId="9" fillId="0" borderId="0" applyAlignment="1" pivotButton="0" quotePrefix="0" xfId="9">
      <alignment horizontal="center" vertical="center"/>
    </xf>
    <xf numFmtId="164" fontId="1" fillId="0" borderId="0" applyAlignment="1" pivotButton="0" quotePrefix="0" xfId="9">
      <alignment horizontal="center" vertical="center"/>
    </xf>
    <xf numFmtId="164" fontId="8" fillId="0" borderId="0" applyAlignment="1" pivotButton="0" quotePrefix="0" xfId="9">
      <alignment horizontal="center" vertical="center"/>
    </xf>
    <xf numFmtId="169" fontId="8" fillId="0" borderId="0" applyAlignment="1" pivotButton="0" quotePrefix="0" xfId="9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1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170" fontId="20" fillId="0" borderId="0" applyAlignment="1" pivotButton="0" quotePrefix="0" xfId="0">
      <alignment horizontal="center" vertical="center"/>
    </xf>
    <xf numFmtId="0" fontId="20" fillId="0" borderId="0" pivotButton="0" quotePrefix="0" xfId="0"/>
    <xf numFmtId="171" fontId="20" fillId="0" borderId="0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2" fontId="17" fillId="0" borderId="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7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3" pivotButton="0" quotePrefix="0" xfId="0"/>
    <xf numFmtId="10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2" fontId="0" fillId="0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2" fontId="22" fillId="0" borderId="0" applyAlignment="1" pivotButton="0" quotePrefix="0" xfId="0">
      <alignment horizontal="center" vertical="center"/>
    </xf>
    <xf numFmtId="0" fontId="22" fillId="0" borderId="5" pivotButton="0" quotePrefix="0" xfId="0"/>
    <xf numFmtId="2" fontId="22" fillId="6" borderId="0" applyAlignment="1" pivotButton="0" quotePrefix="0" xfId="0">
      <alignment horizontal="center" vertical="center"/>
    </xf>
    <xf numFmtId="0" fontId="22" fillId="0" borderId="6" pivotButton="0" quotePrefix="0" xfId="0"/>
    <xf numFmtId="0" fontId="22" fillId="0" borderId="2" pivotButton="0" quotePrefix="0" xfId="0"/>
    <xf numFmtId="0" fontId="22" fillId="0" borderId="2" applyAlignment="1" pivotButton="0" quotePrefix="0" xfId="0">
      <alignment horizontal="center" vertical="center"/>
    </xf>
    <xf numFmtId="0" fontId="22" fillId="0" borderId="0" pivotButton="0" quotePrefix="0" xfId="0"/>
    <xf numFmtId="2" fontId="22" fillId="0" borderId="3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2" fontId="22" fillId="0" borderId="3" pivotButton="0" quotePrefix="0" xfId="0"/>
    <xf numFmtId="10" fontId="22" fillId="0" borderId="3" applyAlignment="1" pivotButton="0" quotePrefix="0" xfId="0">
      <alignment horizontal="center" vertical="center"/>
    </xf>
    <xf numFmtId="0" fontId="22" fillId="0" borderId="3" pivotButton="0" quotePrefix="0" xfId="0"/>
    <xf numFmtId="0" fontId="23" fillId="0" borderId="3" pivotButton="0" quotePrefix="0" xfId="0"/>
  </cellXfs>
  <cellStyles count="10">
    <cellStyle name="常规" xfId="0" builtinId="0"/>
    <cellStyle name="百分比" xfId="1" builtinId="5"/>
    <cellStyle name="常规 31" xfId="2"/>
    <cellStyle name="常规 156 3" xfId="3"/>
    <cellStyle name="Normal_tmc program 2003may24 (Excel 5.0)" xfId="4"/>
    <cellStyle name="常规 13" xfId="5"/>
    <cellStyle name="常规 130 3 2" xfId="6"/>
    <cellStyle name="常规 2" xfId="7"/>
    <cellStyle name="常规 2 4 2 2" xfId="8"/>
    <cellStyle name="常规 3" xfId="9"/>
  </cellStyles>
  <dxfs count="9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00FF0000"/>
      </font>
      <fill>
        <patternFill patternType="solid">
          <fgColor rgb="00C6EFCE"/>
          <bgColor rgb="00C6EFCE"/>
        </patternFill>
      </fill>
    </dxf>
    <dxf>
      <font>
        <color rgb="00FF0000"/>
      </font>
      <fill>
        <patternFill patternType="solid">
          <fgColor rgb="00FFFF00"/>
          <bgColor rgb="00FFFF00"/>
        </patternFill>
      </fill>
    </dxf>
    <dxf>
      <font>
        <color rgb="00FF0000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ColWidth="9" defaultRowHeight="15.75"/>
  <cols>
    <col width="12" customWidth="1" style="4" min="1" max="1"/>
    <col width="20" customWidth="1" style="2" min="2" max="2"/>
    <col width="19" customWidth="1" style="68" min="3" max="3"/>
    <col width="17" customWidth="1" style="68" min="4" max="4"/>
    <col width="26" customWidth="1" style="86" min="5" max="5"/>
    <col width="22" customWidth="1" style="87" min="6" max="6"/>
    <col width="24" customWidth="1" style="68" min="7" max="7"/>
    <col width="22" customWidth="1" style="2" min="8" max="8"/>
    <col width="8" customWidth="1" style="88" min="9" max="9"/>
    <col width="12" customWidth="1" style="2" min="10" max="10"/>
    <col width="7" customWidth="1" style="89" min="11" max="11"/>
    <col width="4" customWidth="1" style="88" min="12" max="12"/>
    <col width="17" customWidth="1" style="88" min="13" max="13"/>
    <col width="6" customWidth="1" style="88" min="14" max="14"/>
    <col width="8" customWidth="1" style="68" min="15" max="15"/>
    <col width="8" customWidth="1" style="2" min="16" max="16"/>
    <col width="27" customWidth="1" style="2" min="17" max="17"/>
    <col width="28" customWidth="1" style="2" min="18" max="18"/>
    <col width="49" customWidth="1" style="2" min="19" max="19"/>
    <col width="10" customWidth="1" style="2" min="20" max="20"/>
    <col width="12" customWidth="1" style="35" min="21" max="21"/>
    <col width="12" customWidth="1" style="2" min="22" max="22"/>
    <col width="12" customWidth="1" style="36" min="23" max="23"/>
    <col width="9" customWidth="1" style="2" min="24" max="25"/>
    <col width="12.625" customWidth="1" style="2" min="26" max="26"/>
    <col width="9" customWidth="1" style="2" min="27" max="16382"/>
    <col width="9" customWidth="1" style="9" min="16383" max="16384"/>
  </cols>
  <sheetData>
    <row r="1" ht="40" customFormat="1" customHeight="1" s="1">
      <c r="A1" s="10" t="inlineStr">
        <is>
          <t>lane编号</t>
        </is>
      </c>
      <c r="B1" s="11" t="inlineStr">
        <is>
          <t>文库编号</t>
        </is>
      </c>
      <c r="C1" s="90" t="inlineStr">
        <is>
          <t>摩尔浓度(nM/L）</t>
        </is>
      </c>
      <c r="D1" s="90" t="inlineStr">
        <is>
          <t>数据量（G)</t>
        </is>
      </c>
      <c r="E1" s="91" t="inlineStr">
        <is>
          <t>文库摩尔质量（nM）</t>
        </is>
      </c>
      <c r="F1" s="92" t="inlineStr">
        <is>
          <t>最终取样体积（ul）</t>
        </is>
      </c>
      <c r="G1" s="90" t="inlineStr">
        <is>
          <t>混合文库浓度（nM/L）</t>
        </is>
      </c>
      <c r="H1" s="15" t="inlineStr">
        <is>
          <t>文库类型</t>
        </is>
      </c>
      <c r="I1" s="93" t="n"/>
      <c r="J1" s="94" t="n"/>
      <c r="K1" s="95" t="n"/>
      <c r="L1" s="96" t="n"/>
      <c r="M1" s="96">
        <f>TODAY()</f>
        <v/>
      </c>
      <c r="N1" s="97" t="inlineStr">
        <is>
          <t>nm</t>
        </is>
      </c>
      <c r="O1" s="98" t="inlineStr">
        <is>
          <t>片段</t>
        </is>
      </c>
      <c r="P1" s="1" t="inlineStr">
        <is>
          <t>qPCR</t>
        </is>
      </c>
      <c r="Q1" s="22" t="inlineStr">
        <is>
          <t>合同编号</t>
        </is>
      </c>
      <c r="R1" s="22" t="inlineStr">
        <is>
          <t>客户单位</t>
        </is>
      </c>
      <c r="S1" s="22" t="inlineStr">
        <is>
          <t>备注</t>
        </is>
      </c>
      <c r="T1" s="1" t="inlineStr">
        <is>
          <t>laneID</t>
        </is>
      </c>
      <c r="U1" s="15" t="inlineStr">
        <is>
          <t>纯化总表</t>
        </is>
      </c>
      <c r="V1" s="15" t="inlineStr">
        <is>
          <t>检测结果</t>
        </is>
      </c>
      <c r="W1" s="37" t="inlineStr">
        <is>
          <t>人工备注</t>
        </is>
      </c>
    </row>
    <row r="2" ht="30" customHeight="1" s="36">
      <c r="A2" s="118" t="inlineStr">
        <is>
          <t>S1-300</t>
        </is>
      </c>
      <c r="B2" s="118" t="inlineStr">
        <is>
          <t>HGC-Lib-26098917</t>
        </is>
      </c>
      <c r="C2" s="118" t="n">
        <v>26</v>
      </c>
      <c r="D2" s="118" t="n">
        <v>25</v>
      </c>
      <c r="E2" s="118">
        <f>ROUND(D2*0.628000,3)</f>
        <v/>
      </c>
      <c r="F2" s="118">
        <f>ROUND(E2/C2,3)</f>
        <v/>
      </c>
      <c r="G2" s="119" t="inlineStr">
        <is>
          <t>纯化</t>
        </is>
      </c>
      <c r="H2" s="119" t="inlineStr">
        <is>
          <t>10x3′单细胞转录组</t>
        </is>
      </c>
      <c r="I2" s="119" t="n">
        <v>26</v>
      </c>
      <c r="J2" s="119" t="n"/>
      <c r="K2" s="119" t="n"/>
      <c r="L2" s="119" t="n"/>
      <c r="M2" s="120">
        <f>G14/1.91</f>
        <v/>
      </c>
      <c r="N2" s="119" t="n"/>
      <c r="O2" s="119" t="n"/>
      <c r="P2" s="119" t="n"/>
      <c r="Q2" s="119" t="inlineStr">
        <is>
          <t>PSM-ZM202606090002-0072</t>
        </is>
      </c>
      <c r="R2" s="119" t="inlineStr">
        <is>
          <t>广州承启生物科技有限公司</t>
        </is>
      </c>
      <c r="S2" s="119" t="n"/>
      <c r="T2" s="119" t="n">
        <v>1</v>
      </c>
      <c r="U2" s="119" t="inlineStr">
        <is>
          <t>纯化</t>
        </is>
      </c>
      <c r="V2" s="119" t="n"/>
      <c r="W2" s="119" t="n"/>
    </row>
    <row r="3" ht="30" customHeight="1" s="36">
      <c r="A3" s="121" t="n"/>
      <c r="B3" s="118" t="inlineStr">
        <is>
          <t>HGC-Lib-26098918</t>
        </is>
      </c>
      <c r="C3" s="118" t="n">
        <v>22.8</v>
      </c>
      <c r="D3" s="118" t="n">
        <v>25</v>
      </c>
      <c r="E3" s="118">
        <f>ROUND(D3*0.628000,3)</f>
        <v/>
      </c>
      <c r="F3" s="118">
        <f>ROUND(E3/C3,3)</f>
        <v/>
      </c>
      <c r="G3" s="119" t="n"/>
      <c r="H3" s="119" t="inlineStr">
        <is>
          <t>10x3′单细胞转录组</t>
        </is>
      </c>
      <c r="I3" s="119" t="n">
        <v>22.8</v>
      </c>
      <c r="J3" s="119" t="n"/>
      <c r="K3" s="119" t="n"/>
      <c r="L3" s="119" t="n"/>
      <c r="M3" s="122">
        <f>F14*(1.91-1)</f>
        <v/>
      </c>
      <c r="N3" s="119" t="n"/>
      <c r="O3" s="119" t="n"/>
      <c r="P3" s="119" t="n"/>
      <c r="Q3" s="119" t="inlineStr">
        <is>
          <t>PSM-ZM202606090002-0072</t>
        </is>
      </c>
      <c r="R3" s="119" t="inlineStr">
        <is>
          <t>广州承启生物科技有限公司</t>
        </is>
      </c>
      <c r="S3" s="119" t="n"/>
      <c r="T3" s="119" t="n">
        <v>1</v>
      </c>
      <c r="U3" s="119" t="inlineStr">
        <is>
          <t>纯化</t>
        </is>
      </c>
      <c r="V3" s="119" t="n"/>
      <c r="W3" s="119" t="n"/>
    </row>
    <row r="4" ht="30" customHeight="1" s="36">
      <c r="A4" s="121" t="n"/>
      <c r="B4" s="118" t="inlineStr">
        <is>
          <t>HGC-Lib-26098919</t>
        </is>
      </c>
      <c r="C4" s="118" t="n">
        <v>23.2</v>
      </c>
      <c r="D4" s="118" t="n">
        <v>25</v>
      </c>
      <c r="E4" s="118">
        <f>ROUND(D4*0.628000,3)</f>
        <v/>
      </c>
      <c r="F4" s="118">
        <f>ROUND(E4/C4,3)</f>
        <v/>
      </c>
      <c r="G4" s="119" t="n"/>
      <c r="H4" s="119" t="inlineStr">
        <is>
          <t>10x3′单细胞转录组</t>
        </is>
      </c>
      <c r="I4" s="119" t="n">
        <v>23.2</v>
      </c>
      <c r="J4" s="119" t="n"/>
      <c r="K4" s="119" t="n"/>
      <c r="L4" s="119" t="n"/>
      <c r="M4" s="119" t="n"/>
      <c r="N4" s="119" t="n"/>
      <c r="O4" s="119" t="n"/>
      <c r="P4" s="119" t="n"/>
      <c r="Q4" s="119" t="inlineStr">
        <is>
          <t>PSM-ZM202606090002-0072</t>
        </is>
      </c>
      <c r="R4" s="119" t="inlineStr">
        <is>
          <t>广州承启生物科技有限公司</t>
        </is>
      </c>
      <c r="S4" s="119" t="n"/>
      <c r="T4" s="119" t="n">
        <v>1</v>
      </c>
      <c r="U4" s="119" t="inlineStr">
        <is>
          <t>纯化</t>
        </is>
      </c>
      <c r="V4" s="119" t="n"/>
      <c r="W4" s="119" t="n"/>
    </row>
    <row r="5" ht="30" customHeight="1" s="36">
      <c r="A5" s="121" t="n"/>
      <c r="B5" s="118" t="inlineStr">
        <is>
          <t>HGC-Lib-26098924</t>
        </is>
      </c>
      <c r="C5" s="118" t="n">
        <v>22.2</v>
      </c>
      <c r="D5" s="118" t="n">
        <v>25</v>
      </c>
      <c r="E5" s="118">
        <f>ROUND(D5*0.628000,3)</f>
        <v/>
      </c>
      <c r="F5" s="118">
        <f>ROUND(E5/C5,3)</f>
        <v/>
      </c>
      <c r="G5" s="119" t="n"/>
      <c r="H5" s="119" t="inlineStr">
        <is>
          <t>10x3′单细胞转录组</t>
        </is>
      </c>
      <c r="I5" s="119" t="n">
        <v>22.2</v>
      </c>
      <c r="J5" s="119" t="n"/>
      <c r="K5" s="119" t="n"/>
      <c r="L5" s="119" t="n"/>
      <c r="M5" s="119" t="n"/>
      <c r="N5" s="119" t="n"/>
      <c r="O5" s="119" t="n"/>
      <c r="P5" s="119" t="n"/>
      <c r="Q5" s="119" t="inlineStr">
        <is>
          <t>PSM-ZM202606090002-0072</t>
        </is>
      </c>
      <c r="R5" s="119" t="inlineStr">
        <is>
          <t>广州承启生物科技有限公司</t>
        </is>
      </c>
      <c r="S5" s="119" t="n"/>
      <c r="T5" s="119" t="n">
        <v>1</v>
      </c>
      <c r="U5" s="119" t="inlineStr">
        <is>
          <t>纯化</t>
        </is>
      </c>
      <c r="V5" s="119" t="n"/>
      <c r="W5" s="119" t="n"/>
    </row>
    <row r="6" ht="30" customHeight="1" s="36">
      <c r="A6" s="121" t="n"/>
      <c r="B6" s="118" t="inlineStr">
        <is>
          <t>HGC-Lib-26098925</t>
        </is>
      </c>
      <c r="C6" s="118" t="n">
        <v>19.6</v>
      </c>
      <c r="D6" s="118" t="n">
        <v>25</v>
      </c>
      <c r="E6" s="118">
        <f>ROUND(D6*0.628000,3)</f>
        <v/>
      </c>
      <c r="F6" s="118">
        <f>ROUND(E6/C6,3)</f>
        <v/>
      </c>
      <c r="G6" s="119" t="n"/>
      <c r="H6" s="119" t="inlineStr">
        <is>
          <t>10x3′单细胞转录组</t>
        </is>
      </c>
      <c r="I6" s="119" t="n">
        <v>19.6</v>
      </c>
      <c r="J6" s="119" t="n"/>
      <c r="K6" s="119" t="n"/>
      <c r="L6" s="119" t="n"/>
      <c r="M6" s="119" t="n"/>
      <c r="N6" s="119" t="n"/>
      <c r="O6" s="119" t="n"/>
      <c r="P6" s="119" t="n"/>
      <c r="Q6" s="119" t="inlineStr">
        <is>
          <t>PSM-ZM202606090002-0072</t>
        </is>
      </c>
      <c r="R6" s="119" t="inlineStr">
        <is>
          <t>广州承启生物科技有限公司</t>
        </is>
      </c>
      <c r="S6" s="119" t="n"/>
      <c r="T6" s="119" t="n">
        <v>1</v>
      </c>
      <c r="U6" s="119" t="inlineStr">
        <is>
          <t>纯化</t>
        </is>
      </c>
      <c r="V6" s="119" t="n"/>
      <c r="W6" s="119" t="n"/>
    </row>
    <row r="7" ht="30" customHeight="1" s="36">
      <c r="A7" s="121" t="n"/>
      <c r="B7" s="118" t="inlineStr">
        <is>
          <t>HGC-Lib-26098926</t>
        </is>
      </c>
      <c r="C7" s="118" t="n">
        <v>20.8</v>
      </c>
      <c r="D7" s="118" t="n">
        <v>25</v>
      </c>
      <c r="E7" s="118">
        <f>ROUND(D7*0.628000,3)</f>
        <v/>
      </c>
      <c r="F7" s="118">
        <f>ROUND(E7/C7,3)</f>
        <v/>
      </c>
      <c r="G7" s="119" t="n"/>
      <c r="H7" s="119" t="inlineStr">
        <is>
          <t>10x3′单细胞转录组</t>
        </is>
      </c>
      <c r="I7" s="119" t="n">
        <v>20.8</v>
      </c>
      <c r="J7" s="119" t="n"/>
      <c r="K7" s="119" t="n"/>
      <c r="L7" s="119" t="n"/>
      <c r="M7" s="119" t="n"/>
      <c r="N7" s="119" t="n"/>
      <c r="O7" s="119" t="n"/>
      <c r="P7" s="119" t="n"/>
      <c r="Q7" s="119" t="inlineStr">
        <is>
          <t>PSM-ZM202606090002-0072</t>
        </is>
      </c>
      <c r="R7" s="119" t="inlineStr">
        <is>
          <t>广州承启生物科技有限公司</t>
        </is>
      </c>
      <c r="S7" s="119" t="n"/>
      <c r="T7" s="119" t="n">
        <v>1</v>
      </c>
      <c r="U7" s="119" t="inlineStr">
        <is>
          <t>纯化</t>
        </is>
      </c>
      <c r="V7" s="119" t="n"/>
      <c r="W7" s="119" t="n"/>
    </row>
    <row r="8" ht="30" customHeight="1" s="36">
      <c r="A8" s="121" t="n"/>
      <c r="B8" s="118" t="inlineStr">
        <is>
          <t>HGC-Lib-26100099</t>
        </is>
      </c>
      <c r="C8" s="118" t="n">
        <v>29.2</v>
      </c>
      <c r="D8" s="118" t="n">
        <v>25</v>
      </c>
      <c r="E8" s="118">
        <f>ROUND(D8*0.628000,3)</f>
        <v/>
      </c>
      <c r="F8" s="118">
        <f>ROUND(E8/C8,3)</f>
        <v/>
      </c>
      <c r="G8" s="119" t="n"/>
      <c r="H8" s="119" t="inlineStr">
        <is>
          <t>10x3′单细胞转录组</t>
        </is>
      </c>
      <c r="I8" s="119" t="n">
        <v>29.2</v>
      </c>
      <c r="J8" s="119" t="n"/>
      <c r="K8" s="119" t="n"/>
      <c r="L8" s="119" t="n"/>
      <c r="M8" s="119" t="n"/>
      <c r="N8" s="119" t="n"/>
      <c r="O8" s="119" t="n"/>
      <c r="P8" s="119" t="n"/>
      <c r="Q8" s="119" t="inlineStr">
        <is>
          <t>PSM-ZM202606090002-0081</t>
        </is>
      </c>
      <c r="R8" s="119" t="inlineStr">
        <is>
          <t>广州承启生物科技有限公司</t>
        </is>
      </c>
      <c r="S8" s="119" t="inlineStr">
        <is>
          <t>加急，每次100G，要求周期，辛苦安排分2lane上机</t>
        </is>
      </c>
      <c r="T8" s="119" t="n">
        <v>1</v>
      </c>
      <c r="U8" s="119" t="n"/>
      <c r="V8" s="119" t="n"/>
      <c r="W8" s="119" t="n"/>
    </row>
    <row r="9" ht="30" customHeight="1" s="36">
      <c r="A9" s="121" t="n"/>
      <c r="B9" s="118" t="inlineStr">
        <is>
          <t>HGC-Lib-26100100</t>
        </is>
      </c>
      <c r="C9" s="118" t="n">
        <v>27</v>
      </c>
      <c r="D9" s="118" t="n">
        <v>25</v>
      </c>
      <c r="E9" s="118">
        <f>ROUND(D9*0.628000,3)</f>
        <v/>
      </c>
      <c r="F9" s="118">
        <f>ROUND(E9/C9,3)</f>
        <v/>
      </c>
      <c r="G9" s="119" t="n"/>
      <c r="H9" s="119" t="inlineStr">
        <is>
          <t>10x3′单细胞转录组</t>
        </is>
      </c>
      <c r="I9" s="119" t="n">
        <v>27</v>
      </c>
      <c r="J9" s="119" t="n"/>
      <c r="K9" s="119" t="n"/>
      <c r="L9" s="119" t="n"/>
      <c r="M9" s="119" t="n"/>
      <c r="N9" s="119" t="n"/>
      <c r="O9" s="119" t="n"/>
      <c r="P9" s="119" t="n"/>
      <c r="Q9" s="119" t="inlineStr">
        <is>
          <t>PSM-ZM202606090002-0081</t>
        </is>
      </c>
      <c r="R9" s="119" t="inlineStr">
        <is>
          <t>广州承启生物科技有限公司</t>
        </is>
      </c>
      <c r="S9" s="119" t="inlineStr">
        <is>
          <t>加急，每次100G，要求周期，辛苦安排分2lane上机</t>
        </is>
      </c>
      <c r="T9" s="119" t="n">
        <v>1</v>
      </c>
      <c r="U9" s="119" t="n"/>
      <c r="V9" s="119" t="n"/>
      <c r="W9" s="119" t="n"/>
    </row>
    <row r="10" ht="30" customHeight="1" s="36">
      <c r="A10" s="121" t="n"/>
      <c r="B10" s="118" t="inlineStr">
        <is>
          <t>HGC-Lib-26100101</t>
        </is>
      </c>
      <c r="C10" s="118" t="n">
        <v>31.4</v>
      </c>
      <c r="D10" s="118" t="n">
        <v>25</v>
      </c>
      <c r="E10" s="118">
        <f>ROUND(D10*0.628000,3)</f>
        <v/>
      </c>
      <c r="F10" s="118">
        <f>ROUND(E10/C10,3)</f>
        <v/>
      </c>
      <c r="G10" s="119" t="n"/>
      <c r="H10" s="119" t="inlineStr">
        <is>
          <t>10x3′单细胞转录组</t>
        </is>
      </c>
      <c r="I10" s="119" t="n">
        <v>31.4</v>
      </c>
      <c r="J10" s="119" t="n"/>
      <c r="K10" s="119" t="n"/>
      <c r="L10" s="119" t="n"/>
      <c r="M10" s="119" t="n"/>
      <c r="N10" s="119" t="n"/>
      <c r="O10" s="119" t="n"/>
      <c r="P10" s="119" t="n"/>
      <c r="Q10" s="119" t="inlineStr">
        <is>
          <t>PSM-ZM202606090002-0081</t>
        </is>
      </c>
      <c r="R10" s="119" t="inlineStr">
        <is>
          <t>广州承启生物科技有限公司</t>
        </is>
      </c>
      <c r="S10" s="119" t="inlineStr">
        <is>
          <t>加急，每次100G，要求周期，辛苦安排分2lane上机</t>
        </is>
      </c>
      <c r="T10" s="119" t="n">
        <v>1</v>
      </c>
      <c r="U10" s="119" t="n"/>
      <c r="V10" s="119" t="n"/>
      <c r="W10" s="119" t="n"/>
    </row>
    <row r="11" ht="30" customHeight="1" s="36">
      <c r="A11" s="121" t="n"/>
      <c r="B11" s="118" t="inlineStr">
        <is>
          <t>HGC-Lib-26100102</t>
        </is>
      </c>
      <c r="C11" s="118" t="n">
        <v>29.4</v>
      </c>
      <c r="D11" s="118" t="n">
        <v>25</v>
      </c>
      <c r="E11" s="118">
        <f>ROUND(D11*0.628000,3)</f>
        <v/>
      </c>
      <c r="F11" s="118">
        <f>ROUND(E11/C11,3)</f>
        <v/>
      </c>
      <c r="G11" s="119" t="n"/>
      <c r="H11" s="119" t="inlineStr">
        <is>
          <t>10x3′单细胞转录组</t>
        </is>
      </c>
      <c r="I11" s="119" t="n">
        <v>29.4</v>
      </c>
      <c r="J11" s="119" t="n"/>
      <c r="K11" s="119" t="n"/>
      <c r="L11" s="119" t="n"/>
      <c r="M11" s="119" t="n"/>
      <c r="N11" s="119" t="n"/>
      <c r="O11" s="119" t="n"/>
      <c r="P11" s="119" t="n"/>
      <c r="Q11" s="119" t="inlineStr">
        <is>
          <t>PSM-ZM202606090002-0081</t>
        </is>
      </c>
      <c r="R11" s="119" t="inlineStr">
        <is>
          <t>广州承启生物科技有限公司</t>
        </is>
      </c>
      <c r="S11" s="119" t="inlineStr">
        <is>
          <t>加急，每次100G，要求周期，辛苦安排分2lane上机</t>
        </is>
      </c>
      <c r="T11" s="119" t="n">
        <v>1</v>
      </c>
      <c r="U11" s="119" t="n"/>
      <c r="V11" s="119" t="n"/>
      <c r="W11" s="119" t="n"/>
    </row>
    <row r="12" ht="30" customHeight="1" s="36">
      <c r="A12" s="121" t="n"/>
      <c r="B12" s="118" t="inlineStr">
        <is>
          <t>HGC-Lib-26100103</t>
        </is>
      </c>
      <c r="C12" s="118" t="n">
        <v>19.4</v>
      </c>
      <c r="D12" s="118" t="n">
        <v>25</v>
      </c>
      <c r="E12" s="118">
        <f>ROUND(D12*0.628000,3)</f>
        <v/>
      </c>
      <c r="F12" s="118">
        <f>ROUND(E12/C12,3)</f>
        <v/>
      </c>
      <c r="G12" s="119" t="n"/>
      <c r="H12" s="119" t="inlineStr">
        <is>
          <t>10x3′单细胞转录组</t>
        </is>
      </c>
      <c r="I12" s="119" t="n">
        <v>19.4</v>
      </c>
      <c r="J12" s="119" t="n"/>
      <c r="K12" s="119" t="n"/>
      <c r="L12" s="119" t="n"/>
      <c r="M12" s="119" t="n"/>
      <c r="N12" s="119" t="n"/>
      <c r="O12" s="119" t="n"/>
      <c r="P12" s="119" t="n"/>
      <c r="Q12" s="119" t="inlineStr">
        <is>
          <t>PSM-ZM202606090002-0081</t>
        </is>
      </c>
      <c r="R12" s="119" t="inlineStr">
        <is>
          <t>广州承启生物科技有限公司</t>
        </is>
      </c>
      <c r="S12" s="119" t="inlineStr">
        <is>
          <t>加急，每次100G，要求周期，辛苦安排分2lane上机</t>
        </is>
      </c>
      <c r="T12" s="119" t="n">
        <v>1</v>
      </c>
      <c r="U12" s="119" t="n"/>
      <c r="V12" s="119" t="n"/>
      <c r="W12" s="119" t="n"/>
    </row>
    <row r="13" ht="30" customHeight="1" s="36">
      <c r="A13" s="123" t="n"/>
      <c r="B13" s="118" t="inlineStr">
        <is>
          <t>HGC-Lib-26100104</t>
        </is>
      </c>
      <c r="C13" s="118" t="n">
        <v>22.8</v>
      </c>
      <c r="D13" s="118" t="n">
        <v>25</v>
      </c>
      <c r="E13" s="118">
        <f>ROUND(D13*0.628000,3)</f>
        <v/>
      </c>
      <c r="F13" s="118">
        <f>ROUND(E13/C13,3)</f>
        <v/>
      </c>
      <c r="G13" s="119" t="n"/>
      <c r="H13" s="119" t="inlineStr">
        <is>
          <t>10x3′单细胞转录组</t>
        </is>
      </c>
      <c r="I13" s="119" t="n">
        <v>22.8</v>
      </c>
      <c r="J13" s="119" t="n"/>
      <c r="K13" s="119" t="n"/>
      <c r="L13" s="119" t="n"/>
      <c r="M13" s="119" t="n"/>
      <c r="N13" s="119" t="n"/>
      <c r="O13" s="119" t="n"/>
      <c r="P13" s="119" t="n"/>
      <c r="Q13" s="119" t="inlineStr">
        <is>
          <t>PSM-ZM202606090002-0081</t>
        </is>
      </c>
      <c r="R13" s="119" t="inlineStr">
        <is>
          <t>广州承启生物科技有限公司</t>
        </is>
      </c>
      <c r="S13" s="119" t="inlineStr">
        <is>
          <t>加急，每次100G，要求周期，辛苦安排分2lane上机</t>
        </is>
      </c>
      <c r="T13" s="119" t="n">
        <v>1</v>
      </c>
      <c r="U13" s="119" t="n"/>
      <c r="V13" s="119" t="n"/>
      <c r="W13" s="119" t="n"/>
    </row>
    <row r="14" ht="30" customHeight="1" s="36">
      <c r="A14" s="124" t="n"/>
      <c r="B14" s="125" t="inlineStr">
        <is>
          <t>12</t>
        </is>
      </c>
      <c r="C14" s="124" t="n"/>
      <c r="D14" s="125">
        <f>SUM(D2:D13)</f>
        <v/>
      </c>
      <c r="E14" s="125">
        <f>SUM(E2:E13)</f>
        <v/>
      </c>
      <c r="F14" s="125">
        <f>SUM(F2:F13)</f>
        <v/>
      </c>
      <c r="G14" s="119">
        <f>ROUND(E14/F14,3)</f>
        <v/>
      </c>
      <c r="H14" s="126" t="n"/>
      <c r="I14" s="126" t="n"/>
      <c r="J14" s="126" t="n"/>
      <c r="K14" s="126" t="n"/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</row>
    <row r="15" ht="30" customHeight="1" s="36">
      <c r="A15" s="126" t="n"/>
      <c r="B15" s="126" t="n"/>
      <c r="C15" s="126" t="n"/>
      <c r="D15" s="126" t="n"/>
      <c r="E15" s="126" t="n"/>
      <c r="F15" s="126" t="n"/>
      <c r="G15" s="126" t="n"/>
      <c r="H15" s="126" t="n"/>
      <c r="I15" s="126" t="n"/>
      <c r="J15" s="126" t="n"/>
      <c r="K15" s="126" t="n"/>
      <c r="L15" s="126" t="n"/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</row>
    <row r="16" ht="30" customHeight="1" s="36">
      <c r="A16" s="118" t="inlineStr">
        <is>
          <t>S2-300</t>
        </is>
      </c>
      <c r="B16" s="118" t="inlineStr">
        <is>
          <t>HGC-Lib-26098917</t>
        </is>
      </c>
      <c r="C16" s="118" t="n">
        <v>26</v>
      </c>
      <c r="D16" s="118" t="n">
        <v>25</v>
      </c>
      <c r="E16" s="118">
        <f>ROUND(D16*0.628000,3)</f>
        <v/>
      </c>
      <c r="F16" s="118">
        <f>ROUND(E16/C16,3)</f>
        <v/>
      </c>
      <c r="G16" s="119" t="inlineStr">
        <is>
          <t>纯化</t>
        </is>
      </c>
      <c r="H16" s="119" t="inlineStr">
        <is>
          <t>10x3′单细胞转录组</t>
        </is>
      </c>
      <c r="I16" s="119" t="n">
        <v>26</v>
      </c>
      <c r="J16" s="119" t="n"/>
      <c r="K16" s="119" t="n"/>
      <c r="L16" s="119" t="n"/>
      <c r="M16" s="120">
        <f>G28/1.91</f>
        <v/>
      </c>
      <c r="N16" s="119" t="n"/>
      <c r="O16" s="119" t="n"/>
      <c r="P16" s="119" t="n"/>
      <c r="Q16" s="119" t="inlineStr">
        <is>
          <t>PSM-ZM202606090002-0072</t>
        </is>
      </c>
      <c r="R16" s="119" t="inlineStr">
        <is>
          <t>广州承启生物科技有限公司</t>
        </is>
      </c>
      <c r="S16" s="119" t="n"/>
      <c r="T16" s="119" t="n">
        <v>2</v>
      </c>
      <c r="U16" s="119" t="inlineStr">
        <is>
          <t>纯化</t>
        </is>
      </c>
      <c r="V16" s="119" t="n"/>
      <c r="W16" s="119" t="n"/>
    </row>
    <row r="17" ht="30" customHeight="1" s="36">
      <c r="A17" s="121" t="n"/>
      <c r="B17" s="118" t="inlineStr">
        <is>
          <t>HGC-Lib-26098918</t>
        </is>
      </c>
      <c r="C17" s="118" t="n">
        <v>22.8</v>
      </c>
      <c r="D17" s="118" t="n">
        <v>25</v>
      </c>
      <c r="E17" s="118">
        <f>ROUND(D17*0.628000,3)</f>
        <v/>
      </c>
      <c r="F17" s="118">
        <f>ROUND(E17/C17,3)</f>
        <v/>
      </c>
      <c r="G17" s="119" t="n"/>
      <c r="H17" s="119" t="inlineStr">
        <is>
          <t>10x3′单细胞转录组</t>
        </is>
      </c>
      <c r="I17" s="119" t="n">
        <v>22.8</v>
      </c>
      <c r="J17" s="119" t="n"/>
      <c r="K17" s="119" t="n"/>
      <c r="L17" s="119" t="n"/>
      <c r="M17" s="122">
        <f>F28*(1.91-1)</f>
        <v/>
      </c>
      <c r="N17" s="119" t="n"/>
      <c r="O17" s="119" t="n"/>
      <c r="P17" s="119" t="n"/>
      <c r="Q17" s="119" t="inlineStr">
        <is>
          <t>PSM-ZM202606090002-0072</t>
        </is>
      </c>
      <c r="R17" s="119" t="inlineStr">
        <is>
          <t>广州承启生物科技有限公司</t>
        </is>
      </c>
      <c r="S17" s="119" t="n"/>
      <c r="T17" s="119" t="n">
        <v>2</v>
      </c>
      <c r="U17" s="119" t="inlineStr">
        <is>
          <t>纯化</t>
        </is>
      </c>
      <c r="V17" s="119" t="n"/>
      <c r="W17" s="119" t="n"/>
    </row>
    <row r="18" ht="30" customHeight="1" s="36">
      <c r="A18" s="121" t="n"/>
      <c r="B18" s="118" t="inlineStr">
        <is>
          <t>HGC-Lib-26098919</t>
        </is>
      </c>
      <c r="C18" s="118" t="n">
        <v>23.2</v>
      </c>
      <c r="D18" s="118" t="n">
        <v>25</v>
      </c>
      <c r="E18" s="118">
        <f>ROUND(D18*0.628000,3)</f>
        <v/>
      </c>
      <c r="F18" s="118">
        <f>ROUND(E18/C18,3)</f>
        <v/>
      </c>
      <c r="G18" s="119" t="n"/>
      <c r="H18" s="119" t="inlineStr">
        <is>
          <t>10x3′单细胞转录组</t>
        </is>
      </c>
      <c r="I18" s="119" t="n">
        <v>23.2</v>
      </c>
      <c r="J18" s="119" t="n"/>
      <c r="K18" s="119" t="n"/>
      <c r="L18" s="119" t="n"/>
      <c r="M18" s="119" t="n"/>
      <c r="N18" s="119" t="n"/>
      <c r="O18" s="119" t="n"/>
      <c r="P18" s="119" t="n"/>
      <c r="Q18" s="119" t="inlineStr">
        <is>
          <t>PSM-ZM202606090002-0072</t>
        </is>
      </c>
      <c r="R18" s="119" t="inlineStr">
        <is>
          <t>广州承启生物科技有限公司</t>
        </is>
      </c>
      <c r="S18" s="119" t="n"/>
      <c r="T18" s="119" t="n">
        <v>2</v>
      </c>
      <c r="U18" s="119" t="inlineStr">
        <is>
          <t>纯化</t>
        </is>
      </c>
      <c r="V18" s="119" t="n"/>
      <c r="W18" s="119" t="n"/>
    </row>
    <row r="19" ht="30" customHeight="1" s="36">
      <c r="A19" s="121" t="n"/>
      <c r="B19" s="118" t="inlineStr">
        <is>
          <t>HGC-Lib-26098924</t>
        </is>
      </c>
      <c r="C19" s="118" t="n">
        <v>22.2</v>
      </c>
      <c r="D19" s="118" t="n">
        <v>25</v>
      </c>
      <c r="E19" s="118">
        <f>ROUND(D19*0.628000,3)</f>
        <v/>
      </c>
      <c r="F19" s="118">
        <f>ROUND(E19/C19,3)</f>
        <v/>
      </c>
      <c r="G19" s="119" t="n"/>
      <c r="H19" s="119" t="inlineStr">
        <is>
          <t>10x3′单细胞转录组</t>
        </is>
      </c>
      <c r="I19" s="119" t="n">
        <v>22.2</v>
      </c>
      <c r="J19" s="119" t="n"/>
      <c r="K19" s="119" t="n"/>
      <c r="L19" s="119" t="n"/>
      <c r="M19" s="119" t="n"/>
      <c r="N19" s="119" t="n"/>
      <c r="O19" s="119" t="n"/>
      <c r="P19" s="119" t="n"/>
      <c r="Q19" s="119" t="inlineStr">
        <is>
          <t>PSM-ZM202606090002-0072</t>
        </is>
      </c>
      <c r="R19" s="119" t="inlineStr">
        <is>
          <t>广州承启生物科技有限公司</t>
        </is>
      </c>
      <c r="S19" s="119" t="n"/>
      <c r="T19" s="119" t="n">
        <v>2</v>
      </c>
      <c r="U19" s="119" t="inlineStr">
        <is>
          <t>纯化</t>
        </is>
      </c>
      <c r="V19" s="119" t="n"/>
      <c r="W19" s="119" t="n"/>
    </row>
    <row r="20" ht="30" customHeight="1" s="36">
      <c r="A20" s="121" t="n"/>
      <c r="B20" s="118" t="inlineStr">
        <is>
          <t>HGC-Lib-26098925</t>
        </is>
      </c>
      <c r="C20" s="118" t="n">
        <v>19.6</v>
      </c>
      <c r="D20" s="118" t="n">
        <v>25</v>
      </c>
      <c r="E20" s="118">
        <f>ROUND(D20*0.628000,3)</f>
        <v/>
      </c>
      <c r="F20" s="118">
        <f>ROUND(E20/C20,3)</f>
        <v/>
      </c>
      <c r="G20" s="119" t="n"/>
      <c r="H20" s="119" t="inlineStr">
        <is>
          <t>10x3′单细胞转录组</t>
        </is>
      </c>
      <c r="I20" s="119" t="n">
        <v>19.6</v>
      </c>
      <c r="J20" s="119" t="n"/>
      <c r="K20" s="119" t="n"/>
      <c r="L20" s="119" t="n"/>
      <c r="M20" s="119" t="n"/>
      <c r="N20" s="119" t="n"/>
      <c r="O20" s="119" t="n"/>
      <c r="P20" s="119" t="n"/>
      <c r="Q20" s="119" t="inlineStr">
        <is>
          <t>PSM-ZM202606090002-0072</t>
        </is>
      </c>
      <c r="R20" s="119" t="inlineStr">
        <is>
          <t>广州承启生物科技有限公司</t>
        </is>
      </c>
      <c r="S20" s="119" t="n"/>
      <c r="T20" s="119" t="n">
        <v>2</v>
      </c>
      <c r="U20" s="119" t="inlineStr">
        <is>
          <t>纯化</t>
        </is>
      </c>
      <c r="V20" s="119" t="n"/>
      <c r="W20" s="119" t="n"/>
    </row>
    <row r="21" ht="30" customHeight="1" s="36">
      <c r="A21" s="121" t="n"/>
      <c r="B21" s="118" t="inlineStr">
        <is>
          <t>HGC-Lib-26098926</t>
        </is>
      </c>
      <c r="C21" s="118" t="n">
        <v>20.8</v>
      </c>
      <c r="D21" s="118" t="n">
        <v>25</v>
      </c>
      <c r="E21" s="118">
        <f>ROUND(D21*0.628000,3)</f>
        <v/>
      </c>
      <c r="F21" s="118">
        <f>ROUND(E21/C21,3)</f>
        <v/>
      </c>
      <c r="G21" s="119" t="n"/>
      <c r="H21" s="119" t="inlineStr">
        <is>
          <t>10x3′单细胞转录组</t>
        </is>
      </c>
      <c r="I21" s="119" t="n">
        <v>20.8</v>
      </c>
      <c r="J21" s="119" t="n"/>
      <c r="K21" s="119" t="n"/>
      <c r="L21" s="119" t="n"/>
      <c r="M21" s="119" t="n"/>
      <c r="N21" s="119" t="n"/>
      <c r="O21" s="119" t="n"/>
      <c r="P21" s="119" t="n"/>
      <c r="Q21" s="119" t="inlineStr">
        <is>
          <t>PSM-ZM202606090002-0072</t>
        </is>
      </c>
      <c r="R21" s="119" t="inlineStr">
        <is>
          <t>广州承启生物科技有限公司</t>
        </is>
      </c>
      <c r="S21" s="119" t="n"/>
      <c r="T21" s="119" t="n">
        <v>2</v>
      </c>
      <c r="U21" s="119" t="inlineStr">
        <is>
          <t>纯化</t>
        </is>
      </c>
      <c r="V21" s="119" t="n"/>
      <c r="W21" s="119" t="n"/>
    </row>
    <row r="22" ht="30" customHeight="1" s="36">
      <c r="A22" s="121" t="n"/>
      <c r="B22" s="118" t="inlineStr">
        <is>
          <t>HGC-Lib-26100099</t>
        </is>
      </c>
      <c r="C22" s="118" t="n">
        <v>29.2</v>
      </c>
      <c r="D22" s="118" t="n">
        <v>25</v>
      </c>
      <c r="E22" s="118">
        <f>ROUND(D22*0.628000,3)</f>
        <v/>
      </c>
      <c r="F22" s="118">
        <f>ROUND(E22/C22,3)</f>
        <v/>
      </c>
      <c r="G22" s="119" t="n"/>
      <c r="H22" s="119" t="inlineStr">
        <is>
          <t>10x3′单细胞转录组</t>
        </is>
      </c>
      <c r="I22" s="119" t="n">
        <v>29.2</v>
      </c>
      <c r="J22" s="119" t="n"/>
      <c r="K22" s="119" t="n"/>
      <c r="L22" s="119" t="n"/>
      <c r="M22" s="119" t="n"/>
      <c r="N22" s="119" t="n"/>
      <c r="O22" s="119" t="n"/>
      <c r="P22" s="119" t="n"/>
      <c r="Q22" s="119" t="inlineStr">
        <is>
          <t>PSM-ZM202606090002-0081</t>
        </is>
      </c>
      <c r="R22" s="119" t="inlineStr">
        <is>
          <t>广州承启生物科技有限公司</t>
        </is>
      </c>
      <c r="S22" s="119" t="inlineStr">
        <is>
          <t>加急，每次100G，要求周期，辛苦安排分2lane上机</t>
        </is>
      </c>
      <c r="T22" s="119" t="n">
        <v>2</v>
      </c>
      <c r="U22" s="119" t="n"/>
      <c r="V22" s="119" t="n"/>
      <c r="W22" s="119" t="n"/>
    </row>
    <row r="23" ht="30" customHeight="1" s="36">
      <c r="A23" s="121" t="n"/>
      <c r="B23" s="118" t="inlineStr">
        <is>
          <t>HGC-Lib-26100100</t>
        </is>
      </c>
      <c r="C23" s="118" t="n">
        <v>27</v>
      </c>
      <c r="D23" s="118" t="n">
        <v>25</v>
      </c>
      <c r="E23" s="118">
        <f>ROUND(D23*0.628000,3)</f>
        <v/>
      </c>
      <c r="F23" s="118">
        <f>ROUND(E23/C23,3)</f>
        <v/>
      </c>
      <c r="G23" s="119" t="n"/>
      <c r="H23" s="119" t="inlineStr">
        <is>
          <t>10x3′单细胞转录组</t>
        </is>
      </c>
      <c r="I23" s="119" t="n">
        <v>27</v>
      </c>
      <c r="J23" s="119" t="n"/>
      <c r="K23" s="119" t="n"/>
      <c r="L23" s="119" t="n"/>
      <c r="M23" s="119" t="n"/>
      <c r="N23" s="119" t="n"/>
      <c r="O23" s="119" t="n"/>
      <c r="P23" s="119" t="n"/>
      <c r="Q23" s="119" t="inlineStr">
        <is>
          <t>PSM-ZM202606090002-0081</t>
        </is>
      </c>
      <c r="R23" s="119" t="inlineStr">
        <is>
          <t>广州承启生物科技有限公司</t>
        </is>
      </c>
      <c r="S23" s="119" t="inlineStr">
        <is>
          <t>加急，每次100G，要求周期，辛苦安排分2lane上机</t>
        </is>
      </c>
      <c r="T23" s="119" t="n">
        <v>2</v>
      </c>
      <c r="U23" s="119" t="n"/>
      <c r="V23" s="119" t="n"/>
      <c r="W23" s="119" t="n"/>
    </row>
    <row r="24" ht="30" customHeight="1" s="36">
      <c r="A24" s="121" t="n"/>
      <c r="B24" s="118" t="inlineStr">
        <is>
          <t>HGC-Lib-26100101</t>
        </is>
      </c>
      <c r="C24" s="118" t="n">
        <v>31.4</v>
      </c>
      <c r="D24" s="118" t="n">
        <v>25</v>
      </c>
      <c r="E24" s="118">
        <f>ROUND(D24*0.628000,3)</f>
        <v/>
      </c>
      <c r="F24" s="118">
        <f>ROUND(E24/C24,3)</f>
        <v/>
      </c>
      <c r="G24" s="119" t="n"/>
      <c r="H24" s="119" t="inlineStr">
        <is>
          <t>10x3′单细胞转录组</t>
        </is>
      </c>
      <c r="I24" s="119" t="n">
        <v>31.4</v>
      </c>
      <c r="J24" s="119" t="n"/>
      <c r="K24" s="119" t="n"/>
      <c r="L24" s="119" t="n"/>
      <c r="M24" s="119" t="n"/>
      <c r="N24" s="119" t="n"/>
      <c r="O24" s="119" t="n"/>
      <c r="P24" s="119" t="n"/>
      <c r="Q24" s="119" t="inlineStr">
        <is>
          <t>PSM-ZM202606090002-0081</t>
        </is>
      </c>
      <c r="R24" s="119" t="inlineStr">
        <is>
          <t>广州承启生物科技有限公司</t>
        </is>
      </c>
      <c r="S24" s="119" t="inlineStr">
        <is>
          <t>加急，每次100G，要求周期，辛苦安排分2lane上机</t>
        </is>
      </c>
      <c r="T24" s="119" t="n">
        <v>2</v>
      </c>
      <c r="U24" s="119" t="n"/>
      <c r="V24" s="119" t="n"/>
      <c r="W24" s="119" t="n"/>
    </row>
    <row r="25" ht="30" customHeight="1" s="36">
      <c r="A25" s="121" t="n"/>
      <c r="B25" s="118" t="inlineStr">
        <is>
          <t>HGC-Lib-26100102</t>
        </is>
      </c>
      <c r="C25" s="118" t="n">
        <v>29.4</v>
      </c>
      <c r="D25" s="118" t="n">
        <v>25</v>
      </c>
      <c r="E25" s="118">
        <f>ROUND(D25*0.628000,3)</f>
        <v/>
      </c>
      <c r="F25" s="118">
        <f>ROUND(E25/C25,3)</f>
        <v/>
      </c>
      <c r="G25" s="119" t="n"/>
      <c r="H25" s="119" t="inlineStr">
        <is>
          <t>10x3′单细胞转录组</t>
        </is>
      </c>
      <c r="I25" s="119" t="n">
        <v>29.4</v>
      </c>
      <c r="J25" s="119" t="n"/>
      <c r="K25" s="119" t="n"/>
      <c r="L25" s="119" t="n"/>
      <c r="M25" s="119" t="n"/>
      <c r="N25" s="119" t="n"/>
      <c r="O25" s="119" t="n"/>
      <c r="P25" s="119" t="n"/>
      <c r="Q25" s="119" t="inlineStr">
        <is>
          <t>PSM-ZM202606090002-0081</t>
        </is>
      </c>
      <c r="R25" s="119" t="inlineStr">
        <is>
          <t>广州承启生物科技有限公司</t>
        </is>
      </c>
      <c r="S25" s="119" t="inlineStr">
        <is>
          <t>加急，每次100G，要求周期，辛苦安排分2lane上机</t>
        </is>
      </c>
      <c r="T25" s="119" t="n">
        <v>2</v>
      </c>
      <c r="U25" s="119" t="n"/>
      <c r="V25" s="119" t="n"/>
      <c r="W25" s="119" t="n"/>
    </row>
    <row r="26" ht="30" customHeight="1" s="36">
      <c r="A26" s="121" t="n"/>
      <c r="B26" s="118" t="inlineStr">
        <is>
          <t>HGC-Lib-26100103</t>
        </is>
      </c>
      <c r="C26" s="118" t="n">
        <v>19.4</v>
      </c>
      <c r="D26" s="118" t="n">
        <v>25</v>
      </c>
      <c r="E26" s="118">
        <f>ROUND(D26*0.628000,3)</f>
        <v/>
      </c>
      <c r="F26" s="118">
        <f>ROUND(E26/C26,3)</f>
        <v/>
      </c>
      <c r="G26" s="119" t="n"/>
      <c r="H26" s="119" t="inlineStr">
        <is>
          <t>10x3′单细胞转录组</t>
        </is>
      </c>
      <c r="I26" s="119" t="n">
        <v>19.4</v>
      </c>
      <c r="J26" s="119" t="n"/>
      <c r="K26" s="119" t="n"/>
      <c r="L26" s="119" t="n"/>
      <c r="M26" s="119" t="n"/>
      <c r="N26" s="119" t="n"/>
      <c r="O26" s="119" t="n"/>
      <c r="P26" s="119" t="n"/>
      <c r="Q26" s="119" t="inlineStr">
        <is>
          <t>PSM-ZM202606090002-0081</t>
        </is>
      </c>
      <c r="R26" s="119" t="inlineStr">
        <is>
          <t>广州承启生物科技有限公司</t>
        </is>
      </c>
      <c r="S26" s="119" t="inlineStr">
        <is>
          <t>加急，每次100G，要求周期，辛苦安排分2lane上机</t>
        </is>
      </c>
      <c r="T26" s="119" t="n">
        <v>2</v>
      </c>
      <c r="U26" s="119" t="n"/>
      <c r="V26" s="119" t="n"/>
      <c r="W26" s="119" t="n"/>
    </row>
    <row r="27" ht="30" customHeight="1" s="36">
      <c r="A27" s="123" t="n"/>
      <c r="B27" s="118" t="inlineStr">
        <is>
          <t>HGC-Lib-26100104</t>
        </is>
      </c>
      <c r="C27" s="118" t="n">
        <v>22.8</v>
      </c>
      <c r="D27" s="118" t="n">
        <v>25</v>
      </c>
      <c r="E27" s="118">
        <f>ROUND(D27*0.628000,3)</f>
        <v/>
      </c>
      <c r="F27" s="118">
        <f>ROUND(E27/C27,3)</f>
        <v/>
      </c>
      <c r="G27" s="119" t="n"/>
      <c r="H27" s="119" t="inlineStr">
        <is>
          <t>10x3′单细胞转录组</t>
        </is>
      </c>
      <c r="I27" s="119" t="n">
        <v>22.8</v>
      </c>
      <c r="J27" s="119" t="n"/>
      <c r="K27" s="119" t="n"/>
      <c r="L27" s="119" t="n"/>
      <c r="M27" s="119" t="n"/>
      <c r="N27" s="119" t="n"/>
      <c r="O27" s="119" t="n"/>
      <c r="P27" s="119" t="n"/>
      <c r="Q27" s="119" t="inlineStr">
        <is>
          <t>PSM-ZM202606090002-0081</t>
        </is>
      </c>
      <c r="R27" s="119" t="inlineStr">
        <is>
          <t>广州承启生物科技有限公司</t>
        </is>
      </c>
      <c r="S27" s="119" t="inlineStr">
        <is>
          <t>加急，每次100G，要求周期，辛苦安排分2lane上机</t>
        </is>
      </c>
      <c r="T27" s="119" t="n">
        <v>2</v>
      </c>
      <c r="U27" s="119" t="n"/>
      <c r="V27" s="119" t="n"/>
      <c r="W27" s="119" t="n"/>
    </row>
    <row r="28" ht="30" customHeight="1" s="36">
      <c r="A28" s="124" t="n"/>
      <c r="B28" s="125" t="inlineStr">
        <is>
          <t>12</t>
        </is>
      </c>
      <c r="C28" s="124" t="n"/>
      <c r="D28" s="125">
        <f>SUM(D16:D27)</f>
        <v/>
      </c>
      <c r="E28" s="125">
        <f>SUM(E16:E27)</f>
        <v/>
      </c>
      <c r="F28" s="125">
        <f>SUM(F16:F27)</f>
        <v/>
      </c>
      <c r="G28" s="119">
        <f>ROUND(E28/F28,3)</f>
        <v/>
      </c>
      <c r="H28" s="126" t="n"/>
      <c r="I28" s="126" t="n"/>
      <c r="J28" s="126" t="n"/>
      <c r="K28" s="126" t="n"/>
      <c r="L28" s="126" t="n"/>
      <c r="M28" s="126" t="n"/>
      <c r="N28" s="126" t="n"/>
      <c r="O28" s="126" t="n"/>
      <c r="P28" s="126" t="n"/>
      <c r="Q28" s="126" t="n"/>
      <c r="R28" s="126" t="n"/>
      <c r="S28" s="126" t="n"/>
      <c r="T28" s="126" t="n"/>
      <c r="U28" s="126" t="n"/>
      <c r="V28" s="126" t="n"/>
      <c r="W28" s="126" t="n"/>
    </row>
    <row r="29" ht="30" customHeight="1" s="36">
      <c r="A29" s="126" t="n"/>
      <c r="B29" s="126" t="n"/>
      <c r="C29" s="126" t="n"/>
      <c r="D29" s="126" t="n"/>
      <c r="E29" s="126" t="n"/>
      <c r="F29" s="126" t="n"/>
      <c r="G29" s="126" t="n"/>
      <c r="H29" s="126" t="n"/>
      <c r="I29" s="126" t="n"/>
      <c r="J29" s="126" t="n"/>
      <c r="K29" s="126" t="n"/>
      <c r="L29" s="126" t="n"/>
      <c r="M29" s="126" t="n"/>
      <c r="N29" s="126" t="n"/>
      <c r="O29" s="126" t="n"/>
      <c r="P29" s="126" t="n"/>
      <c r="Q29" s="126" t="n"/>
      <c r="R29" s="126" t="n"/>
      <c r="S29" s="126" t="n"/>
      <c r="T29" s="126" t="n"/>
      <c r="U29" s="126" t="n"/>
      <c r="V29" s="126" t="n"/>
      <c r="W29" s="126" t="n"/>
    </row>
    <row r="30" ht="30" customHeight="1" s="36">
      <c r="A30" s="118" t="inlineStr">
        <is>
          <t>S3-300</t>
        </is>
      </c>
      <c r="B30" s="118" t="inlineStr">
        <is>
          <t>HGC-Lib-26098917</t>
        </is>
      </c>
      <c r="C30" s="118" t="n">
        <v>26</v>
      </c>
      <c r="D30" s="118" t="n">
        <v>25</v>
      </c>
      <c r="E30" s="118">
        <f>ROUND(D30*0.628000,3)</f>
        <v/>
      </c>
      <c r="F30" s="118">
        <f>ROUND(E30/C30,3)</f>
        <v/>
      </c>
      <c r="G30" s="119" t="inlineStr">
        <is>
          <t>纯化</t>
        </is>
      </c>
      <c r="H30" s="119" t="inlineStr">
        <is>
          <t>10x3′单细胞转录组</t>
        </is>
      </c>
      <c r="I30" s="119" t="n">
        <v>26</v>
      </c>
      <c r="J30" s="119" t="n"/>
      <c r="K30" s="119" t="n"/>
      <c r="L30" s="119" t="n"/>
      <c r="M30" s="120">
        <f>G42/1.91</f>
        <v/>
      </c>
      <c r="N30" s="119" t="n"/>
      <c r="O30" s="119" t="n"/>
      <c r="P30" s="119" t="n"/>
      <c r="Q30" s="119" t="inlineStr">
        <is>
          <t>PSM-ZM202606090002-0072</t>
        </is>
      </c>
      <c r="R30" s="119" t="inlineStr">
        <is>
          <t>广州承启生物科技有限公司</t>
        </is>
      </c>
      <c r="S30" s="119" t="n"/>
      <c r="T30" s="119" t="n">
        <v>3</v>
      </c>
      <c r="U30" s="119" t="inlineStr">
        <is>
          <t>纯化</t>
        </is>
      </c>
      <c r="V30" s="119" t="n"/>
      <c r="W30" s="119" t="n"/>
    </row>
    <row r="31" ht="30" customHeight="1" s="36">
      <c r="A31" s="121" t="n"/>
      <c r="B31" s="118" t="inlineStr">
        <is>
          <t>HGC-Lib-26098918</t>
        </is>
      </c>
      <c r="C31" s="118" t="n">
        <v>22.8</v>
      </c>
      <c r="D31" s="118" t="n">
        <v>25</v>
      </c>
      <c r="E31" s="118">
        <f>ROUND(D31*0.628000,3)</f>
        <v/>
      </c>
      <c r="F31" s="118">
        <f>ROUND(E31/C31,3)</f>
        <v/>
      </c>
      <c r="G31" s="119" t="n"/>
      <c r="H31" s="119" t="inlineStr">
        <is>
          <t>10x3′单细胞转录组</t>
        </is>
      </c>
      <c r="I31" s="119" t="n">
        <v>22.8</v>
      </c>
      <c r="J31" s="119" t="n"/>
      <c r="K31" s="119" t="n"/>
      <c r="L31" s="119" t="n"/>
      <c r="M31" s="122">
        <f>F42*(1.91-1)</f>
        <v/>
      </c>
      <c r="N31" s="119" t="n"/>
      <c r="O31" s="119" t="n"/>
      <c r="P31" s="119" t="n"/>
      <c r="Q31" s="119" t="inlineStr">
        <is>
          <t>PSM-ZM202606090002-0072</t>
        </is>
      </c>
      <c r="R31" s="119" t="inlineStr">
        <is>
          <t>广州承启生物科技有限公司</t>
        </is>
      </c>
      <c r="S31" s="119" t="n"/>
      <c r="T31" s="119" t="n">
        <v>3</v>
      </c>
      <c r="U31" s="119" t="inlineStr">
        <is>
          <t>纯化</t>
        </is>
      </c>
      <c r="V31" s="119" t="n"/>
      <c r="W31" s="119" t="n"/>
    </row>
    <row r="32" ht="30" customHeight="1" s="36">
      <c r="A32" s="121" t="n"/>
      <c r="B32" s="118" t="inlineStr">
        <is>
          <t>HGC-Lib-26098919</t>
        </is>
      </c>
      <c r="C32" s="118" t="n">
        <v>23.2</v>
      </c>
      <c r="D32" s="118" t="n">
        <v>25</v>
      </c>
      <c r="E32" s="118">
        <f>ROUND(D32*0.628000,3)</f>
        <v/>
      </c>
      <c r="F32" s="118">
        <f>ROUND(E32/C32,3)</f>
        <v/>
      </c>
      <c r="G32" s="119" t="n"/>
      <c r="H32" s="119" t="inlineStr">
        <is>
          <t>10x3′单细胞转录组</t>
        </is>
      </c>
      <c r="I32" s="119" t="n">
        <v>23.2</v>
      </c>
      <c r="J32" s="119" t="n"/>
      <c r="K32" s="119" t="n"/>
      <c r="L32" s="119" t="n"/>
      <c r="M32" s="119" t="n"/>
      <c r="N32" s="119" t="n"/>
      <c r="O32" s="119" t="n"/>
      <c r="P32" s="119" t="n"/>
      <c r="Q32" s="119" t="inlineStr">
        <is>
          <t>PSM-ZM202606090002-0072</t>
        </is>
      </c>
      <c r="R32" s="119" t="inlineStr">
        <is>
          <t>广州承启生物科技有限公司</t>
        </is>
      </c>
      <c r="S32" s="119" t="n"/>
      <c r="T32" s="119" t="n">
        <v>3</v>
      </c>
      <c r="U32" s="119" t="inlineStr">
        <is>
          <t>纯化</t>
        </is>
      </c>
      <c r="V32" s="119" t="n"/>
      <c r="W32" s="119" t="n"/>
    </row>
    <row r="33" ht="30" customHeight="1" s="36">
      <c r="A33" s="121" t="n"/>
      <c r="B33" s="118" t="inlineStr">
        <is>
          <t>HGC-Lib-26098924</t>
        </is>
      </c>
      <c r="C33" s="118" t="n">
        <v>22.2</v>
      </c>
      <c r="D33" s="118" t="n">
        <v>25</v>
      </c>
      <c r="E33" s="118">
        <f>ROUND(D33*0.628000,3)</f>
        <v/>
      </c>
      <c r="F33" s="118">
        <f>ROUND(E33/C33,3)</f>
        <v/>
      </c>
      <c r="G33" s="119" t="n"/>
      <c r="H33" s="119" t="inlineStr">
        <is>
          <t>10x3′单细胞转录组</t>
        </is>
      </c>
      <c r="I33" s="119" t="n">
        <v>22.2</v>
      </c>
      <c r="J33" s="119" t="n"/>
      <c r="K33" s="119" t="n"/>
      <c r="L33" s="119" t="n"/>
      <c r="M33" s="119" t="n"/>
      <c r="N33" s="119" t="n"/>
      <c r="O33" s="119" t="n"/>
      <c r="P33" s="119" t="n"/>
      <c r="Q33" s="119" t="inlineStr">
        <is>
          <t>PSM-ZM202606090002-0072</t>
        </is>
      </c>
      <c r="R33" s="119" t="inlineStr">
        <is>
          <t>广州承启生物科技有限公司</t>
        </is>
      </c>
      <c r="S33" s="119" t="n"/>
      <c r="T33" s="119" t="n">
        <v>3</v>
      </c>
      <c r="U33" s="119" t="inlineStr">
        <is>
          <t>纯化</t>
        </is>
      </c>
      <c r="V33" s="119" t="n"/>
      <c r="W33" s="119" t="n"/>
    </row>
    <row r="34" ht="30" customHeight="1" s="36">
      <c r="A34" s="121" t="n"/>
      <c r="B34" s="118" t="inlineStr">
        <is>
          <t>HGC-Lib-26098925</t>
        </is>
      </c>
      <c r="C34" s="118" t="n">
        <v>19.6</v>
      </c>
      <c r="D34" s="118" t="n">
        <v>25</v>
      </c>
      <c r="E34" s="118">
        <f>ROUND(D34*0.628000,3)</f>
        <v/>
      </c>
      <c r="F34" s="118">
        <f>ROUND(E34/C34,3)</f>
        <v/>
      </c>
      <c r="G34" s="119" t="n"/>
      <c r="H34" s="119" t="inlineStr">
        <is>
          <t>10x3′单细胞转录组</t>
        </is>
      </c>
      <c r="I34" s="119" t="n">
        <v>19.6</v>
      </c>
      <c r="J34" s="119" t="n"/>
      <c r="K34" s="119" t="n"/>
      <c r="L34" s="119" t="n"/>
      <c r="M34" s="119" t="n"/>
      <c r="N34" s="119" t="n"/>
      <c r="O34" s="119" t="n"/>
      <c r="P34" s="119" t="n"/>
      <c r="Q34" s="119" t="inlineStr">
        <is>
          <t>PSM-ZM202606090002-0072</t>
        </is>
      </c>
      <c r="R34" s="119" t="inlineStr">
        <is>
          <t>广州承启生物科技有限公司</t>
        </is>
      </c>
      <c r="S34" s="119" t="n"/>
      <c r="T34" s="119" t="n">
        <v>3</v>
      </c>
      <c r="U34" s="119" t="inlineStr">
        <is>
          <t>纯化</t>
        </is>
      </c>
      <c r="V34" s="119" t="n"/>
      <c r="W34" s="119" t="n"/>
    </row>
    <row r="35" ht="30" customHeight="1" s="36">
      <c r="A35" s="121" t="n"/>
      <c r="B35" s="118" t="inlineStr">
        <is>
          <t>HGC-Lib-26098926</t>
        </is>
      </c>
      <c r="C35" s="118" t="n">
        <v>20.8</v>
      </c>
      <c r="D35" s="118" t="n">
        <v>25</v>
      </c>
      <c r="E35" s="118">
        <f>ROUND(D35*0.628000,3)</f>
        <v/>
      </c>
      <c r="F35" s="118">
        <f>ROUND(E35/C35,3)</f>
        <v/>
      </c>
      <c r="G35" s="119" t="n"/>
      <c r="H35" s="119" t="inlineStr">
        <is>
          <t>10x3′单细胞转录组</t>
        </is>
      </c>
      <c r="I35" s="119" t="n">
        <v>20.8</v>
      </c>
      <c r="J35" s="119" t="n"/>
      <c r="K35" s="119" t="n"/>
      <c r="L35" s="119" t="n"/>
      <c r="M35" s="119" t="n"/>
      <c r="N35" s="119" t="n"/>
      <c r="O35" s="119" t="n"/>
      <c r="P35" s="119" t="n"/>
      <c r="Q35" s="119" t="inlineStr">
        <is>
          <t>PSM-ZM202606090002-0072</t>
        </is>
      </c>
      <c r="R35" s="119" t="inlineStr">
        <is>
          <t>广州承启生物科技有限公司</t>
        </is>
      </c>
      <c r="S35" s="119" t="n"/>
      <c r="T35" s="119" t="n">
        <v>3</v>
      </c>
      <c r="U35" s="119" t="inlineStr">
        <is>
          <t>纯化</t>
        </is>
      </c>
      <c r="V35" s="119" t="n"/>
      <c r="W35" s="119" t="n"/>
    </row>
    <row r="36" ht="30" customHeight="1" s="36">
      <c r="A36" s="121" t="n"/>
      <c r="B36" s="118" t="inlineStr">
        <is>
          <t>HGC-Lib-26100099</t>
        </is>
      </c>
      <c r="C36" s="118" t="n">
        <v>29.2</v>
      </c>
      <c r="D36" s="118" t="n">
        <v>25</v>
      </c>
      <c r="E36" s="118">
        <f>ROUND(D36*0.628000,3)</f>
        <v/>
      </c>
      <c r="F36" s="118">
        <f>ROUND(E36/C36,3)</f>
        <v/>
      </c>
      <c r="G36" s="119" t="n"/>
      <c r="H36" s="119" t="inlineStr">
        <is>
          <t>10x3′单细胞转录组</t>
        </is>
      </c>
      <c r="I36" s="119" t="n">
        <v>29.2</v>
      </c>
      <c r="J36" s="119" t="n"/>
      <c r="K36" s="119" t="n"/>
      <c r="L36" s="119" t="n"/>
      <c r="M36" s="119" t="n"/>
      <c r="N36" s="119" t="n"/>
      <c r="O36" s="119" t="n"/>
      <c r="P36" s="119" t="n"/>
      <c r="Q36" s="119" t="inlineStr">
        <is>
          <t>PSM-ZM202606090002-0081</t>
        </is>
      </c>
      <c r="R36" s="119" t="inlineStr">
        <is>
          <t>广州承启生物科技有限公司</t>
        </is>
      </c>
      <c r="S36" s="119" t="inlineStr">
        <is>
          <t>加急，每次100G，要求周期，辛苦安排分2lane上机</t>
        </is>
      </c>
      <c r="T36" s="119" t="n">
        <v>3</v>
      </c>
      <c r="U36" s="119" t="n"/>
      <c r="V36" s="119" t="n"/>
      <c r="W36" s="119" t="n"/>
    </row>
    <row r="37" ht="30" customHeight="1" s="36">
      <c r="A37" s="121" t="n"/>
      <c r="B37" s="118" t="inlineStr">
        <is>
          <t>HGC-Lib-26100100</t>
        </is>
      </c>
      <c r="C37" s="118" t="n">
        <v>27</v>
      </c>
      <c r="D37" s="118" t="n">
        <v>25</v>
      </c>
      <c r="E37" s="118">
        <f>ROUND(D37*0.628000,3)</f>
        <v/>
      </c>
      <c r="F37" s="118">
        <f>ROUND(E37/C37,3)</f>
        <v/>
      </c>
      <c r="G37" s="119" t="n"/>
      <c r="H37" s="119" t="inlineStr">
        <is>
          <t>10x3′单细胞转录组</t>
        </is>
      </c>
      <c r="I37" s="119" t="n">
        <v>27</v>
      </c>
      <c r="J37" s="119" t="n"/>
      <c r="K37" s="119" t="n"/>
      <c r="L37" s="119" t="n"/>
      <c r="M37" s="119" t="n"/>
      <c r="N37" s="119" t="n"/>
      <c r="O37" s="119" t="n"/>
      <c r="P37" s="119" t="n"/>
      <c r="Q37" s="119" t="inlineStr">
        <is>
          <t>PSM-ZM202606090002-0081</t>
        </is>
      </c>
      <c r="R37" s="119" t="inlineStr">
        <is>
          <t>广州承启生物科技有限公司</t>
        </is>
      </c>
      <c r="S37" s="119" t="inlineStr">
        <is>
          <t>加急，每次100G，要求周期，辛苦安排分2lane上机</t>
        </is>
      </c>
      <c r="T37" s="119" t="n">
        <v>3</v>
      </c>
      <c r="U37" s="119" t="n"/>
      <c r="V37" s="119" t="n"/>
      <c r="W37" s="119" t="n"/>
    </row>
    <row r="38" ht="30" customHeight="1" s="36">
      <c r="A38" s="121" t="n"/>
      <c r="B38" s="118" t="inlineStr">
        <is>
          <t>HGC-Lib-26100101</t>
        </is>
      </c>
      <c r="C38" s="118" t="n">
        <v>31.4</v>
      </c>
      <c r="D38" s="118" t="n">
        <v>25</v>
      </c>
      <c r="E38" s="118">
        <f>ROUND(D38*0.628000,3)</f>
        <v/>
      </c>
      <c r="F38" s="118">
        <f>ROUND(E38/C38,3)</f>
        <v/>
      </c>
      <c r="G38" s="119" t="n"/>
      <c r="H38" s="119" t="inlineStr">
        <is>
          <t>10x3′单细胞转录组</t>
        </is>
      </c>
      <c r="I38" s="119" t="n">
        <v>31.4</v>
      </c>
      <c r="J38" s="119" t="n"/>
      <c r="K38" s="119" t="n"/>
      <c r="L38" s="119" t="n"/>
      <c r="M38" s="119" t="n"/>
      <c r="N38" s="119" t="n"/>
      <c r="O38" s="119" t="n"/>
      <c r="P38" s="119" t="n"/>
      <c r="Q38" s="119" t="inlineStr">
        <is>
          <t>PSM-ZM202606090002-0081</t>
        </is>
      </c>
      <c r="R38" s="119" t="inlineStr">
        <is>
          <t>广州承启生物科技有限公司</t>
        </is>
      </c>
      <c r="S38" s="119" t="inlineStr">
        <is>
          <t>加急，每次100G，要求周期，辛苦安排分2lane上机</t>
        </is>
      </c>
      <c r="T38" s="119" t="n">
        <v>3</v>
      </c>
      <c r="U38" s="119" t="n"/>
      <c r="V38" s="119" t="n"/>
      <c r="W38" s="119" t="n"/>
    </row>
    <row r="39" ht="30" customHeight="1" s="36">
      <c r="A39" s="121" t="n"/>
      <c r="B39" s="118" t="inlineStr">
        <is>
          <t>HGC-Lib-26100102</t>
        </is>
      </c>
      <c r="C39" s="118" t="n">
        <v>29.4</v>
      </c>
      <c r="D39" s="118" t="n">
        <v>25</v>
      </c>
      <c r="E39" s="118">
        <f>ROUND(D39*0.628000,3)</f>
        <v/>
      </c>
      <c r="F39" s="118">
        <f>ROUND(E39/C39,3)</f>
        <v/>
      </c>
      <c r="G39" s="119" t="n"/>
      <c r="H39" s="119" t="inlineStr">
        <is>
          <t>10x3′单细胞转录组</t>
        </is>
      </c>
      <c r="I39" s="119" t="n">
        <v>29.4</v>
      </c>
      <c r="J39" s="119" t="n"/>
      <c r="K39" s="119" t="n"/>
      <c r="L39" s="119" t="n"/>
      <c r="M39" s="119" t="n"/>
      <c r="N39" s="119" t="n"/>
      <c r="O39" s="119" t="n"/>
      <c r="P39" s="119" t="n"/>
      <c r="Q39" s="119" t="inlineStr">
        <is>
          <t>PSM-ZM202606090002-0081</t>
        </is>
      </c>
      <c r="R39" s="119" t="inlineStr">
        <is>
          <t>广州承启生物科技有限公司</t>
        </is>
      </c>
      <c r="S39" s="119" t="inlineStr">
        <is>
          <t>加急，每次100G，要求周期，辛苦安排分2lane上机</t>
        </is>
      </c>
      <c r="T39" s="119" t="n">
        <v>3</v>
      </c>
      <c r="U39" s="119" t="n"/>
      <c r="V39" s="119" t="n"/>
      <c r="W39" s="119" t="n"/>
    </row>
    <row r="40" ht="30" customHeight="1" s="36">
      <c r="A40" s="121" t="n"/>
      <c r="B40" s="118" t="inlineStr">
        <is>
          <t>HGC-Lib-26100103</t>
        </is>
      </c>
      <c r="C40" s="118" t="n">
        <v>19.4</v>
      </c>
      <c r="D40" s="118" t="n">
        <v>25</v>
      </c>
      <c r="E40" s="118">
        <f>ROUND(D40*0.628000,3)</f>
        <v/>
      </c>
      <c r="F40" s="118">
        <f>ROUND(E40/C40,3)</f>
        <v/>
      </c>
      <c r="G40" s="119" t="n"/>
      <c r="H40" s="119" t="inlineStr">
        <is>
          <t>10x3′单细胞转录组</t>
        </is>
      </c>
      <c r="I40" s="119" t="n">
        <v>19.4</v>
      </c>
      <c r="J40" s="119" t="n"/>
      <c r="K40" s="119" t="n"/>
      <c r="L40" s="119" t="n"/>
      <c r="M40" s="119" t="n"/>
      <c r="N40" s="119" t="n"/>
      <c r="O40" s="119" t="n"/>
      <c r="P40" s="119" t="n"/>
      <c r="Q40" s="119" t="inlineStr">
        <is>
          <t>PSM-ZM202606090002-0081</t>
        </is>
      </c>
      <c r="R40" s="119" t="inlineStr">
        <is>
          <t>广州承启生物科技有限公司</t>
        </is>
      </c>
      <c r="S40" s="119" t="inlineStr">
        <is>
          <t>加急，每次100G，要求周期，辛苦安排分2lane上机</t>
        </is>
      </c>
      <c r="T40" s="119" t="n">
        <v>3</v>
      </c>
      <c r="U40" s="119" t="n"/>
      <c r="V40" s="119" t="n"/>
      <c r="W40" s="119" t="n"/>
    </row>
    <row r="41" ht="30" customHeight="1" s="36">
      <c r="A41" s="123" t="n"/>
      <c r="B41" s="118" t="inlineStr">
        <is>
          <t>HGC-Lib-26100104</t>
        </is>
      </c>
      <c r="C41" s="118" t="n">
        <v>22.8</v>
      </c>
      <c r="D41" s="118" t="n">
        <v>25</v>
      </c>
      <c r="E41" s="118">
        <f>ROUND(D41*0.628000,3)</f>
        <v/>
      </c>
      <c r="F41" s="118">
        <f>ROUND(E41/C41,3)</f>
        <v/>
      </c>
      <c r="G41" s="119" t="n"/>
      <c r="H41" s="119" t="inlineStr">
        <is>
          <t>10x3′单细胞转录组</t>
        </is>
      </c>
      <c r="I41" s="119" t="n">
        <v>22.8</v>
      </c>
      <c r="J41" s="119" t="n"/>
      <c r="K41" s="119" t="n"/>
      <c r="L41" s="119" t="n"/>
      <c r="M41" s="119" t="n"/>
      <c r="N41" s="119" t="n"/>
      <c r="O41" s="119" t="n"/>
      <c r="P41" s="119" t="n"/>
      <c r="Q41" s="119" t="inlineStr">
        <is>
          <t>PSM-ZM202606090002-0081</t>
        </is>
      </c>
      <c r="R41" s="119" t="inlineStr">
        <is>
          <t>广州承启生物科技有限公司</t>
        </is>
      </c>
      <c r="S41" s="119" t="inlineStr">
        <is>
          <t>加急，每次100G，要求周期，辛苦安排分2lane上机</t>
        </is>
      </c>
      <c r="T41" s="119" t="n">
        <v>3</v>
      </c>
      <c r="U41" s="119" t="n"/>
      <c r="V41" s="119" t="n"/>
      <c r="W41" s="119" t="n"/>
    </row>
    <row r="42" ht="30" customHeight="1" s="36">
      <c r="A42" s="124" t="n"/>
      <c r="B42" s="125" t="inlineStr">
        <is>
          <t>12</t>
        </is>
      </c>
      <c r="C42" s="124" t="n"/>
      <c r="D42" s="125">
        <f>SUM(D30:D41)</f>
        <v/>
      </c>
      <c r="E42" s="125">
        <f>SUM(E30:E41)</f>
        <v/>
      </c>
      <c r="F42" s="125">
        <f>SUM(F30:F41)</f>
        <v/>
      </c>
      <c r="G42" s="119">
        <f>ROUND(E42/F42,3)</f>
        <v/>
      </c>
      <c r="H42" s="126" t="n"/>
      <c r="I42" s="126" t="n"/>
      <c r="J42" s="126" t="n"/>
      <c r="K42" s="126" t="n"/>
      <c r="L42" s="126" t="n"/>
      <c r="M42" s="126" t="n"/>
      <c r="N42" s="126" t="n"/>
      <c r="O42" s="126" t="n"/>
      <c r="P42" s="126" t="n"/>
      <c r="Q42" s="126" t="n"/>
      <c r="R42" s="126" t="n"/>
      <c r="S42" s="126" t="n"/>
      <c r="T42" s="126" t="n"/>
      <c r="U42" s="126" t="n"/>
      <c r="V42" s="126" t="n"/>
      <c r="W42" s="126" t="n"/>
    </row>
    <row r="43" ht="30" customHeight="1" s="36">
      <c r="A43" s="126" t="n"/>
      <c r="B43" s="126" t="n"/>
      <c r="C43" s="126" t="n"/>
      <c r="D43" s="126" t="n"/>
      <c r="E43" s="126" t="n"/>
      <c r="F43" s="126" t="n"/>
      <c r="G43" s="126" t="n"/>
      <c r="H43" s="126" t="n"/>
      <c r="I43" s="126" t="n"/>
      <c r="J43" s="126" t="n"/>
      <c r="K43" s="126" t="n"/>
      <c r="L43" s="126" t="n"/>
      <c r="M43" s="126" t="n"/>
      <c r="N43" s="126" t="n"/>
      <c r="O43" s="126" t="n"/>
      <c r="P43" s="126" t="n"/>
      <c r="Q43" s="126" t="n"/>
      <c r="R43" s="126" t="n"/>
      <c r="S43" s="126" t="n"/>
      <c r="T43" s="126" t="n"/>
      <c r="U43" s="126" t="n"/>
      <c r="V43" s="126" t="n"/>
      <c r="W43" s="126" t="n"/>
    </row>
    <row r="44" ht="30" customHeight="1" s="36">
      <c r="A44" s="118" t="inlineStr">
        <is>
          <t>S4-300</t>
        </is>
      </c>
      <c r="B44" s="118" t="inlineStr">
        <is>
          <t>HGC-Lib-26098917</t>
        </is>
      </c>
      <c r="C44" s="118" t="n">
        <v>26</v>
      </c>
      <c r="D44" s="118" t="n">
        <v>25</v>
      </c>
      <c r="E44" s="118">
        <f>ROUND(D44*0.628000,3)</f>
        <v/>
      </c>
      <c r="F44" s="118">
        <f>ROUND(E44/C44,3)</f>
        <v/>
      </c>
      <c r="G44" s="119" t="inlineStr">
        <is>
          <t>纯化</t>
        </is>
      </c>
      <c r="H44" s="119" t="inlineStr">
        <is>
          <t>10x3′单细胞转录组</t>
        </is>
      </c>
      <c r="I44" s="119" t="n">
        <v>26</v>
      </c>
      <c r="J44" s="119" t="n"/>
      <c r="K44" s="119" t="n"/>
      <c r="L44" s="119" t="n"/>
      <c r="M44" s="120">
        <f>G56/1.91</f>
        <v/>
      </c>
      <c r="N44" s="119" t="n"/>
      <c r="O44" s="119" t="n"/>
      <c r="P44" s="119" t="n"/>
      <c r="Q44" s="119" t="inlineStr">
        <is>
          <t>PSM-ZM202606090002-0072</t>
        </is>
      </c>
      <c r="R44" s="119" t="inlineStr">
        <is>
          <t>广州承启生物科技有限公司</t>
        </is>
      </c>
      <c r="S44" s="119" t="n"/>
      <c r="T44" s="119" t="n">
        <v>4</v>
      </c>
      <c r="U44" s="119" t="inlineStr">
        <is>
          <t>纯化</t>
        </is>
      </c>
      <c r="V44" s="119" t="n"/>
      <c r="W44" s="119" t="n"/>
    </row>
    <row r="45" ht="30" customHeight="1" s="36">
      <c r="A45" s="121" t="n"/>
      <c r="B45" s="118" t="inlineStr">
        <is>
          <t>HGC-Lib-26098918</t>
        </is>
      </c>
      <c r="C45" s="118" t="n">
        <v>22.8</v>
      </c>
      <c r="D45" s="118" t="n">
        <v>25</v>
      </c>
      <c r="E45" s="118">
        <f>ROUND(D45*0.628000,3)</f>
        <v/>
      </c>
      <c r="F45" s="118">
        <f>ROUND(E45/C45,3)</f>
        <v/>
      </c>
      <c r="G45" s="119" t="n"/>
      <c r="H45" s="119" t="inlineStr">
        <is>
          <t>10x3′单细胞转录组</t>
        </is>
      </c>
      <c r="I45" s="119" t="n">
        <v>22.8</v>
      </c>
      <c r="J45" s="119" t="n"/>
      <c r="K45" s="119" t="n"/>
      <c r="L45" s="119" t="n"/>
      <c r="M45" s="122">
        <f>F56*(1.91-1)</f>
        <v/>
      </c>
      <c r="N45" s="119" t="n"/>
      <c r="O45" s="119" t="n"/>
      <c r="P45" s="119" t="n"/>
      <c r="Q45" s="119" t="inlineStr">
        <is>
          <t>PSM-ZM202606090002-0072</t>
        </is>
      </c>
      <c r="R45" s="119" t="inlineStr">
        <is>
          <t>广州承启生物科技有限公司</t>
        </is>
      </c>
      <c r="S45" s="119" t="n"/>
      <c r="T45" s="119" t="n">
        <v>4</v>
      </c>
      <c r="U45" s="119" t="inlineStr">
        <is>
          <t>纯化</t>
        </is>
      </c>
      <c r="V45" s="119" t="n"/>
      <c r="W45" s="119" t="n"/>
    </row>
    <row r="46" ht="30" customHeight="1" s="36">
      <c r="A46" s="121" t="n"/>
      <c r="B46" s="118" t="inlineStr">
        <is>
          <t>HGC-Lib-26098919</t>
        </is>
      </c>
      <c r="C46" s="118" t="n">
        <v>23.2</v>
      </c>
      <c r="D46" s="118" t="n">
        <v>25</v>
      </c>
      <c r="E46" s="118">
        <f>ROUND(D46*0.628000,3)</f>
        <v/>
      </c>
      <c r="F46" s="118">
        <f>ROUND(E46/C46,3)</f>
        <v/>
      </c>
      <c r="G46" s="119" t="n"/>
      <c r="H46" s="119" t="inlineStr">
        <is>
          <t>10x3′单细胞转录组</t>
        </is>
      </c>
      <c r="I46" s="119" t="n">
        <v>23.2</v>
      </c>
      <c r="J46" s="119" t="n"/>
      <c r="K46" s="119" t="n"/>
      <c r="L46" s="119" t="n"/>
      <c r="M46" s="119" t="n"/>
      <c r="N46" s="119" t="n"/>
      <c r="O46" s="119" t="n"/>
      <c r="P46" s="119" t="n"/>
      <c r="Q46" s="119" t="inlineStr">
        <is>
          <t>PSM-ZM202606090002-0072</t>
        </is>
      </c>
      <c r="R46" s="119" t="inlineStr">
        <is>
          <t>广州承启生物科技有限公司</t>
        </is>
      </c>
      <c r="S46" s="119" t="n"/>
      <c r="T46" s="119" t="n">
        <v>4</v>
      </c>
      <c r="U46" s="119" t="inlineStr">
        <is>
          <t>纯化</t>
        </is>
      </c>
      <c r="V46" s="119" t="n"/>
      <c r="W46" s="119" t="n"/>
    </row>
    <row r="47" ht="30" customHeight="1" s="36">
      <c r="A47" s="121" t="n"/>
      <c r="B47" s="118" t="inlineStr">
        <is>
          <t>HGC-Lib-26098924</t>
        </is>
      </c>
      <c r="C47" s="118" t="n">
        <v>22.2</v>
      </c>
      <c r="D47" s="118" t="n">
        <v>25</v>
      </c>
      <c r="E47" s="118">
        <f>ROUND(D47*0.628000,3)</f>
        <v/>
      </c>
      <c r="F47" s="118">
        <f>ROUND(E47/C47,3)</f>
        <v/>
      </c>
      <c r="G47" s="119" t="n"/>
      <c r="H47" s="119" t="inlineStr">
        <is>
          <t>10x3′单细胞转录组</t>
        </is>
      </c>
      <c r="I47" s="119" t="n">
        <v>22.2</v>
      </c>
      <c r="J47" s="119" t="n"/>
      <c r="K47" s="119" t="n"/>
      <c r="L47" s="119" t="n"/>
      <c r="M47" s="119" t="n"/>
      <c r="N47" s="119" t="n"/>
      <c r="O47" s="119" t="n"/>
      <c r="P47" s="119" t="n"/>
      <c r="Q47" s="119" t="inlineStr">
        <is>
          <t>PSM-ZM202606090002-0072</t>
        </is>
      </c>
      <c r="R47" s="119" t="inlineStr">
        <is>
          <t>广州承启生物科技有限公司</t>
        </is>
      </c>
      <c r="S47" s="119" t="n"/>
      <c r="T47" s="119" t="n">
        <v>4</v>
      </c>
      <c r="U47" s="119" t="inlineStr">
        <is>
          <t>纯化</t>
        </is>
      </c>
      <c r="V47" s="119" t="n"/>
      <c r="W47" s="119" t="n"/>
    </row>
    <row r="48" ht="30" customHeight="1" s="36">
      <c r="A48" s="121" t="n"/>
      <c r="B48" s="118" t="inlineStr">
        <is>
          <t>HGC-Lib-26098925</t>
        </is>
      </c>
      <c r="C48" s="118" t="n">
        <v>19.6</v>
      </c>
      <c r="D48" s="118" t="n">
        <v>25</v>
      </c>
      <c r="E48" s="118">
        <f>ROUND(D48*0.628000,3)</f>
        <v/>
      </c>
      <c r="F48" s="118">
        <f>ROUND(E48/C48,3)</f>
        <v/>
      </c>
      <c r="G48" s="119" t="n"/>
      <c r="H48" s="119" t="inlineStr">
        <is>
          <t>10x3′单细胞转录组</t>
        </is>
      </c>
      <c r="I48" s="119" t="n">
        <v>19.6</v>
      </c>
      <c r="J48" s="119" t="n"/>
      <c r="K48" s="119" t="n"/>
      <c r="L48" s="119" t="n"/>
      <c r="M48" s="119" t="n"/>
      <c r="N48" s="119" t="n"/>
      <c r="O48" s="119" t="n"/>
      <c r="P48" s="119" t="n"/>
      <c r="Q48" s="119" t="inlineStr">
        <is>
          <t>PSM-ZM202606090002-0072</t>
        </is>
      </c>
      <c r="R48" s="119" t="inlineStr">
        <is>
          <t>广州承启生物科技有限公司</t>
        </is>
      </c>
      <c r="S48" s="119" t="n"/>
      <c r="T48" s="119" t="n">
        <v>4</v>
      </c>
      <c r="U48" s="119" t="inlineStr">
        <is>
          <t>纯化</t>
        </is>
      </c>
      <c r="V48" s="119" t="n"/>
      <c r="W48" s="119" t="n"/>
    </row>
    <row r="49" ht="30" customHeight="1" s="36">
      <c r="A49" s="121" t="n"/>
      <c r="B49" s="118" t="inlineStr">
        <is>
          <t>HGC-Lib-26098926</t>
        </is>
      </c>
      <c r="C49" s="118" t="n">
        <v>20.8</v>
      </c>
      <c r="D49" s="118" t="n">
        <v>25</v>
      </c>
      <c r="E49" s="118">
        <f>ROUND(D49*0.628000,3)</f>
        <v/>
      </c>
      <c r="F49" s="118">
        <f>ROUND(E49/C49,3)</f>
        <v/>
      </c>
      <c r="G49" s="119" t="n"/>
      <c r="H49" s="119" t="inlineStr">
        <is>
          <t>10x3′单细胞转录组</t>
        </is>
      </c>
      <c r="I49" s="119" t="n">
        <v>20.8</v>
      </c>
      <c r="J49" s="119" t="n"/>
      <c r="K49" s="119" t="n"/>
      <c r="L49" s="119" t="n"/>
      <c r="M49" s="119" t="n"/>
      <c r="N49" s="119" t="n"/>
      <c r="O49" s="119" t="n"/>
      <c r="P49" s="119" t="n"/>
      <c r="Q49" s="119" t="inlineStr">
        <is>
          <t>PSM-ZM202606090002-0072</t>
        </is>
      </c>
      <c r="R49" s="119" t="inlineStr">
        <is>
          <t>广州承启生物科技有限公司</t>
        </is>
      </c>
      <c r="S49" s="119" t="n"/>
      <c r="T49" s="119" t="n">
        <v>4</v>
      </c>
      <c r="U49" s="119" t="inlineStr">
        <is>
          <t>纯化</t>
        </is>
      </c>
      <c r="V49" s="119" t="n"/>
      <c r="W49" s="119" t="n"/>
    </row>
    <row r="50" ht="30" customHeight="1" s="36">
      <c r="A50" s="121" t="n"/>
      <c r="B50" s="118" t="inlineStr">
        <is>
          <t>HGC-Lib-26100099</t>
        </is>
      </c>
      <c r="C50" s="118" t="n">
        <v>29.2</v>
      </c>
      <c r="D50" s="118" t="n">
        <v>25</v>
      </c>
      <c r="E50" s="118">
        <f>ROUND(D50*0.628000,3)</f>
        <v/>
      </c>
      <c r="F50" s="118">
        <f>ROUND(E50/C50,3)</f>
        <v/>
      </c>
      <c r="G50" s="119" t="n"/>
      <c r="H50" s="119" t="inlineStr">
        <is>
          <t>10x3′单细胞转录组</t>
        </is>
      </c>
      <c r="I50" s="119" t="n">
        <v>29.2</v>
      </c>
      <c r="J50" s="119" t="n"/>
      <c r="K50" s="119" t="n"/>
      <c r="L50" s="119" t="n"/>
      <c r="M50" s="119" t="n"/>
      <c r="N50" s="119" t="n"/>
      <c r="O50" s="119" t="n"/>
      <c r="P50" s="119" t="n"/>
      <c r="Q50" s="119" t="inlineStr">
        <is>
          <t>PSM-ZM202606090002-0081</t>
        </is>
      </c>
      <c r="R50" s="119" t="inlineStr">
        <is>
          <t>广州承启生物科技有限公司</t>
        </is>
      </c>
      <c r="S50" s="119" t="inlineStr">
        <is>
          <t>加急，每次100G，要求周期，辛苦安排分2lane上机</t>
        </is>
      </c>
      <c r="T50" s="119" t="n">
        <v>4</v>
      </c>
      <c r="U50" s="119" t="n"/>
      <c r="V50" s="119" t="n"/>
      <c r="W50" s="119" t="n"/>
    </row>
    <row r="51" ht="30" customHeight="1" s="36">
      <c r="A51" s="121" t="n"/>
      <c r="B51" s="118" t="inlineStr">
        <is>
          <t>HGC-Lib-26100100</t>
        </is>
      </c>
      <c r="C51" s="118" t="n">
        <v>27</v>
      </c>
      <c r="D51" s="118" t="n">
        <v>25</v>
      </c>
      <c r="E51" s="118">
        <f>ROUND(D51*0.628000,3)</f>
        <v/>
      </c>
      <c r="F51" s="118">
        <f>ROUND(E51/C51,3)</f>
        <v/>
      </c>
      <c r="G51" s="119" t="n"/>
      <c r="H51" s="119" t="inlineStr">
        <is>
          <t>10x3′单细胞转录组</t>
        </is>
      </c>
      <c r="I51" s="119" t="n">
        <v>27</v>
      </c>
      <c r="J51" s="119" t="n"/>
      <c r="K51" s="119" t="n"/>
      <c r="L51" s="119" t="n"/>
      <c r="M51" s="119" t="n"/>
      <c r="N51" s="119" t="n"/>
      <c r="O51" s="119" t="n"/>
      <c r="P51" s="119" t="n"/>
      <c r="Q51" s="119" t="inlineStr">
        <is>
          <t>PSM-ZM202606090002-0081</t>
        </is>
      </c>
      <c r="R51" s="119" t="inlineStr">
        <is>
          <t>广州承启生物科技有限公司</t>
        </is>
      </c>
      <c r="S51" s="119" t="inlineStr">
        <is>
          <t>加急，每次100G，要求周期，辛苦安排分2lane上机</t>
        </is>
      </c>
      <c r="T51" s="119" t="n">
        <v>4</v>
      </c>
      <c r="U51" s="119" t="n"/>
      <c r="V51" s="119" t="n"/>
      <c r="W51" s="119" t="n"/>
    </row>
    <row r="52" ht="30" customHeight="1" s="36">
      <c r="A52" s="121" t="n"/>
      <c r="B52" s="118" t="inlineStr">
        <is>
          <t>HGC-Lib-26100101</t>
        </is>
      </c>
      <c r="C52" s="118" t="n">
        <v>31.4</v>
      </c>
      <c r="D52" s="118" t="n">
        <v>25</v>
      </c>
      <c r="E52" s="118">
        <f>ROUND(D52*0.628000,3)</f>
        <v/>
      </c>
      <c r="F52" s="118">
        <f>ROUND(E52/C52,3)</f>
        <v/>
      </c>
      <c r="G52" s="119" t="n"/>
      <c r="H52" s="119" t="inlineStr">
        <is>
          <t>10x3′单细胞转录组</t>
        </is>
      </c>
      <c r="I52" s="119" t="n">
        <v>31.4</v>
      </c>
      <c r="J52" s="119" t="n"/>
      <c r="K52" s="119" t="n"/>
      <c r="L52" s="119" t="n"/>
      <c r="M52" s="119" t="n"/>
      <c r="N52" s="119" t="n"/>
      <c r="O52" s="119" t="n"/>
      <c r="P52" s="119" t="n"/>
      <c r="Q52" s="119" t="inlineStr">
        <is>
          <t>PSM-ZM202606090002-0081</t>
        </is>
      </c>
      <c r="R52" s="119" t="inlineStr">
        <is>
          <t>广州承启生物科技有限公司</t>
        </is>
      </c>
      <c r="S52" s="119" t="inlineStr">
        <is>
          <t>加急，每次100G，要求周期，辛苦安排分2lane上机</t>
        </is>
      </c>
      <c r="T52" s="119" t="n">
        <v>4</v>
      </c>
      <c r="U52" s="119" t="n"/>
      <c r="V52" s="119" t="n"/>
      <c r="W52" s="119" t="n"/>
    </row>
    <row r="53" ht="30" customHeight="1" s="36">
      <c r="A53" s="121" t="n"/>
      <c r="B53" s="118" t="inlineStr">
        <is>
          <t>HGC-Lib-26100102</t>
        </is>
      </c>
      <c r="C53" s="118" t="n">
        <v>29.4</v>
      </c>
      <c r="D53" s="118" t="n">
        <v>25</v>
      </c>
      <c r="E53" s="118">
        <f>ROUND(D53*0.628000,3)</f>
        <v/>
      </c>
      <c r="F53" s="118">
        <f>ROUND(E53/C53,3)</f>
        <v/>
      </c>
      <c r="G53" s="119" t="n"/>
      <c r="H53" s="119" t="inlineStr">
        <is>
          <t>10x3′单细胞转录组</t>
        </is>
      </c>
      <c r="I53" s="119" t="n">
        <v>29.4</v>
      </c>
      <c r="J53" s="119" t="n"/>
      <c r="K53" s="119" t="n"/>
      <c r="L53" s="119" t="n"/>
      <c r="M53" s="119" t="n"/>
      <c r="N53" s="119" t="n"/>
      <c r="O53" s="119" t="n"/>
      <c r="P53" s="119" t="n"/>
      <c r="Q53" s="119" t="inlineStr">
        <is>
          <t>PSM-ZM202606090002-0081</t>
        </is>
      </c>
      <c r="R53" s="119" t="inlineStr">
        <is>
          <t>广州承启生物科技有限公司</t>
        </is>
      </c>
      <c r="S53" s="119" t="inlineStr">
        <is>
          <t>加急，每次100G，要求周期，辛苦安排分2lane上机</t>
        </is>
      </c>
      <c r="T53" s="119" t="n">
        <v>4</v>
      </c>
      <c r="U53" s="119" t="n"/>
      <c r="V53" s="119" t="n"/>
      <c r="W53" s="119" t="n"/>
    </row>
    <row r="54" ht="30" customHeight="1" s="36">
      <c r="A54" s="121" t="n"/>
      <c r="B54" s="118" t="inlineStr">
        <is>
          <t>HGC-Lib-26100103</t>
        </is>
      </c>
      <c r="C54" s="118" t="n">
        <v>19.4</v>
      </c>
      <c r="D54" s="118" t="n">
        <v>25</v>
      </c>
      <c r="E54" s="118">
        <f>ROUND(D54*0.628000,3)</f>
        <v/>
      </c>
      <c r="F54" s="118">
        <f>ROUND(E54/C54,3)</f>
        <v/>
      </c>
      <c r="G54" s="119" t="n"/>
      <c r="H54" s="119" t="inlineStr">
        <is>
          <t>10x3′单细胞转录组</t>
        </is>
      </c>
      <c r="I54" s="119" t="n">
        <v>19.4</v>
      </c>
      <c r="J54" s="119" t="n"/>
      <c r="K54" s="119" t="n"/>
      <c r="L54" s="119" t="n"/>
      <c r="M54" s="119" t="n"/>
      <c r="N54" s="119" t="n"/>
      <c r="O54" s="119" t="n"/>
      <c r="P54" s="119" t="n"/>
      <c r="Q54" s="119" t="inlineStr">
        <is>
          <t>PSM-ZM202606090002-0081</t>
        </is>
      </c>
      <c r="R54" s="119" t="inlineStr">
        <is>
          <t>广州承启生物科技有限公司</t>
        </is>
      </c>
      <c r="S54" s="119" t="inlineStr">
        <is>
          <t>加急，每次100G，要求周期，辛苦安排分2lane上机</t>
        </is>
      </c>
      <c r="T54" s="119" t="n">
        <v>4</v>
      </c>
      <c r="U54" s="119" t="n"/>
      <c r="V54" s="119" t="n"/>
      <c r="W54" s="119" t="n"/>
    </row>
    <row r="55" ht="30" customHeight="1" s="36">
      <c r="A55" s="123" t="n"/>
      <c r="B55" s="118" t="inlineStr">
        <is>
          <t>HGC-Lib-26100104</t>
        </is>
      </c>
      <c r="C55" s="118" t="n">
        <v>22.8</v>
      </c>
      <c r="D55" s="118" t="n">
        <v>25</v>
      </c>
      <c r="E55" s="118">
        <f>ROUND(D55*0.628000,3)</f>
        <v/>
      </c>
      <c r="F55" s="118">
        <f>ROUND(E55/C55,3)</f>
        <v/>
      </c>
      <c r="G55" s="119" t="n"/>
      <c r="H55" s="119" t="inlineStr">
        <is>
          <t>10x3′单细胞转录组</t>
        </is>
      </c>
      <c r="I55" s="119" t="n">
        <v>22.8</v>
      </c>
      <c r="J55" s="119" t="n"/>
      <c r="K55" s="119" t="n"/>
      <c r="L55" s="119" t="n"/>
      <c r="M55" s="119" t="n"/>
      <c r="N55" s="119" t="n"/>
      <c r="O55" s="119" t="n"/>
      <c r="P55" s="119" t="n"/>
      <c r="Q55" s="119" t="inlineStr">
        <is>
          <t>PSM-ZM202606090002-0081</t>
        </is>
      </c>
      <c r="R55" s="119" t="inlineStr">
        <is>
          <t>广州承启生物科技有限公司</t>
        </is>
      </c>
      <c r="S55" s="119" t="inlineStr">
        <is>
          <t>加急，每次100G，要求周期，辛苦安排分2lane上机</t>
        </is>
      </c>
      <c r="T55" s="119" t="n">
        <v>4</v>
      </c>
      <c r="U55" s="119" t="n"/>
      <c r="V55" s="119" t="n"/>
      <c r="W55" s="119" t="n"/>
    </row>
    <row r="56" ht="30" customHeight="1" s="36">
      <c r="A56" s="124" t="n"/>
      <c r="B56" s="125" t="inlineStr">
        <is>
          <t>12</t>
        </is>
      </c>
      <c r="C56" s="124" t="n"/>
      <c r="D56" s="125">
        <f>SUM(D44:D55)</f>
        <v/>
      </c>
      <c r="E56" s="125">
        <f>SUM(E44:E55)</f>
        <v/>
      </c>
      <c r="F56" s="125">
        <f>SUM(F44:F55)</f>
        <v/>
      </c>
      <c r="G56" s="119">
        <f>ROUND(E56/F56,3)</f>
        <v/>
      </c>
      <c r="H56" s="126" t="n"/>
      <c r="I56" s="126" t="n"/>
      <c r="J56" s="126" t="n"/>
      <c r="K56" s="126" t="n"/>
      <c r="L56" s="126" t="n"/>
      <c r="M56" s="126" t="n"/>
      <c r="N56" s="126" t="n"/>
      <c r="O56" s="126" t="n"/>
      <c r="P56" s="126" t="n"/>
      <c r="Q56" s="126" t="n"/>
      <c r="R56" s="126" t="n"/>
      <c r="S56" s="126" t="n"/>
      <c r="T56" s="126" t="n"/>
      <c r="U56" s="126" t="n"/>
      <c r="V56" s="126" t="n"/>
      <c r="W56" s="126" t="n"/>
    </row>
    <row r="57" ht="21.95" customHeight="1" s="36"/>
    <row r="58" ht="21.95" customHeight="1" s="36"/>
    <row r="59" ht="21.95" customHeight="1" s="36"/>
    <row r="60" ht="21.95" customHeight="1" s="36"/>
    <row r="61" ht="21.95" customHeight="1" s="36"/>
    <row r="62" ht="21.95" customHeight="1" s="36"/>
    <row r="63" ht="21.95" customHeight="1" s="36"/>
    <row r="64" ht="21.95" customHeight="1" s="36"/>
    <row r="65" ht="21.95" customHeight="1" s="36"/>
    <row r="66" ht="21.95" customHeight="1" s="36"/>
    <row r="67" ht="21.95" customHeight="1" s="36"/>
    <row r="68" ht="21.95" customHeight="1" s="36"/>
    <row r="69" ht="21.95" customHeight="1" s="36"/>
    <row r="70" ht="21.95" customHeight="1" s="36"/>
    <row r="71" ht="21.95" customHeight="1" s="36"/>
    <row r="72" ht="21.95" customHeight="1" s="36"/>
    <row r="73" ht="21.95" customHeight="1" s="36"/>
    <row r="74" ht="21.95" customHeight="1" s="36"/>
    <row r="75" ht="21.95" customHeight="1" s="36"/>
    <row r="76" ht="21.95" customHeight="1" s="36"/>
    <row r="77" ht="21.95" customHeight="1" s="36"/>
    <row r="78" ht="21.95" customHeight="1" s="36"/>
    <row r="17610" customFormat="1" s="68"/>
  </sheetData>
  <mergeCells count="4">
    <mergeCell ref="A16:A27"/>
    <mergeCell ref="A2:A13"/>
    <mergeCell ref="A30:A41"/>
    <mergeCell ref="A44:A55"/>
  </mergeCells>
  <conditionalFormatting sqref="E2:E56">
    <cfRule type="expression" priority="1" dxfId="92">
      <formula>AND(E2&gt;0,NOT(ISNUMBER(B2+0)))</formula>
    </cfRule>
  </conditionalFormatting>
  <conditionalFormatting sqref="F2:F56">
    <cfRule type="expression" priority="2" dxfId="93">
      <formula>AND(F2&lt;&gt;"",F2&gt;=0.25,F2&lt;=2.5,NOT(ISNUMBER(B2+0)))</formula>
    </cfRule>
    <cfRule type="expression" priority="3" dxfId="94">
      <formula>AND(F2&lt;&gt;"",OR(F2&lt;0.25,F2&gt;2.5),NOT(ISNUMBER(B2+0)))</formula>
    </cfRule>
  </conditionalFormatting>
  <pageMargins left="0.751388888888889" right="0.751388888888889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ColWidth="9" defaultRowHeight="15.75"/>
  <cols>
    <col width="21" customWidth="1" style="4" min="1" max="1"/>
    <col width="21" customWidth="1" style="2" min="2" max="2"/>
    <col width="19" customWidth="1" style="68" min="3" max="3"/>
    <col width="17" customWidth="1" style="68" min="4" max="4"/>
    <col width="28" customWidth="1" style="86" min="5" max="5"/>
    <col width="22" customWidth="1" style="87" min="6" max="6"/>
    <col width="24" customWidth="1" style="68" min="7" max="7"/>
    <col width="24" customWidth="1" style="2" min="8" max="8"/>
    <col width="11" customWidth="1" style="88" min="9" max="9"/>
    <col width="12" customWidth="1" style="2" min="10" max="10"/>
    <col width="7" customWidth="1" style="89" min="11" max="11"/>
    <col width="14" customWidth="1" style="88" min="12" max="12"/>
    <col width="17" customWidth="1" style="88" min="13" max="13"/>
    <col width="13" customWidth="1" style="88" min="14" max="14"/>
    <col width="9" customWidth="1" style="68" min="15" max="15"/>
    <col width="8" customWidth="1" style="2" min="16" max="16"/>
    <col width="27" customWidth="1" style="2" min="17" max="17"/>
    <col width="36" customWidth="1" style="2" min="18" max="18"/>
    <col width="39" customWidth="1" style="2" min="19" max="19"/>
    <col width="10" customWidth="1" style="2" min="20" max="20"/>
    <col width="12" customWidth="1" style="35" min="21" max="21"/>
    <col width="12" customWidth="1" style="2" min="22" max="22"/>
    <col width="12" customWidth="1" style="36" min="23" max="23"/>
    <col width="9" customWidth="1" style="2" min="24" max="25"/>
    <col width="12.625" customWidth="1" style="2" min="26" max="26"/>
    <col width="9" customWidth="1" style="2" min="27" max="16382"/>
    <col width="9" customWidth="1" style="9" min="16383" max="16384"/>
  </cols>
  <sheetData>
    <row r="1" ht="40" customFormat="1" customHeight="1" s="1">
      <c r="A1" s="10" t="inlineStr">
        <is>
          <t>lane编号</t>
        </is>
      </c>
      <c r="B1" s="11" t="inlineStr">
        <is>
          <t>文库编号</t>
        </is>
      </c>
      <c r="C1" s="90" t="inlineStr">
        <is>
          <t>摩尔浓度(nM/L）</t>
        </is>
      </c>
      <c r="D1" s="90" t="inlineStr">
        <is>
          <t>数据量（G)</t>
        </is>
      </c>
      <c r="E1" s="91" t="inlineStr">
        <is>
          <t>文库摩尔质量（nM）</t>
        </is>
      </c>
      <c r="F1" s="92" t="inlineStr">
        <is>
          <t>最终取样体积（ul）</t>
        </is>
      </c>
      <c r="G1" s="90" t="inlineStr">
        <is>
          <t>混合文库浓度（nM/L）</t>
        </is>
      </c>
      <c r="H1" s="15" t="inlineStr">
        <is>
          <t>文库类型</t>
        </is>
      </c>
      <c r="I1" s="93" t="n"/>
      <c r="J1" s="94" t="n"/>
      <c r="K1" s="95" t="n"/>
      <c r="L1" s="96" t="n"/>
      <c r="M1" s="96">
        <f>TODAY()</f>
        <v/>
      </c>
      <c r="N1" s="97" t="inlineStr">
        <is>
          <t>nm</t>
        </is>
      </c>
      <c r="O1" s="98" t="inlineStr">
        <is>
          <t>片段</t>
        </is>
      </c>
      <c r="P1" s="1" t="inlineStr">
        <is>
          <t>qPCR</t>
        </is>
      </c>
      <c r="Q1" s="22" t="inlineStr">
        <is>
          <t>合同编号</t>
        </is>
      </c>
      <c r="R1" s="22" t="inlineStr">
        <is>
          <t>客户单位</t>
        </is>
      </c>
      <c r="S1" s="22" t="inlineStr">
        <is>
          <t>备注</t>
        </is>
      </c>
      <c r="T1" s="1" t="inlineStr">
        <is>
          <t>laneID</t>
        </is>
      </c>
      <c r="U1" s="15" t="inlineStr">
        <is>
          <t>纯化总表</t>
        </is>
      </c>
      <c r="V1" s="15" t="inlineStr">
        <is>
          <t>检测结果</t>
        </is>
      </c>
      <c r="W1" s="37" t="inlineStr">
        <is>
          <t>人工备注</t>
        </is>
      </c>
    </row>
    <row r="2" ht="30" customHeight="1" s="36">
      <c r="A2" s="118" t="inlineStr">
        <is>
          <t>P1-53.334</t>
        </is>
      </c>
      <c r="B2" s="118" t="inlineStr">
        <is>
          <t>HGC-Lib-26099712</t>
        </is>
      </c>
      <c r="C2" s="118" t="n">
        <v>103.165</v>
      </c>
      <c r="D2" s="118" t="n">
        <v>26.667</v>
      </c>
      <c r="E2" s="118">
        <f>ROUND(D2*15.868956,3)</f>
        <v/>
      </c>
      <c r="F2" s="118">
        <f>ROUND(E2/C2,3)</f>
        <v/>
      </c>
      <c r="G2" s="119" t="inlineStr">
        <is>
          <t>纯化</t>
        </is>
      </c>
      <c r="H2" s="119" t="inlineStr">
        <is>
          <t>10x5′单细胞免疫组库</t>
        </is>
      </c>
      <c r="I2" s="119" t="n">
        <v>103.165</v>
      </c>
      <c r="J2" s="119" t="n"/>
      <c r="K2" s="119" t="n">
        <v>417</v>
      </c>
      <c r="L2" s="119" t="n"/>
      <c r="M2" s="119" t="n"/>
      <c r="N2" s="120">
        <f>G4/2.69</f>
        <v/>
      </c>
      <c r="O2" s="119" t="n">
        <v>404.5</v>
      </c>
      <c r="P2" s="119" t="n"/>
      <c r="Q2" s="119" t="inlineStr">
        <is>
          <t>PSM-ZM202601040005-0019</t>
        </is>
      </c>
      <c r="R2" s="119" t="inlineStr">
        <is>
          <t>四川欣莱科生物科技有限公司</t>
        </is>
      </c>
      <c r="S2" s="119" t="n"/>
      <c r="T2" s="119" t="n">
        <v>1</v>
      </c>
      <c r="U2" s="119" t="n"/>
      <c r="V2" s="119" t="inlineStr">
        <is>
          <t>B</t>
        </is>
      </c>
      <c r="W2" s="119" t="inlineStr">
        <is>
          <t>B</t>
        </is>
      </c>
    </row>
    <row r="3" ht="30" customHeight="1" s="36">
      <c r="A3" s="123" t="n"/>
      <c r="B3" s="118" t="inlineStr">
        <is>
          <t>HGC-Lib-26099713</t>
        </is>
      </c>
      <c r="C3" s="118" t="n">
        <v>146.02</v>
      </c>
      <c r="D3" s="118" t="n">
        <v>26.667</v>
      </c>
      <c r="E3" s="118">
        <f>ROUND(D3*15.868956,3)</f>
        <v/>
      </c>
      <c r="F3" s="118">
        <f>ROUND(E3/C3,3)</f>
        <v/>
      </c>
      <c r="G3" s="119" t="n"/>
      <c r="H3" s="119" t="inlineStr">
        <is>
          <t>10x5′单细胞免疫组库</t>
        </is>
      </c>
      <c r="I3" s="119" t="n">
        <v>146.02</v>
      </c>
      <c r="J3" s="119" t="n"/>
      <c r="K3" s="119" t="n">
        <v>392</v>
      </c>
      <c r="L3" s="119" t="n"/>
      <c r="M3" s="122">
        <f>F4*(2.69-1)</f>
        <v/>
      </c>
      <c r="N3" s="119" t="n"/>
      <c r="O3" s="119" t="n"/>
      <c r="P3" s="119" t="n"/>
      <c r="Q3" s="119" t="inlineStr">
        <is>
          <t>PSM-ZM202601040005-0019</t>
        </is>
      </c>
      <c r="R3" s="119" t="inlineStr">
        <is>
          <t>四川欣莱科生物科技有限公司</t>
        </is>
      </c>
      <c r="S3" s="119" t="n"/>
      <c r="T3" s="119" t="n">
        <v>1</v>
      </c>
      <c r="U3" s="119" t="n"/>
      <c r="V3" s="119" t="inlineStr">
        <is>
          <t>A</t>
        </is>
      </c>
      <c r="W3" s="119" t="n"/>
    </row>
    <row r="4" ht="30" customHeight="1" s="36">
      <c r="A4" s="124" t="n"/>
      <c r="B4" s="125" t="inlineStr">
        <is>
          <t>2</t>
        </is>
      </c>
      <c r="C4" s="124" t="n"/>
      <c r="D4" s="125">
        <f>SUM(D2:D3)</f>
        <v/>
      </c>
      <c r="E4" s="125">
        <f>SUM(E2:E3)</f>
        <v/>
      </c>
      <c r="F4" s="125">
        <f>SUM(F2:F3)</f>
        <v/>
      </c>
      <c r="G4" s="119">
        <f>ROUND(E4/F4,3)</f>
        <v/>
      </c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</row>
    <row r="5" ht="30" customHeight="1" s="36">
      <c r="A5" s="126" t="n"/>
      <c r="B5" s="126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</row>
    <row r="6" ht="30" customHeight="1" s="36">
      <c r="A6" s="118" t="inlineStr">
        <is>
          <t>P1-173.332</t>
        </is>
      </c>
      <c r="B6" s="118" t="inlineStr">
        <is>
          <t>HGC-Lib-26098928</t>
        </is>
      </c>
      <c r="C6" s="118" t="n">
        <v>27</v>
      </c>
      <c r="D6" s="118" t="n">
        <v>33.333</v>
      </c>
      <c r="E6" s="118">
        <f>ROUND(D6*2.594870,3)</f>
        <v/>
      </c>
      <c r="F6" s="118">
        <f>ROUND(E6/C6,3)</f>
        <v/>
      </c>
      <c r="G6" s="119" t="inlineStr">
        <is>
          <t>纯化</t>
        </is>
      </c>
      <c r="H6" s="119" t="inlineStr">
        <is>
          <t>10x5′单细胞免疫组库</t>
        </is>
      </c>
      <c r="I6" s="119" t="n">
        <v>27</v>
      </c>
      <c r="J6" s="119" t="n"/>
      <c r="K6" s="119" t="n"/>
      <c r="L6" s="119" t="n"/>
      <c r="M6" s="120">
        <f>G12/2.05</f>
        <v/>
      </c>
      <c r="N6" s="119" t="n"/>
      <c r="O6" s="119" t="n"/>
      <c r="P6" s="119" t="n"/>
      <c r="Q6" s="119" t="inlineStr">
        <is>
          <t>PSM-ZM202606090002-0072</t>
        </is>
      </c>
      <c r="R6" s="119" t="inlineStr">
        <is>
          <t>广州承启生物科技有限公司</t>
        </is>
      </c>
      <c r="S6" s="119" t="n"/>
      <c r="T6" s="119" t="n">
        <v>1</v>
      </c>
      <c r="U6" s="119" t="inlineStr">
        <is>
          <t>纯化</t>
        </is>
      </c>
      <c r="V6" s="119" t="n"/>
      <c r="W6" s="119" t="n"/>
    </row>
    <row r="7" ht="30" customHeight="1" s="36">
      <c r="A7" s="121" t="n"/>
      <c r="B7" s="118" t="inlineStr">
        <is>
          <t>HGC-Lib-26098929</t>
        </is>
      </c>
      <c r="C7" s="118" t="n">
        <v>23.8</v>
      </c>
      <c r="D7" s="118" t="n">
        <v>33.333</v>
      </c>
      <c r="E7" s="118">
        <f>ROUND(D7*2.594870,3)</f>
        <v/>
      </c>
      <c r="F7" s="118">
        <f>ROUND(E7/C7,3)</f>
        <v/>
      </c>
      <c r="G7" s="119" t="n"/>
      <c r="H7" s="119" t="inlineStr">
        <is>
          <t>10x5′单细胞免疫组库</t>
        </is>
      </c>
      <c r="I7" s="119" t="n">
        <v>23.8</v>
      </c>
      <c r="J7" s="119" t="n"/>
      <c r="K7" s="119" t="n"/>
      <c r="L7" s="119" t="n"/>
      <c r="M7" s="122">
        <f>F12*(2.05-1)</f>
        <v/>
      </c>
      <c r="N7" s="119" t="n"/>
      <c r="O7" s="119" t="n"/>
      <c r="P7" s="119" t="n"/>
      <c r="Q7" s="119" t="inlineStr">
        <is>
          <t>PSM-ZM202606090002-0072</t>
        </is>
      </c>
      <c r="R7" s="119" t="inlineStr">
        <is>
          <t>广州承启生物科技有限公司</t>
        </is>
      </c>
      <c r="S7" s="119" t="n"/>
      <c r="T7" s="119" t="n">
        <v>1</v>
      </c>
      <c r="U7" s="119" t="inlineStr">
        <is>
          <t>纯化</t>
        </is>
      </c>
      <c r="V7" s="119" t="n"/>
      <c r="W7" s="119" t="n"/>
    </row>
    <row r="8" ht="30" customHeight="1" s="36">
      <c r="A8" s="121" t="n"/>
      <c r="B8" s="118" t="inlineStr">
        <is>
          <t>HGC-Lib-26098930</t>
        </is>
      </c>
      <c r="C8" s="118" t="n">
        <v>21.2</v>
      </c>
      <c r="D8" s="118" t="n">
        <v>33.333</v>
      </c>
      <c r="E8" s="118">
        <f>ROUND(D8*2.594870,3)</f>
        <v/>
      </c>
      <c r="F8" s="118">
        <f>ROUND(E8/C8,3)</f>
        <v/>
      </c>
      <c r="G8" s="119" t="n"/>
      <c r="H8" s="119" t="inlineStr">
        <is>
          <t>10x5′单细胞免疫组库</t>
        </is>
      </c>
      <c r="I8" s="119" t="n">
        <v>21.2</v>
      </c>
      <c r="J8" s="119" t="n"/>
      <c r="K8" s="119" t="n"/>
      <c r="L8" s="119" t="n"/>
      <c r="M8" s="119" t="n"/>
      <c r="N8" s="119" t="n"/>
      <c r="O8" s="119" t="n"/>
      <c r="P8" s="119" t="n"/>
      <c r="Q8" s="119" t="inlineStr">
        <is>
          <t>PSM-ZM202606090002-0072</t>
        </is>
      </c>
      <c r="R8" s="119" t="inlineStr">
        <is>
          <t>广州承启生物科技有限公司</t>
        </is>
      </c>
      <c r="S8" s="119" t="n"/>
      <c r="T8" s="119" t="n">
        <v>1</v>
      </c>
      <c r="U8" s="119" t="inlineStr">
        <is>
          <t>纯化</t>
        </is>
      </c>
      <c r="V8" s="119" t="n"/>
      <c r="W8" s="119" t="n"/>
    </row>
    <row r="9" ht="30" customHeight="1" s="36">
      <c r="A9" s="121" t="n"/>
      <c r="B9" s="118" t="inlineStr">
        <is>
          <t>HGC-Lib-26098933</t>
        </is>
      </c>
      <c r="C9" s="118" t="n">
        <v>34.6</v>
      </c>
      <c r="D9" s="118" t="n">
        <v>6.667</v>
      </c>
      <c r="E9" s="118">
        <f>ROUND(D9*2.594870,3)</f>
        <v/>
      </c>
      <c r="F9" s="118">
        <f>ROUND(E9/C9,3)</f>
        <v/>
      </c>
      <c r="G9" s="119" t="n"/>
      <c r="H9" s="119" t="inlineStr">
        <is>
          <t>10x5′单细胞免疫组库</t>
        </is>
      </c>
      <c r="I9" s="119" t="n">
        <v>34.6</v>
      </c>
      <c r="J9" s="119" t="n"/>
      <c r="K9" s="119" t="n"/>
      <c r="L9" s="119" t="n"/>
      <c r="M9" s="119" t="n"/>
      <c r="N9" s="119" t="n"/>
      <c r="O9" s="119" t="n"/>
      <c r="P9" s="119" t="n"/>
      <c r="Q9" s="119" t="inlineStr">
        <is>
          <t>PSM-ZM202606090002-0072</t>
        </is>
      </c>
      <c r="R9" s="119" t="inlineStr">
        <is>
          <t>广州承启生物科技有限公司</t>
        </is>
      </c>
      <c r="S9" s="119" t="n"/>
      <c r="T9" s="119" t="n">
        <v>1</v>
      </c>
      <c r="U9" s="119" t="inlineStr">
        <is>
          <t>纯化</t>
        </is>
      </c>
      <c r="V9" s="119" t="n"/>
      <c r="W9" s="119" t="n"/>
    </row>
    <row r="10" ht="30" customHeight="1" s="36">
      <c r="A10" s="121" t="n"/>
      <c r="B10" s="118" t="inlineStr">
        <is>
          <t>HGC-Lib-26099044</t>
        </is>
      </c>
      <c r="C10" s="118" t="n">
        <v>24.4</v>
      </c>
      <c r="D10" s="118" t="n">
        <v>33.333</v>
      </c>
      <c r="E10" s="118">
        <f>ROUND(D10*2.594870,3)</f>
        <v/>
      </c>
      <c r="F10" s="118">
        <f>ROUND(E10/C10,3)</f>
        <v/>
      </c>
      <c r="G10" s="119" t="n"/>
      <c r="H10" s="119" t="inlineStr">
        <is>
          <t>10x5′单细胞免疫组库</t>
        </is>
      </c>
      <c r="I10" s="119" t="n">
        <v>24.4</v>
      </c>
      <c r="J10" s="119" t="n"/>
      <c r="K10" s="119" t="n"/>
      <c r="L10" s="119" t="n"/>
      <c r="M10" s="119" t="n"/>
      <c r="N10" s="119" t="n"/>
      <c r="O10" s="119" t="n"/>
      <c r="P10" s="119" t="n"/>
      <c r="Q10" s="119" t="inlineStr">
        <is>
          <t>PSM-ZM202606090002-0077</t>
        </is>
      </c>
      <c r="R10" s="119" t="inlineStr">
        <is>
          <t>广州承启生物科技有限公司</t>
        </is>
      </c>
      <c r="S10" s="119" t="n"/>
      <c r="T10" s="119" t="n">
        <v>1</v>
      </c>
      <c r="U10" s="119" t="n"/>
      <c r="V10" s="119" t="n"/>
      <c r="W10" s="119" t="n"/>
    </row>
    <row r="11" ht="30" customHeight="1" s="36">
      <c r="A11" s="123" t="n"/>
      <c r="B11" s="118" t="inlineStr">
        <is>
          <t>HGC-Lib-26100105</t>
        </is>
      </c>
      <c r="C11" s="118" t="n">
        <v>33.6</v>
      </c>
      <c r="D11" s="118" t="n">
        <v>33.333</v>
      </c>
      <c r="E11" s="118">
        <f>ROUND(D11*2.594870,3)</f>
        <v/>
      </c>
      <c r="F11" s="118">
        <f>ROUND(E11/C11,3)</f>
        <v/>
      </c>
      <c r="G11" s="119" t="n"/>
      <c r="H11" s="119" t="inlineStr">
        <is>
          <t>10x5′单细胞免疫组库</t>
        </is>
      </c>
      <c r="I11" s="119" t="n">
        <v>33.6</v>
      </c>
      <c r="J11" s="119" t="n"/>
      <c r="K11" s="119" t="n"/>
      <c r="L11" s="119" t="n"/>
      <c r="M11" s="119" t="n"/>
      <c r="N11" s="119" t="n"/>
      <c r="O11" s="119" t="n"/>
      <c r="P11" s="119" t="n"/>
      <c r="Q11" s="119" t="inlineStr">
        <is>
          <t>PSM-ZM202606090002-0081</t>
        </is>
      </c>
      <c r="R11" s="119" t="inlineStr">
        <is>
          <t>广州承启生物科技有限公司</t>
        </is>
      </c>
      <c r="S11" s="119" t="inlineStr">
        <is>
          <t>加急</t>
        </is>
      </c>
      <c r="T11" s="119" t="n">
        <v>1</v>
      </c>
      <c r="U11" s="119" t="n"/>
      <c r="V11" s="119" t="n"/>
      <c r="W11" s="119" t="n"/>
    </row>
    <row r="12" ht="30" customHeight="1" s="36">
      <c r="A12" s="124" t="n"/>
      <c r="B12" s="125" t="inlineStr">
        <is>
          <t>6</t>
        </is>
      </c>
      <c r="C12" s="124" t="n"/>
      <c r="D12" s="125">
        <f>SUM(D6:D11)</f>
        <v/>
      </c>
      <c r="E12" s="125">
        <f>SUM(E6:E11)</f>
        <v/>
      </c>
      <c r="F12" s="125">
        <f>SUM(F6:F11)</f>
        <v/>
      </c>
      <c r="G12" s="119">
        <f>ROUND(E12/F12,3)</f>
        <v/>
      </c>
      <c r="H12" s="126" t="n"/>
      <c r="I12" s="126" t="n"/>
      <c r="J12" s="126" t="n"/>
      <c r="K12" s="126" t="n"/>
      <c r="L12" s="126" t="n"/>
      <c r="M12" s="126" t="n"/>
      <c r="N12" s="126" t="n"/>
      <c r="O12" s="126" t="n"/>
      <c r="P12" s="126" t="n"/>
      <c r="Q12" s="126" t="n"/>
      <c r="R12" s="126" t="n"/>
      <c r="S12" s="126" t="n"/>
      <c r="T12" s="126" t="n"/>
      <c r="U12" s="126" t="n"/>
      <c r="V12" s="126" t="n"/>
      <c r="W12" s="126" t="n"/>
    </row>
    <row r="13" ht="30" customHeight="1" s="36">
      <c r="A13" s="126" t="n"/>
      <c r="B13" s="126" t="n"/>
      <c r="C13" s="126" t="n"/>
      <c r="D13" s="126" t="n"/>
      <c r="E13" s="126" t="n"/>
      <c r="F13" s="126" t="n"/>
      <c r="G13" s="126" t="n"/>
      <c r="H13" s="126" t="n"/>
      <c r="I13" s="126" t="n"/>
      <c r="J13" s="126" t="n"/>
      <c r="K13" s="126" t="n"/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</row>
    <row r="14" ht="30" customHeight="1" s="36">
      <c r="A14" s="118" t="inlineStr">
        <is>
          <t>P1-16.667</t>
        </is>
      </c>
      <c r="B14" s="118" t="inlineStr">
        <is>
          <t>HGC-Lib-26098931</t>
        </is>
      </c>
      <c r="C14" s="118" t="n">
        <v>77.40000000000001</v>
      </c>
      <c r="D14" s="118" t="n">
        <v>6.667</v>
      </c>
      <c r="E14" s="118">
        <f>ROUND(D14*22.695034,3)</f>
        <v/>
      </c>
      <c r="F14" s="118">
        <f>ROUND(E14/C14,3)</f>
        <v/>
      </c>
      <c r="G14" s="119" t="inlineStr">
        <is>
          <t>纯化</t>
        </is>
      </c>
      <c r="H14" s="119" t="inlineStr">
        <is>
          <t>10x5′单细胞免疫组库</t>
        </is>
      </c>
      <c r="I14" s="119" t="n">
        <v>77.40000000000001</v>
      </c>
      <c r="J14" s="119" t="n"/>
      <c r="K14" s="119" t="n"/>
      <c r="L14" s="119" t="n"/>
      <c r="M14" s="120">
        <f>G17/4.32</f>
        <v/>
      </c>
      <c r="N14" s="119" t="n"/>
      <c r="O14" s="119" t="n"/>
      <c r="P14" s="119" t="n"/>
      <c r="Q14" s="119" t="inlineStr">
        <is>
          <t>PSM-ZM202606090002-0072</t>
        </is>
      </c>
      <c r="R14" s="119" t="inlineStr">
        <is>
          <t>广州承启生物科技有限公司</t>
        </is>
      </c>
      <c r="S14" s="119" t="n"/>
      <c r="T14" s="119" t="n">
        <v>1</v>
      </c>
      <c r="U14" s="119" t="inlineStr">
        <is>
          <t>纯化</t>
        </is>
      </c>
      <c r="V14" s="119" t="n"/>
      <c r="W14" s="119" t="n"/>
    </row>
    <row r="15" ht="30" customHeight="1" s="36">
      <c r="A15" s="121" t="n"/>
      <c r="B15" s="118" t="inlineStr">
        <is>
          <t>HGC-Lib-26098932</t>
        </is>
      </c>
      <c r="C15" s="118" t="n">
        <v>71.59999999999999</v>
      </c>
      <c r="D15" s="118" t="n">
        <v>6.667</v>
      </c>
      <c r="E15" s="118">
        <f>ROUND(D15*22.695034,3)</f>
        <v/>
      </c>
      <c r="F15" s="118">
        <f>ROUND(E15/C15,3)</f>
        <v/>
      </c>
      <c r="G15" s="119" t="n"/>
      <c r="H15" s="119" t="inlineStr">
        <is>
          <t>10x5′单细胞免疫组库</t>
        </is>
      </c>
      <c r="I15" s="119" t="n">
        <v>71.59999999999999</v>
      </c>
      <c r="J15" s="119" t="n"/>
      <c r="K15" s="119" t="n"/>
      <c r="L15" s="119" t="n"/>
      <c r="M15" s="122">
        <f>F17*(4.32-1)</f>
        <v/>
      </c>
      <c r="N15" s="119" t="n"/>
      <c r="O15" s="119" t="n"/>
      <c r="P15" s="119" t="n"/>
      <c r="Q15" s="119" t="inlineStr">
        <is>
          <t>PSM-ZM202606090002-0072</t>
        </is>
      </c>
      <c r="R15" s="119" t="inlineStr">
        <is>
          <t>广州承启生物科技有限公司</t>
        </is>
      </c>
      <c r="S15" s="119" t="n"/>
      <c r="T15" s="119" t="n">
        <v>1</v>
      </c>
      <c r="U15" s="119" t="inlineStr">
        <is>
          <t>纯化</t>
        </is>
      </c>
      <c r="V15" s="119" t="n"/>
      <c r="W15" s="119" t="n"/>
    </row>
    <row r="16" ht="30" customHeight="1" s="36">
      <c r="A16" s="123" t="n"/>
      <c r="B16" s="118" t="inlineStr">
        <is>
          <t>HGC-Lib-26100106</t>
        </is>
      </c>
      <c r="C16" s="118" t="n">
        <v>25.8</v>
      </c>
      <c r="D16" s="118" t="n">
        <v>3.333</v>
      </c>
      <c r="E16" s="118">
        <f>ROUND(D16*22.695034,3)</f>
        <v/>
      </c>
      <c r="F16" s="118">
        <f>ROUND(E16/C16,3)</f>
        <v/>
      </c>
      <c r="G16" s="119" t="n"/>
      <c r="H16" s="119" t="inlineStr">
        <is>
          <t>10x5′单细胞免疫组库</t>
        </is>
      </c>
      <c r="I16" s="119" t="n">
        <v>25.8</v>
      </c>
      <c r="J16" s="119" t="n"/>
      <c r="K16" s="119" t="n"/>
      <c r="L16" s="119" t="n"/>
      <c r="M16" s="119" t="n"/>
      <c r="N16" s="119" t="n"/>
      <c r="O16" s="119" t="n"/>
      <c r="P16" s="119" t="n"/>
      <c r="Q16" s="119" t="inlineStr">
        <is>
          <t>PSM-ZM202606090002-0081</t>
        </is>
      </c>
      <c r="R16" s="119" t="inlineStr">
        <is>
          <t>广州承启生物科技有限公司</t>
        </is>
      </c>
      <c r="S16" s="119" t="inlineStr">
        <is>
          <t>加急</t>
        </is>
      </c>
      <c r="T16" s="119" t="n">
        <v>1</v>
      </c>
      <c r="U16" s="119" t="n"/>
      <c r="V16" s="119" t="n"/>
      <c r="W16" s="119" t="n"/>
    </row>
    <row r="17" ht="30" customHeight="1" s="36">
      <c r="A17" s="124" t="n"/>
      <c r="B17" s="125" t="inlineStr">
        <is>
          <t>3</t>
        </is>
      </c>
      <c r="C17" s="124" t="n"/>
      <c r="D17" s="125">
        <f>SUM(D14:D16)</f>
        <v/>
      </c>
      <c r="E17" s="125">
        <f>SUM(E14:E16)</f>
        <v/>
      </c>
      <c r="F17" s="125">
        <f>SUM(F14:F16)</f>
        <v/>
      </c>
      <c r="G17" s="119">
        <f>ROUND(E17/F17,3)</f>
        <v/>
      </c>
      <c r="H17" s="126" t="n"/>
      <c r="I17" s="126" t="n"/>
      <c r="J17" s="126" t="n"/>
      <c r="K17" s="126" t="n"/>
      <c r="L17" s="126" t="n"/>
      <c r="M17" s="126" t="n"/>
      <c r="N17" s="126" t="n"/>
      <c r="O17" s="126" t="n"/>
      <c r="P17" s="126" t="n"/>
      <c r="Q17" s="126" t="n"/>
      <c r="R17" s="126" t="n"/>
      <c r="S17" s="126" t="n"/>
      <c r="T17" s="126" t="n"/>
      <c r="U17" s="126" t="n"/>
      <c r="V17" s="126" t="n"/>
      <c r="W17" s="126" t="n"/>
    </row>
    <row r="18" ht="30" customHeight="1" s="36">
      <c r="A18" s="126" t="n"/>
      <c r="B18" s="126" t="n"/>
      <c r="C18" s="126" t="n"/>
      <c r="D18" s="126" t="n"/>
      <c r="E18" s="126" t="n"/>
      <c r="F18" s="126" t="n"/>
      <c r="G18" s="126" t="n"/>
      <c r="H18" s="126" t="n"/>
      <c r="I18" s="126" t="n"/>
      <c r="J18" s="126" t="n"/>
      <c r="K18" s="126" t="n"/>
      <c r="L18" s="126" t="n"/>
      <c r="M18" s="126" t="n"/>
      <c r="N18" s="126" t="n"/>
      <c r="O18" s="126" t="n"/>
      <c r="P18" s="126" t="n"/>
      <c r="Q18" s="126" t="n"/>
      <c r="R18" s="126" t="n"/>
      <c r="S18" s="126" t="n"/>
      <c r="T18" s="126" t="n"/>
      <c r="U18" s="126" t="n"/>
      <c r="V18" s="126" t="n"/>
      <c r="W18" s="126" t="n"/>
    </row>
    <row r="19" ht="30" customHeight="1" s="36">
      <c r="A19" s="118" t="inlineStr">
        <is>
          <t>P1-6.666</t>
        </is>
      </c>
      <c r="B19" s="118" t="inlineStr">
        <is>
          <t>HGC-Lib-26099232</t>
        </is>
      </c>
      <c r="C19" s="118" t="n">
        <v>186.257</v>
      </c>
      <c r="D19" s="118" t="n">
        <v>3.333</v>
      </c>
      <c r="E19" s="118">
        <f>ROUND(D19*195.836675,3)</f>
        <v/>
      </c>
      <c r="F19" s="118">
        <f>ROUND(E19/C19,3)</f>
        <v/>
      </c>
      <c r="G19" s="119" t="n"/>
      <c r="H19" s="119" t="inlineStr">
        <is>
          <t>10x5′单细胞免疫组库</t>
        </is>
      </c>
      <c r="I19" s="119" t="n">
        <v>186.257</v>
      </c>
      <c r="J19" s="119" t="n"/>
      <c r="K19" s="119" t="n">
        <v>541</v>
      </c>
      <c r="L19" s="119" t="n"/>
      <c r="M19" s="119" t="n"/>
      <c r="N19" s="120">
        <f>G21/4.14</f>
        <v/>
      </c>
      <c r="O19" s="119" t="n">
        <v>550.5</v>
      </c>
      <c r="P19" s="119" t="n"/>
      <c r="Q19" s="119" t="inlineStr">
        <is>
          <t>PSM-ZM202606050014-0054</t>
        </is>
      </c>
      <c r="R19" s="119" t="inlineStr">
        <is>
          <t>武汉迈维代谢生物科技股份有限公司</t>
        </is>
      </c>
      <c r="S19" s="119" t="n"/>
      <c r="T19" s="119" t="n">
        <v>1</v>
      </c>
      <c r="U19" s="119" t="n"/>
      <c r="V19" s="119" t="inlineStr">
        <is>
          <t>B</t>
        </is>
      </c>
      <c r="W19" s="119" t="inlineStr">
        <is>
          <t>C</t>
        </is>
      </c>
    </row>
    <row r="20" ht="30" customHeight="1" s="36">
      <c r="A20" s="123" t="n"/>
      <c r="B20" s="118" t="inlineStr">
        <is>
          <t>HGC-Lib-26099233</t>
        </is>
      </c>
      <c r="C20" s="118" t="n">
        <v>186.728</v>
      </c>
      <c r="D20" s="118" t="n">
        <v>3.333</v>
      </c>
      <c r="E20" s="118">
        <f>ROUND(D20*195.836675,3)</f>
        <v/>
      </c>
      <c r="F20" s="118">
        <f>ROUND(E20/C20,3)</f>
        <v/>
      </c>
      <c r="G20" s="119" t="n"/>
      <c r="H20" s="119" t="inlineStr">
        <is>
          <t>10x5′单细胞免疫组库</t>
        </is>
      </c>
      <c r="I20" s="119" t="n">
        <v>186.728</v>
      </c>
      <c r="J20" s="119" t="n"/>
      <c r="K20" s="119" t="n">
        <v>560</v>
      </c>
      <c r="L20" s="119" t="n"/>
      <c r="M20" s="122">
        <f>F21*(4.14-1)</f>
        <v/>
      </c>
      <c r="N20" s="119" t="n"/>
      <c r="O20" s="119" t="n"/>
      <c r="P20" s="119" t="n"/>
      <c r="Q20" s="119" t="inlineStr">
        <is>
          <t>PSM-ZM202606050014-0054</t>
        </is>
      </c>
      <c r="R20" s="119" t="inlineStr">
        <is>
          <t>武汉迈维代谢生物科技股份有限公司</t>
        </is>
      </c>
      <c r="S20" s="119" t="n"/>
      <c r="T20" s="119" t="n">
        <v>1</v>
      </c>
      <c r="U20" s="119" t="n"/>
      <c r="V20" s="119" t="inlineStr">
        <is>
          <t>B</t>
        </is>
      </c>
      <c r="W20" s="119" t="inlineStr">
        <is>
          <t>C</t>
        </is>
      </c>
    </row>
    <row r="21" ht="30" customHeight="1" s="36">
      <c r="A21" s="124" t="n"/>
      <c r="B21" s="125" t="inlineStr">
        <is>
          <t>2</t>
        </is>
      </c>
      <c r="C21" s="124" t="n"/>
      <c r="D21" s="125">
        <f>SUM(D19:D20)</f>
        <v/>
      </c>
      <c r="E21" s="125">
        <f>SUM(E19:E20)</f>
        <v/>
      </c>
      <c r="F21" s="125">
        <f>SUM(F19:F20)</f>
        <v/>
      </c>
      <c r="G21" s="119">
        <f>ROUND(E21/F21,3)</f>
        <v/>
      </c>
      <c r="H21" s="126" t="n"/>
      <c r="I21" s="126" t="n"/>
      <c r="J21" s="126" t="n"/>
      <c r="K21" s="126" t="n"/>
      <c r="L21" s="126" t="n"/>
      <c r="M21" s="126" t="n"/>
      <c r="N21" s="126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</row>
    <row r="22" ht="30" customHeight="1" s="36">
      <c r="A22" s="126" t="n"/>
      <c r="B22" s="126" t="n"/>
      <c r="C22" s="126" t="n"/>
      <c r="D22" s="126" t="n"/>
      <c r="E22" s="126" t="n"/>
      <c r="F22" s="126" t="n"/>
      <c r="G22" s="126" t="n"/>
      <c r="H22" s="126" t="n"/>
      <c r="I22" s="126" t="n"/>
      <c r="J22" s="126" t="n"/>
      <c r="K22" s="126" t="n"/>
      <c r="L22" s="126" t="n"/>
      <c r="M22" s="126" t="n"/>
      <c r="N22" s="126" t="n"/>
      <c r="O22" s="126" t="n"/>
      <c r="P22" s="126" t="n"/>
      <c r="Q22" s="126" t="n"/>
      <c r="R22" s="126" t="n"/>
      <c r="S22" s="126" t="n"/>
      <c r="T22" s="126" t="n"/>
      <c r="U22" s="126" t="n"/>
      <c r="V22" s="126" t="n"/>
      <c r="W22" s="126" t="n"/>
    </row>
    <row r="23" ht="30" customHeight="1" s="36">
      <c r="A23" s="118" t="inlineStr">
        <is>
          <t>HGC-Lib-26099231</t>
        </is>
      </c>
      <c r="B23" s="118" t="inlineStr">
        <is>
          <t>HGC-Lib-26099231</t>
        </is>
      </c>
      <c r="C23" s="118" t="n">
        <v>240.259</v>
      </c>
      <c r="D23" s="118" t="n">
        <v>33.333</v>
      </c>
      <c r="E23" s="118">
        <f>ROUND(D23*3.603922,3)</f>
        <v/>
      </c>
      <c r="F23" s="118">
        <f>ROUND(E23/C23,3)</f>
        <v/>
      </c>
      <c r="G23" s="119" t="n"/>
      <c r="H23" s="119" t="inlineStr">
        <is>
          <t>10x5′单细胞免疫组库</t>
        </is>
      </c>
      <c r="I23" s="119" t="n">
        <v>240.259</v>
      </c>
      <c r="J23" s="119" t="n"/>
      <c r="K23" s="119" t="n">
        <v>421</v>
      </c>
      <c r="L23" s="119" t="n"/>
      <c r="M23" s="119" t="n"/>
      <c r="N23" s="119" t="n"/>
      <c r="O23" s="119" t="n">
        <v>421</v>
      </c>
      <c r="P23" s="119" t="n"/>
      <c r="Q23" s="119" t="inlineStr">
        <is>
          <t>PSM-ZM202606050014-0054</t>
        </is>
      </c>
      <c r="R23" s="119" t="inlineStr">
        <is>
          <t>武汉迈维代谢生物科技股份有限公司</t>
        </is>
      </c>
      <c r="S23" s="119" t="n"/>
      <c r="T23" s="119" t="n">
        <v>1</v>
      </c>
      <c r="U23" s="119" t="n"/>
      <c r="V23" s="119" t="inlineStr">
        <is>
          <t>B</t>
        </is>
      </c>
      <c r="W23" s="119" t="inlineStr">
        <is>
          <t>C</t>
        </is>
      </c>
    </row>
    <row r="24" ht="30" customHeight="1" s="36">
      <c r="A24" s="126" t="n"/>
      <c r="B24" s="126" t="n"/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6" t="n"/>
      <c r="N24" s="126" t="n"/>
      <c r="O24" s="126" t="n"/>
      <c r="P24" s="126" t="n"/>
      <c r="Q24" s="126" t="n"/>
      <c r="R24" s="126" t="n"/>
      <c r="S24" s="126" t="n"/>
      <c r="T24" s="126" t="n"/>
      <c r="U24" s="126" t="n"/>
      <c r="V24" s="126" t="n"/>
      <c r="W24" s="126" t="n"/>
    </row>
    <row r="25" ht="30" customHeight="1" s="36">
      <c r="A25" s="118" t="inlineStr">
        <is>
          <t>P2-53.334</t>
        </is>
      </c>
      <c r="B25" s="118" t="inlineStr">
        <is>
          <t>HGC-Lib-26099712</t>
        </is>
      </c>
      <c r="C25" s="118" t="n">
        <v>103.165</v>
      </c>
      <c r="D25" s="118" t="n">
        <v>26.667</v>
      </c>
      <c r="E25" s="118">
        <f>ROUND(D25*15.868956,3)</f>
        <v/>
      </c>
      <c r="F25" s="118">
        <f>ROUND(E25/C25,3)</f>
        <v/>
      </c>
      <c r="G25" s="119" t="inlineStr">
        <is>
          <t>纯化</t>
        </is>
      </c>
      <c r="H25" s="119" t="inlineStr">
        <is>
          <t>10x5′单细胞免疫组库</t>
        </is>
      </c>
      <c r="I25" s="119" t="n">
        <v>103.165</v>
      </c>
      <c r="J25" s="119" t="n"/>
      <c r="K25" s="119" t="n">
        <v>417</v>
      </c>
      <c r="L25" s="119" t="n"/>
      <c r="M25" s="119" t="n"/>
      <c r="N25" s="120">
        <f>G27/2.69</f>
        <v/>
      </c>
      <c r="O25" s="119" t="n">
        <v>404.5</v>
      </c>
      <c r="P25" s="119" t="n"/>
      <c r="Q25" s="119" t="inlineStr">
        <is>
          <t>PSM-ZM202601040005-0019</t>
        </is>
      </c>
      <c r="R25" s="119" t="inlineStr">
        <is>
          <t>四川欣莱科生物科技有限公司</t>
        </is>
      </c>
      <c r="S25" s="119" t="n"/>
      <c r="T25" s="119" t="n">
        <v>2</v>
      </c>
      <c r="U25" s="119" t="n"/>
      <c r="V25" s="119" t="inlineStr">
        <is>
          <t>B</t>
        </is>
      </c>
      <c r="W25" s="119" t="inlineStr">
        <is>
          <t>B</t>
        </is>
      </c>
    </row>
    <row r="26" ht="30" customHeight="1" s="36">
      <c r="A26" s="123" t="n"/>
      <c r="B26" s="118" t="inlineStr">
        <is>
          <t>HGC-Lib-26099713</t>
        </is>
      </c>
      <c r="C26" s="118" t="n">
        <v>146.02</v>
      </c>
      <c r="D26" s="118" t="n">
        <v>26.667</v>
      </c>
      <c r="E26" s="118">
        <f>ROUND(D26*15.868956,3)</f>
        <v/>
      </c>
      <c r="F26" s="118">
        <f>ROUND(E26/C26,3)</f>
        <v/>
      </c>
      <c r="G26" s="119" t="n"/>
      <c r="H26" s="119" t="inlineStr">
        <is>
          <t>10x5′单细胞免疫组库</t>
        </is>
      </c>
      <c r="I26" s="119" t="n">
        <v>146.02</v>
      </c>
      <c r="J26" s="119" t="n"/>
      <c r="K26" s="119" t="n">
        <v>392</v>
      </c>
      <c r="L26" s="119" t="n"/>
      <c r="M26" s="122">
        <f>F27*(2.69-1)</f>
        <v/>
      </c>
      <c r="N26" s="119" t="n"/>
      <c r="O26" s="119" t="n"/>
      <c r="P26" s="119" t="n"/>
      <c r="Q26" s="119" t="inlineStr">
        <is>
          <t>PSM-ZM202601040005-0019</t>
        </is>
      </c>
      <c r="R26" s="119" t="inlineStr">
        <is>
          <t>四川欣莱科生物科技有限公司</t>
        </is>
      </c>
      <c r="S26" s="119" t="n"/>
      <c r="T26" s="119" t="n">
        <v>2</v>
      </c>
      <c r="U26" s="119" t="n"/>
      <c r="V26" s="119" t="inlineStr">
        <is>
          <t>A</t>
        </is>
      </c>
      <c r="W26" s="119" t="n"/>
    </row>
    <row r="27" ht="30" customHeight="1" s="36">
      <c r="A27" s="124" t="n"/>
      <c r="B27" s="125" t="inlineStr">
        <is>
          <t>2</t>
        </is>
      </c>
      <c r="C27" s="124" t="n"/>
      <c r="D27" s="125">
        <f>SUM(D25:D26)</f>
        <v/>
      </c>
      <c r="E27" s="125">
        <f>SUM(E25:E26)</f>
        <v/>
      </c>
      <c r="F27" s="125">
        <f>SUM(F25:F26)</f>
        <v/>
      </c>
      <c r="G27" s="119">
        <f>ROUND(E27/F27,3)</f>
        <v/>
      </c>
      <c r="H27" s="126" t="n"/>
      <c r="I27" s="126" t="n"/>
      <c r="J27" s="126" t="n"/>
      <c r="K27" s="126" t="n"/>
      <c r="L27" s="126" t="n"/>
      <c r="M27" s="126" t="n"/>
      <c r="N27" s="126" t="n"/>
      <c r="O27" s="126" t="n"/>
      <c r="P27" s="126" t="n"/>
      <c r="Q27" s="126" t="n"/>
      <c r="R27" s="126" t="n"/>
      <c r="S27" s="126" t="n"/>
      <c r="T27" s="126" t="n"/>
      <c r="U27" s="126" t="n"/>
      <c r="V27" s="126" t="n"/>
      <c r="W27" s="126" t="n"/>
    </row>
    <row r="28" ht="30" customHeight="1" s="36">
      <c r="A28" s="126" t="n"/>
      <c r="B28" s="126" t="n"/>
      <c r="C28" s="126" t="n"/>
      <c r="D28" s="126" t="n"/>
      <c r="E28" s="126" t="n"/>
      <c r="F28" s="126" t="n"/>
      <c r="G28" s="126" t="n"/>
      <c r="H28" s="126" t="n"/>
      <c r="I28" s="126" t="n"/>
      <c r="J28" s="126" t="n"/>
      <c r="K28" s="126" t="n"/>
      <c r="L28" s="126" t="n"/>
      <c r="M28" s="126" t="n"/>
      <c r="N28" s="126" t="n"/>
      <c r="O28" s="126" t="n"/>
      <c r="P28" s="126" t="n"/>
      <c r="Q28" s="126" t="n"/>
      <c r="R28" s="126" t="n"/>
      <c r="S28" s="126" t="n"/>
      <c r="T28" s="126" t="n"/>
      <c r="U28" s="126" t="n"/>
      <c r="V28" s="126" t="n"/>
      <c r="W28" s="126" t="n"/>
    </row>
    <row r="29" ht="30" customHeight="1" s="36">
      <c r="A29" s="118" t="inlineStr">
        <is>
          <t>P2-173.332</t>
        </is>
      </c>
      <c r="B29" s="118" t="inlineStr">
        <is>
          <t>HGC-Lib-26098928</t>
        </is>
      </c>
      <c r="C29" s="118" t="n">
        <v>27</v>
      </c>
      <c r="D29" s="118" t="n">
        <v>33.333</v>
      </c>
      <c r="E29" s="118">
        <f>ROUND(D29*2.594870,3)</f>
        <v/>
      </c>
      <c r="F29" s="118">
        <f>ROUND(E29/C29,3)</f>
        <v/>
      </c>
      <c r="G29" s="119" t="inlineStr">
        <is>
          <t>纯化</t>
        </is>
      </c>
      <c r="H29" s="119" t="inlineStr">
        <is>
          <t>10x5′单细胞免疫组库</t>
        </is>
      </c>
      <c r="I29" s="119" t="n">
        <v>27</v>
      </c>
      <c r="J29" s="119" t="n"/>
      <c r="K29" s="119" t="n"/>
      <c r="L29" s="119" t="n"/>
      <c r="M29" s="120">
        <f>G35/2.05</f>
        <v/>
      </c>
      <c r="N29" s="119" t="n"/>
      <c r="O29" s="119" t="n"/>
      <c r="P29" s="119" t="n"/>
      <c r="Q29" s="119" t="inlineStr">
        <is>
          <t>PSM-ZM202606090002-0072</t>
        </is>
      </c>
      <c r="R29" s="119" t="inlineStr">
        <is>
          <t>广州承启生物科技有限公司</t>
        </is>
      </c>
      <c r="S29" s="119" t="n"/>
      <c r="T29" s="119" t="n">
        <v>2</v>
      </c>
      <c r="U29" s="119" t="inlineStr">
        <is>
          <t>纯化</t>
        </is>
      </c>
      <c r="V29" s="119" t="n"/>
      <c r="W29" s="119" t="n"/>
    </row>
    <row r="30" ht="30" customHeight="1" s="36">
      <c r="A30" s="121" t="n"/>
      <c r="B30" s="118" t="inlineStr">
        <is>
          <t>HGC-Lib-26098929</t>
        </is>
      </c>
      <c r="C30" s="118" t="n">
        <v>23.8</v>
      </c>
      <c r="D30" s="118" t="n">
        <v>33.333</v>
      </c>
      <c r="E30" s="118">
        <f>ROUND(D30*2.594870,3)</f>
        <v/>
      </c>
      <c r="F30" s="118">
        <f>ROUND(E30/C30,3)</f>
        <v/>
      </c>
      <c r="G30" s="119" t="n"/>
      <c r="H30" s="119" t="inlineStr">
        <is>
          <t>10x5′单细胞免疫组库</t>
        </is>
      </c>
      <c r="I30" s="119" t="n">
        <v>23.8</v>
      </c>
      <c r="J30" s="119" t="n"/>
      <c r="K30" s="119" t="n"/>
      <c r="L30" s="119" t="n"/>
      <c r="M30" s="122">
        <f>F35*(2.05-1)</f>
        <v/>
      </c>
      <c r="N30" s="119" t="n"/>
      <c r="O30" s="119" t="n"/>
      <c r="P30" s="119" t="n"/>
      <c r="Q30" s="119" t="inlineStr">
        <is>
          <t>PSM-ZM202606090002-0072</t>
        </is>
      </c>
      <c r="R30" s="119" t="inlineStr">
        <is>
          <t>广州承启生物科技有限公司</t>
        </is>
      </c>
      <c r="S30" s="119" t="n"/>
      <c r="T30" s="119" t="n">
        <v>2</v>
      </c>
      <c r="U30" s="119" t="inlineStr">
        <is>
          <t>纯化</t>
        </is>
      </c>
      <c r="V30" s="119" t="n"/>
      <c r="W30" s="119" t="n"/>
    </row>
    <row r="31" ht="30" customHeight="1" s="36">
      <c r="A31" s="121" t="n"/>
      <c r="B31" s="118" t="inlineStr">
        <is>
          <t>HGC-Lib-26098930</t>
        </is>
      </c>
      <c r="C31" s="118" t="n">
        <v>21.2</v>
      </c>
      <c r="D31" s="118" t="n">
        <v>33.333</v>
      </c>
      <c r="E31" s="118">
        <f>ROUND(D31*2.594870,3)</f>
        <v/>
      </c>
      <c r="F31" s="118">
        <f>ROUND(E31/C31,3)</f>
        <v/>
      </c>
      <c r="G31" s="119" t="n"/>
      <c r="H31" s="119" t="inlineStr">
        <is>
          <t>10x5′单细胞免疫组库</t>
        </is>
      </c>
      <c r="I31" s="119" t="n">
        <v>21.2</v>
      </c>
      <c r="J31" s="119" t="n"/>
      <c r="K31" s="119" t="n"/>
      <c r="L31" s="119" t="n"/>
      <c r="M31" s="119" t="n"/>
      <c r="N31" s="119" t="n"/>
      <c r="O31" s="119" t="n"/>
      <c r="P31" s="119" t="n"/>
      <c r="Q31" s="119" t="inlineStr">
        <is>
          <t>PSM-ZM202606090002-0072</t>
        </is>
      </c>
      <c r="R31" s="119" t="inlineStr">
        <is>
          <t>广州承启生物科技有限公司</t>
        </is>
      </c>
      <c r="S31" s="119" t="n"/>
      <c r="T31" s="119" t="n">
        <v>2</v>
      </c>
      <c r="U31" s="119" t="inlineStr">
        <is>
          <t>纯化</t>
        </is>
      </c>
      <c r="V31" s="119" t="n"/>
      <c r="W31" s="119" t="n"/>
    </row>
    <row r="32" ht="30" customHeight="1" s="36">
      <c r="A32" s="121" t="n"/>
      <c r="B32" s="118" t="inlineStr">
        <is>
          <t>HGC-Lib-26098933</t>
        </is>
      </c>
      <c r="C32" s="118" t="n">
        <v>34.6</v>
      </c>
      <c r="D32" s="118" t="n">
        <v>6.667</v>
      </c>
      <c r="E32" s="118">
        <f>ROUND(D32*2.594870,3)</f>
        <v/>
      </c>
      <c r="F32" s="118">
        <f>ROUND(E32/C32,3)</f>
        <v/>
      </c>
      <c r="G32" s="119" t="n"/>
      <c r="H32" s="119" t="inlineStr">
        <is>
          <t>10x5′单细胞免疫组库</t>
        </is>
      </c>
      <c r="I32" s="119" t="n">
        <v>34.6</v>
      </c>
      <c r="J32" s="119" t="n"/>
      <c r="K32" s="119" t="n"/>
      <c r="L32" s="119" t="n"/>
      <c r="M32" s="119" t="n"/>
      <c r="N32" s="119" t="n"/>
      <c r="O32" s="119" t="n"/>
      <c r="P32" s="119" t="n"/>
      <c r="Q32" s="119" t="inlineStr">
        <is>
          <t>PSM-ZM202606090002-0072</t>
        </is>
      </c>
      <c r="R32" s="119" t="inlineStr">
        <is>
          <t>广州承启生物科技有限公司</t>
        </is>
      </c>
      <c r="S32" s="119" t="n"/>
      <c r="T32" s="119" t="n">
        <v>2</v>
      </c>
      <c r="U32" s="119" t="inlineStr">
        <is>
          <t>纯化</t>
        </is>
      </c>
      <c r="V32" s="119" t="n"/>
      <c r="W32" s="119" t="n"/>
    </row>
    <row r="33" ht="30" customHeight="1" s="36">
      <c r="A33" s="121" t="n"/>
      <c r="B33" s="118" t="inlineStr">
        <is>
          <t>HGC-Lib-26099044</t>
        </is>
      </c>
      <c r="C33" s="118" t="n">
        <v>24.4</v>
      </c>
      <c r="D33" s="118" t="n">
        <v>33.333</v>
      </c>
      <c r="E33" s="118">
        <f>ROUND(D33*2.594870,3)</f>
        <v/>
      </c>
      <c r="F33" s="118">
        <f>ROUND(E33/C33,3)</f>
        <v/>
      </c>
      <c r="G33" s="119" t="n"/>
      <c r="H33" s="119" t="inlineStr">
        <is>
          <t>10x5′单细胞免疫组库</t>
        </is>
      </c>
      <c r="I33" s="119" t="n">
        <v>24.4</v>
      </c>
      <c r="J33" s="119" t="n"/>
      <c r="K33" s="119" t="n"/>
      <c r="L33" s="119" t="n"/>
      <c r="M33" s="119" t="n"/>
      <c r="N33" s="119" t="n"/>
      <c r="O33" s="119" t="n"/>
      <c r="P33" s="119" t="n"/>
      <c r="Q33" s="119" t="inlineStr">
        <is>
          <t>PSM-ZM202606090002-0077</t>
        </is>
      </c>
      <c r="R33" s="119" t="inlineStr">
        <is>
          <t>广州承启生物科技有限公司</t>
        </is>
      </c>
      <c r="S33" s="119" t="n"/>
      <c r="T33" s="119" t="n">
        <v>2</v>
      </c>
      <c r="U33" s="119" t="n"/>
      <c r="V33" s="119" t="n"/>
      <c r="W33" s="119" t="n"/>
    </row>
    <row r="34" ht="30" customHeight="1" s="36">
      <c r="A34" s="123" t="n"/>
      <c r="B34" s="118" t="inlineStr">
        <is>
          <t>HGC-Lib-26100105</t>
        </is>
      </c>
      <c r="C34" s="118" t="n">
        <v>33.6</v>
      </c>
      <c r="D34" s="118" t="n">
        <v>33.333</v>
      </c>
      <c r="E34" s="118">
        <f>ROUND(D34*2.594870,3)</f>
        <v/>
      </c>
      <c r="F34" s="118">
        <f>ROUND(E34/C34,3)</f>
        <v/>
      </c>
      <c r="G34" s="119" t="n"/>
      <c r="H34" s="119" t="inlineStr">
        <is>
          <t>10x5′单细胞免疫组库</t>
        </is>
      </c>
      <c r="I34" s="119" t="n">
        <v>33.6</v>
      </c>
      <c r="J34" s="119" t="n"/>
      <c r="K34" s="119" t="n"/>
      <c r="L34" s="119" t="n"/>
      <c r="M34" s="119" t="n"/>
      <c r="N34" s="119" t="n"/>
      <c r="O34" s="119" t="n"/>
      <c r="P34" s="119" t="n"/>
      <c r="Q34" s="119" t="inlineStr">
        <is>
          <t>PSM-ZM202606090002-0081</t>
        </is>
      </c>
      <c r="R34" s="119" t="inlineStr">
        <is>
          <t>广州承启生物科技有限公司</t>
        </is>
      </c>
      <c r="S34" s="119" t="inlineStr">
        <is>
          <t>加急</t>
        </is>
      </c>
      <c r="T34" s="119" t="n">
        <v>2</v>
      </c>
      <c r="U34" s="119" t="n"/>
      <c r="V34" s="119" t="n"/>
      <c r="W34" s="119" t="n"/>
    </row>
    <row r="35" ht="30" customHeight="1" s="36">
      <c r="A35" s="124" t="n"/>
      <c r="B35" s="125" t="inlineStr">
        <is>
          <t>6</t>
        </is>
      </c>
      <c r="C35" s="124" t="n"/>
      <c r="D35" s="125">
        <f>SUM(D29:D34)</f>
        <v/>
      </c>
      <c r="E35" s="125">
        <f>SUM(E29:E34)</f>
        <v/>
      </c>
      <c r="F35" s="125">
        <f>SUM(F29:F34)</f>
        <v/>
      </c>
      <c r="G35" s="119">
        <f>ROUND(E35/F35,3)</f>
        <v/>
      </c>
      <c r="H35" s="126" t="n"/>
      <c r="I35" s="126" t="n"/>
      <c r="J35" s="126" t="n"/>
      <c r="K35" s="126" t="n"/>
      <c r="L35" s="126" t="n"/>
      <c r="M35" s="126" t="n"/>
      <c r="N35" s="126" t="n"/>
      <c r="O35" s="126" t="n"/>
      <c r="P35" s="126" t="n"/>
      <c r="Q35" s="126" t="n"/>
      <c r="R35" s="126" t="n"/>
      <c r="S35" s="126" t="n"/>
      <c r="T35" s="126" t="n"/>
      <c r="U35" s="126" t="n"/>
      <c r="V35" s="126" t="n"/>
      <c r="W35" s="126" t="n"/>
    </row>
    <row r="36" ht="30" customHeight="1" s="36">
      <c r="A36" s="126" t="n"/>
      <c r="B36" s="126" t="n"/>
      <c r="C36" s="126" t="n"/>
      <c r="D36" s="126" t="n"/>
      <c r="E36" s="126" t="n"/>
      <c r="F36" s="126" t="n"/>
      <c r="G36" s="126" t="n"/>
      <c r="H36" s="126" t="n"/>
      <c r="I36" s="126" t="n"/>
      <c r="J36" s="126" t="n"/>
      <c r="K36" s="126" t="n"/>
      <c r="L36" s="126" t="n"/>
      <c r="M36" s="126" t="n"/>
      <c r="N36" s="126" t="n"/>
      <c r="O36" s="126" t="n"/>
      <c r="P36" s="126" t="n"/>
      <c r="Q36" s="126" t="n"/>
      <c r="R36" s="126" t="n"/>
      <c r="S36" s="126" t="n"/>
      <c r="T36" s="126" t="n"/>
      <c r="U36" s="126" t="n"/>
      <c r="V36" s="126" t="n"/>
      <c r="W36" s="126" t="n"/>
    </row>
    <row r="37" ht="30" customHeight="1" s="36">
      <c r="A37" s="118" t="inlineStr">
        <is>
          <t>P2-16.667</t>
        </is>
      </c>
      <c r="B37" s="118" t="inlineStr">
        <is>
          <t>HGC-Lib-26098931</t>
        </is>
      </c>
      <c r="C37" s="118" t="n">
        <v>77.40000000000001</v>
      </c>
      <c r="D37" s="118" t="n">
        <v>6.667</v>
      </c>
      <c r="E37" s="118">
        <f>ROUND(D37*22.695034,3)</f>
        <v/>
      </c>
      <c r="F37" s="118">
        <f>ROUND(E37/C37,3)</f>
        <v/>
      </c>
      <c r="G37" s="119" t="inlineStr">
        <is>
          <t>纯化</t>
        </is>
      </c>
      <c r="H37" s="119" t="inlineStr">
        <is>
          <t>10x5′单细胞免疫组库</t>
        </is>
      </c>
      <c r="I37" s="119" t="n">
        <v>77.40000000000001</v>
      </c>
      <c r="J37" s="119" t="n"/>
      <c r="K37" s="119" t="n"/>
      <c r="L37" s="119" t="n"/>
      <c r="M37" s="120">
        <f>G40/4.32</f>
        <v/>
      </c>
      <c r="N37" s="119" t="n"/>
      <c r="O37" s="119" t="n"/>
      <c r="P37" s="119" t="n"/>
      <c r="Q37" s="119" t="inlineStr">
        <is>
          <t>PSM-ZM202606090002-0072</t>
        </is>
      </c>
      <c r="R37" s="119" t="inlineStr">
        <is>
          <t>广州承启生物科技有限公司</t>
        </is>
      </c>
      <c r="S37" s="119" t="n"/>
      <c r="T37" s="119" t="n">
        <v>2</v>
      </c>
      <c r="U37" s="119" t="inlineStr">
        <is>
          <t>纯化</t>
        </is>
      </c>
      <c r="V37" s="119" t="n"/>
      <c r="W37" s="119" t="n"/>
    </row>
    <row r="38" ht="30" customHeight="1" s="36">
      <c r="A38" s="121" t="n"/>
      <c r="B38" s="118" t="inlineStr">
        <is>
          <t>HGC-Lib-26098932</t>
        </is>
      </c>
      <c r="C38" s="118" t="n">
        <v>71.59999999999999</v>
      </c>
      <c r="D38" s="118" t="n">
        <v>6.667</v>
      </c>
      <c r="E38" s="118">
        <f>ROUND(D38*22.695034,3)</f>
        <v/>
      </c>
      <c r="F38" s="118">
        <f>ROUND(E38/C38,3)</f>
        <v/>
      </c>
      <c r="G38" s="119" t="n"/>
      <c r="H38" s="119" t="inlineStr">
        <is>
          <t>10x5′单细胞免疫组库</t>
        </is>
      </c>
      <c r="I38" s="119" t="n">
        <v>71.59999999999999</v>
      </c>
      <c r="J38" s="119" t="n"/>
      <c r="K38" s="119" t="n"/>
      <c r="L38" s="119" t="n"/>
      <c r="M38" s="122">
        <f>F40*(4.32-1)</f>
        <v/>
      </c>
      <c r="N38" s="119" t="n"/>
      <c r="O38" s="119" t="n"/>
      <c r="P38" s="119" t="n"/>
      <c r="Q38" s="119" t="inlineStr">
        <is>
          <t>PSM-ZM202606090002-0072</t>
        </is>
      </c>
      <c r="R38" s="119" t="inlineStr">
        <is>
          <t>广州承启生物科技有限公司</t>
        </is>
      </c>
      <c r="S38" s="119" t="n"/>
      <c r="T38" s="119" t="n">
        <v>2</v>
      </c>
      <c r="U38" s="119" t="inlineStr">
        <is>
          <t>纯化</t>
        </is>
      </c>
      <c r="V38" s="119" t="n"/>
      <c r="W38" s="119" t="n"/>
    </row>
    <row r="39" ht="30" customHeight="1" s="36">
      <c r="A39" s="123" t="n"/>
      <c r="B39" s="118" t="inlineStr">
        <is>
          <t>HGC-Lib-26100106</t>
        </is>
      </c>
      <c r="C39" s="118" t="n">
        <v>25.8</v>
      </c>
      <c r="D39" s="118" t="n">
        <v>3.333</v>
      </c>
      <c r="E39" s="118">
        <f>ROUND(D39*22.695034,3)</f>
        <v/>
      </c>
      <c r="F39" s="118">
        <f>ROUND(E39/C39,3)</f>
        <v/>
      </c>
      <c r="G39" s="119" t="n"/>
      <c r="H39" s="119" t="inlineStr">
        <is>
          <t>10x5′单细胞免疫组库</t>
        </is>
      </c>
      <c r="I39" s="119" t="n">
        <v>25.8</v>
      </c>
      <c r="J39" s="119" t="n"/>
      <c r="K39" s="119" t="n"/>
      <c r="L39" s="119" t="n"/>
      <c r="M39" s="119" t="n"/>
      <c r="N39" s="119" t="n"/>
      <c r="O39" s="119" t="n"/>
      <c r="P39" s="119" t="n"/>
      <c r="Q39" s="119" t="inlineStr">
        <is>
          <t>PSM-ZM202606090002-0081</t>
        </is>
      </c>
      <c r="R39" s="119" t="inlineStr">
        <is>
          <t>广州承启生物科技有限公司</t>
        </is>
      </c>
      <c r="S39" s="119" t="inlineStr">
        <is>
          <t>加急</t>
        </is>
      </c>
      <c r="T39" s="119" t="n">
        <v>2</v>
      </c>
      <c r="U39" s="119" t="n"/>
      <c r="V39" s="119" t="n"/>
      <c r="W39" s="119" t="n"/>
    </row>
    <row r="40" ht="30" customHeight="1" s="36">
      <c r="A40" s="124" t="n"/>
      <c r="B40" s="125" t="inlineStr">
        <is>
          <t>3</t>
        </is>
      </c>
      <c r="C40" s="124" t="n"/>
      <c r="D40" s="125">
        <f>SUM(D37:D39)</f>
        <v/>
      </c>
      <c r="E40" s="125">
        <f>SUM(E37:E39)</f>
        <v/>
      </c>
      <c r="F40" s="125">
        <f>SUM(F37:F39)</f>
        <v/>
      </c>
      <c r="G40" s="119">
        <f>ROUND(E40/F40,3)</f>
        <v/>
      </c>
      <c r="H40" s="126" t="n"/>
      <c r="I40" s="126" t="n"/>
      <c r="J40" s="126" t="n"/>
      <c r="K40" s="126" t="n"/>
      <c r="L40" s="126" t="n"/>
      <c r="M40" s="126" t="n"/>
      <c r="N40" s="126" t="n"/>
      <c r="O40" s="126" t="n"/>
      <c r="P40" s="126" t="n"/>
      <c r="Q40" s="126" t="n"/>
      <c r="R40" s="126" t="n"/>
      <c r="S40" s="126" t="n"/>
      <c r="T40" s="126" t="n"/>
      <c r="U40" s="126" t="n"/>
      <c r="V40" s="126" t="n"/>
      <c r="W40" s="126" t="n"/>
    </row>
    <row r="41" ht="30" customHeight="1" s="36">
      <c r="A41" s="126" t="n"/>
      <c r="B41" s="126" t="n"/>
      <c r="C41" s="126" t="n"/>
      <c r="D41" s="126" t="n"/>
      <c r="E41" s="126" t="n"/>
      <c r="F41" s="126" t="n"/>
      <c r="G41" s="126" t="n"/>
      <c r="H41" s="126" t="n"/>
      <c r="I41" s="126" t="n"/>
      <c r="J41" s="126" t="n"/>
      <c r="K41" s="126" t="n"/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</row>
    <row r="42" ht="30" customHeight="1" s="36">
      <c r="A42" s="118" t="inlineStr">
        <is>
          <t>P2-6.666</t>
        </is>
      </c>
      <c r="B42" s="118" t="inlineStr">
        <is>
          <t>HGC-Lib-26099232</t>
        </is>
      </c>
      <c r="C42" s="118" t="n">
        <v>186.257</v>
      </c>
      <c r="D42" s="118" t="n">
        <v>3.333</v>
      </c>
      <c r="E42" s="118">
        <f>ROUND(D42*195.836675,3)</f>
        <v/>
      </c>
      <c r="F42" s="118">
        <f>ROUND(E42/C42,3)</f>
        <v/>
      </c>
      <c r="G42" s="119" t="n"/>
      <c r="H42" s="119" t="inlineStr">
        <is>
          <t>10x5′单细胞免疫组库</t>
        </is>
      </c>
      <c r="I42" s="119" t="n">
        <v>186.257</v>
      </c>
      <c r="J42" s="119" t="n"/>
      <c r="K42" s="119" t="n">
        <v>541</v>
      </c>
      <c r="L42" s="119" t="n"/>
      <c r="M42" s="119" t="n"/>
      <c r="N42" s="120">
        <f>G44/4.14</f>
        <v/>
      </c>
      <c r="O42" s="119" t="n">
        <v>550.5</v>
      </c>
      <c r="P42" s="119" t="n"/>
      <c r="Q42" s="119" t="inlineStr">
        <is>
          <t>PSM-ZM202606050014-0054</t>
        </is>
      </c>
      <c r="R42" s="119" t="inlineStr">
        <is>
          <t>武汉迈维代谢生物科技股份有限公司</t>
        </is>
      </c>
      <c r="S42" s="119" t="n"/>
      <c r="T42" s="119" t="n">
        <v>2</v>
      </c>
      <c r="U42" s="119" t="n"/>
      <c r="V42" s="119" t="inlineStr">
        <is>
          <t>B</t>
        </is>
      </c>
      <c r="W42" s="119" t="inlineStr">
        <is>
          <t>C</t>
        </is>
      </c>
    </row>
    <row r="43" ht="30" customHeight="1" s="36">
      <c r="A43" s="123" t="n"/>
      <c r="B43" s="118" t="inlineStr">
        <is>
          <t>HGC-Lib-26099233</t>
        </is>
      </c>
      <c r="C43" s="118" t="n">
        <v>186.728</v>
      </c>
      <c r="D43" s="118" t="n">
        <v>3.333</v>
      </c>
      <c r="E43" s="118">
        <f>ROUND(D43*195.836675,3)</f>
        <v/>
      </c>
      <c r="F43" s="118">
        <f>ROUND(E43/C43,3)</f>
        <v/>
      </c>
      <c r="G43" s="119" t="n"/>
      <c r="H43" s="119" t="inlineStr">
        <is>
          <t>10x5′单细胞免疫组库</t>
        </is>
      </c>
      <c r="I43" s="119" t="n">
        <v>186.728</v>
      </c>
      <c r="J43" s="119" t="n"/>
      <c r="K43" s="119" t="n">
        <v>560</v>
      </c>
      <c r="L43" s="119" t="n"/>
      <c r="M43" s="122">
        <f>F44*(4.14-1)</f>
        <v/>
      </c>
      <c r="N43" s="119" t="n"/>
      <c r="O43" s="119" t="n"/>
      <c r="P43" s="119" t="n"/>
      <c r="Q43" s="119" t="inlineStr">
        <is>
          <t>PSM-ZM202606050014-0054</t>
        </is>
      </c>
      <c r="R43" s="119" t="inlineStr">
        <is>
          <t>武汉迈维代谢生物科技股份有限公司</t>
        </is>
      </c>
      <c r="S43" s="119" t="n"/>
      <c r="T43" s="119" t="n">
        <v>2</v>
      </c>
      <c r="U43" s="119" t="n"/>
      <c r="V43" s="119" t="inlineStr">
        <is>
          <t>B</t>
        </is>
      </c>
      <c r="W43" s="119" t="inlineStr">
        <is>
          <t>C</t>
        </is>
      </c>
    </row>
    <row r="44" ht="30" customHeight="1" s="36">
      <c r="A44" s="124" t="n"/>
      <c r="B44" s="125" t="inlineStr">
        <is>
          <t>2</t>
        </is>
      </c>
      <c r="C44" s="124" t="n"/>
      <c r="D44" s="125">
        <f>SUM(D42:D43)</f>
        <v/>
      </c>
      <c r="E44" s="125">
        <f>SUM(E42:E43)</f>
        <v/>
      </c>
      <c r="F44" s="125">
        <f>SUM(F42:F43)</f>
        <v/>
      </c>
      <c r="G44" s="119">
        <f>ROUND(E44/F44,3)</f>
        <v/>
      </c>
      <c r="H44" s="126" t="n"/>
      <c r="I44" s="126" t="n"/>
      <c r="J44" s="126" t="n"/>
      <c r="K44" s="126" t="n"/>
      <c r="L44" s="126" t="n"/>
      <c r="M44" s="126" t="n"/>
      <c r="N44" s="126" t="n"/>
      <c r="O44" s="126" t="n"/>
      <c r="P44" s="126" t="n"/>
      <c r="Q44" s="126" t="n"/>
      <c r="R44" s="126" t="n"/>
      <c r="S44" s="126" t="n"/>
      <c r="T44" s="126" t="n"/>
      <c r="U44" s="126" t="n"/>
      <c r="V44" s="126" t="n"/>
      <c r="W44" s="126" t="n"/>
    </row>
    <row r="45" ht="30" customHeight="1" s="36">
      <c r="A45" s="126" t="n"/>
      <c r="B45" s="126" t="n"/>
      <c r="C45" s="126" t="n"/>
      <c r="D45" s="126" t="n"/>
      <c r="E45" s="126" t="n"/>
      <c r="F45" s="126" t="n"/>
      <c r="G45" s="126" t="n"/>
      <c r="H45" s="126" t="n"/>
      <c r="I45" s="126" t="n"/>
      <c r="J45" s="126" t="n"/>
      <c r="K45" s="126" t="n"/>
      <c r="L45" s="126" t="n"/>
      <c r="M45" s="126" t="n"/>
      <c r="N45" s="126" t="n"/>
      <c r="O45" s="126" t="n"/>
      <c r="P45" s="126" t="n"/>
      <c r="Q45" s="126" t="n"/>
      <c r="R45" s="126" t="n"/>
      <c r="S45" s="126" t="n"/>
      <c r="T45" s="126" t="n"/>
      <c r="U45" s="126" t="n"/>
      <c r="V45" s="126" t="n"/>
      <c r="W45" s="126" t="n"/>
    </row>
    <row r="46" ht="30" customHeight="1" s="36">
      <c r="A46" s="118" t="inlineStr">
        <is>
          <t>HGC-Lib-26099231</t>
        </is>
      </c>
      <c r="B46" s="118" t="inlineStr">
        <is>
          <t>HGC-Lib-26099231</t>
        </is>
      </c>
      <c r="C46" s="118" t="n">
        <v>240.259</v>
      </c>
      <c r="D46" s="118" t="n">
        <v>33.333</v>
      </c>
      <c r="E46" s="118">
        <f>ROUND(D46*3.603922,3)</f>
        <v/>
      </c>
      <c r="F46" s="118">
        <f>ROUND(E46/C46,3)</f>
        <v/>
      </c>
      <c r="G46" s="119" t="n"/>
      <c r="H46" s="119" t="inlineStr">
        <is>
          <t>10x5′单细胞免疫组库</t>
        </is>
      </c>
      <c r="I46" s="119" t="n">
        <v>240.259</v>
      </c>
      <c r="J46" s="119" t="n"/>
      <c r="K46" s="119" t="n">
        <v>421</v>
      </c>
      <c r="L46" s="119" t="n"/>
      <c r="M46" s="119" t="n"/>
      <c r="N46" s="119" t="n"/>
      <c r="O46" s="119" t="n">
        <v>421</v>
      </c>
      <c r="P46" s="119" t="n"/>
      <c r="Q46" s="119" t="inlineStr">
        <is>
          <t>PSM-ZM202606050014-0054</t>
        </is>
      </c>
      <c r="R46" s="119" t="inlineStr">
        <is>
          <t>武汉迈维代谢生物科技股份有限公司</t>
        </is>
      </c>
      <c r="S46" s="119" t="n"/>
      <c r="T46" s="119" t="n">
        <v>2</v>
      </c>
      <c r="U46" s="119" t="n"/>
      <c r="V46" s="119" t="inlineStr">
        <is>
          <t>B</t>
        </is>
      </c>
      <c r="W46" s="119" t="inlineStr">
        <is>
          <t>C</t>
        </is>
      </c>
    </row>
    <row r="47" ht="30" customHeight="1" s="36">
      <c r="A47" s="126" t="n"/>
      <c r="B47" s="126" t="n"/>
      <c r="C47" s="126" t="n"/>
      <c r="D47" s="126" t="n"/>
      <c r="E47" s="126" t="n"/>
      <c r="F47" s="126" t="n"/>
      <c r="G47" s="126" t="n"/>
      <c r="H47" s="126" t="n"/>
      <c r="I47" s="126" t="n"/>
      <c r="J47" s="126" t="n"/>
      <c r="K47" s="126" t="n"/>
      <c r="L47" s="126" t="n"/>
      <c r="M47" s="126" t="n"/>
      <c r="N47" s="126" t="n"/>
      <c r="O47" s="126" t="n"/>
      <c r="P47" s="126" t="n"/>
      <c r="Q47" s="126" t="n"/>
      <c r="R47" s="126" t="n"/>
      <c r="S47" s="126" t="n"/>
      <c r="T47" s="126" t="n"/>
      <c r="U47" s="126" t="n"/>
      <c r="V47" s="126" t="n"/>
      <c r="W47" s="126" t="n"/>
    </row>
    <row r="48" ht="30" customHeight="1" s="36">
      <c r="A48" s="118" t="inlineStr">
        <is>
          <t>P3-53.334</t>
        </is>
      </c>
      <c r="B48" s="118" t="inlineStr">
        <is>
          <t>HGC-Lib-26099712</t>
        </is>
      </c>
      <c r="C48" s="118" t="n">
        <v>103.165</v>
      </c>
      <c r="D48" s="118" t="n">
        <v>26.667</v>
      </c>
      <c r="E48" s="118">
        <f>ROUND(D48*15.868956,3)</f>
        <v/>
      </c>
      <c r="F48" s="118">
        <f>ROUND(E48/C48,3)</f>
        <v/>
      </c>
      <c r="G48" s="119" t="inlineStr">
        <is>
          <t>纯化</t>
        </is>
      </c>
      <c r="H48" s="119" t="inlineStr">
        <is>
          <t>10x5′单细胞免疫组库</t>
        </is>
      </c>
      <c r="I48" s="119" t="n">
        <v>103.165</v>
      </c>
      <c r="J48" s="119" t="n"/>
      <c r="K48" s="119" t="n">
        <v>417</v>
      </c>
      <c r="L48" s="119" t="n"/>
      <c r="M48" s="119" t="n"/>
      <c r="N48" s="120">
        <f>G50/2.69</f>
        <v/>
      </c>
      <c r="O48" s="119" t="n">
        <v>404.5</v>
      </c>
      <c r="P48" s="119" t="n"/>
      <c r="Q48" s="119" t="inlineStr">
        <is>
          <t>PSM-ZM202601040005-0019</t>
        </is>
      </c>
      <c r="R48" s="119" t="inlineStr">
        <is>
          <t>四川欣莱科生物科技有限公司</t>
        </is>
      </c>
      <c r="S48" s="119" t="n"/>
      <c r="T48" s="119" t="n">
        <v>3</v>
      </c>
      <c r="U48" s="119" t="n"/>
      <c r="V48" s="119" t="inlineStr">
        <is>
          <t>B</t>
        </is>
      </c>
      <c r="W48" s="119" t="inlineStr">
        <is>
          <t>B</t>
        </is>
      </c>
    </row>
    <row r="49" ht="30" customHeight="1" s="36">
      <c r="A49" s="123" t="n"/>
      <c r="B49" s="118" t="inlineStr">
        <is>
          <t>HGC-Lib-26099713</t>
        </is>
      </c>
      <c r="C49" s="118" t="n">
        <v>146.02</v>
      </c>
      <c r="D49" s="118" t="n">
        <v>26.667</v>
      </c>
      <c r="E49" s="118">
        <f>ROUND(D49*15.868956,3)</f>
        <v/>
      </c>
      <c r="F49" s="118">
        <f>ROUND(E49/C49,3)</f>
        <v/>
      </c>
      <c r="G49" s="119" t="n"/>
      <c r="H49" s="119" t="inlineStr">
        <is>
          <t>10x5′单细胞免疫组库</t>
        </is>
      </c>
      <c r="I49" s="119" t="n">
        <v>146.02</v>
      </c>
      <c r="J49" s="119" t="n"/>
      <c r="K49" s="119" t="n">
        <v>392</v>
      </c>
      <c r="L49" s="119" t="n"/>
      <c r="M49" s="122">
        <f>F50*(2.69-1)</f>
        <v/>
      </c>
      <c r="N49" s="119" t="n"/>
      <c r="O49" s="119" t="n"/>
      <c r="P49" s="119" t="n"/>
      <c r="Q49" s="119" t="inlineStr">
        <is>
          <t>PSM-ZM202601040005-0019</t>
        </is>
      </c>
      <c r="R49" s="119" t="inlineStr">
        <is>
          <t>四川欣莱科生物科技有限公司</t>
        </is>
      </c>
      <c r="S49" s="119" t="n"/>
      <c r="T49" s="119" t="n">
        <v>3</v>
      </c>
      <c r="U49" s="119" t="n"/>
      <c r="V49" s="119" t="inlineStr">
        <is>
          <t>A</t>
        </is>
      </c>
      <c r="W49" s="119" t="n"/>
    </row>
    <row r="50" ht="30" customHeight="1" s="36">
      <c r="A50" s="124" t="n"/>
      <c r="B50" s="125" t="inlineStr">
        <is>
          <t>2</t>
        </is>
      </c>
      <c r="C50" s="124" t="n"/>
      <c r="D50" s="125">
        <f>SUM(D48:D49)</f>
        <v/>
      </c>
      <c r="E50" s="125">
        <f>SUM(E48:E49)</f>
        <v/>
      </c>
      <c r="F50" s="125">
        <f>SUM(F48:F49)</f>
        <v/>
      </c>
      <c r="G50" s="119">
        <f>ROUND(E50/F50,3)</f>
        <v/>
      </c>
      <c r="H50" s="126" t="n"/>
      <c r="I50" s="126" t="n"/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26" t="n"/>
      <c r="S50" s="126" t="n"/>
      <c r="T50" s="126" t="n"/>
      <c r="U50" s="126" t="n"/>
      <c r="V50" s="126" t="n"/>
      <c r="W50" s="126" t="n"/>
    </row>
    <row r="51" ht="30" customHeight="1" s="36">
      <c r="A51" s="126" t="n"/>
      <c r="B51" s="126" t="n"/>
      <c r="C51" s="126" t="n"/>
      <c r="D51" s="126" t="n"/>
      <c r="E51" s="126" t="n"/>
      <c r="F51" s="126" t="n"/>
      <c r="G51" s="126" t="n"/>
      <c r="H51" s="126" t="n"/>
      <c r="I51" s="126" t="n"/>
      <c r="J51" s="126" t="n"/>
      <c r="K51" s="126" t="n"/>
      <c r="L51" s="126" t="n"/>
      <c r="M51" s="126" t="n"/>
      <c r="N51" s="126" t="n"/>
      <c r="O51" s="126" t="n"/>
      <c r="P51" s="126" t="n"/>
      <c r="Q51" s="126" t="n"/>
      <c r="R51" s="126" t="n"/>
      <c r="S51" s="126" t="n"/>
      <c r="T51" s="126" t="n"/>
      <c r="U51" s="126" t="n"/>
      <c r="V51" s="126" t="n"/>
      <c r="W51" s="126" t="n"/>
    </row>
    <row r="52" ht="30" customHeight="1" s="36">
      <c r="A52" s="118" t="inlineStr">
        <is>
          <t>P3-173.332</t>
        </is>
      </c>
      <c r="B52" s="118" t="inlineStr">
        <is>
          <t>HGC-Lib-26098928</t>
        </is>
      </c>
      <c r="C52" s="118" t="n">
        <v>27</v>
      </c>
      <c r="D52" s="118" t="n">
        <v>33.333</v>
      </c>
      <c r="E52" s="118">
        <f>ROUND(D52*2.594870,3)</f>
        <v/>
      </c>
      <c r="F52" s="118">
        <f>ROUND(E52/C52,3)</f>
        <v/>
      </c>
      <c r="G52" s="119" t="inlineStr">
        <is>
          <t>纯化</t>
        </is>
      </c>
      <c r="H52" s="119" t="inlineStr">
        <is>
          <t>10x5′单细胞免疫组库</t>
        </is>
      </c>
      <c r="I52" s="119" t="n">
        <v>27</v>
      </c>
      <c r="J52" s="119" t="n"/>
      <c r="K52" s="119" t="n"/>
      <c r="L52" s="119" t="n"/>
      <c r="M52" s="120">
        <f>G58/2.05</f>
        <v/>
      </c>
      <c r="N52" s="119" t="n"/>
      <c r="O52" s="119" t="n"/>
      <c r="P52" s="119" t="n"/>
      <c r="Q52" s="119" t="inlineStr">
        <is>
          <t>PSM-ZM202606090002-0072</t>
        </is>
      </c>
      <c r="R52" s="119" t="inlineStr">
        <is>
          <t>广州承启生物科技有限公司</t>
        </is>
      </c>
      <c r="S52" s="119" t="n"/>
      <c r="T52" s="119" t="n">
        <v>3</v>
      </c>
      <c r="U52" s="119" t="inlineStr">
        <is>
          <t>纯化</t>
        </is>
      </c>
      <c r="V52" s="119" t="n"/>
      <c r="W52" s="119" t="n"/>
    </row>
    <row r="53" ht="30" customHeight="1" s="36">
      <c r="A53" s="121" t="n"/>
      <c r="B53" s="118" t="inlineStr">
        <is>
          <t>HGC-Lib-26098929</t>
        </is>
      </c>
      <c r="C53" s="118" t="n">
        <v>23.8</v>
      </c>
      <c r="D53" s="118" t="n">
        <v>33.333</v>
      </c>
      <c r="E53" s="118">
        <f>ROUND(D53*2.594870,3)</f>
        <v/>
      </c>
      <c r="F53" s="118">
        <f>ROUND(E53/C53,3)</f>
        <v/>
      </c>
      <c r="G53" s="119" t="n"/>
      <c r="H53" s="119" t="inlineStr">
        <is>
          <t>10x5′单细胞免疫组库</t>
        </is>
      </c>
      <c r="I53" s="119" t="n">
        <v>23.8</v>
      </c>
      <c r="J53" s="119" t="n"/>
      <c r="K53" s="119" t="n"/>
      <c r="L53" s="119" t="n"/>
      <c r="M53" s="122">
        <f>F58*(2.05-1)</f>
        <v/>
      </c>
      <c r="N53" s="119" t="n"/>
      <c r="O53" s="119" t="n"/>
      <c r="P53" s="119" t="n"/>
      <c r="Q53" s="119" t="inlineStr">
        <is>
          <t>PSM-ZM202606090002-0072</t>
        </is>
      </c>
      <c r="R53" s="119" t="inlineStr">
        <is>
          <t>广州承启生物科技有限公司</t>
        </is>
      </c>
      <c r="S53" s="119" t="n"/>
      <c r="T53" s="119" t="n">
        <v>3</v>
      </c>
      <c r="U53" s="119" t="inlineStr">
        <is>
          <t>纯化</t>
        </is>
      </c>
      <c r="V53" s="119" t="n"/>
      <c r="W53" s="119" t="n"/>
    </row>
    <row r="54" ht="30" customHeight="1" s="36">
      <c r="A54" s="121" t="n"/>
      <c r="B54" s="118" t="inlineStr">
        <is>
          <t>HGC-Lib-26098930</t>
        </is>
      </c>
      <c r="C54" s="118" t="n">
        <v>21.2</v>
      </c>
      <c r="D54" s="118" t="n">
        <v>33.333</v>
      </c>
      <c r="E54" s="118">
        <f>ROUND(D54*2.594870,3)</f>
        <v/>
      </c>
      <c r="F54" s="118">
        <f>ROUND(E54/C54,3)</f>
        <v/>
      </c>
      <c r="G54" s="119" t="n"/>
      <c r="H54" s="119" t="inlineStr">
        <is>
          <t>10x5′单细胞免疫组库</t>
        </is>
      </c>
      <c r="I54" s="119" t="n">
        <v>21.2</v>
      </c>
      <c r="J54" s="119" t="n"/>
      <c r="K54" s="119" t="n"/>
      <c r="L54" s="119" t="n"/>
      <c r="M54" s="119" t="n"/>
      <c r="N54" s="119" t="n"/>
      <c r="O54" s="119" t="n"/>
      <c r="P54" s="119" t="n"/>
      <c r="Q54" s="119" t="inlineStr">
        <is>
          <t>PSM-ZM202606090002-0072</t>
        </is>
      </c>
      <c r="R54" s="119" t="inlineStr">
        <is>
          <t>广州承启生物科技有限公司</t>
        </is>
      </c>
      <c r="S54" s="119" t="n"/>
      <c r="T54" s="119" t="n">
        <v>3</v>
      </c>
      <c r="U54" s="119" t="inlineStr">
        <is>
          <t>纯化</t>
        </is>
      </c>
      <c r="V54" s="119" t="n"/>
      <c r="W54" s="119" t="n"/>
    </row>
    <row r="55" ht="30" customHeight="1" s="36">
      <c r="A55" s="121" t="n"/>
      <c r="B55" s="118" t="inlineStr">
        <is>
          <t>HGC-Lib-26098933</t>
        </is>
      </c>
      <c r="C55" s="118" t="n">
        <v>34.6</v>
      </c>
      <c r="D55" s="118" t="n">
        <v>6.667</v>
      </c>
      <c r="E55" s="118">
        <f>ROUND(D55*2.594870,3)</f>
        <v/>
      </c>
      <c r="F55" s="118">
        <f>ROUND(E55/C55,3)</f>
        <v/>
      </c>
      <c r="G55" s="119" t="n"/>
      <c r="H55" s="119" t="inlineStr">
        <is>
          <t>10x5′单细胞免疫组库</t>
        </is>
      </c>
      <c r="I55" s="119" t="n">
        <v>34.6</v>
      </c>
      <c r="J55" s="119" t="n"/>
      <c r="K55" s="119" t="n"/>
      <c r="L55" s="119" t="n"/>
      <c r="M55" s="119" t="n"/>
      <c r="N55" s="119" t="n"/>
      <c r="O55" s="119" t="n"/>
      <c r="P55" s="119" t="n"/>
      <c r="Q55" s="119" t="inlineStr">
        <is>
          <t>PSM-ZM202606090002-0072</t>
        </is>
      </c>
      <c r="R55" s="119" t="inlineStr">
        <is>
          <t>广州承启生物科技有限公司</t>
        </is>
      </c>
      <c r="S55" s="119" t="n"/>
      <c r="T55" s="119" t="n">
        <v>3</v>
      </c>
      <c r="U55" s="119" t="inlineStr">
        <is>
          <t>纯化</t>
        </is>
      </c>
      <c r="V55" s="119" t="n"/>
      <c r="W55" s="119" t="n"/>
    </row>
    <row r="56" ht="30" customHeight="1" s="36">
      <c r="A56" s="121" t="n"/>
      <c r="B56" s="118" t="inlineStr">
        <is>
          <t>HGC-Lib-26099044</t>
        </is>
      </c>
      <c r="C56" s="118" t="n">
        <v>24.4</v>
      </c>
      <c r="D56" s="118" t="n">
        <v>33.333</v>
      </c>
      <c r="E56" s="118">
        <f>ROUND(D56*2.594870,3)</f>
        <v/>
      </c>
      <c r="F56" s="118">
        <f>ROUND(E56/C56,3)</f>
        <v/>
      </c>
      <c r="G56" s="119" t="n"/>
      <c r="H56" s="119" t="inlineStr">
        <is>
          <t>10x5′单细胞免疫组库</t>
        </is>
      </c>
      <c r="I56" s="119" t="n">
        <v>24.4</v>
      </c>
      <c r="J56" s="119" t="n"/>
      <c r="K56" s="119" t="n"/>
      <c r="L56" s="119" t="n"/>
      <c r="M56" s="119" t="n"/>
      <c r="N56" s="119" t="n"/>
      <c r="O56" s="119" t="n"/>
      <c r="P56" s="119" t="n"/>
      <c r="Q56" s="119" t="inlineStr">
        <is>
          <t>PSM-ZM202606090002-0077</t>
        </is>
      </c>
      <c r="R56" s="119" t="inlineStr">
        <is>
          <t>广州承启生物科技有限公司</t>
        </is>
      </c>
      <c r="S56" s="119" t="n"/>
      <c r="T56" s="119" t="n">
        <v>3</v>
      </c>
      <c r="U56" s="119" t="n"/>
      <c r="V56" s="119" t="n"/>
      <c r="W56" s="119" t="n"/>
    </row>
    <row r="57" ht="30" customHeight="1" s="36">
      <c r="A57" s="123" t="n"/>
      <c r="B57" s="118" t="inlineStr">
        <is>
          <t>HGC-Lib-26100105</t>
        </is>
      </c>
      <c r="C57" s="118" t="n">
        <v>33.6</v>
      </c>
      <c r="D57" s="118" t="n">
        <v>33.333</v>
      </c>
      <c r="E57" s="118">
        <f>ROUND(D57*2.594870,3)</f>
        <v/>
      </c>
      <c r="F57" s="118">
        <f>ROUND(E57/C57,3)</f>
        <v/>
      </c>
      <c r="G57" s="119" t="n"/>
      <c r="H57" s="119" t="inlineStr">
        <is>
          <t>10x5′单细胞免疫组库</t>
        </is>
      </c>
      <c r="I57" s="119" t="n">
        <v>33.6</v>
      </c>
      <c r="J57" s="119" t="n"/>
      <c r="K57" s="119" t="n"/>
      <c r="L57" s="119" t="n"/>
      <c r="M57" s="119" t="n"/>
      <c r="N57" s="119" t="n"/>
      <c r="O57" s="119" t="n"/>
      <c r="P57" s="119" t="n"/>
      <c r="Q57" s="119" t="inlineStr">
        <is>
          <t>PSM-ZM202606090002-0081</t>
        </is>
      </c>
      <c r="R57" s="119" t="inlineStr">
        <is>
          <t>广州承启生物科技有限公司</t>
        </is>
      </c>
      <c r="S57" s="119" t="inlineStr">
        <is>
          <t>加急</t>
        </is>
      </c>
      <c r="T57" s="119" t="n">
        <v>3</v>
      </c>
      <c r="U57" s="119" t="n"/>
      <c r="V57" s="119" t="n"/>
      <c r="W57" s="119" t="n"/>
    </row>
    <row r="58" ht="30" customHeight="1" s="36">
      <c r="A58" s="124" t="n"/>
      <c r="B58" s="125" t="inlineStr">
        <is>
          <t>6</t>
        </is>
      </c>
      <c r="C58" s="124" t="n"/>
      <c r="D58" s="125">
        <f>SUM(D52:D57)</f>
        <v/>
      </c>
      <c r="E58" s="125">
        <f>SUM(E52:E57)</f>
        <v/>
      </c>
      <c r="F58" s="125">
        <f>SUM(F52:F57)</f>
        <v/>
      </c>
      <c r="G58" s="119">
        <f>ROUND(E58/F58,3)</f>
        <v/>
      </c>
      <c r="H58" s="126" t="n"/>
      <c r="I58" s="126" t="n"/>
      <c r="J58" s="126" t="n"/>
      <c r="K58" s="126" t="n"/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26" t="n"/>
      <c r="V58" s="126" t="n"/>
      <c r="W58" s="126" t="n"/>
    </row>
    <row r="59" ht="30" customHeight="1" s="36">
      <c r="A59" s="126" t="n"/>
      <c r="B59" s="126" t="n"/>
      <c r="C59" s="126" t="n"/>
      <c r="D59" s="126" t="n"/>
      <c r="E59" s="126" t="n"/>
      <c r="F59" s="126" t="n"/>
      <c r="G59" s="126" t="n"/>
      <c r="H59" s="126" t="n"/>
      <c r="I59" s="126" t="n"/>
      <c r="J59" s="126" t="n"/>
      <c r="K59" s="126" t="n"/>
      <c r="L59" s="126" t="n"/>
      <c r="M59" s="126" t="n"/>
      <c r="N59" s="126" t="n"/>
      <c r="O59" s="126" t="n"/>
      <c r="P59" s="126" t="n"/>
      <c r="Q59" s="126" t="n"/>
      <c r="R59" s="126" t="n"/>
      <c r="S59" s="126" t="n"/>
      <c r="T59" s="126" t="n"/>
      <c r="U59" s="126" t="n"/>
      <c r="V59" s="126" t="n"/>
      <c r="W59" s="126" t="n"/>
    </row>
    <row r="60" ht="30" customHeight="1" s="36">
      <c r="A60" s="118" t="inlineStr">
        <is>
          <t>P3-16.667</t>
        </is>
      </c>
      <c r="B60" s="118" t="inlineStr">
        <is>
          <t>HGC-Lib-26098931</t>
        </is>
      </c>
      <c r="C60" s="118" t="n">
        <v>77.40000000000001</v>
      </c>
      <c r="D60" s="118" t="n">
        <v>6.667</v>
      </c>
      <c r="E60" s="118">
        <f>ROUND(D60*22.695034,3)</f>
        <v/>
      </c>
      <c r="F60" s="118">
        <f>ROUND(E60/C60,3)</f>
        <v/>
      </c>
      <c r="G60" s="119" t="inlineStr">
        <is>
          <t>纯化</t>
        </is>
      </c>
      <c r="H60" s="119" t="inlineStr">
        <is>
          <t>10x5′单细胞免疫组库</t>
        </is>
      </c>
      <c r="I60" s="119" t="n">
        <v>77.40000000000001</v>
      </c>
      <c r="J60" s="119" t="n"/>
      <c r="K60" s="119" t="n"/>
      <c r="L60" s="119" t="n"/>
      <c r="M60" s="120">
        <f>G63/4.32</f>
        <v/>
      </c>
      <c r="N60" s="119" t="n"/>
      <c r="O60" s="119" t="n"/>
      <c r="P60" s="119" t="n"/>
      <c r="Q60" s="119" t="inlineStr">
        <is>
          <t>PSM-ZM202606090002-0072</t>
        </is>
      </c>
      <c r="R60" s="119" t="inlineStr">
        <is>
          <t>广州承启生物科技有限公司</t>
        </is>
      </c>
      <c r="S60" s="119" t="n"/>
      <c r="T60" s="119" t="n">
        <v>3</v>
      </c>
      <c r="U60" s="119" t="inlineStr">
        <is>
          <t>纯化</t>
        </is>
      </c>
      <c r="V60" s="119" t="n"/>
      <c r="W60" s="119" t="n"/>
    </row>
    <row r="61" ht="30" customHeight="1" s="36">
      <c r="A61" s="121" t="n"/>
      <c r="B61" s="118" t="inlineStr">
        <is>
          <t>HGC-Lib-26098932</t>
        </is>
      </c>
      <c r="C61" s="118" t="n">
        <v>71.59999999999999</v>
      </c>
      <c r="D61" s="118" t="n">
        <v>6.667</v>
      </c>
      <c r="E61" s="118">
        <f>ROUND(D61*22.695034,3)</f>
        <v/>
      </c>
      <c r="F61" s="118">
        <f>ROUND(E61/C61,3)</f>
        <v/>
      </c>
      <c r="G61" s="119" t="n"/>
      <c r="H61" s="119" t="inlineStr">
        <is>
          <t>10x5′单细胞免疫组库</t>
        </is>
      </c>
      <c r="I61" s="119" t="n">
        <v>71.59999999999999</v>
      </c>
      <c r="J61" s="119" t="n"/>
      <c r="K61" s="119" t="n"/>
      <c r="L61" s="119" t="n"/>
      <c r="M61" s="122">
        <f>F63*(4.32-1)</f>
        <v/>
      </c>
      <c r="N61" s="119" t="n"/>
      <c r="O61" s="119" t="n"/>
      <c r="P61" s="119" t="n"/>
      <c r="Q61" s="119" t="inlineStr">
        <is>
          <t>PSM-ZM202606090002-0072</t>
        </is>
      </c>
      <c r="R61" s="119" t="inlineStr">
        <is>
          <t>广州承启生物科技有限公司</t>
        </is>
      </c>
      <c r="S61" s="119" t="n"/>
      <c r="T61" s="119" t="n">
        <v>3</v>
      </c>
      <c r="U61" s="119" t="inlineStr">
        <is>
          <t>纯化</t>
        </is>
      </c>
      <c r="V61" s="119" t="n"/>
      <c r="W61" s="119" t="n"/>
    </row>
    <row r="62" ht="30" customHeight="1" s="36">
      <c r="A62" s="123" t="n"/>
      <c r="B62" s="118" t="inlineStr">
        <is>
          <t>HGC-Lib-26100106</t>
        </is>
      </c>
      <c r="C62" s="118" t="n">
        <v>25.8</v>
      </c>
      <c r="D62" s="118" t="n">
        <v>3.333</v>
      </c>
      <c r="E62" s="118">
        <f>ROUND(D62*22.695034,3)</f>
        <v/>
      </c>
      <c r="F62" s="118">
        <f>ROUND(E62/C62,3)</f>
        <v/>
      </c>
      <c r="G62" s="119" t="n"/>
      <c r="H62" s="119" t="inlineStr">
        <is>
          <t>10x5′单细胞免疫组库</t>
        </is>
      </c>
      <c r="I62" s="119" t="n">
        <v>25.8</v>
      </c>
      <c r="J62" s="119" t="n"/>
      <c r="K62" s="119" t="n"/>
      <c r="L62" s="119" t="n"/>
      <c r="M62" s="119" t="n"/>
      <c r="N62" s="119" t="n"/>
      <c r="O62" s="119" t="n"/>
      <c r="P62" s="119" t="n"/>
      <c r="Q62" s="119" t="inlineStr">
        <is>
          <t>PSM-ZM202606090002-0081</t>
        </is>
      </c>
      <c r="R62" s="119" t="inlineStr">
        <is>
          <t>广州承启生物科技有限公司</t>
        </is>
      </c>
      <c r="S62" s="119" t="inlineStr">
        <is>
          <t>加急</t>
        </is>
      </c>
      <c r="T62" s="119" t="n">
        <v>3</v>
      </c>
      <c r="U62" s="119" t="n"/>
      <c r="V62" s="119" t="n"/>
      <c r="W62" s="119" t="n"/>
    </row>
    <row r="63" ht="30" customHeight="1" s="36">
      <c r="A63" s="124" t="n"/>
      <c r="B63" s="125" t="inlineStr">
        <is>
          <t>3</t>
        </is>
      </c>
      <c r="C63" s="124" t="n"/>
      <c r="D63" s="125">
        <f>SUM(D60:D62)</f>
        <v/>
      </c>
      <c r="E63" s="125">
        <f>SUM(E60:E62)</f>
        <v/>
      </c>
      <c r="F63" s="125">
        <f>SUM(F60:F62)</f>
        <v/>
      </c>
      <c r="G63" s="119">
        <f>ROUND(E63/F63,3)</f>
        <v/>
      </c>
      <c r="H63" s="126" t="n"/>
      <c r="I63" s="126" t="n"/>
      <c r="J63" s="126" t="n"/>
      <c r="K63" s="126" t="n"/>
      <c r="L63" s="126" t="n"/>
      <c r="M63" s="126" t="n"/>
      <c r="N63" s="126" t="n"/>
      <c r="O63" s="126" t="n"/>
      <c r="P63" s="126" t="n"/>
      <c r="Q63" s="126" t="n"/>
      <c r="R63" s="126" t="n"/>
      <c r="S63" s="126" t="n"/>
      <c r="T63" s="126" t="n"/>
      <c r="U63" s="126" t="n"/>
      <c r="V63" s="126" t="n"/>
      <c r="W63" s="126" t="n"/>
    </row>
    <row r="64" ht="30" customHeight="1" s="36">
      <c r="A64" s="126" t="n"/>
      <c r="B64" s="126" t="n"/>
      <c r="C64" s="126" t="n"/>
      <c r="D64" s="126" t="n"/>
      <c r="E64" s="126" t="n"/>
      <c r="F64" s="126" t="n"/>
      <c r="G64" s="126" t="n"/>
      <c r="H64" s="126" t="n"/>
      <c r="I64" s="126" t="n"/>
      <c r="J64" s="126" t="n"/>
      <c r="K64" s="126" t="n"/>
      <c r="L64" s="126" t="n"/>
      <c r="M64" s="126" t="n"/>
      <c r="N64" s="126" t="n"/>
      <c r="O64" s="126" t="n"/>
      <c r="P64" s="126" t="n"/>
      <c r="Q64" s="126" t="n"/>
      <c r="R64" s="126" t="n"/>
      <c r="S64" s="126" t="n"/>
      <c r="T64" s="126" t="n"/>
      <c r="U64" s="126" t="n"/>
      <c r="V64" s="126" t="n"/>
      <c r="W64" s="126" t="n"/>
    </row>
    <row r="65" ht="30" customHeight="1" s="36">
      <c r="A65" s="118" t="inlineStr">
        <is>
          <t>P3-6.666</t>
        </is>
      </c>
      <c r="B65" s="118" t="inlineStr">
        <is>
          <t>HGC-Lib-26099232</t>
        </is>
      </c>
      <c r="C65" s="118" t="n">
        <v>186.257</v>
      </c>
      <c r="D65" s="118" t="n">
        <v>3.333</v>
      </c>
      <c r="E65" s="118">
        <f>ROUND(D65*195.836675,3)</f>
        <v/>
      </c>
      <c r="F65" s="118">
        <f>ROUND(E65/C65,3)</f>
        <v/>
      </c>
      <c r="G65" s="119" t="n"/>
      <c r="H65" s="119" t="inlineStr">
        <is>
          <t>10x5′单细胞免疫组库</t>
        </is>
      </c>
      <c r="I65" s="119" t="n">
        <v>186.257</v>
      </c>
      <c r="J65" s="119" t="n"/>
      <c r="K65" s="119" t="n">
        <v>541</v>
      </c>
      <c r="L65" s="119" t="n"/>
      <c r="M65" s="119" t="n"/>
      <c r="N65" s="120">
        <f>G67/4.14</f>
        <v/>
      </c>
      <c r="O65" s="119" t="n">
        <v>550.5</v>
      </c>
      <c r="P65" s="119" t="n"/>
      <c r="Q65" s="119" t="inlineStr">
        <is>
          <t>PSM-ZM202606050014-0054</t>
        </is>
      </c>
      <c r="R65" s="119" t="inlineStr">
        <is>
          <t>武汉迈维代谢生物科技股份有限公司</t>
        </is>
      </c>
      <c r="S65" s="119" t="n"/>
      <c r="T65" s="119" t="n">
        <v>3</v>
      </c>
      <c r="U65" s="119" t="n"/>
      <c r="V65" s="119" t="inlineStr">
        <is>
          <t>B</t>
        </is>
      </c>
      <c r="W65" s="119" t="inlineStr">
        <is>
          <t>C</t>
        </is>
      </c>
    </row>
    <row r="66" ht="30" customHeight="1" s="36">
      <c r="A66" s="123" t="n"/>
      <c r="B66" s="118" t="inlineStr">
        <is>
          <t>HGC-Lib-26099233</t>
        </is>
      </c>
      <c r="C66" s="118" t="n">
        <v>186.728</v>
      </c>
      <c r="D66" s="118" t="n">
        <v>3.333</v>
      </c>
      <c r="E66" s="118">
        <f>ROUND(D66*195.836675,3)</f>
        <v/>
      </c>
      <c r="F66" s="118">
        <f>ROUND(E66/C66,3)</f>
        <v/>
      </c>
      <c r="G66" s="119" t="n"/>
      <c r="H66" s="119" t="inlineStr">
        <is>
          <t>10x5′单细胞免疫组库</t>
        </is>
      </c>
      <c r="I66" s="119" t="n">
        <v>186.728</v>
      </c>
      <c r="J66" s="119" t="n"/>
      <c r="K66" s="119" t="n">
        <v>560</v>
      </c>
      <c r="L66" s="119" t="n"/>
      <c r="M66" s="122">
        <f>F67*(4.14-1)</f>
        <v/>
      </c>
      <c r="N66" s="119" t="n"/>
      <c r="O66" s="119" t="n"/>
      <c r="P66" s="119" t="n"/>
      <c r="Q66" s="119" t="inlineStr">
        <is>
          <t>PSM-ZM202606050014-0054</t>
        </is>
      </c>
      <c r="R66" s="119" t="inlineStr">
        <is>
          <t>武汉迈维代谢生物科技股份有限公司</t>
        </is>
      </c>
      <c r="S66" s="119" t="n"/>
      <c r="T66" s="119" t="n">
        <v>3</v>
      </c>
      <c r="U66" s="119" t="n"/>
      <c r="V66" s="119" t="inlineStr">
        <is>
          <t>B</t>
        </is>
      </c>
      <c r="W66" s="119" t="inlineStr">
        <is>
          <t>C</t>
        </is>
      </c>
    </row>
    <row r="67" ht="30" customHeight="1" s="36">
      <c r="A67" s="124" t="n"/>
      <c r="B67" s="125" t="inlineStr">
        <is>
          <t>2</t>
        </is>
      </c>
      <c r="C67" s="124" t="n"/>
      <c r="D67" s="125">
        <f>SUM(D65:D66)</f>
        <v/>
      </c>
      <c r="E67" s="125">
        <f>SUM(E65:E66)</f>
        <v/>
      </c>
      <c r="F67" s="125">
        <f>SUM(F65:F66)</f>
        <v/>
      </c>
      <c r="G67" s="119">
        <f>ROUND(E67/F67,3)</f>
        <v/>
      </c>
      <c r="H67" s="126" t="n"/>
      <c r="I67" s="126" t="n"/>
      <c r="J67" s="126" t="n"/>
      <c r="K67" s="126" t="n"/>
      <c r="L67" s="126" t="n"/>
      <c r="M67" s="126" t="n"/>
      <c r="N67" s="126" t="n"/>
      <c r="O67" s="126" t="n"/>
      <c r="P67" s="126" t="n"/>
      <c r="Q67" s="126" t="n"/>
      <c r="R67" s="126" t="n"/>
      <c r="S67" s="126" t="n"/>
      <c r="T67" s="126" t="n"/>
      <c r="U67" s="126" t="n"/>
      <c r="V67" s="126" t="n"/>
      <c r="W67" s="126" t="n"/>
    </row>
    <row r="68" ht="30" customHeight="1" s="36">
      <c r="A68" s="126" t="n"/>
      <c r="B68" s="126" t="n"/>
      <c r="C68" s="126" t="n"/>
      <c r="D68" s="126" t="n"/>
      <c r="E68" s="126" t="n"/>
      <c r="F68" s="126" t="n"/>
      <c r="G68" s="126" t="n"/>
      <c r="H68" s="126" t="n"/>
      <c r="I68" s="126" t="n"/>
      <c r="J68" s="126" t="n"/>
      <c r="K68" s="126" t="n"/>
      <c r="L68" s="126" t="n"/>
      <c r="M68" s="126" t="n"/>
      <c r="N68" s="126" t="n"/>
      <c r="O68" s="126" t="n"/>
      <c r="P68" s="126" t="n"/>
      <c r="Q68" s="126" t="n"/>
      <c r="R68" s="126" t="n"/>
      <c r="S68" s="126" t="n"/>
      <c r="T68" s="126" t="n"/>
      <c r="U68" s="126" t="n"/>
      <c r="V68" s="126" t="n"/>
      <c r="W68" s="126" t="n"/>
    </row>
    <row r="69" ht="30" customHeight="1" s="36">
      <c r="A69" s="118" t="inlineStr">
        <is>
          <t>HGC-Lib-26099231</t>
        </is>
      </c>
      <c r="B69" s="118" t="inlineStr">
        <is>
          <t>HGC-Lib-26099231</t>
        </is>
      </c>
      <c r="C69" s="118" t="n">
        <v>240.259</v>
      </c>
      <c r="D69" s="118" t="n">
        <v>33.333</v>
      </c>
      <c r="E69" s="118">
        <f>ROUND(D69*3.603922,3)</f>
        <v/>
      </c>
      <c r="F69" s="118">
        <f>ROUND(E69/C69,3)</f>
        <v/>
      </c>
      <c r="G69" s="119" t="n"/>
      <c r="H69" s="119" t="inlineStr">
        <is>
          <t>10x5′单细胞免疫组库</t>
        </is>
      </c>
      <c r="I69" s="119" t="n">
        <v>240.259</v>
      </c>
      <c r="J69" s="119" t="n"/>
      <c r="K69" s="119" t="n">
        <v>421</v>
      </c>
      <c r="L69" s="119" t="n"/>
      <c r="M69" s="119" t="n"/>
      <c r="N69" s="119" t="n"/>
      <c r="O69" s="119" t="n">
        <v>421</v>
      </c>
      <c r="P69" s="119" t="n"/>
      <c r="Q69" s="119" t="inlineStr">
        <is>
          <t>PSM-ZM202606050014-0054</t>
        </is>
      </c>
      <c r="R69" s="119" t="inlineStr">
        <is>
          <t>武汉迈维代谢生物科技股份有限公司</t>
        </is>
      </c>
      <c r="S69" s="119" t="n"/>
      <c r="T69" s="119" t="n">
        <v>3</v>
      </c>
      <c r="U69" s="119" t="n"/>
      <c r="V69" s="119" t="inlineStr">
        <is>
          <t>B</t>
        </is>
      </c>
      <c r="W69" s="119" t="inlineStr">
        <is>
          <t>C</t>
        </is>
      </c>
    </row>
    <row r="70" ht="30" customHeight="1" s="36">
      <c r="A70" s="126" t="n"/>
      <c r="B70" s="126" t="n"/>
      <c r="C70" s="126" t="n"/>
      <c r="D70" s="126" t="n"/>
      <c r="E70" s="126" t="n"/>
      <c r="F70" s="126" t="n"/>
      <c r="G70" s="126" t="n"/>
      <c r="H70" s="126" t="n"/>
      <c r="I70" s="126" t="n"/>
      <c r="J70" s="126" t="n"/>
      <c r="K70" s="126" t="n"/>
      <c r="L70" s="126" t="n"/>
      <c r="M70" s="126" t="n"/>
      <c r="N70" s="126" t="n"/>
      <c r="O70" s="126" t="n"/>
      <c r="P70" s="126" t="n"/>
      <c r="Q70" s="126" t="n"/>
      <c r="R70" s="126" t="n"/>
      <c r="S70" s="126" t="n"/>
      <c r="T70" s="126" t="n"/>
      <c r="U70" s="126" t="n"/>
      <c r="V70" s="126" t="n"/>
      <c r="W70" s="126" t="n"/>
    </row>
    <row r="71" ht="30" customHeight="1" s="36">
      <c r="A71" s="118" t="inlineStr">
        <is>
          <t>P4-5.867</t>
        </is>
      </c>
      <c r="B71" s="118" t="inlineStr">
        <is>
          <t>HGC-26095256</t>
        </is>
      </c>
      <c r="C71" s="118" t="n">
        <v>24.06</v>
      </c>
      <c r="D71" s="118" t="n">
        <v>1.065</v>
      </c>
      <c r="E71" s="118">
        <f>ROUND(D71*15.391461,3)</f>
        <v/>
      </c>
      <c r="F71" s="118">
        <f>ROUND(E71/C71,3)</f>
        <v/>
      </c>
      <c r="G71" s="119" t="n"/>
      <c r="H71" s="119" t="inlineStr">
        <is>
          <t>WGS</t>
        </is>
      </c>
      <c r="I71" s="119" t="n"/>
      <c r="J71" s="119" t="n"/>
      <c r="K71" s="119" t="n">
        <v>300</v>
      </c>
      <c r="L71" s="119" t="inlineStr">
        <is>
          <t>文库片段小</t>
        </is>
      </c>
      <c r="M71" s="120">
        <f>G76</f>
        <v/>
      </c>
      <c r="N71" s="119" t="n"/>
      <c r="O71" s="119" t="n">
        <v>298</v>
      </c>
      <c r="P71" s="119" t="n"/>
      <c r="Q71" s="119" t="inlineStr">
        <is>
          <t>PSM-ZM202607230003-0001</t>
        </is>
      </c>
      <c r="R71" s="119" t="inlineStr">
        <is>
          <t>北京百迈客生物科技有限公司</t>
        </is>
      </c>
      <c r="S71" s="119" t="inlineStr">
        <is>
          <t>补测_260803_LH00348_0660_A23NNVVLT4</t>
        </is>
      </c>
      <c r="T71" s="119" t="n">
        <v>4</v>
      </c>
      <c r="U71" s="119" t="n"/>
      <c r="V71" s="119" t="n"/>
      <c r="W71" s="119" t="n"/>
    </row>
    <row r="72" ht="30" customHeight="1" s="36">
      <c r="A72" s="121" t="n"/>
      <c r="B72" s="118" t="inlineStr">
        <is>
          <t>HGC-26095258</t>
        </is>
      </c>
      <c r="C72" s="118" t="n">
        <v>23.18</v>
      </c>
      <c r="D72" s="118" t="n">
        <v>0.889</v>
      </c>
      <c r="E72" s="118">
        <f>ROUND(D72*15.391461,3)</f>
        <v/>
      </c>
      <c r="F72" s="118">
        <f>ROUND(E72/C72,3)</f>
        <v/>
      </c>
      <c r="G72" s="119" t="n"/>
      <c r="H72" s="119" t="inlineStr">
        <is>
          <t>WGS</t>
        </is>
      </c>
      <c r="I72" s="119" t="n"/>
      <c r="J72" s="119" t="n"/>
      <c r="K72" s="119" t="n">
        <v>300</v>
      </c>
      <c r="L72" s="119" t="inlineStr">
        <is>
          <t>文库片段小</t>
        </is>
      </c>
      <c r="M72" s="119" t="n"/>
      <c r="N72" s="119" t="n"/>
      <c r="O72" s="119" t="n"/>
      <c r="P72" s="119" t="n"/>
      <c r="Q72" s="119" t="inlineStr">
        <is>
          <t>PSM-ZM202607230003-0001</t>
        </is>
      </c>
      <c r="R72" s="119" t="inlineStr">
        <is>
          <t>北京百迈客生物科技有限公司</t>
        </is>
      </c>
      <c r="S72" s="119" t="inlineStr">
        <is>
          <t>补测_260803_LH00348_0660_A23NNVVLT4</t>
        </is>
      </c>
      <c r="T72" s="119" t="n">
        <v>4</v>
      </c>
      <c r="U72" s="119" t="n"/>
      <c r="V72" s="119" t="n"/>
      <c r="W72" s="119" t="n"/>
    </row>
    <row r="73" ht="30" customHeight="1" s="36">
      <c r="A73" s="121" t="n"/>
      <c r="B73" s="118" t="inlineStr">
        <is>
          <t>HGC-26095259</t>
        </is>
      </c>
      <c r="C73" s="118" t="n">
        <v>23.05</v>
      </c>
      <c r="D73" s="118" t="n">
        <v>0.757</v>
      </c>
      <c r="E73" s="118">
        <f>ROUND(D73*15.391461,3)</f>
        <v/>
      </c>
      <c r="F73" s="118">
        <f>ROUND(E73/C73,3)</f>
        <v/>
      </c>
      <c r="G73" s="119" t="n"/>
      <c r="H73" s="119" t="inlineStr">
        <is>
          <t>WGS</t>
        </is>
      </c>
      <c r="I73" s="119" t="n"/>
      <c r="J73" s="119" t="n"/>
      <c r="K73" s="119" t="n">
        <v>300</v>
      </c>
      <c r="L73" s="119" t="inlineStr">
        <is>
          <t>文库片段小</t>
        </is>
      </c>
      <c r="M73" s="119" t="n"/>
      <c r="N73" s="119" t="n"/>
      <c r="O73" s="119" t="n"/>
      <c r="P73" s="119" t="n"/>
      <c r="Q73" s="119" t="inlineStr">
        <is>
          <t>PSM-ZM202607230003-0001</t>
        </is>
      </c>
      <c r="R73" s="119" t="inlineStr">
        <is>
          <t>北京百迈客生物科技有限公司</t>
        </is>
      </c>
      <c r="S73" s="119" t="inlineStr">
        <is>
          <t>补测_260803_LH00348_0660_A23NNVVLT4</t>
        </is>
      </c>
      <c r="T73" s="119" t="n">
        <v>4</v>
      </c>
      <c r="U73" s="119" t="n"/>
      <c r="V73" s="119" t="n"/>
      <c r="W73" s="119" t="n"/>
    </row>
    <row r="74" ht="30" customHeight="1" s="36">
      <c r="A74" s="121" t="n"/>
      <c r="B74" s="118" t="inlineStr">
        <is>
          <t>HGC-26095260</t>
        </is>
      </c>
      <c r="C74" s="118" t="n">
        <v>19.1</v>
      </c>
      <c r="D74" s="118" t="n">
        <v>1.126</v>
      </c>
      <c r="E74" s="118">
        <f>ROUND(D74*15.391461,3)</f>
        <v/>
      </c>
      <c r="F74" s="118">
        <f>ROUND(E74/C74,3)</f>
        <v/>
      </c>
      <c r="G74" s="119" t="n"/>
      <c r="H74" s="119" t="inlineStr">
        <is>
          <t>WGS</t>
        </is>
      </c>
      <c r="I74" s="119" t="n"/>
      <c r="J74" s="119" t="n"/>
      <c r="K74" s="119" t="n">
        <v>300</v>
      </c>
      <c r="L74" s="119" t="inlineStr">
        <is>
          <t>文库片段小</t>
        </is>
      </c>
      <c r="M74" s="119" t="n"/>
      <c r="N74" s="119" t="n"/>
      <c r="O74" s="119" t="n"/>
      <c r="P74" s="119" t="n"/>
      <c r="Q74" s="119" t="inlineStr">
        <is>
          <t>PSM-ZM202607230003-0001</t>
        </is>
      </c>
      <c r="R74" s="119" t="inlineStr">
        <is>
          <t>北京百迈客生物科技有限公司</t>
        </is>
      </c>
      <c r="S74" s="119" t="inlineStr">
        <is>
          <t>补测_260803_LH00348_0660_A23NNVVLT4</t>
        </is>
      </c>
      <c r="T74" s="119" t="n">
        <v>4</v>
      </c>
      <c r="U74" s="119" t="n"/>
      <c r="V74" s="119" t="n"/>
      <c r="W74" s="119" t="n"/>
    </row>
    <row r="75" ht="30" customHeight="1" s="36">
      <c r="A75" s="123" t="n"/>
      <c r="B75" s="118" t="inlineStr">
        <is>
          <t>HGC-26095257</t>
        </is>
      </c>
      <c r="C75" s="118" t="n">
        <v>7.24</v>
      </c>
      <c r="D75" s="118" t="n">
        <v>2.03</v>
      </c>
      <c r="E75" s="118">
        <f>ROUND(D75*15.391461,3)</f>
        <v/>
      </c>
      <c r="F75" s="118">
        <f>ROUND(E75/C75,3)</f>
        <v/>
      </c>
      <c r="G75" s="119" t="n"/>
      <c r="H75" s="119" t="inlineStr">
        <is>
          <t>WGS</t>
        </is>
      </c>
      <c r="I75" s="119" t="n"/>
      <c r="J75" s="119" t="n"/>
      <c r="K75" s="119" t="n">
        <v>290</v>
      </c>
      <c r="L75" s="119" t="inlineStr">
        <is>
          <t>文库片段小</t>
        </is>
      </c>
      <c r="M75" s="119" t="n"/>
      <c r="N75" s="119" t="n"/>
      <c r="O75" s="119" t="n"/>
      <c r="P75" s="119" t="n"/>
      <c r="Q75" s="119" t="inlineStr">
        <is>
          <t>PSM-ZM202607230003-0001</t>
        </is>
      </c>
      <c r="R75" s="119" t="inlineStr">
        <is>
          <t>北京百迈客生物科技有限公司</t>
        </is>
      </c>
      <c r="S75" s="119" t="inlineStr">
        <is>
          <t>补测_260803_LH00348_0660_A23NNVVLT4</t>
        </is>
      </c>
      <c r="T75" s="119" t="n">
        <v>4</v>
      </c>
      <c r="U75" s="119" t="n"/>
      <c r="V75" s="119" t="n"/>
      <c r="W75" s="119" t="n"/>
    </row>
    <row r="76" ht="30" customHeight="1" s="36">
      <c r="A76" s="124" t="n"/>
      <c r="B76" s="125" t="inlineStr">
        <is>
          <t>5</t>
        </is>
      </c>
      <c r="C76" s="124" t="n"/>
      <c r="D76" s="125">
        <f>SUM(D71:D75)</f>
        <v/>
      </c>
      <c r="E76" s="125">
        <f>SUM(E71:E75)</f>
        <v/>
      </c>
      <c r="F76" s="125">
        <f>SUM(F71:F75)</f>
        <v/>
      </c>
      <c r="G76" s="119">
        <f>ROUND(E76/F76,3)</f>
        <v/>
      </c>
      <c r="H76" s="126" t="n"/>
      <c r="I76" s="126" t="n"/>
      <c r="J76" s="126" t="n"/>
      <c r="K76" s="126" t="n"/>
      <c r="L76" s="126" t="n"/>
      <c r="M76" s="126" t="n"/>
      <c r="N76" s="126" t="n"/>
      <c r="O76" s="126" t="n"/>
      <c r="P76" s="126" t="n"/>
      <c r="Q76" s="126" t="n"/>
      <c r="R76" s="126" t="n"/>
      <c r="S76" s="126" t="n"/>
      <c r="T76" s="126" t="n"/>
      <c r="U76" s="126" t="n"/>
      <c r="V76" s="126" t="n"/>
      <c r="W76" s="126" t="n"/>
    </row>
    <row r="77" ht="30" customHeight="1" s="36">
      <c r="A77" s="126" t="n"/>
      <c r="B77" s="126" t="n"/>
      <c r="C77" s="126" t="n"/>
      <c r="D77" s="126" t="n"/>
      <c r="E77" s="126" t="n"/>
      <c r="F77" s="126" t="n"/>
      <c r="G77" s="126" t="n"/>
      <c r="H77" s="126" t="n"/>
      <c r="I77" s="126" t="n"/>
      <c r="J77" s="126" t="n"/>
      <c r="K77" s="126" t="n"/>
      <c r="L77" s="126" t="n"/>
      <c r="M77" s="126" t="n"/>
      <c r="N77" s="126" t="n"/>
      <c r="O77" s="126" t="n"/>
      <c r="P77" s="126" t="n"/>
      <c r="Q77" s="126" t="n"/>
      <c r="R77" s="126" t="n"/>
      <c r="S77" s="126" t="n"/>
      <c r="T77" s="126" t="n"/>
      <c r="U77" s="126" t="n"/>
      <c r="V77" s="126" t="n"/>
      <c r="W77" s="126" t="n"/>
    </row>
    <row r="78" ht="30" customHeight="1" s="36">
      <c r="A78" s="118" t="inlineStr">
        <is>
          <t>HGC-Lib-26099715</t>
        </is>
      </c>
      <c r="B78" s="118" t="inlineStr">
        <is>
          <t>HGC-Lib-26099715</t>
        </is>
      </c>
      <c r="C78" s="118" t="n">
        <v>102.081</v>
      </c>
      <c r="D78" s="118" t="n">
        <v>80</v>
      </c>
      <c r="E78" s="118">
        <f>ROUND(D78*0.638005,3)</f>
        <v/>
      </c>
      <c r="F78" s="118">
        <f>ROUND(E78/C78,3)</f>
        <v/>
      </c>
      <c r="G78" s="119" t="inlineStr">
        <is>
          <t>纯化</t>
        </is>
      </c>
      <c r="H78" s="119" t="inlineStr">
        <is>
          <t>10x5′单细胞免疫组库</t>
        </is>
      </c>
      <c r="I78" s="119" t="n">
        <v>102.081</v>
      </c>
      <c r="J78" s="119" t="n"/>
      <c r="K78" s="119" t="n">
        <v>400</v>
      </c>
      <c r="L78" s="119" t="n"/>
      <c r="M78" s="119" t="n"/>
      <c r="N78" s="119" t="n"/>
      <c r="O78" s="119" t="n">
        <v>400</v>
      </c>
      <c r="P78" s="119" t="n"/>
      <c r="Q78" s="119" t="inlineStr">
        <is>
          <t>PSM-ZM202601040005-0019</t>
        </is>
      </c>
      <c r="R78" s="119" t="inlineStr">
        <is>
          <t>四川欣莱科生物科技有限公司</t>
        </is>
      </c>
      <c r="S78" s="119" t="n"/>
      <c r="T78" s="119" t="n">
        <v>4</v>
      </c>
      <c r="U78" s="119" t="n"/>
      <c r="V78" s="119" t="inlineStr">
        <is>
          <t>B</t>
        </is>
      </c>
      <c r="W78" s="119" t="inlineStr">
        <is>
          <t>B</t>
        </is>
      </c>
    </row>
    <row r="79" ht="30" customHeight="1" s="36">
      <c r="A79" s="126" t="n"/>
      <c r="B79" s="126" t="n"/>
      <c r="C79" s="126" t="n"/>
      <c r="D79" s="126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6" t="n"/>
      <c r="T79" s="126" t="n"/>
      <c r="U79" s="126" t="n"/>
      <c r="V79" s="126" t="n"/>
      <c r="W79" s="126" t="n"/>
    </row>
    <row r="80" ht="30" customHeight="1" s="36">
      <c r="A80" s="118" t="inlineStr">
        <is>
          <t>HGC-POOL-26097627</t>
        </is>
      </c>
      <c r="B80" s="118" t="inlineStr">
        <is>
          <t>HGC-POOL-26097627</t>
        </is>
      </c>
      <c r="C80" s="118" t="n">
        <v>14.237</v>
      </c>
      <c r="D80" s="118" t="n">
        <v>20</v>
      </c>
      <c r="E80" s="118">
        <f>ROUND(D80*0.355913,3)</f>
        <v/>
      </c>
      <c r="F80" s="118">
        <f>ROUND(E80/C80,3)</f>
        <v/>
      </c>
      <c r="G80" s="119" t="inlineStr">
        <is>
          <t>纯化</t>
        </is>
      </c>
      <c r="H80" s="119" t="inlineStr">
        <is>
          <t>GRO-seq文库</t>
        </is>
      </c>
      <c r="I80" s="119" t="n">
        <v>14.237</v>
      </c>
      <c r="J80" s="119" t="n"/>
      <c r="K80" s="119" t="n">
        <v>335</v>
      </c>
      <c r="L80" s="119" t="n"/>
      <c r="M80" s="119" t="n"/>
      <c r="N80" s="119" t="n"/>
      <c r="O80" s="119" t="n">
        <v>335</v>
      </c>
      <c r="P80" s="119" t="n"/>
      <c r="Q80" s="119" t="inlineStr">
        <is>
          <t>PSM-ZM202601090006-0027</t>
        </is>
      </c>
      <c r="R80" s="119" t="inlineStr">
        <is>
          <t>广州深碳科技有限公司</t>
        </is>
      </c>
      <c r="S80" s="119" t="inlineStr">
        <is>
          <t>260803_LH00348_0660_A23NNVVLT4</t>
        </is>
      </c>
      <c r="T80" s="119" t="n">
        <v>4</v>
      </c>
      <c r="U80" s="119" t="n"/>
      <c r="V80" s="119" t="inlineStr">
        <is>
          <t>B</t>
        </is>
      </c>
      <c r="W80" s="119" t="inlineStr">
        <is>
          <t>BC</t>
        </is>
      </c>
    </row>
    <row r="81" ht="30" customHeight="1" s="36">
      <c r="A81" s="126" t="n"/>
      <c r="B81" s="126" t="n"/>
      <c r="C81" s="126" t="n"/>
      <c r="D81" s="126" t="n"/>
      <c r="E81" s="126" t="n"/>
      <c r="F81" s="126" t="n"/>
      <c r="G81" s="126" t="n"/>
      <c r="H81" s="126" t="n"/>
      <c r="I81" s="126" t="n"/>
      <c r="J81" s="126" t="n"/>
      <c r="K81" s="126" t="n"/>
      <c r="L81" s="126" t="n"/>
      <c r="M81" s="126" t="n"/>
      <c r="N81" s="126" t="n"/>
      <c r="O81" s="126" t="n"/>
      <c r="P81" s="126" t="n"/>
      <c r="Q81" s="126" t="n"/>
      <c r="R81" s="126" t="n"/>
      <c r="S81" s="126" t="n"/>
      <c r="T81" s="126" t="n"/>
      <c r="U81" s="126" t="n"/>
      <c r="V81" s="126" t="n"/>
      <c r="W81" s="126" t="n"/>
    </row>
    <row r="82" ht="30" customHeight="1" s="36">
      <c r="A82" s="118" t="inlineStr">
        <is>
          <t>HGC-POOL-26100066</t>
        </is>
      </c>
      <c r="B82" s="118" t="inlineStr">
        <is>
          <t>HGC-POOL-26100066</t>
        </is>
      </c>
      <c r="C82" s="118" t="n"/>
      <c r="D82" s="118" t="n">
        <v>100</v>
      </c>
      <c r="E82" s="118" t="n"/>
      <c r="F82" s="118" t="n"/>
      <c r="G82" s="119" t="n"/>
      <c r="H82" s="119" t="inlineStr">
        <is>
          <t>illumina单细胞</t>
        </is>
      </c>
      <c r="I82" s="119" t="n"/>
      <c r="J82" s="119" t="n"/>
      <c r="K82" s="119" t="n"/>
      <c r="L82" s="119" t="n"/>
      <c r="M82" s="119" t="n"/>
      <c r="N82" s="119" t="n"/>
      <c r="O82" s="119" t="n"/>
      <c r="P82" s="119" t="n"/>
      <c r="Q82" s="119" t="inlineStr">
        <is>
          <t>PSM-ZM202606030019-0002</t>
        </is>
      </c>
      <c r="R82" s="119" t="inlineStr">
        <is>
          <t>上海逆耳生物科技有限公司</t>
        </is>
      </c>
      <c r="S82" s="119" t="n"/>
      <c r="T82" s="119" t="n">
        <v>4</v>
      </c>
      <c r="U82" s="119" t="n"/>
      <c r="V82" s="119" t="n"/>
      <c r="W82" s="119" t="n"/>
    </row>
    <row r="83" ht="30" customHeight="1" s="36">
      <c r="A83" s="126" t="n"/>
      <c r="B83" s="126" t="n"/>
      <c r="C83" s="126" t="n"/>
      <c r="D83" s="126" t="n"/>
      <c r="E83" s="126" t="n"/>
      <c r="F83" s="126" t="n"/>
      <c r="G83" s="126" t="n"/>
      <c r="H83" s="126" t="n"/>
      <c r="I83" s="126" t="n"/>
      <c r="J83" s="126" t="n"/>
      <c r="K83" s="126" t="n"/>
      <c r="L83" s="126" t="n"/>
      <c r="M83" s="126" t="n"/>
      <c r="N83" s="126" t="n"/>
      <c r="O83" s="126" t="n"/>
      <c r="P83" s="126" t="n"/>
      <c r="Q83" s="126" t="n"/>
      <c r="R83" s="126" t="n"/>
      <c r="S83" s="126" t="n"/>
      <c r="T83" s="126" t="n"/>
      <c r="U83" s="126" t="n"/>
      <c r="V83" s="126" t="n"/>
      <c r="W83" s="126" t="n"/>
    </row>
    <row r="84" ht="30" customHeight="1" s="36">
      <c r="A84" s="118" t="inlineStr">
        <is>
          <t>260574E</t>
        </is>
      </c>
      <c r="B84" s="118" t="inlineStr">
        <is>
          <t>260574E</t>
        </is>
      </c>
      <c r="C84" s="118" t="n">
        <v>32.94</v>
      </c>
      <c r="D84" s="118" t="n">
        <v>80</v>
      </c>
      <c r="E84" s="118">
        <f>ROUND(D84*0.205875,3)</f>
        <v/>
      </c>
      <c r="F84" s="118">
        <f>ROUND(E84/C84,3)</f>
        <v/>
      </c>
      <c r="G84" s="119" t="n"/>
      <c r="H84" s="119" t="inlineStr">
        <is>
          <t>SuperWES</t>
        </is>
      </c>
      <c r="I84" s="119" t="n"/>
      <c r="J84" s="119" t="n"/>
      <c r="K84" s="119" t="n">
        <v>420</v>
      </c>
      <c r="L84" s="119" t="inlineStr">
        <is>
          <t>合格</t>
        </is>
      </c>
      <c r="M84" s="119" t="n"/>
      <c r="N84" s="119" t="n"/>
      <c r="O84" s="119" t="n">
        <v>420</v>
      </c>
      <c r="P84" s="119" t="n"/>
      <c r="Q84" s="119" t="inlineStr">
        <is>
          <t>PSM-ZM202607030006-0001</t>
        </is>
      </c>
      <c r="R84" s="119" t="inlineStr">
        <is>
          <t>中山大学肿瘤防治中心</t>
        </is>
      </c>
      <c r="S84" s="119" t="inlineStr">
        <is>
          <t>补测_260803_LH00348_0660_A23NNVVLT4</t>
        </is>
      </c>
      <c r="T84" s="119" t="n">
        <v>4</v>
      </c>
      <c r="U84" s="119" t="n"/>
      <c r="V84" s="119" t="n"/>
      <c r="W84" s="119" t="n"/>
    </row>
    <row r="85" ht="30" customHeight="1" s="36">
      <c r="A85" s="126" t="n"/>
      <c r="B85" s="126" t="n"/>
      <c r="C85" s="126" t="n"/>
      <c r="D85" s="126" t="n"/>
      <c r="E85" s="126" t="n"/>
      <c r="F85" s="126" t="n"/>
      <c r="G85" s="126" t="n"/>
      <c r="H85" s="126" t="n"/>
      <c r="I85" s="126" t="n"/>
      <c r="J85" s="126" t="n"/>
      <c r="K85" s="126" t="n"/>
      <c r="L85" s="126" t="n"/>
      <c r="M85" s="126" t="n"/>
      <c r="N85" s="126" t="n"/>
      <c r="O85" s="126" t="n"/>
      <c r="P85" s="126" t="n"/>
      <c r="Q85" s="126" t="n"/>
      <c r="R85" s="126" t="n"/>
      <c r="S85" s="126" t="n"/>
      <c r="T85" s="126" t="n"/>
      <c r="U85" s="126" t="n"/>
      <c r="V85" s="126" t="n"/>
      <c r="W85" s="126" t="n"/>
    </row>
    <row r="86" ht="30" customHeight="1" s="36">
      <c r="A86" s="118" t="inlineStr">
        <is>
          <t>HGC-26095264</t>
        </is>
      </c>
      <c r="B86" s="118" t="inlineStr">
        <is>
          <t>HGC-26095264</t>
        </is>
      </c>
      <c r="C86" s="118" t="n">
        <v>1.23</v>
      </c>
      <c r="D86" s="118" t="n">
        <v>2.43</v>
      </c>
      <c r="E86" s="118">
        <f>ROUND(D86*0.253086,3)</f>
        <v/>
      </c>
      <c r="F86" s="118">
        <f>ROUND(E86/C86,3)</f>
        <v/>
      </c>
      <c r="G86" s="119" t="n"/>
      <c r="H86" s="119" t="inlineStr">
        <is>
          <t>WGS</t>
        </is>
      </c>
      <c r="I86" s="119" t="n"/>
      <c r="J86" s="119" t="n"/>
      <c r="K86" s="119" t="n">
        <v>230</v>
      </c>
      <c r="L86" s="119" t="inlineStr">
        <is>
          <t>文库片段小</t>
        </is>
      </c>
      <c r="M86" s="119" t="n"/>
      <c r="N86" s="119" t="n"/>
      <c r="O86" s="119" t="n">
        <v>230</v>
      </c>
      <c r="P86" s="119" t="n"/>
      <c r="Q86" s="119" t="inlineStr">
        <is>
          <t>PSM-ZM202607230003-0001</t>
        </is>
      </c>
      <c r="R86" s="119" t="inlineStr">
        <is>
          <t>北京百迈客生物科技有限公司</t>
        </is>
      </c>
      <c r="S86" s="119" t="inlineStr">
        <is>
          <t>补测_260803_LH00348_0660_A23NNVVLT4</t>
        </is>
      </c>
      <c r="T86" s="119" t="n">
        <v>4</v>
      </c>
      <c r="U86" s="119" t="n"/>
      <c r="V86" s="119" t="n"/>
      <c r="W86" s="119" t="n"/>
    </row>
    <row r="87" ht="30" customHeight="1" s="36">
      <c r="A87" s="126" t="n"/>
      <c r="B87" s="126" t="n"/>
      <c r="C87" s="126" t="n"/>
      <c r="D87" s="126" t="n"/>
      <c r="E87" s="126" t="n"/>
      <c r="F87" s="126" t="n"/>
      <c r="G87" s="126" t="n"/>
      <c r="H87" s="126" t="n"/>
      <c r="I87" s="126" t="n"/>
      <c r="J87" s="126" t="n"/>
      <c r="K87" s="126" t="n"/>
      <c r="L87" s="126" t="n"/>
      <c r="M87" s="126" t="n"/>
      <c r="N87" s="126" t="n"/>
      <c r="O87" s="126" t="n"/>
      <c r="P87" s="126" t="n"/>
      <c r="Q87" s="126" t="n"/>
      <c r="R87" s="126" t="n"/>
      <c r="S87" s="126" t="n"/>
      <c r="T87" s="126" t="n"/>
      <c r="U87" s="126" t="n"/>
      <c r="V87" s="126" t="n"/>
      <c r="W87" s="126" t="n"/>
    </row>
    <row r="88" ht="30" customHeight="1" s="36">
      <c r="A88" s="118" t="inlineStr">
        <is>
          <t>HGC-26095266</t>
        </is>
      </c>
      <c r="B88" s="118" t="inlineStr">
        <is>
          <t>HGC-26095266</t>
        </is>
      </c>
      <c r="C88" s="118" t="n">
        <v>3.45</v>
      </c>
      <c r="D88" s="118" t="n">
        <v>2.143</v>
      </c>
      <c r="E88" s="118">
        <f>ROUND(D88*0.804946,3)</f>
        <v/>
      </c>
      <c r="F88" s="118">
        <f>ROUND(E88/C88,3)</f>
        <v/>
      </c>
      <c r="G88" s="119" t="n"/>
      <c r="H88" s="119" t="inlineStr">
        <is>
          <t>WGS</t>
        </is>
      </c>
      <c r="I88" s="119" t="n"/>
      <c r="J88" s="119" t="n"/>
      <c r="K88" s="119" t="n">
        <v>230</v>
      </c>
      <c r="L88" s="119" t="inlineStr">
        <is>
          <t>文库片段小</t>
        </is>
      </c>
      <c r="M88" s="119" t="n"/>
      <c r="N88" s="119" t="n"/>
      <c r="O88" s="119" t="n">
        <v>230</v>
      </c>
      <c r="P88" s="119" t="n"/>
      <c r="Q88" s="119" t="inlineStr">
        <is>
          <t>PSM-ZM202607230003-0001</t>
        </is>
      </c>
      <c r="R88" s="119" t="inlineStr">
        <is>
          <t>北京百迈客生物科技有限公司</t>
        </is>
      </c>
      <c r="S88" s="119" t="inlineStr">
        <is>
          <t>补测_260803_LH00348_0660_A23NNVVLT4</t>
        </is>
      </c>
      <c r="T88" s="119" t="n">
        <v>4</v>
      </c>
      <c r="U88" s="119" t="n"/>
      <c r="V88" s="119" t="n"/>
      <c r="W88" s="119" t="n"/>
    </row>
    <row r="17610" customFormat="1" s="68"/>
  </sheetData>
  <mergeCells count="13">
    <mergeCell ref="A48:A49"/>
    <mergeCell ref="A52:A57"/>
    <mergeCell ref="A65:A66"/>
    <mergeCell ref="A25:A26"/>
    <mergeCell ref="A42:A43"/>
    <mergeCell ref="A29:A34"/>
    <mergeCell ref="A60:A62"/>
    <mergeCell ref="A71:A75"/>
    <mergeCell ref="A6:A11"/>
    <mergeCell ref="A2:A3"/>
    <mergeCell ref="A37:A39"/>
    <mergeCell ref="A14:A16"/>
    <mergeCell ref="A19:A20"/>
  </mergeCells>
  <conditionalFormatting sqref="E2:E88">
    <cfRule type="expression" priority="1" dxfId="92">
      <formula>AND(E2&gt;0,NOT(ISNUMBER(B2+0)))</formula>
    </cfRule>
  </conditionalFormatting>
  <conditionalFormatting sqref="F2:F88">
    <cfRule type="expression" priority="2" dxfId="93">
      <formula>AND(F2&lt;&gt;"",F2&gt;=0.25,F2&lt;=2.5,NOT(ISNUMBER(B2+0)))</formula>
    </cfRule>
    <cfRule type="expression" priority="3" dxfId="94">
      <formula>AND(F2&lt;&gt;"",OR(F2&lt;0.25,F2&gt;2.5),NOT(ISNUMBER(B2+0)))</formula>
    </cfRule>
  </conditionalFormatting>
  <pageMargins left="0.751388888888889" right="0.751388888888889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autoPageBreaks="0"/>
  </sheetPr>
  <dimension ref="A1:CG105"/>
  <sheetViews>
    <sheetView zoomScaleNormal="100" workbookViewId="0">
      <pane ySplit="2" topLeftCell="A3" activePane="bottomLeft" state="frozen"/>
      <selection pane="bottomLeft" activeCell="E3" sqref="E3"/>
    </sheetView>
  </sheetViews>
  <sheetFormatPr baseColWidth="8" defaultColWidth="8.25" defaultRowHeight="15.75"/>
  <cols>
    <col width="17" customWidth="1" style="24" min="1" max="1"/>
    <col width="21" customWidth="1" style="2" min="2" max="2"/>
    <col width="12" customWidth="1" style="68" min="3" max="3"/>
    <col width="8" customWidth="1" style="25" min="4" max="4"/>
    <col width="20" customWidth="1" style="2" min="5" max="5"/>
    <col width="14" customWidth="1" style="69" min="6" max="6"/>
    <col width="24" customWidth="1" style="2" min="7" max="7"/>
    <col width="11" customWidth="1" style="68" min="8" max="8"/>
    <col width="11" customWidth="1" style="2" min="9" max="9"/>
    <col width="11" customWidth="1" style="70" min="10" max="10"/>
    <col width="15" customWidth="1" style="71" min="11" max="11"/>
    <col width="8" customWidth="1" style="36" min="12" max="12"/>
    <col width="14" customWidth="1" style="36" min="13" max="13"/>
    <col width="4" customWidth="1" style="2" min="14" max="14"/>
    <col width="4" customWidth="1" style="71" min="15" max="15"/>
    <col width="4" customWidth="1" style="29" min="16" max="16"/>
    <col width="39" customWidth="1" style="72" min="17" max="17"/>
    <col width="27" customWidth="1" style="68" min="18" max="18"/>
    <col width="36" customWidth="1" style="36" min="19" max="19"/>
    <col width="4" customWidth="1" style="68" min="20" max="20"/>
    <col width="4" customWidth="1" style="36" min="21" max="21"/>
    <col width="4" customWidth="1" style="29" min="22" max="22"/>
    <col width="4" customWidth="1" style="68" min="23" max="23"/>
    <col width="4" customWidth="1" style="36" min="24" max="24"/>
    <col width="4" customWidth="1" style="73" min="25" max="25"/>
    <col width="4" customWidth="1" style="68" min="26" max="26"/>
    <col width="4" customWidth="1" style="71" min="27" max="27"/>
    <col width="4" customWidth="1" style="36" min="28" max="85"/>
    <col width="12.625" customWidth="1" style="2" min="86" max="94"/>
    <col width="8.25" customWidth="1" style="2" min="95" max="95"/>
    <col width="9.375" customWidth="1" style="2" min="96" max="96"/>
    <col width="12.625" customWidth="1" style="2" min="97" max="97"/>
    <col width="8.25" customWidth="1" style="2" min="98" max="104"/>
    <col width="8.25" customWidth="1" style="2" min="105" max="16384"/>
  </cols>
  <sheetData>
    <row r="1" ht="40" customFormat="1" customHeight="1" s="66">
      <c r="A1" s="65" t="inlineStr">
        <is>
          <t>20260807-LH00</t>
        </is>
      </c>
      <c r="J1" s="74" t="inlineStr">
        <is>
          <t>B10+16</t>
        </is>
      </c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75" t="n"/>
      <c r="U1" s="75" t="n"/>
      <c r="V1" s="33" t="n"/>
      <c r="W1" s="75" t="n"/>
      <c r="X1" s="75" t="n"/>
      <c r="Y1" s="75" t="n"/>
      <c r="Z1" s="75" t="n"/>
      <c r="AA1" s="76" t="n"/>
      <c r="AB1" s="76" t="n"/>
      <c r="AC1" s="76" t="n"/>
      <c r="AD1" s="76" t="n"/>
      <c r="AE1" s="76" t="n"/>
      <c r="AF1" s="76" t="n"/>
      <c r="AG1" s="76" t="n"/>
      <c r="AH1" s="76" t="n"/>
      <c r="AI1" s="76" t="n"/>
      <c r="AJ1" s="76" t="n"/>
      <c r="AK1" s="76" t="n"/>
      <c r="AL1" s="76" t="n"/>
      <c r="AM1" s="76" t="n"/>
      <c r="AN1" s="76" t="n"/>
      <c r="AO1" s="76" t="n"/>
      <c r="AP1" s="76" t="n"/>
      <c r="AQ1" s="76" t="n"/>
      <c r="AR1" s="76" t="n"/>
      <c r="AS1" s="76" t="n"/>
      <c r="AT1" s="76" t="n"/>
      <c r="AU1" s="76" t="n"/>
      <c r="AV1" s="76" t="n"/>
      <c r="AW1" s="76" t="n"/>
      <c r="AX1" s="76" t="n"/>
      <c r="AY1" s="76" t="n"/>
      <c r="AZ1" s="76" t="n"/>
      <c r="BA1" s="76" t="n"/>
      <c r="BB1" s="76" t="n"/>
      <c r="BC1" s="76" t="n"/>
      <c r="BD1" s="76" t="n"/>
      <c r="BE1" s="76" t="n"/>
      <c r="BF1" s="76" t="n"/>
      <c r="BG1" s="76" t="n"/>
      <c r="BH1" s="76" t="n"/>
      <c r="BI1" s="76" t="n"/>
      <c r="BJ1" s="76" t="n"/>
      <c r="BK1" s="76" t="n"/>
      <c r="BL1" s="76" t="n"/>
      <c r="BM1" s="76" t="n"/>
      <c r="BN1" s="76" t="n"/>
      <c r="BO1" s="76" t="n"/>
      <c r="BP1" s="76" t="n"/>
      <c r="BQ1" s="76" t="n"/>
      <c r="BR1" s="76" t="n"/>
      <c r="BS1" s="76" t="n"/>
      <c r="BT1" s="76" t="n"/>
      <c r="BU1" s="76" t="n"/>
      <c r="BV1" s="76" t="n"/>
      <c r="BW1" s="76" t="n"/>
      <c r="BX1" s="76" t="n"/>
      <c r="BY1" s="76" t="n"/>
      <c r="BZ1" s="76" t="n"/>
      <c r="CA1" s="76" t="n"/>
      <c r="CB1" s="76" t="n"/>
      <c r="CC1" s="76" t="n"/>
      <c r="CD1" s="76" t="n"/>
      <c r="CE1" s="76" t="n"/>
      <c r="CF1" s="76" t="n"/>
      <c r="CG1" s="76" t="n"/>
    </row>
    <row r="2" ht="30" customHeight="1" s="36">
      <c r="A2" s="119" t="n"/>
      <c r="B2" s="119" t="inlineStr">
        <is>
          <t>SampleID</t>
        </is>
      </c>
      <c r="C2" s="119" t="inlineStr">
        <is>
          <t>qPCR浓度</t>
        </is>
      </c>
      <c r="D2" s="119" t="inlineStr">
        <is>
          <t>体积</t>
        </is>
      </c>
      <c r="E2" s="119" t="inlineStr">
        <is>
          <t>RSB体积</t>
        </is>
      </c>
      <c r="F2" s="119" t="inlineStr">
        <is>
          <t>稀释浓度nM</t>
        </is>
      </c>
      <c r="G2" s="119" t="inlineStr">
        <is>
          <t>文库类型</t>
        </is>
      </c>
      <c r="H2" s="119" t="inlineStr">
        <is>
          <t>数据量G</t>
        </is>
      </c>
      <c r="I2" s="119" t="inlineStr">
        <is>
          <t>lane ID</t>
        </is>
      </c>
      <c r="J2" s="119" t="n"/>
      <c r="K2" s="119" t="n"/>
      <c r="L2" s="119" t="n"/>
      <c r="M2" s="119" t="n"/>
      <c r="N2" s="119" t="n"/>
      <c r="O2" s="119" t="n"/>
      <c r="P2" s="119" t="n"/>
      <c r="Q2" s="119" t="inlineStr">
        <is>
          <t>备注</t>
        </is>
      </c>
      <c r="R2" s="119" t="inlineStr">
        <is>
          <t>合同编号</t>
        </is>
      </c>
      <c r="S2" s="119" t="inlineStr">
        <is>
          <t>客户单位</t>
        </is>
      </c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  <c r="BE2" s="64" t="n"/>
      <c r="BF2" s="64" t="n"/>
      <c r="BG2" s="64" t="n"/>
      <c r="BH2" s="64" t="n"/>
      <c r="BI2" s="64" t="n"/>
      <c r="BJ2" s="64" t="n"/>
      <c r="BK2" s="64" t="n"/>
      <c r="BL2" s="64" t="n"/>
      <c r="BM2" s="64" t="n"/>
      <c r="BN2" s="64" t="n"/>
      <c r="BO2" s="64" t="n"/>
      <c r="BP2" s="64" t="n"/>
      <c r="BQ2" s="64" t="n"/>
      <c r="BR2" s="64" t="n"/>
      <c r="BS2" s="64" t="n"/>
      <c r="BT2" s="64" t="n"/>
      <c r="BU2" s="64" t="n"/>
      <c r="BV2" s="64" t="n"/>
      <c r="BW2" s="64" t="n"/>
      <c r="BX2" s="64" t="n"/>
      <c r="BY2" s="64" t="n"/>
      <c r="BZ2" s="64" t="n"/>
      <c r="CA2" s="64" t="n"/>
      <c r="CB2" s="64" t="n"/>
      <c r="CC2" s="64" t="n"/>
      <c r="CD2" s="64" t="n"/>
      <c r="CE2" s="64" t="n"/>
      <c r="CF2" s="64" t="n"/>
      <c r="CG2" s="64" t="n"/>
    </row>
    <row r="3" ht="30" customHeight="1" s="36">
      <c r="A3" s="118" t="inlineStr">
        <is>
          <t>纯化</t>
        </is>
      </c>
      <c r="B3" s="118" t="inlineStr">
        <is>
          <t>P1-53.334</t>
        </is>
      </c>
      <c r="C3" s="127" t="n"/>
      <c r="D3" s="127" t="n">
        <v>2</v>
      </c>
      <c r="E3" s="127">
        <f>C3*D3/F3-D3</f>
        <v/>
      </c>
      <c r="F3" s="127" t="n"/>
      <c r="G3" s="118" t="inlineStr">
        <is>
          <t>10x5′单细胞免疫组库</t>
        </is>
      </c>
      <c r="H3" s="127" t="n">
        <v>53.334</v>
      </c>
      <c r="I3" s="118" t="inlineStr">
        <is>
          <t>P1</t>
        </is>
      </c>
      <c r="J3" s="119">
        <f>H3/10</f>
        <v/>
      </c>
      <c r="K3" s="119">
        <f>J3/H3*10</f>
        <v/>
      </c>
      <c r="L3" s="119">
        <f>E3</f>
        <v/>
      </c>
      <c r="M3" s="119" t="n"/>
      <c r="N3" s="119" t="n"/>
      <c r="O3" s="119" t="n"/>
      <c r="P3" s="119" t="n"/>
      <c r="Q3" s="128" t="n"/>
      <c r="R3" s="119" t="inlineStr">
        <is>
          <t>PSM-ZM202601040005-0019</t>
        </is>
      </c>
      <c r="S3" s="119" t="inlineStr">
        <is>
          <t>四川欣莱科生物科技有限公司</t>
        </is>
      </c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</row>
    <row r="4" ht="30" customHeight="1" s="36">
      <c r="A4" s="118" t="inlineStr">
        <is>
          <t>纯化</t>
        </is>
      </c>
      <c r="B4" s="118" t="inlineStr">
        <is>
          <t>P1-173.332</t>
        </is>
      </c>
      <c r="C4" s="127" t="n"/>
      <c r="D4" s="127" t="n">
        <v>2</v>
      </c>
      <c r="E4" s="127">
        <f>C4*D4/F4-D4</f>
        <v/>
      </c>
      <c r="F4" s="127" t="n"/>
      <c r="G4" s="118" t="inlineStr">
        <is>
          <t>10x5′单细胞免疫组库</t>
        </is>
      </c>
      <c r="H4" s="127" t="n">
        <v>173.332</v>
      </c>
      <c r="I4" s="121" t="n"/>
      <c r="J4" s="119">
        <f>H4/10</f>
        <v/>
      </c>
      <c r="K4" s="119">
        <f>J4/H4*10</f>
        <v/>
      </c>
      <c r="L4" s="119">
        <f>E4</f>
        <v/>
      </c>
      <c r="M4" s="119" t="n"/>
      <c r="N4" s="119" t="n"/>
      <c r="O4" s="119" t="n"/>
      <c r="P4" s="119" t="n"/>
      <c r="Q4" s="128" t="n"/>
      <c r="R4" s="119" t="inlineStr">
        <is>
          <t>PSM-ZM202606090002-0072</t>
        </is>
      </c>
      <c r="S4" s="119" t="inlineStr">
        <is>
          <t>广州承启生物科技有限公司</t>
        </is>
      </c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</row>
    <row r="5" ht="30" customHeight="1" s="36">
      <c r="A5" s="118" t="inlineStr">
        <is>
          <t>纯化</t>
        </is>
      </c>
      <c r="B5" s="118" t="inlineStr">
        <is>
          <t>P1-16.667</t>
        </is>
      </c>
      <c r="C5" s="127" t="n"/>
      <c r="D5" s="127" t="n">
        <v>2</v>
      </c>
      <c r="E5" s="127">
        <f>C5*D5/F5-D5</f>
        <v/>
      </c>
      <c r="F5" s="127" t="n"/>
      <c r="G5" s="118" t="inlineStr">
        <is>
          <t>10x5′单细胞免疫组库</t>
        </is>
      </c>
      <c r="H5" s="127" t="n">
        <v>16.667</v>
      </c>
      <c r="I5" s="121" t="n"/>
      <c r="J5" s="119">
        <f>H5/10</f>
        <v/>
      </c>
      <c r="K5" s="119">
        <f>J5/H5*10</f>
        <v/>
      </c>
      <c r="L5" s="119">
        <f>E5</f>
        <v/>
      </c>
      <c r="M5" s="119" t="n"/>
      <c r="N5" s="119" t="n"/>
      <c r="O5" s="119" t="n"/>
      <c r="P5" s="119" t="n"/>
      <c r="Q5" s="128" t="n"/>
      <c r="R5" s="119" t="inlineStr">
        <is>
          <t>PSM-ZM202606090002-0072</t>
        </is>
      </c>
      <c r="S5" s="119" t="inlineStr">
        <is>
          <t>广州承启生物科技有限公司</t>
        </is>
      </c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</row>
    <row r="6" ht="30" customHeight="1" s="36">
      <c r="A6" s="118" t="inlineStr">
        <is>
          <t>需要定量</t>
        </is>
      </c>
      <c r="B6" s="118" t="inlineStr">
        <is>
          <t>P1-6.666</t>
        </is>
      </c>
      <c r="C6" s="127" t="n"/>
      <c r="D6" s="127" t="n">
        <v>2</v>
      </c>
      <c r="E6" s="127">
        <f>C6*D6/F6-D6</f>
        <v/>
      </c>
      <c r="F6" s="127" t="n"/>
      <c r="G6" s="118" t="inlineStr">
        <is>
          <t>10x5′单细胞免疫组库</t>
        </is>
      </c>
      <c r="H6" s="127" t="n">
        <v>6.666</v>
      </c>
      <c r="I6" s="121" t="n"/>
      <c r="J6" s="119">
        <f>H6/10</f>
        <v/>
      </c>
      <c r="K6" s="119">
        <f>J6/H6*10</f>
        <v/>
      </c>
      <c r="L6" s="119">
        <f>E6</f>
        <v/>
      </c>
      <c r="M6" s="119" t="n"/>
      <c r="N6" s="119" t="n"/>
      <c r="O6" s="119" t="n"/>
      <c r="P6" s="119" t="n"/>
      <c r="Q6" s="128" t="n"/>
      <c r="R6" s="119" t="inlineStr">
        <is>
          <t>PSM-ZM202606050014-0054</t>
        </is>
      </c>
      <c r="S6" s="119" t="inlineStr">
        <is>
          <t>武汉迈维代谢生物科技股份有限公司</t>
        </is>
      </c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</row>
    <row r="7" ht="30" customHeight="1" s="36">
      <c r="A7" s="118" t="inlineStr">
        <is>
          <t>需要定量</t>
        </is>
      </c>
      <c r="B7" s="118" t="inlineStr">
        <is>
          <t>HGC-Lib-26099231</t>
        </is>
      </c>
      <c r="C7" s="127" t="n"/>
      <c r="D7" s="127" t="n">
        <v>2</v>
      </c>
      <c r="E7" s="127">
        <f>C7*D7/F7-D7</f>
        <v/>
      </c>
      <c r="F7" s="127" t="n"/>
      <c r="G7" s="118" t="inlineStr">
        <is>
          <t>10x5′单细胞免疫组库</t>
        </is>
      </c>
      <c r="H7" s="127" t="n">
        <v>33.333</v>
      </c>
      <c r="I7" s="123" t="n"/>
      <c r="J7" s="119">
        <f>H7/10</f>
        <v/>
      </c>
      <c r="K7" s="119">
        <f>J7/H7*10</f>
        <v/>
      </c>
      <c r="L7" s="119">
        <f>E7</f>
        <v/>
      </c>
      <c r="M7" s="119" t="n"/>
      <c r="N7" s="119" t="n"/>
      <c r="O7" s="119" t="n"/>
      <c r="P7" s="119" t="n"/>
      <c r="Q7" s="128" t="n"/>
      <c r="R7" s="119" t="inlineStr">
        <is>
          <t>PSM-ZM202606050014-0054</t>
        </is>
      </c>
      <c r="S7" s="119" t="inlineStr">
        <is>
          <t>武汉迈维代谢生物科技股份有限公司</t>
        </is>
      </c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</row>
    <row r="8" ht="30" customHeight="1" s="36">
      <c r="A8" s="125" t="n"/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9" t="n"/>
      <c r="R8" s="125" t="n"/>
      <c r="S8" s="125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</row>
    <row r="9" ht="30" customHeight="1" s="36">
      <c r="A9" s="118" t="inlineStr">
        <is>
          <t>纯化</t>
        </is>
      </c>
      <c r="B9" s="118" t="inlineStr">
        <is>
          <t>P2-53.334</t>
        </is>
      </c>
      <c r="C9" s="127" t="n"/>
      <c r="D9" s="127" t="n">
        <v>2</v>
      </c>
      <c r="E9" s="127">
        <f>C9*D9/F9-D9</f>
        <v/>
      </c>
      <c r="F9" s="127" t="n"/>
      <c r="G9" s="118" t="inlineStr">
        <is>
          <t>10x5′单细胞免疫组库</t>
        </is>
      </c>
      <c r="H9" s="127" t="n">
        <v>53.334</v>
      </c>
      <c r="I9" s="118" t="inlineStr">
        <is>
          <t>P2</t>
        </is>
      </c>
      <c r="J9" s="119">
        <f>H9/10</f>
        <v/>
      </c>
      <c r="K9" s="119">
        <f>J9/H9*10</f>
        <v/>
      </c>
      <c r="L9" s="119">
        <f>E9</f>
        <v/>
      </c>
      <c r="M9" s="119" t="n"/>
      <c r="N9" s="119" t="n"/>
      <c r="O9" s="119" t="n"/>
      <c r="P9" s="119" t="n"/>
      <c r="Q9" s="128" t="n"/>
      <c r="R9" s="119" t="inlineStr">
        <is>
          <t>PSM-ZM202601040005-0019</t>
        </is>
      </c>
      <c r="S9" s="119" t="inlineStr">
        <is>
          <t>四川欣莱科生物科技有限公司</t>
        </is>
      </c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</row>
    <row r="10" ht="30" customHeight="1" s="36">
      <c r="A10" s="118" t="inlineStr">
        <is>
          <t>纯化</t>
        </is>
      </c>
      <c r="B10" s="118" t="inlineStr">
        <is>
          <t>P2-173.332</t>
        </is>
      </c>
      <c r="C10" s="127" t="n"/>
      <c r="D10" s="127" t="n">
        <v>2</v>
      </c>
      <c r="E10" s="127">
        <f>C10*D10/F10-D10</f>
        <v/>
      </c>
      <c r="F10" s="127" t="n"/>
      <c r="G10" s="118" t="inlineStr">
        <is>
          <t>10x5′单细胞免疫组库</t>
        </is>
      </c>
      <c r="H10" s="127" t="n">
        <v>173.332</v>
      </c>
      <c r="I10" s="121" t="n"/>
      <c r="J10" s="119">
        <f>H10/10</f>
        <v/>
      </c>
      <c r="K10" s="119">
        <f>J10/H10*10</f>
        <v/>
      </c>
      <c r="L10" s="119">
        <f>E10</f>
        <v/>
      </c>
      <c r="M10" s="119" t="n"/>
      <c r="N10" s="119" t="n"/>
      <c r="O10" s="119" t="n"/>
      <c r="P10" s="119" t="n"/>
      <c r="Q10" s="128" t="n"/>
      <c r="R10" s="119" t="inlineStr">
        <is>
          <t>PSM-ZM202606090002-0072</t>
        </is>
      </c>
      <c r="S10" s="119" t="inlineStr">
        <is>
          <t>广州承启生物科技有限公司</t>
        </is>
      </c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</row>
    <row r="11" ht="30" customHeight="1" s="36">
      <c r="A11" s="118" t="inlineStr">
        <is>
          <t>纯化</t>
        </is>
      </c>
      <c r="B11" s="118" t="inlineStr">
        <is>
          <t>P2-16.667</t>
        </is>
      </c>
      <c r="C11" s="127" t="n"/>
      <c r="D11" s="127" t="n">
        <v>2</v>
      </c>
      <c r="E11" s="127">
        <f>C11*D11/F11-D11</f>
        <v/>
      </c>
      <c r="F11" s="127" t="n"/>
      <c r="G11" s="118" t="inlineStr">
        <is>
          <t>10x5′单细胞免疫组库</t>
        </is>
      </c>
      <c r="H11" s="127" t="n">
        <v>16.667</v>
      </c>
      <c r="I11" s="121" t="n"/>
      <c r="J11" s="119">
        <f>H11/10</f>
        <v/>
      </c>
      <c r="K11" s="119">
        <f>J11/H11*10</f>
        <v/>
      </c>
      <c r="L11" s="119">
        <f>E11</f>
        <v/>
      </c>
      <c r="M11" s="119" t="n"/>
      <c r="N11" s="119" t="n"/>
      <c r="O11" s="119" t="n"/>
      <c r="P11" s="119" t="n"/>
      <c r="Q11" s="128" t="n"/>
      <c r="R11" s="119" t="inlineStr">
        <is>
          <t>PSM-ZM202606090002-0072</t>
        </is>
      </c>
      <c r="S11" s="119" t="inlineStr">
        <is>
          <t>广州承启生物科技有限公司</t>
        </is>
      </c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</row>
    <row r="12" ht="30" customHeight="1" s="36">
      <c r="A12" s="118" t="inlineStr">
        <is>
          <t>需要定量</t>
        </is>
      </c>
      <c r="B12" s="118" t="inlineStr">
        <is>
          <t>P2-6.666</t>
        </is>
      </c>
      <c r="C12" s="127" t="n"/>
      <c r="D12" s="127" t="n">
        <v>2</v>
      </c>
      <c r="E12" s="127">
        <f>C12*D12/F12-D12</f>
        <v/>
      </c>
      <c r="F12" s="127" t="n"/>
      <c r="G12" s="118" t="inlineStr">
        <is>
          <t>10x5′单细胞免疫组库</t>
        </is>
      </c>
      <c r="H12" s="127" t="n">
        <v>6.666</v>
      </c>
      <c r="I12" s="121" t="n"/>
      <c r="J12" s="119">
        <f>H12/10</f>
        <v/>
      </c>
      <c r="K12" s="119">
        <f>J12/H12*10</f>
        <v/>
      </c>
      <c r="L12" s="119">
        <f>E12</f>
        <v/>
      </c>
      <c r="M12" s="119" t="n"/>
      <c r="N12" s="119" t="n"/>
      <c r="O12" s="119" t="n"/>
      <c r="P12" s="119" t="n"/>
      <c r="Q12" s="128" t="n"/>
      <c r="R12" s="119" t="inlineStr">
        <is>
          <t>PSM-ZM202606050014-0054</t>
        </is>
      </c>
      <c r="S12" s="119" t="inlineStr">
        <is>
          <t>武汉迈维代谢生物科技股份有限公司</t>
        </is>
      </c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</row>
    <row r="13" ht="30" customHeight="1" s="36">
      <c r="A13" s="118" t="inlineStr">
        <is>
          <t>需要定量</t>
        </is>
      </c>
      <c r="B13" s="118" t="inlineStr">
        <is>
          <t>HGC-Lib-26099231</t>
        </is>
      </c>
      <c r="C13" s="127" t="n"/>
      <c r="D13" s="127" t="n">
        <v>2</v>
      </c>
      <c r="E13" s="127">
        <f>C13*D13/F13-D13</f>
        <v/>
      </c>
      <c r="F13" s="127" t="n"/>
      <c r="G13" s="118" t="inlineStr">
        <is>
          <t>10x5′单细胞免疫组库</t>
        </is>
      </c>
      <c r="H13" s="127" t="n">
        <v>33.333</v>
      </c>
      <c r="I13" s="123" t="n"/>
      <c r="J13" s="119">
        <f>H13/10</f>
        <v/>
      </c>
      <c r="K13" s="119">
        <f>J13/H13*10</f>
        <v/>
      </c>
      <c r="L13" s="119">
        <f>E13</f>
        <v/>
      </c>
      <c r="M13" s="119" t="n"/>
      <c r="N13" s="119" t="n"/>
      <c r="O13" s="119" t="n"/>
      <c r="P13" s="119" t="n"/>
      <c r="Q13" s="128" t="n"/>
      <c r="R13" s="119" t="inlineStr">
        <is>
          <t>PSM-ZM202606050014-0054</t>
        </is>
      </c>
      <c r="S13" s="119" t="inlineStr">
        <is>
          <t>武汉迈维代谢生物科技股份有限公司</t>
        </is>
      </c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</row>
    <row r="14" ht="30" customHeight="1" s="36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9" t="n"/>
      <c r="R14" s="125" t="n"/>
      <c r="S14" s="125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</row>
    <row r="15" ht="30" customHeight="1" s="36">
      <c r="A15" s="118" t="inlineStr">
        <is>
          <t>纯化</t>
        </is>
      </c>
      <c r="B15" s="118" t="inlineStr">
        <is>
          <t>P3-53.334</t>
        </is>
      </c>
      <c r="C15" s="127" t="n"/>
      <c r="D15" s="127" t="n">
        <v>2</v>
      </c>
      <c r="E15" s="127">
        <f>C15*D15/F15-D15</f>
        <v/>
      </c>
      <c r="F15" s="127" t="n"/>
      <c r="G15" s="118" t="inlineStr">
        <is>
          <t>10x5′单细胞免疫组库</t>
        </is>
      </c>
      <c r="H15" s="127" t="n">
        <v>53.334</v>
      </c>
      <c r="I15" s="118" t="inlineStr">
        <is>
          <t>P3</t>
        </is>
      </c>
      <c r="J15" s="119">
        <f>H15/10</f>
        <v/>
      </c>
      <c r="K15" s="119">
        <f>J15/H15*10</f>
        <v/>
      </c>
      <c r="L15" s="119">
        <f>E15</f>
        <v/>
      </c>
      <c r="M15" s="119" t="n"/>
      <c r="N15" s="119" t="n"/>
      <c r="O15" s="119" t="n"/>
      <c r="P15" s="119" t="n"/>
      <c r="Q15" s="128" t="n"/>
      <c r="R15" s="119" t="inlineStr">
        <is>
          <t>PSM-ZM202601040005-0019</t>
        </is>
      </c>
      <c r="S15" s="119" t="inlineStr">
        <is>
          <t>四川欣莱科生物科技有限公司</t>
        </is>
      </c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</row>
    <row r="16" ht="30" customHeight="1" s="36">
      <c r="A16" s="118" t="inlineStr">
        <is>
          <t>纯化</t>
        </is>
      </c>
      <c r="B16" s="118" t="inlineStr">
        <is>
          <t>P3-173.332</t>
        </is>
      </c>
      <c r="C16" s="127" t="n"/>
      <c r="D16" s="127" t="n">
        <v>2</v>
      </c>
      <c r="E16" s="127">
        <f>C16*D16/F16-D16</f>
        <v/>
      </c>
      <c r="F16" s="127" t="n"/>
      <c r="G16" s="118" t="inlineStr">
        <is>
          <t>10x5′单细胞免疫组库</t>
        </is>
      </c>
      <c r="H16" s="127" t="n">
        <v>173.332</v>
      </c>
      <c r="I16" s="121" t="n"/>
      <c r="J16" s="119">
        <f>H16/10</f>
        <v/>
      </c>
      <c r="K16" s="119">
        <f>J16/H16*10</f>
        <v/>
      </c>
      <c r="L16" s="119">
        <f>E16</f>
        <v/>
      </c>
      <c r="M16" s="119" t="n"/>
      <c r="N16" s="119" t="n"/>
      <c r="O16" s="119" t="n"/>
      <c r="P16" s="119" t="n"/>
      <c r="Q16" s="128" t="n"/>
      <c r="R16" s="119" t="inlineStr">
        <is>
          <t>PSM-ZM202606090002-0072</t>
        </is>
      </c>
      <c r="S16" s="119" t="inlineStr">
        <is>
          <t>广州承启生物科技有限公司</t>
        </is>
      </c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</row>
    <row r="17" ht="30" customHeight="1" s="36">
      <c r="A17" s="118" t="inlineStr">
        <is>
          <t>纯化</t>
        </is>
      </c>
      <c r="B17" s="118" t="inlineStr">
        <is>
          <t>P3-16.667</t>
        </is>
      </c>
      <c r="C17" s="127" t="n"/>
      <c r="D17" s="127" t="n">
        <v>2</v>
      </c>
      <c r="E17" s="127">
        <f>C17*D17/F17-D17</f>
        <v/>
      </c>
      <c r="F17" s="127" t="n"/>
      <c r="G17" s="118" t="inlineStr">
        <is>
          <t>10x5′单细胞免疫组库</t>
        </is>
      </c>
      <c r="H17" s="127" t="n">
        <v>16.667</v>
      </c>
      <c r="I17" s="121" t="n"/>
      <c r="J17" s="119">
        <f>H17/10</f>
        <v/>
      </c>
      <c r="K17" s="119">
        <f>J17/H17*10</f>
        <v/>
      </c>
      <c r="L17" s="119">
        <f>E17</f>
        <v/>
      </c>
      <c r="M17" s="119" t="n"/>
      <c r="N17" s="119" t="n"/>
      <c r="O17" s="119" t="n"/>
      <c r="P17" s="119" t="n"/>
      <c r="Q17" s="128" t="n"/>
      <c r="R17" s="119" t="inlineStr">
        <is>
          <t>PSM-ZM202606090002-0072</t>
        </is>
      </c>
      <c r="S17" s="119" t="inlineStr">
        <is>
          <t>广州承启生物科技有限公司</t>
        </is>
      </c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</row>
    <row r="18" ht="30" customHeight="1" s="36">
      <c r="A18" s="118" t="inlineStr">
        <is>
          <t>需要定量</t>
        </is>
      </c>
      <c r="B18" s="118" t="inlineStr">
        <is>
          <t>P3-6.666</t>
        </is>
      </c>
      <c r="C18" s="127" t="n"/>
      <c r="D18" s="127" t="n">
        <v>2</v>
      </c>
      <c r="E18" s="127">
        <f>C18*D18/F18-D18</f>
        <v/>
      </c>
      <c r="F18" s="127" t="n"/>
      <c r="G18" s="118" t="inlineStr">
        <is>
          <t>10x5′单细胞免疫组库</t>
        </is>
      </c>
      <c r="H18" s="127" t="n">
        <v>6.666</v>
      </c>
      <c r="I18" s="121" t="n"/>
      <c r="J18" s="119">
        <f>H18/10</f>
        <v/>
      </c>
      <c r="K18" s="119">
        <f>J18/H18*10</f>
        <v/>
      </c>
      <c r="L18" s="119">
        <f>E18</f>
        <v/>
      </c>
      <c r="M18" s="119" t="n"/>
      <c r="N18" s="119" t="n"/>
      <c r="O18" s="119" t="n"/>
      <c r="P18" s="119" t="n"/>
      <c r="Q18" s="128" t="n"/>
      <c r="R18" s="119" t="inlineStr">
        <is>
          <t>PSM-ZM202606050014-0054</t>
        </is>
      </c>
      <c r="S18" s="119" t="inlineStr">
        <is>
          <t>武汉迈维代谢生物科技股份有限公司</t>
        </is>
      </c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</row>
    <row r="19" ht="30" customHeight="1" s="36">
      <c r="A19" s="118" t="inlineStr">
        <is>
          <t>需要定量</t>
        </is>
      </c>
      <c r="B19" s="118" t="inlineStr">
        <is>
          <t>HGC-Lib-26099231</t>
        </is>
      </c>
      <c r="C19" s="127" t="n"/>
      <c r="D19" s="127" t="n">
        <v>2</v>
      </c>
      <c r="E19" s="127">
        <f>C19*D19/F19-D19</f>
        <v/>
      </c>
      <c r="F19" s="127" t="n"/>
      <c r="G19" s="118" t="inlineStr">
        <is>
          <t>10x5′单细胞免疫组库</t>
        </is>
      </c>
      <c r="H19" s="127" t="n">
        <v>33.333</v>
      </c>
      <c r="I19" s="123" t="n"/>
      <c r="J19" s="119">
        <f>H19/10</f>
        <v/>
      </c>
      <c r="K19" s="119">
        <f>J19/H19*10</f>
        <v/>
      </c>
      <c r="L19" s="119">
        <f>E19</f>
        <v/>
      </c>
      <c r="M19" s="119" t="n"/>
      <c r="N19" s="119" t="n"/>
      <c r="O19" s="119" t="n"/>
      <c r="P19" s="119" t="n"/>
      <c r="Q19" s="128" t="n"/>
      <c r="R19" s="119" t="inlineStr">
        <is>
          <t>PSM-ZM202606050014-0054</t>
        </is>
      </c>
      <c r="S19" s="119" t="inlineStr">
        <is>
          <t>武汉迈维代谢生物科技股份有限公司</t>
        </is>
      </c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</row>
    <row r="20" ht="30" customHeight="1" s="36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9" t="n"/>
      <c r="R20" s="125" t="n"/>
      <c r="S20" s="125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</row>
    <row r="21" ht="30" customHeight="1" s="36">
      <c r="A21" s="118" t="inlineStr">
        <is>
          <t>需要定量</t>
        </is>
      </c>
      <c r="B21" s="118" t="inlineStr">
        <is>
          <t>P4-5.867</t>
        </is>
      </c>
      <c r="C21" s="127" t="n"/>
      <c r="D21" s="127" t="n">
        <v>2</v>
      </c>
      <c r="E21" s="127">
        <f>C21*D21/F21-D21</f>
        <v/>
      </c>
      <c r="F21" s="127" t="n"/>
      <c r="G21" s="118" t="inlineStr">
        <is>
          <t>WGS</t>
        </is>
      </c>
      <c r="H21" s="127" t="n">
        <v>5.867</v>
      </c>
      <c r="I21" s="118" t="inlineStr">
        <is>
          <t>P4</t>
        </is>
      </c>
      <c r="J21" s="119">
        <f>H21/10</f>
        <v/>
      </c>
      <c r="K21" s="119">
        <f>J21/H21*10</f>
        <v/>
      </c>
      <c r="L21" s="119">
        <f>E21</f>
        <v/>
      </c>
      <c r="M21" s="119" t="n"/>
      <c r="N21" s="119" t="n"/>
      <c r="O21" s="119" t="n"/>
      <c r="P21" s="119" t="n"/>
      <c r="Q21" s="128" t="inlineStr">
        <is>
          <t>补测_260803_LH00348_0660_A23NNVVLT4</t>
        </is>
      </c>
      <c r="R21" s="119" t="inlineStr">
        <is>
          <t>PSM-ZM202607230003-0001</t>
        </is>
      </c>
      <c r="S21" s="119" t="inlineStr">
        <is>
          <t>北京百迈客生物科技有限公司</t>
        </is>
      </c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</row>
    <row r="22" ht="30" customHeight="1" s="36">
      <c r="A22" s="118" t="inlineStr">
        <is>
          <t>纯化</t>
        </is>
      </c>
      <c r="B22" s="118" t="inlineStr">
        <is>
          <t>HGC-Lib-26099715</t>
        </is>
      </c>
      <c r="C22" s="127" t="n"/>
      <c r="D22" s="127" t="n">
        <v>2</v>
      </c>
      <c r="E22" s="127">
        <f>C22*D22/F22-D22</f>
        <v/>
      </c>
      <c r="F22" s="127" t="n"/>
      <c r="G22" s="118" t="inlineStr">
        <is>
          <t>10x5′单细胞免疫组库</t>
        </is>
      </c>
      <c r="H22" s="127" t="n">
        <v>80</v>
      </c>
      <c r="I22" s="121" t="n"/>
      <c r="J22" s="119">
        <f>H22/10</f>
        <v/>
      </c>
      <c r="K22" s="119">
        <f>J22/H22*10</f>
        <v/>
      </c>
      <c r="L22" s="119">
        <f>E22</f>
        <v/>
      </c>
      <c r="M22" s="119" t="n"/>
      <c r="N22" s="119" t="n"/>
      <c r="O22" s="119" t="n"/>
      <c r="P22" s="119" t="n"/>
      <c r="Q22" s="128" t="n"/>
      <c r="R22" s="119" t="inlineStr">
        <is>
          <t>PSM-ZM202601040005-0019</t>
        </is>
      </c>
      <c r="S22" s="119" t="inlineStr">
        <is>
          <t>四川欣莱科生物科技有限公司</t>
        </is>
      </c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</row>
    <row r="23" ht="30" customHeight="1" s="36">
      <c r="A23" s="118" t="inlineStr">
        <is>
          <t>纯化</t>
        </is>
      </c>
      <c r="B23" s="118" t="inlineStr">
        <is>
          <t>HGC-POOL-26097627</t>
        </is>
      </c>
      <c r="C23" s="127" t="n"/>
      <c r="D23" s="127" t="n">
        <v>2</v>
      </c>
      <c r="E23" s="127">
        <f>C23*D23/F23-D23</f>
        <v/>
      </c>
      <c r="F23" s="127" t="n"/>
      <c r="G23" s="118" t="inlineStr">
        <is>
          <t>GRO-seq文库</t>
        </is>
      </c>
      <c r="H23" s="127" t="n">
        <v>20</v>
      </c>
      <c r="I23" s="121" t="n"/>
      <c r="J23" s="119">
        <f>H23/10</f>
        <v/>
      </c>
      <c r="K23" s="119">
        <f>J23/H23*10</f>
        <v/>
      </c>
      <c r="L23" s="119">
        <f>E23</f>
        <v/>
      </c>
      <c r="M23" s="119" t="n"/>
      <c r="N23" s="119" t="n"/>
      <c r="O23" s="119" t="n"/>
      <c r="P23" s="119" t="n"/>
      <c r="Q23" s="128" t="inlineStr">
        <is>
          <t>260803_LH00348_0660_A23NNVVLT4</t>
        </is>
      </c>
      <c r="R23" s="119" t="inlineStr">
        <is>
          <t>PSM-ZM202601090006-0027</t>
        </is>
      </c>
      <c r="S23" s="119" t="inlineStr">
        <is>
          <t>广州深碳科技有限公司</t>
        </is>
      </c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</row>
    <row r="24" ht="30" customHeight="1" s="36">
      <c r="A24" s="118" t="inlineStr">
        <is>
          <t>需要定量</t>
        </is>
      </c>
      <c r="B24" s="118" t="inlineStr">
        <is>
          <t>HGC-POOL-26100066</t>
        </is>
      </c>
      <c r="C24" s="127" t="n"/>
      <c r="D24" s="127" t="n">
        <v>2</v>
      </c>
      <c r="E24" s="127">
        <f>C24*D24/F24-D24</f>
        <v/>
      </c>
      <c r="F24" s="127" t="n"/>
      <c r="G24" s="118" t="inlineStr">
        <is>
          <t>illumina单细胞</t>
        </is>
      </c>
      <c r="H24" s="127" t="n">
        <v>100</v>
      </c>
      <c r="I24" s="121" t="n"/>
      <c r="J24" s="119">
        <f>H24/10</f>
        <v/>
      </c>
      <c r="K24" s="119">
        <f>J24/H24*10</f>
        <v/>
      </c>
      <c r="L24" s="119">
        <f>E24</f>
        <v/>
      </c>
      <c r="M24" s="119" t="n"/>
      <c r="N24" s="119" t="n"/>
      <c r="O24" s="119" t="n"/>
      <c r="P24" s="119" t="n"/>
      <c r="Q24" s="128" t="n"/>
      <c r="R24" s="119" t="inlineStr">
        <is>
          <t>PSM-ZM202606030019-0002</t>
        </is>
      </c>
      <c r="S24" s="119" t="inlineStr">
        <is>
          <t>上海逆耳生物科技有限公司</t>
        </is>
      </c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  <c r="BA24" s="64" t="n"/>
      <c r="BB24" s="64" t="n"/>
      <c r="BC24" s="64" t="n"/>
      <c r="BD24" s="64" t="n"/>
      <c r="BE24" s="64" t="n"/>
      <c r="BF24" s="64" t="n"/>
      <c r="BG24" s="64" t="n"/>
      <c r="BH24" s="64" t="n"/>
      <c r="BI24" s="64" t="n"/>
      <c r="BJ24" s="64" t="n"/>
      <c r="BK24" s="64" t="n"/>
      <c r="BL24" s="64" t="n"/>
      <c r="BM24" s="64" t="n"/>
      <c r="BN24" s="64" t="n"/>
      <c r="BO24" s="64" t="n"/>
      <c r="BP24" s="64" t="n"/>
      <c r="BQ24" s="64" t="n"/>
      <c r="BR24" s="64" t="n"/>
      <c r="BS24" s="64" t="n"/>
      <c r="BT24" s="64" t="n"/>
      <c r="BU24" s="64" t="n"/>
      <c r="BV24" s="64" t="n"/>
      <c r="BW24" s="64" t="n"/>
      <c r="BX24" s="64" t="n"/>
      <c r="BY24" s="64" t="n"/>
      <c r="BZ24" s="64" t="n"/>
      <c r="CA24" s="64" t="n"/>
      <c r="CB24" s="64" t="n"/>
      <c r="CC24" s="64" t="n"/>
      <c r="CD24" s="64" t="n"/>
      <c r="CE24" s="64" t="n"/>
      <c r="CF24" s="64" t="n"/>
      <c r="CG24" s="64" t="n"/>
    </row>
    <row r="25" ht="30" customHeight="1" s="36">
      <c r="A25" s="118" t="inlineStr">
        <is>
          <t>需要定量</t>
        </is>
      </c>
      <c r="B25" s="118" t="inlineStr">
        <is>
          <t>260574E</t>
        </is>
      </c>
      <c r="C25" s="127" t="n"/>
      <c r="D25" s="127" t="n">
        <v>2</v>
      </c>
      <c r="E25" s="127">
        <f>C25*D25/F25-D25</f>
        <v/>
      </c>
      <c r="F25" s="127" t="n"/>
      <c r="G25" s="118" t="inlineStr">
        <is>
          <t>SuperWES</t>
        </is>
      </c>
      <c r="H25" s="127" t="n">
        <v>80</v>
      </c>
      <c r="I25" s="121" t="n"/>
      <c r="J25" s="119">
        <f>H25/10</f>
        <v/>
      </c>
      <c r="K25" s="119">
        <f>J25/H25*10</f>
        <v/>
      </c>
      <c r="L25" s="119">
        <f>E25</f>
        <v/>
      </c>
      <c r="M25" s="119" t="n"/>
      <c r="N25" s="119" t="n"/>
      <c r="O25" s="119" t="n"/>
      <c r="P25" s="119" t="n"/>
      <c r="Q25" s="128" t="inlineStr">
        <is>
          <t>补测_260803_LH00348_0660_A23NNVVLT4</t>
        </is>
      </c>
      <c r="R25" s="119" t="inlineStr">
        <is>
          <t>PSM-ZM202607030006-0001</t>
        </is>
      </c>
      <c r="S25" s="119" t="inlineStr">
        <is>
          <t>中山大学肿瘤防治中心</t>
        </is>
      </c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</row>
    <row r="26" ht="30" customHeight="1" s="36">
      <c r="A26" s="118" t="inlineStr">
        <is>
          <t>需要定量</t>
        </is>
      </c>
      <c r="B26" s="118" t="inlineStr">
        <is>
          <t>HGC-26095264</t>
        </is>
      </c>
      <c r="C26" s="127" t="n"/>
      <c r="D26" s="127" t="n">
        <v>2</v>
      </c>
      <c r="E26" s="127">
        <f>C26*D26/F26-D26</f>
        <v/>
      </c>
      <c r="F26" s="127" t="n"/>
      <c r="G26" s="118" t="inlineStr">
        <is>
          <t>WGS</t>
        </is>
      </c>
      <c r="H26" s="127" t="n">
        <v>2.43</v>
      </c>
      <c r="I26" s="121" t="n"/>
      <c r="J26" s="119">
        <f>H26/10</f>
        <v/>
      </c>
      <c r="K26" s="119">
        <f>J26/H26*10</f>
        <v/>
      </c>
      <c r="L26" s="119">
        <f>E26</f>
        <v/>
      </c>
      <c r="M26" s="119" t="n"/>
      <c r="N26" s="119" t="n"/>
      <c r="O26" s="119" t="n"/>
      <c r="P26" s="119" t="n"/>
      <c r="Q26" s="128" t="inlineStr">
        <is>
          <t>补测_260803_LH00348_0660_A23NNVVLT4</t>
        </is>
      </c>
      <c r="R26" s="119" t="inlineStr">
        <is>
          <t>PSM-ZM202607230003-0001</t>
        </is>
      </c>
      <c r="S26" s="119" t="inlineStr">
        <is>
          <t>北京百迈客生物科技有限公司</t>
        </is>
      </c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</row>
    <row r="27" ht="30" customHeight="1" s="36">
      <c r="A27" s="118" t="inlineStr">
        <is>
          <t>需要定量</t>
        </is>
      </c>
      <c r="B27" s="118" t="inlineStr">
        <is>
          <t>HGC-26095266</t>
        </is>
      </c>
      <c r="C27" s="127" t="n"/>
      <c r="D27" s="127" t="n">
        <v>2</v>
      </c>
      <c r="E27" s="127">
        <f>C27*D27/F27-D27</f>
        <v/>
      </c>
      <c r="F27" s="127" t="n"/>
      <c r="G27" s="118" t="inlineStr">
        <is>
          <t>WGS</t>
        </is>
      </c>
      <c r="H27" s="127" t="n">
        <v>2.143</v>
      </c>
      <c r="I27" s="123" t="n"/>
      <c r="J27" s="119">
        <f>H27/10</f>
        <v/>
      </c>
      <c r="K27" s="119">
        <f>J27/H27*10</f>
        <v/>
      </c>
      <c r="L27" s="119">
        <f>E27</f>
        <v/>
      </c>
      <c r="M27" s="119" t="n"/>
      <c r="N27" s="119" t="n"/>
      <c r="O27" s="119" t="n"/>
      <c r="P27" s="119" t="n"/>
      <c r="Q27" s="128" t="inlineStr">
        <is>
          <t>补测_260803_LH00348_0660_A23NNVVLT4</t>
        </is>
      </c>
      <c r="R27" s="119" t="inlineStr">
        <is>
          <t>PSM-ZM202607230003-0001</t>
        </is>
      </c>
      <c r="S27" s="119" t="inlineStr">
        <is>
          <t>北京百迈客生物科技有限公司</t>
        </is>
      </c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</row>
    <row r="28" ht="30" customHeight="1" s="36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9" t="n"/>
      <c r="R28" s="125" t="n"/>
      <c r="S28" s="125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</row>
    <row r="29" ht="30" customHeight="1" s="36">
      <c r="A29" s="118" t="inlineStr">
        <is>
          <t>纯化</t>
        </is>
      </c>
      <c r="B29" s="118" t="inlineStr">
        <is>
          <t>S1-300</t>
        </is>
      </c>
      <c r="C29" s="127" t="n"/>
      <c r="D29" s="127" t="n">
        <v>2</v>
      </c>
      <c r="E29" s="127">
        <f>C29*D29/F29-D29</f>
        <v/>
      </c>
      <c r="F29" s="127" t="n"/>
      <c r="G29" s="118" t="inlineStr">
        <is>
          <t>10x3′单细胞转录组</t>
        </is>
      </c>
      <c r="H29" s="127" t="n">
        <v>300</v>
      </c>
      <c r="I29" s="118" t="inlineStr">
        <is>
          <t>S1</t>
        </is>
      </c>
      <c r="J29" s="119">
        <f>H29/10</f>
        <v/>
      </c>
      <c r="K29" s="119">
        <f>J29/H29*10</f>
        <v/>
      </c>
      <c r="L29" s="119">
        <f>E29</f>
        <v/>
      </c>
      <c r="M29" s="119" t="n"/>
      <c r="N29" s="119" t="n"/>
      <c r="O29" s="119" t="n"/>
      <c r="P29" s="119" t="n"/>
      <c r="Q29" s="128" t="n"/>
      <c r="R29" s="119" t="inlineStr">
        <is>
          <t>PSM-ZM202606090002-0072</t>
        </is>
      </c>
      <c r="S29" s="119" t="inlineStr">
        <is>
          <t>广州承启生物科技有限公司</t>
        </is>
      </c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</row>
    <row r="30" ht="30" customHeight="1" s="36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9" t="n"/>
      <c r="R30" s="125" t="n"/>
      <c r="S30" s="125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</row>
    <row r="31" ht="30" customHeight="1" s="36">
      <c r="A31" s="118" t="inlineStr">
        <is>
          <t>纯化</t>
        </is>
      </c>
      <c r="B31" s="118" t="inlineStr">
        <is>
          <t>S2-300</t>
        </is>
      </c>
      <c r="C31" s="127" t="n"/>
      <c r="D31" s="127" t="n">
        <v>2</v>
      </c>
      <c r="E31" s="127">
        <f>C31*D31/F31-D31</f>
        <v/>
      </c>
      <c r="F31" s="127" t="n"/>
      <c r="G31" s="118" t="inlineStr">
        <is>
          <t>10x3′单细胞转录组</t>
        </is>
      </c>
      <c r="H31" s="127" t="n">
        <v>300</v>
      </c>
      <c r="I31" s="118" t="inlineStr">
        <is>
          <t>S2</t>
        </is>
      </c>
      <c r="J31" s="119">
        <f>H31/10</f>
        <v/>
      </c>
      <c r="K31" s="119">
        <f>J31/H31*10</f>
        <v/>
      </c>
      <c r="L31" s="119">
        <f>E31</f>
        <v/>
      </c>
      <c r="M31" s="119" t="n"/>
      <c r="N31" s="119" t="n"/>
      <c r="O31" s="119" t="n"/>
      <c r="P31" s="119" t="n"/>
      <c r="Q31" s="128" t="n"/>
      <c r="R31" s="119" t="inlineStr">
        <is>
          <t>PSM-ZM202606090002-0072</t>
        </is>
      </c>
      <c r="S31" s="119" t="inlineStr">
        <is>
          <t>广州承启生物科技有限公司</t>
        </is>
      </c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</row>
    <row r="32" ht="30" customHeight="1" s="36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9" t="n"/>
      <c r="R32" s="125" t="n"/>
      <c r="S32" s="125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</row>
    <row r="33" ht="30" customHeight="1" s="36">
      <c r="A33" s="118" t="inlineStr">
        <is>
          <t>纯化</t>
        </is>
      </c>
      <c r="B33" s="118" t="inlineStr">
        <is>
          <t>S3-300</t>
        </is>
      </c>
      <c r="C33" s="127" t="n"/>
      <c r="D33" s="127" t="n">
        <v>2</v>
      </c>
      <c r="E33" s="127">
        <f>C33*D33/F33-D33</f>
        <v/>
      </c>
      <c r="F33" s="127" t="n"/>
      <c r="G33" s="118" t="inlineStr">
        <is>
          <t>10x3′单细胞转录组</t>
        </is>
      </c>
      <c r="H33" s="127" t="n">
        <v>300</v>
      </c>
      <c r="I33" s="118" t="inlineStr">
        <is>
          <t>S3</t>
        </is>
      </c>
      <c r="J33" s="119">
        <f>H33/10</f>
        <v/>
      </c>
      <c r="K33" s="119">
        <f>J33/H33*10</f>
        <v/>
      </c>
      <c r="L33" s="119">
        <f>E33</f>
        <v/>
      </c>
      <c r="M33" s="119" t="n"/>
      <c r="N33" s="119" t="n"/>
      <c r="O33" s="119" t="n"/>
      <c r="P33" s="119" t="n"/>
      <c r="Q33" s="128" t="n"/>
      <c r="R33" s="119" t="inlineStr">
        <is>
          <t>PSM-ZM202606090002-0072</t>
        </is>
      </c>
      <c r="S33" s="119" t="inlineStr">
        <is>
          <t>广州承启生物科技有限公司</t>
        </is>
      </c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</row>
    <row r="34" ht="30" customHeight="1" s="36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9" t="n"/>
      <c r="R34" s="125" t="n"/>
      <c r="S34" s="125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</row>
    <row r="35" ht="30" customHeight="1" s="36">
      <c r="A35" s="118" t="inlineStr">
        <is>
          <t>纯化</t>
        </is>
      </c>
      <c r="B35" s="118" t="inlineStr">
        <is>
          <t>S4-300</t>
        </is>
      </c>
      <c r="C35" s="127" t="n"/>
      <c r="D35" s="127" t="n">
        <v>2</v>
      </c>
      <c r="E35" s="127">
        <f>C35*D35/F35-D35</f>
        <v/>
      </c>
      <c r="F35" s="127" t="n"/>
      <c r="G35" s="118" t="inlineStr">
        <is>
          <t>10x3′单细胞转录组</t>
        </is>
      </c>
      <c r="H35" s="127" t="n">
        <v>300</v>
      </c>
      <c r="I35" s="118" t="inlineStr">
        <is>
          <t>S4</t>
        </is>
      </c>
      <c r="J35" s="119">
        <f>H35/10</f>
        <v/>
      </c>
      <c r="K35" s="119">
        <f>J35/H35*10</f>
        <v/>
      </c>
      <c r="L35" s="119">
        <f>E35</f>
        <v/>
      </c>
      <c r="M35" s="119" t="n"/>
      <c r="N35" s="119" t="n"/>
      <c r="O35" s="119" t="n"/>
      <c r="P35" s="119" t="n"/>
      <c r="Q35" s="128" t="n"/>
      <c r="R35" s="119" t="inlineStr">
        <is>
          <t>PSM-ZM202606090002-0072</t>
        </is>
      </c>
      <c r="S35" s="119" t="inlineStr">
        <is>
          <t>广州承启生物科技有限公司</t>
        </is>
      </c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</row>
    <row r="36" ht="21.95" customHeight="1" s="36">
      <c r="A36" s="64" t="n"/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</row>
    <row r="37" ht="21.95" customHeight="1" s="36">
      <c r="A37" s="64" t="n"/>
      <c r="B37" s="64" t="n"/>
      <c r="C37" s="64" t="n"/>
      <c r="D37" s="64" t="n"/>
      <c r="E37" s="64" t="n"/>
      <c r="F37" s="64" t="n"/>
      <c r="G37" s="64" t="n"/>
      <c r="H37" s="77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</row>
    <row r="38" ht="21.95" customHeight="1" s="36">
      <c r="A38" s="64" t="n"/>
      <c r="B38" s="64" t="n"/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</row>
    <row r="39" ht="21.95" customHeight="1" s="36">
      <c r="A39" s="64" t="n"/>
      <c r="B39" s="64" t="n"/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</row>
    <row r="40" ht="21.95" customHeight="1" s="36">
      <c r="A40" s="64" t="n"/>
      <c r="B40" s="64" t="n"/>
      <c r="C40" s="64" t="n"/>
      <c r="D40" s="64" t="n"/>
      <c r="E40" s="64" t="n"/>
      <c r="F40" s="64" t="n"/>
      <c r="G40" s="64" t="n"/>
      <c r="H40" s="64" t="n"/>
      <c r="I40" s="64" t="n"/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</row>
    <row r="41" ht="21.95" customHeight="1" s="36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</row>
    <row r="42" ht="21.95" customHeight="1" s="36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  <c r="AA42" s="64" t="n"/>
      <c r="AB42" s="64" t="n"/>
      <c r="AC42" s="64" t="n"/>
      <c r="AD42" s="64" t="n"/>
      <c r="AE42" s="64" t="n"/>
      <c r="AF42" s="64" t="n"/>
      <c r="AG42" s="64" t="n"/>
      <c r="AH42" s="64" t="n"/>
      <c r="AI42" s="64" t="n"/>
      <c r="AJ42" s="64" t="n"/>
      <c r="AK42" s="64" t="n"/>
      <c r="AL42" s="64" t="n"/>
      <c r="AM42" s="64" t="n"/>
      <c r="AN42" s="64" t="n"/>
      <c r="AO42" s="64" t="n"/>
      <c r="AP42" s="64" t="n"/>
      <c r="AQ42" s="64" t="n"/>
      <c r="AR42" s="64" t="n"/>
      <c r="AS42" s="64" t="n"/>
      <c r="AT42" s="64" t="n"/>
      <c r="AU42" s="64" t="n"/>
      <c r="AV42" s="64" t="n"/>
      <c r="AW42" s="64" t="n"/>
      <c r="AX42" s="64" t="n"/>
      <c r="AY42" s="64" t="n"/>
      <c r="AZ42" s="64" t="n"/>
      <c r="BA42" s="64" t="n"/>
      <c r="BB42" s="64" t="n"/>
      <c r="BC42" s="64" t="n"/>
      <c r="BD42" s="64" t="n"/>
      <c r="BE42" s="64" t="n"/>
      <c r="BF42" s="64" t="n"/>
      <c r="BG42" s="64" t="n"/>
      <c r="BH42" s="64" t="n"/>
      <c r="BI42" s="64" t="n"/>
      <c r="BJ42" s="64" t="n"/>
      <c r="BK42" s="64" t="n"/>
      <c r="BL42" s="64" t="n"/>
      <c r="BM42" s="64" t="n"/>
      <c r="BN42" s="64" t="n"/>
      <c r="BO42" s="64" t="n"/>
      <c r="BP42" s="64" t="n"/>
      <c r="BQ42" s="64" t="n"/>
      <c r="BR42" s="64" t="n"/>
      <c r="BS42" s="64" t="n"/>
      <c r="BT42" s="64" t="n"/>
      <c r="BU42" s="64" t="n"/>
      <c r="BV42" s="64" t="n"/>
      <c r="BW42" s="64" t="n"/>
      <c r="BX42" s="64" t="n"/>
      <c r="BY42" s="64" t="n"/>
      <c r="BZ42" s="64" t="n"/>
      <c r="CA42" s="64" t="n"/>
      <c r="CB42" s="64" t="n"/>
      <c r="CC42" s="64" t="n"/>
      <c r="CD42" s="64" t="n"/>
      <c r="CE42" s="64" t="n"/>
      <c r="CF42" s="64" t="n"/>
      <c r="CG42" s="64" t="n"/>
    </row>
    <row r="43" ht="21.95" customHeight="1" s="36">
      <c r="A43" s="64" t="n"/>
      <c r="B43" s="64" t="n"/>
      <c r="C43" s="64" t="n"/>
      <c r="D43" s="64" t="n"/>
      <c r="E43" s="64" t="n"/>
      <c r="F43" s="64" t="n"/>
      <c r="G43" s="64" t="n"/>
      <c r="H43" s="64" t="n"/>
      <c r="I43" s="64" t="n"/>
      <c r="J43" s="64" t="n"/>
      <c r="K43" s="64" t="n"/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</row>
    <row r="44" ht="21.95" customHeight="1" s="36">
      <c r="A44" s="64" t="n"/>
      <c r="B44" s="64" t="n"/>
      <c r="C44" s="64" t="n"/>
      <c r="D44" s="64" t="n"/>
      <c r="E44" s="64" t="n"/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</row>
    <row r="45" ht="21.95" customHeight="1" s="36">
      <c r="A45" s="64" t="n"/>
      <c r="B45" s="64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</row>
    <row r="46" ht="21.95" customHeight="1" s="36">
      <c r="A46" s="64" t="n"/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</row>
    <row r="47" ht="21.95" customHeight="1" s="36">
      <c r="A47" s="64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</row>
    <row r="48" ht="21.95" customHeight="1" s="36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</row>
    <row r="49" ht="21.95" customHeight="1" s="36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</row>
    <row r="50" ht="21.95" customHeight="1" s="36">
      <c r="A50" s="64" t="n"/>
      <c r="B50" s="64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</row>
    <row r="51" ht="21.95" customHeight="1" s="36">
      <c r="A51" s="64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</row>
    <row r="52" ht="21.95" customHeight="1" s="36">
      <c r="A52" s="64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</row>
    <row r="53" ht="21.95" customHeight="1" s="3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</row>
    <row r="54" ht="21.95" customHeight="1" s="36">
      <c r="A54" s="64" t="n"/>
      <c r="B54" s="64" t="n"/>
      <c r="C54" s="64" t="n"/>
      <c r="D54" s="64" t="n"/>
      <c r="E54" s="64" t="n"/>
      <c r="F54" s="64" t="n"/>
      <c r="G54" s="64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</row>
    <row r="55" ht="21.95" customHeight="1" s="3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</row>
    <row r="56" ht="21.95" customHeight="1" s="36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</row>
    <row r="57" ht="21.95" customHeight="1" s="36">
      <c r="A57" s="64" t="n"/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</row>
    <row r="58" ht="21.95" customHeight="1" s="36">
      <c r="A58" s="64" t="n"/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</row>
    <row r="59" ht="21.95" customHeight="1" s="36">
      <c r="A59" s="64" t="n"/>
      <c r="B59" s="64" t="n"/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64" t="n"/>
      <c r="AB59" s="64" t="n"/>
      <c r="AC59" s="64" t="n"/>
      <c r="AD59" s="64" t="n"/>
      <c r="AE59" s="64" t="n"/>
      <c r="AF59" s="64" t="n"/>
      <c r="AG59" s="64" t="n"/>
      <c r="AH59" s="64" t="n"/>
      <c r="AI59" s="64" t="n"/>
      <c r="AJ59" s="64" t="n"/>
      <c r="AK59" s="64" t="n"/>
      <c r="AL59" s="64" t="n"/>
      <c r="AM59" s="64" t="n"/>
      <c r="AN59" s="64" t="n"/>
      <c r="AO59" s="64" t="n"/>
      <c r="AP59" s="64" t="n"/>
      <c r="AQ59" s="64" t="n"/>
      <c r="AR59" s="64" t="n"/>
      <c r="AS59" s="64" t="n"/>
      <c r="AT59" s="64" t="n"/>
      <c r="AU59" s="64" t="n"/>
      <c r="AV59" s="64" t="n"/>
      <c r="AW59" s="64" t="n"/>
      <c r="AX59" s="64" t="n"/>
      <c r="AY59" s="64" t="n"/>
      <c r="AZ59" s="64" t="n"/>
      <c r="BA59" s="64" t="n"/>
      <c r="BB59" s="64" t="n"/>
      <c r="BC59" s="64" t="n"/>
      <c r="BD59" s="64" t="n"/>
      <c r="BE59" s="64" t="n"/>
      <c r="BF59" s="64" t="n"/>
      <c r="BG59" s="64" t="n"/>
      <c r="BH59" s="64" t="n"/>
      <c r="BI59" s="64" t="n"/>
      <c r="BJ59" s="64" t="n"/>
      <c r="BK59" s="64" t="n"/>
      <c r="BL59" s="64" t="n"/>
      <c r="BM59" s="64" t="n"/>
      <c r="BN59" s="64" t="n"/>
      <c r="BO59" s="64" t="n"/>
      <c r="BP59" s="64" t="n"/>
      <c r="BQ59" s="64" t="n"/>
      <c r="BR59" s="64" t="n"/>
      <c r="BS59" s="64" t="n"/>
      <c r="BT59" s="64" t="n"/>
      <c r="BU59" s="64" t="n"/>
      <c r="BV59" s="64" t="n"/>
      <c r="BW59" s="64" t="n"/>
      <c r="BX59" s="64" t="n"/>
      <c r="BY59" s="64" t="n"/>
      <c r="BZ59" s="64" t="n"/>
      <c r="CA59" s="64" t="n"/>
      <c r="CB59" s="64" t="n"/>
      <c r="CC59" s="64" t="n"/>
      <c r="CD59" s="64" t="n"/>
      <c r="CE59" s="64" t="n"/>
      <c r="CF59" s="64" t="n"/>
      <c r="CG59" s="64" t="n"/>
    </row>
    <row r="60" ht="21.95" customHeight="1" s="36">
      <c r="A60" s="64" t="n"/>
      <c r="B60" s="64" t="n"/>
      <c r="C60" s="64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64" t="n"/>
      <c r="AE60" s="64" t="n"/>
      <c r="AF60" s="64" t="n"/>
      <c r="AG60" s="64" t="n"/>
      <c r="AH60" s="64" t="n"/>
      <c r="AI60" s="64" t="n"/>
      <c r="AJ60" s="64" t="n"/>
      <c r="AK60" s="64" t="n"/>
      <c r="AL60" s="64" t="n"/>
      <c r="AM60" s="64" t="n"/>
      <c r="AN60" s="64" t="n"/>
      <c r="AO60" s="64" t="n"/>
      <c r="AP60" s="64" t="n"/>
      <c r="AQ60" s="64" t="n"/>
      <c r="AR60" s="64" t="n"/>
      <c r="AS60" s="64" t="n"/>
      <c r="AT60" s="64" t="n"/>
      <c r="AU60" s="64" t="n"/>
      <c r="AV60" s="64" t="n"/>
      <c r="AW60" s="64" t="n"/>
      <c r="AX60" s="64" t="n"/>
      <c r="AY60" s="64" t="n"/>
      <c r="AZ60" s="64" t="n"/>
      <c r="BA60" s="64" t="n"/>
      <c r="BB60" s="64" t="n"/>
      <c r="BC60" s="64" t="n"/>
      <c r="BD60" s="64" t="n"/>
      <c r="BE60" s="64" t="n"/>
      <c r="BF60" s="64" t="n"/>
      <c r="BG60" s="64" t="n"/>
      <c r="BH60" s="64" t="n"/>
      <c r="BI60" s="64" t="n"/>
      <c r="BJ60" s="64" t="n"/>
      <c r="BK60" s="64" t="n"/>
      <c r="BL60" s="64" t="n"/>
      <c r="BM60" s="64" t="n"/>
      <c r="BN60" s="64" t="n"/>
      <c r="BO60" s="64" t="n"/>
      <c r="BP60" s="64" t="n"/>
      <c r="BQ60" s="64" t="n"/>
      <c r="BR60" s="64" t="n"/>
      <c r="BS60" s="64" t="n"/>
      <c r="BT60" s="64" t="n"/>
      <c r="BU60" s="64" t="n"/>
      <c r="BV60" s="64" t="n"/>
      <c r="BW60" s="64" t="n"/>
      <c r="BX60" s="64" t="n"/>
      <c r="BY60" s="64" t="n"/>
      <c r="BZ60" s="64" t="n"/>
      <c r="CA60" s="64" t="n"/>
      <c r="CB60" s="64" t="n"/>
      <c r="CC60" s="64" t="n"/>
      <c r="CD60" s="64" t="n"/>
      <c r="CE60" s="64" t="n"/>
      <c r="CF60" s="64" t="n"/>
      <c r="CG60" s="64" t="n"/>
    </row>
    <row r="61" ht="21.95" customHeight="1" s="36">
      <c r="A61" s="64" t="n"/>
      <c r="B61" s="64" t="n"/>
      <c r="C61" s="64" t="n"/>
      <c r="D61" s="64" t="n"/>
      <c r="E61" s="64" t="n"/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  <c r="AA61" s="64" t="n"/>
      <c r="AB61" s="64" t="n"/>
      <c r="AC61" s="64" t="n"/>
      <c r="AD61" s="64" t="n"/>
      <c r="AE61" s="64" t="n"/>
      <c r="AF61" s="64" t="n"/>
      <c r="AG61" s="64" t="n"/>
      <c r="AH61" s="64" t="n"/>
      <c r="AI61" s="64" t="n"/>
      <c r="AJ61" s="64" t="n"/>
      <c r="AK61" s="64" t="n"/>
      <c r="AL61" s="64" t="n"/>
      <c r="AM61" s="64" t="n"/>
      <c r="AN61" s="64" t="n"/>
      <c r="AO61" s="64" t="n"/>
      <c r="AP61" s="64" t="n"/>
      <c r="AQ61" s="64" t="n"/>
      <c r="AR61" s="64" t="n"/>
      <c r="AS61" s="64" t="n"/>
      <c r="AT61" s="64" t="n"/>
      <c r="AU61" s="64" t="n"/>
      <c r="AV61" s="64" t="n"/>
      <c r="AW61" s="64" t="n"/>
      <c r="AX61" s="64" t="n"/>
      <c r="AY61" s="64" t="n"/>
      <c r="AZ61" s="64" t="n"/>
      <c r="BA61" s="64" t="n"/>
      <c r="BB61" s="64" t="n"/>
      <c r="BC61" s="64" t="n"/>
      <c r="BD61" s="64" t="n"/>
      <c r="BE61" s="64" t="n"/>
      <c r="BF61" s="64" t="n"/>
      <c r="BG61" s="64" t="n"/>
      <c r="BH61" s="64" t="n"/>
      <c r="BI61" s="64" t="n"/>
      <c r="BJ61" s="64" t="n"/>
      <c r="BK61" s="64" t="n"/>
      <c r="BL61" s="64" t="n"/>
      <c r="BM61" s="64" t="n"/>
      <c r="BN61" s="64" t="n"/>
      <c r="BO61" s="64" t="n"/>
      <c r="BP61" s="64" t="n"/>
      <c r="BQ61" s="64" t="n"/>
      <c r="BR61" s="64" t="n"/>
      <c r="BS61" s="64" t="n"/>
      <c r="BT61" s="64" t="n"/>
      <c r="BU61" s="64" t="n"/>
      <c r="BV61" s="64" t="n"/>
      <c r="BW61" s="64" t="n"/>
      <c r="BX61" s="64" t="n"/>
      <c r="BY61" s="64" t="n"/>
      <c r="BZ61" s="64" t="n"/>
      <c r="CA61" s="64" t="n"/>
      <c r="CB61" s="64" t="n"/>
      <c r="CC61" s="64" t="n"/>
      <c r="CD61" s="64" t="n"/>
      <c r="CE61" s="64" t="n"/>
      <c r="CF61" s="64" t="n"/>
      <c r="CG61" s="64" t="n"/>
    </row>
    <row r="62" ht="21.95" customHeight="1" s="36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</row>
    <row r="63" ht="21.95" customHeight="1" s="36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  <c r="AA63" s="64" t="n"/>
      <c r="AB63" s="64" t="n"/>
      <c r="AC63" s="64" t="n"/>
      <c r="AD63" s="64" t="n"/>
      <c r="AE63" s="64" t="n"/>
      <c r="AF63" s="64" t="n"/>
      <c r="AG63" s="64" t="n"/>
      <c r="AH63" s="64" t="n"/>
      <c r="AI63" s="64" t="n"/>
      <c r="AJ63" s="64" t="n"/>
      <c r="AK63" s="64" t="n"/>
      <c r="AL63" s="64" t="n"/>
      <c r="AM63" s="64" t="n"/>
      <c r="AN63" s="64" t="n"/>
      <c r="AO63" s="64" t="n"/>
      <c r="AP63" s="64" t="n"/>
      <c r="AQ63" s="64" t="n"/>
      <c r="AR63" s="64" t="n"/>
      <c r="AS63" s="64" t="n"/>
      <c r="AT63" s="64" t="n"/>
      <c r="AU63" s="64" t="n"/>
      <c r="AV63" s="64" t="n"/>
      <c r="AW63" s="64" t="n"/>
      <c r="AX63" s="64" t="n"/>
      <c r="AY63" s="64" t="n"/>
      <c r="AZ63" s="64" t="n"/>
      <c r="BA63" s="64" t="n"/>
      <c r="BB63" s="64" t="n"/>
      <c r="BC63" s="64" t="n"/>
      <c r="BD63" s="64" t="n"/>
      <c r="BE63" s="64" t="n"/>
      <c r="BF63" s="64" t="n"/>
      <c r="BG63" s="64" t="n"/>
      <c r="BH63" s="64" t="n"/>
      <c r="BI63" s="64" t="n"/>
      <c r="BJ63" s="64" t="n"/>
      <c r="BK63" s="64" t="n"/>
      <c r="BL63" s="64" t="n"/>
      <c r="BM63" s="64" t="n"/>
      <c r="BN63" s="64" t="n"/>
      <c r="BO63" s="64" t="n"/>
      <c r="BP63" s="64" t="n"/>
      <c r="BQ63" s="64" t="n"/>
      <c r="BR63" s="64" t="n"/>
      <c r="BS63" s="64" t="n"/>
      <c r="BT63" s="64" t="n"/>
      <c r="BU63" s="64" t="n"/>
      <c r="BV63" s="64" t="n"/>
      <c r="BW63" s="64" t="n"/>
      <c r="BX63" s="64" t="n"/>
      <c r="BY63" s="64" t="n"/>
      <c r="BZ63" s="64" t="n"/>
      <c r="CA63" s="64" t="n"/>
      <c r="CB63" s="64" t="n"/>
      <c r="CC63" s="64" t="n"/>
      <c r="CD63" s="64" t="n"/>
      <c r="CE63" s="64" t="n"/>
      <c r="CF63" s="64" t="n"/>
      <c r="CG63" s="64" t="n"/>
    </row>
    <row r="64" ht="21.95" customHeight="1" s="36">
      <c r="A64" s="64" t="n"/>
      <c r="B64" s="64" t="n"/>
      <c r="C64" s="64" t="n"/>
      <c r="D64" s="64" t="n"/>
      <c r="E64" s="64" t="n"/>
      <c r="F64" s="64" t="n"/>
      <c r="G64" s="64" t="n"/>
      <c r="H64" s="64" t="n"/>
      <c r="I64" s="64" t="n"/>
      <c r="J64" s="64" t="n"/>
      <c r="K64" s="64" t="n"/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</row>
    <row r="65" ht="21.95" customHeight="1" s="36">
      <c r="A65" s="64" t="n"/>
      <c r="B65" s="64" t="n"/>
      <c r="C65" s="64" t="n"/>
      <c r="D65" s="64" t="n"/>
      <c r="E65" s="64" t="n"/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</row>
    <row r="66" ht="21.95" customHeight="1" s="36">
      <c r="A66" s="64" t="n"/>
      <c r="B66" s="64" t="n"/>
      <c r="C66" s="64" t="n"/>
      <c r="D66" s="64" t="n"/>
      <c r="E66" s="64" t="n"/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</row>
    <row r="67" ht="21.95" customHeight="1" s="36">
      <c r="A67" s="64" t="n"/>
      <c r="B67" s="64" t="n"/>
      <c r="C67" s="64" t="n"/>
      <c r="D67" s="64" t="n"/>
      <c r="E67" s="64" t="n"/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  <c r="AA67" s="64" t="n"/>
      <c r="AB67" s="64" t="n"/>
      <c r="AC67" s="64" t="n"/>
      <c r="AD67" s="64" t="n"/>
      <c r="AE67" s="64" t="n"/>
      <c r="AF67" s="64" t="n"/>
      <c r="AG67" s="64" t="n"/>
      <c r="AH67" s="64" t="n"/>
      <c r="AI67" s="64" t="n"/>
      <c r="AJ67" s="64" t="n"/>
      <c r="AK67" s="64" t="n"/>
      <c r="AL67" s="64" t="n"/>
      <c r="AM67" s="64" t="n"/>
      <c r="AN67" s="64" t="n"/>
      <c r="AO67" s="64" t="n"/>
      <c r="AP67" s="64" t="n"/>
      <c r="AQ67" s="64" t="n"/>
      <c r="AR67" s="64" t="n"/>
      <c r="AS67" s="64" t="n"/>
      <c r="AT67" s="64" t="n"/>
      <c r="AU67" s="64" t="n"/>
      <c r="AV67" s="64" t="n"/>
      <c r="AW67" s="64" t="n"/>
      <c r="AX67" s="64" t="n"/>
      <c r="AY67" s="64" t="n"/>
      <c r="AZ67" s="64" t="n"/>
      <c r="BA67" s="64" t="n"/>
      <c r="BB67" s="64" t="n"/>
      <c r="BC67" s="64" t="n"/>
      <c r="BD67" s="64" t="n"/>
      <c r="BE67" s="64" t="n"/>
      <c r="BF67" s="64" t="n"/>
      <c r="BG67" s="64" t="n"/>
      <c r="BH67" s="64" t="n"/>
      <c r="BI67" s="64" t="n"/>
      <c r="BJ67" s="64" t="n"/>
      <c r="BK67" s="64" t="n"/>
      <c r="BL67" s="64" t="n"/>
      <c r="BM67" s="64" t="n"/>
      <c r="BN67" s="64" t="n"/>
      <c r="BO67" s="64" t="n"/>
      <c r="BP67" s="64" t="n"/>
      <c r="BQ67" s="64" t="n"/>
      <c r="BR67" s="64" t="n"/>
      <c r="BS67" s="64" t="n"/>
      <c r="BT67" s="64" t="n"/>
      <c r="BU67" s="64" t="n"/>
      <c r="BV67" s="64" t="n"/>
      <c r="BW67" s="64" t="n"/>
      <c r="BX67" s="64" t="n"/>
      <c r="BY67" s="64" t="n"/>
      <c r="BZ67" s="64" t="n"/>
      <c r="CA67" s="64" t="n"/>
      <c r="CB67" s="64" t="n"/>
      <c r="CC67" s="64" t="n"/>
      <c r="CD67" s="64" t="n"/>
      <c r="CE67" s="64" t="n"/>
      <c r="CF67" s="64" t="n"/>
      <c r="CG67" s="64" t="n"/>
    </row>
    <row r="68" ht="21.95" customHeight="1" s="36">
      <c r="A68" s="64" t="n"/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  <c r="AA68" s="64" t="n"/>
      <c r="AB68" s="64" t="n"/>
      <c r="AC68" s="64" t="n"/>
      <c r="AD68" s="64" t="n"/>
      <c r="AE68" s="64" t="n"/>
      <c r="AF68" s="64" t="n"/>
      <c r="AG68" s="64" t="n"/>
      <c r="AH68" s="64" t="n"/>
      <c r="AI68" s="64" t="n"/>
      <c r="AJ68" s="64" t="n"/>
      <c r="AK68" s="64" t="n"/>
      <c r="AL68" s="64" t="n"/>
      <c r="AM68" s="64" t="n"/>
      <c r="AN68" s="64" t="n"/>
      <c r="AO68" s="64" t="n"/>
      <c r="AP68" s="64" t="n"/>
      <c r="AQ68" s="64" t="n"/>
      <c r="AR68" s="64" t="n"/>
      <c r="AS68" s="64" t="n"/>
      <c r="AT68" s="64" t="n"/>
      <c r="AU68" s="64" t="n"/>
      <c r="AV68" s="64" t="n"/>
      <c r="AW68" s="64" t="n"/>
      <c r="AX68" s="64" t="n"/>
      <c r="AY68" s="64" t="n"/>
      <c r="AZ68" s="64" t="n"/>
      <c r="BA68" s="64" t="n"/>
      <c r="BB68" s="64" t="n"/>
      <c r="BC68" s="64" t="n"/>
      <c r="BD68" s="64" t="n"/>
      <c r="BE68" s="64" t="n"/>
      <c r="BF68" s="64" t="n"/>
      <c r="BG68" s="64" t="n"/>
      <c r="BH68" s="64" t="n"/>
      <c r="BI68" s="64" t="n"/>
      <c r="BJ68" s="64" t="n"/>
      <c r="BK68" s="64" t="n"/>
      <c r="BL68" s="64" t="n"/>
      <c r="BM68" s="64" t="n"/>
      <c r="BN68" s="64" t="n"/>
      <c r="BO68" s="64" t="n"/>
      <c r="BP68" s="64" t="n"/>
      <c r="BQ68" s="64" t="n"/>
      <c r="BR68" s="64" t="n"/>
      <c r="BS68" s="64" t="n"/>
      <c r="BT68" s="64" t="n"/>
      <c r="BU68" s="64" t="n"/>
      <c r="BV68" s="64" t="n"/>
      <c r="BW68" s="64" t="n"/>
      <c r="BX68" s="64" t="n"/>
      <c r="BY68" s="64" t="n"/>
      <c r="BZ68" s="64" t="n"/>
      <c r="CA68" s="64" t="n"/>
      <c r="CB68" s="64" t="n"/>
      <c r="CC68" s="64" t="n"/>
      <c r="CD68" s="64" t="n"/>
      <c r="CE68" s="64" t="n"/>
      <c r="CF68" s="64" t="n"/>
      <c r="CG68" s="64" t="n"/>
    </row>
    <row r="69" ht="21.95" customHeight="1" s="36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  <c r="AA69" s="64" t="n"/>
      <c r="AB69" s="64" t="n"/>
      <c r="AC69" s="64" t="n"/>
      <c r="AD69" s="64" t="n"/>
      <c r="AE69" s="64" t="n"/>
      <c r="AF69" s="64" t="n"/>
      <c r="AG69" s="64" t="n"/>
      <c r="AH69" s="64" t="n"/>
      <c r="AI69" s="64" t="n"/>
      <c r="AJ69" s="64" t="n"/>
      <c r="AK69" s="64" t="n"/>
      <c r="AL69" s="64" t="n"/>
      <c r="AM69" s="64" t="n"/>
      <c r="AN69" s="64" t="n"/>
      <c r="AO69" s="64" t="n"/>
      <c r="AP69" s="64" t="n"/>
      <c r="AQ69" s="64" t="n"/>
      <c r="AR69" s="64" t="n"/>
      <c r="AS69" s="64" t="n"/>
      <c r="AT69" s="64" t="n"/>
      <c r="AU69" s="64" t="n"/>
      <c r="AV69" s="64" t="n"/>
      <c r="AW69" s="64" t="n"/>
      <c r="AX69" s="64" t="n"/>
      <c r="AY69" s="64" t="n"/>
      <c r="AZ69" s="64" t="n"/>
      <c r="BA69" s="64" t="n"/>
      <c r="BB69" s="64" t="n"/>
      <c r="BC69" s="64" t="n"/>
      <c r="BD69" s="64" t="n"/>
      <c r="BE69" s="64" t="n"/>
      <c r="BF69" s="64" t="n"/>
      <c r="BG69" s="64" t="n"/>
      <c r="BH69" s="64" t="n"/>
      <c r="BI69" s="64" t="n"/>
      <c r="BJ69" s="64" t="n"/>
      <c r="BK69" s="64" t="n"/>
      <c r="BL69" s="64" t="n"/>
      <c r="BM69" s="64" t="n"/>
      <c r="BN69" s="64" t="n"/>
      <c r="BO69" s="64" t="n"/>
      <c r="BP69" s="64" t="n"/>
      <c r="BQ69" s="64" t="n"/>
      <c r="BR69" s="64" t="n"/>
      <c r="BS69" s="64" t="n"/>
      <c r="BT69" s="64" t="n"/>
      <c r="BU69" s="64" t="n"/>
      <c r="BV69" s="64" t="n"/>
      <c r="BW69" s="64" t="n"/>
      <c r="BX69" s="64" t="n"/>
      <c r="BY69" s="64" t="n"/>
      <c r="BZ69" s="64" t="n"/>
      <c r="CA69" s="64" t="n"/>
      <c r="CB69" s="64" t="n"/>
      <c r="CC69" s="64" t="n"/>
      <c r="CD69" s="64" t="n"/>
      <c r="CE69" s="64" t="n"/>
      <c r="CF69" s="64" t="n"/>
      <c r="CG69" s="64" t="n"/>
    </row>
    <row r="70" ht="21.95" customHeight="1" s="36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  <c r="Z70" s="64" t="n"/>
      <c r="AA70" s="64" t="n"/>
      <c r="AB70" s="64" t="n"/>
      <c r="AC70" s="64" t="n"/>
      <c r="AD70" s="64" t="n"/>
      <c r="AE70" s="64" t="n"/>
      <c r="AF70" s="64" t="n"/>
      <c r="AG70" s="64" t="n"/>
      <c r="AH70" s="64" t="n"/>
      <c r="AI70" s="64" t="n"/>
      <c r="AJ70" s="64" t="n"/>
      <c r="AK70" s="64" t="n"/>
      <c r="AL70" s="64" t="n"/>
      <c r="AM70" s="64" t="n"/>
      <c r="AN70" s="64" t="n"/>
      <c r="AO70" s="64" t="n"/>
      <c r="AP70" s="64" t="n"/>
      <c r="AQ70" s="64" t="n"/>
      <c r="AR70" s="64" t="n"/>
      <c r="AS70" s="64" t="n"/>
      <c r="AT70" s="64" t="n"/>
      <c r="AU70" s="64" t="n"/>
      <c r="AV70" s="64" t="n"/>
      <c r="AW70" s="64" t="n"/>
      <c r="AX70" s="64" t="n"/>
      <c r="AY70" s="64" t="n"/>
      <c r="AZ70" s="64" t="n"/>
      <c r="BA70" s="64" t="n"/>
      <c r="BB70" s="64" t="n"/>
      <c r="BC70" s="64" t="n"/>
      <c r="BD70" s="64" t="n"/>
      <c r="BE70" s="64" t="n"/>
      <c r="BF70" s="64" t="n"/>
      <c r="BG70" s="64" t="n"/>
      <c r="BH70" s="64" t="n"/>
      <c r="BI70" s="64" t="n"/>
      <c r="BJ70" s="64" t="n"/>
      <c r="BK70" s="64" t="n"/>
      <c r="BL70" s="64" t="n"/>
      <c r="BM70" s="64" t="n"/>
      <c r="BN70" s="64" t="n"/>
      <c r="BO70" s="64" t="n"/>
      <c r="BP70" s="64" t="n"/>
      <c r="BQ70" s="64" t="n"/>
      <c r="BR70" s="64" t="n"/>
      <c r="BS70" s="64" t="n"/>
      <c r="BT70" s="64" t="n"/>
      <c r="BU70" s="64" t="n"/>
      <c r="BV70" s="64" t="n"/>
      <c r="BW70" s="64" t="n"/>
      <c r="BX70" s="64" t="n"/>
      <c r="BY70" s="64" t="n"/>
      <c r="BZ70" s="64" t="n"/>
      <c r="CA70" s="64" t="n"/>
      <c r="CB70" s="64" t="n"/>
      <c r="CC70" s="64" t="n"/>
      <c r="CD70" s="64" t="n"/>
      <c r="CE70" s="64" t="n"/>
      <c r="CF70" s="64" t="n"/>
      <c r="CG70" s="64" t="n"/>
    </row>
    <row r="71" ht="21.95" customHeight="1" s="36">
      <c r="A71" s="64" t="n"/>
      <c r="B71" s="64" t="n"/>
      <c r="C71" s="64" t="n"/>
      <c r="D71" s="64" t="n"/>
      <c r="E71" s="64" t="n"/>
      <c r="F71" s="64" t="n"/>
      <c r="G71" s="64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  <c r="AA71" s="64" t="n"/>
      <c r="AB71" s="64" t="n"/>
      <c r="AC71" s="64" t="n"/>
      <c r="AD71" s="64" t="n"/>
      <c r="AE71" s="64" t="n"/>
      <c r="AF71" s="64" t="n"/>
      <c r="AG71" s="64" t="n"/>
      <c r="AH71" s="64" t="n"/>
      <c r="AI71" s="64" t="n"/>
      <c r="AJ71" s="64" t="n"/>
      <c r="AK71" s="64" t="n"/>
      <c r="AL71" s="64" t="n"/>
      <c r="AM71" s="64" t="n"/>
      <c r="AN71" s="64" t="n"/>
      <c r="AO71" s="64" t="n"/>
      <c r="AP71" s="64" t="n"/>
      <c r="AQ71" s="64" t="n"/>
      <c r="AR71" s="64" t="n"/>
      <c r="AS71" s="64" t="n"/>
      <c r="AT71" s="64" t="n"/>
      <c r="AU71" s="64" t="n"/>
      <c r="AV71" s="64" t="n"/>
      <c r="AW71" s="64" t="n"/>
      <c r="AX71" s="64" t="n"/>
      <c r="AY71" s="64" t="n"/>
      <c r="AZ71" s="64" t="n"/>
      <c r="BA71" s="64" t="n"/>
      <c r="BB71" s="64" t="n"/>
      <c r="BC71" s="64" t="n"/>
      <c r="BD71" s="64" t="n"/>
      <c r="BE71" s="64" t="n"/>
      <c r="BF71" s="64" t="n"/>
      <c r="BG71" s="64" t="n"/>
      <c r="BH71" s="64" t="n"/>
      <c r="BI71" s="64" t="n"/>
      <c r="BJ71" s="64" t="n"/>
      <c r="BK71" s="64" t="n"/>
      <c r="BL71" s="64" t="n"/>
      <c r="BM71" s="64" t="n"/>
      <c r="BN71" s="64" t="n"/>
      <c r="BO71" s="64" t="n"/>
      <c r="BP71" s="64" t="n"/>
      <c r="BQ71" s="64" t="n"/>
      <c r="BR71" s="64" t="n"/>
      <c r="BS71" s="64" t="n"/>
      <c r="BT71" s="64" t="n"/>
      <c r="BU71" s="64" t="n"/>
      <c r="BV71" s="64" t="n"/>
      <c r="BW71" s="64" t="n"/>
      <c r="BX71" s="64" t="n"/>
      <c r="BY71" s="64" t="n"/>
      <c r="BZ71" s="64" t="n"/>
      <c r="CA71" s="64" t="n"/>
      <c r="CB71" s="64" t="n"/>
      <c r="CC71" s="64" t="n"/>
      <c r="CD71" s="64" t="n"/>
      <c r="CE71" s="64" t="n"/>
      <c r="CF71" s="64" t="n"/>
      <c r="CG71" s="64" t="n"/>
    </row>
    <row r="72" ht="21.95" customHeight="1" s="36">
      <c r="A72" s="64" t="n"/>
      <c r="B72" s="64" t="n"/>
      <c r="C72" s="64" t="n"/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/>
      <c r="BO72" s="64" t="n"/>
      <c r="BP72" s="64" t="n"/>
      <c r="BQ72" s="64" t="n"/>
      <c r="BR72" s="64" t="n"/>
      <c r="BS72" s="64" t="n"/>
      <c r="BT72" s="64" t="n"/>
      <c r="BU72" s="64" t="n"/>
      <c r="BV72" s="64" t="n"/>
      <c r="BW72" s="64" t="n"/>
      <c r="BX72" s="64" t="n"/>
      <c r="BY72" s="64" t="n"/>
      <c r="BZ72" s="64" t="n"/>
      <c r="CA72" s="64" t="n"/>
      <c r="CB72" s="64" t="n"/>
      <c r="CC72" s="64" t="n"/>
      <c r="CD72" s="64" t="n"/>
      <c r="CE72" s="64" t="n"/>
      <c r="CF72" s="64" t="n"/>
      <c r="CG72" s="64" t="n"/>
    </row>
    <row r="73" ht="21.95" customHeight="1" s="36">
      <c r="A73" s="64" t="n"/>
      <c r="B73" s="64" t="n"/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  <c r="AA73" s="64" t="n"/>
      <c r="AB73" s="64" t="n"/>
      <c r="AC73" s="64" t="n"/>
      <c r="AD73" s="64" t="n"/>
      <c r="AE73" s="64" t="n"/>
      <c r="AF73" s="64" t="n"/>
      <c r="AG73" s="64" t="n"/>
      <c r="AH73" s="64" t="n"/>
      <c r="AI73" s="64" t="n"/>
      <c r="AJ73" s="64" t="n"/>
      <c r="AK73" s="64" t="n"/>
      <c r="AL73" s="64" t="n"/>
      <c r="AM73" s="64" t="n"/>
      <c r="AN73" s="64" t="n"/>
      <c r="AO73" s="64" t="n"/>
      <c r="AP73" s="64" t="n"/>
      <c r="AQ73" s="64" t="n"/>
      <c r="AR73" s="64" t="n"/>
      <c r="AS73" s="64" t="n"/>
      <c r="AT73" s="64" t="n"/>
      <c r="AU73" s="64" t="n"/>
      <c r="AV73" s="64" t="n"/>
      <c r="AW73" s="64" t="n"/>
      <c r="AX73" s="64" t="n"/>
      <c r="AY73" s="64" t="n"/>
      <c r="AZ73" s="64" t="n"/>
      <c r="BA73" s="64" t="n"/>
      <c r="BB73" s="64" t="n"/>
      <c r="BC73" s="64" t="n"/>
      <c r="BD73" s="64" t="n"/>
      <c r="BE73" s="64" t="n"/>
      <c r="BF73" s="64" t="n"/>
      <c r="BG73" s="64" t="n"/>
      <c r="BH73" s="64" t="n"/>
      <c r="BI73" s="64" t="n"/>
      <c r="BJ73" s="64" t="n"/>
      <c r="BK73" s="64" t="n"/>
      <c r="BL73" s="64" t="n"/>
      <c r="BM73" s="64" t="n"/>
      <c r="BN73" s="64" t="n"/>
      <c r="BO73" s="64" t="n"/>
      <c r="BP73" s="64" t="n"/>
      <c r="BQ73" s="64" t="n"/>
      <c r="BR73" s="64" t="n"/>
      <c r="BS73" s="64" t="n"/>
      <c r="BT73" s="64" t="n"/>
      <c r="BU73" s="64" t="n"/>
      <c r="BV73" s="64" t="n"/>
      <c r="BW73" s="64" t="n"/>
      <c r="BX73" s="64" t="n"/>
      <c r="BY73" s="64" t="n"/>
      <c r="BZ73" s="64" t="n"/>
      <c r="CA73" s="64" t="n"/>
      <c r="CB73" s="64" t="n"/>
      <c r="CC73" s="64" t="n"/>
      <c r="CD73" s="64" t="n"/>
      <c r="CE73" s="64" t="n"/>
      <c r="CF73" s="64" t="n"/>
      <c r="CG73" s="64" t="n"/>
    </row>
    <row r="74" ht="21.95" customHeight="1" s="36">
      <c r="A74" s="64" t="n"/>
      <c r="B74" s="64" t="n"/>
      <c r="C74" s="64" t="n"/>
      <c r="D74" s="64" t="n"/>
      <c r="E74" s="64" t="n"/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64" t="n"/>
      <c r="AB74" s="64" t="n"/>
      <c r="AC74" s="64" t="n"/>
      <c r="AD74" s="64" t="n"/>
      <c r="AE74" s="64" t="n"/>
      <c r="AF74" s="64" t="n"/>
      <c r="AG74" s="64" t="n"/>
      <c r="AH74" s="64" t="n"/>
      <c r="AI74" s="64" t="n"/>
      <c r="AJ74" s="64" t="n"/>
      <c r="AK74" s="64" t="n"/>
      <c r="AL74" s="64" t="n"/>
      <c r="AM74" s="64" t="n"/>
      <c r="AN74" s="64" t="n"/>
      <c r="AO74" s="64" t="n"/>
      <c r="AP74" s="64" t="n"/>
      <c r="AQ74" s="64" t="n"/>
      <c r="AR74" s="64" t="n"/>
      <c r="AS74" s="64" t="n"/>
      <c r="AT74" s="64" t="n"/>
      <c r="AU74" s="64" t="n"/>
      <c r="AV74" s="64" t="n"/>
      <c r="AW74" s="64" t="n"/>
      <c r="AX74" s="64" t="n"/>
      <c r="AY74" s="64" t="n"/>
      <c r="AZ74" s="64" t="n"/>
      <c r="BA74" s="64" t="n"/>
      <c r="BB74" s="64" t="n"/>
      <c r="BC74" s="64" t="n"/>
      <c r="BD74" s="64" t="n"/>
      <c r="BE74" s="64" t="n"/>
      <c r="BF74" s="64" t="n"/>
      <c r="BG74" s="64" t="n"/>
      <c r="BH74" s="64" t="n"/>
      <c r="BI74" s="64" t="n"/>
      <c r="BJ74" s="64" t="n"/>
      <c r="BK74" s="64" t="n"/>
      <c r="BL74" s="64" t="n"/>
      <c r="BM74" s="64" t="n"/>
      <c r="BN74" s="64" t="n"/>
      <c r="BO74" s="64" t="n"/>
      <c r="BP74" s="64" t="n"/>
      <c r="BQ74" s="64" t="n"/>
      <c r="BR74" s="64" t="n"/>
      <c r="BS74" s="64" t="n"/>
      <c r="BT74" s="64" t="n"/>
      <c r="BU74" s="64" t="n"/>
      <c r="BV74" s="64" t="n"/>
      <c r="BW74" s="64" t="n"/>
      <c r="BX74" s="64" t="n"/>
      <c r="BY74" s="64" t="n"/>
      <c r="BZ74" s="64" t="n"/>
      <c r="CA74" s="64" t="n"/>
      <c r="CB74" s="64" t="n"/>
      <c r="CC74" s="64" t="n"/>
      <c r="CD74" s="64" t="n"/>
      <c r="CE74" s="64" t="n"/>
      <c r="CF74" s="64" t="n"/>
      <c r="CG74" s="64" t="n"/>
    </row>
    <row r="75" ht="21.95" customHeight="1" s="36">
      <c r="A75" s="64" t="n"/>
      <c r="B75" s="64" t="n"/>
      <c r="C75" s="64" t="n"/>
      <c r="D75" s="64" t="n"/>
      <c r="E75" s="64" t="n"/>
      <c r="F75" s="64" t="n"/>
      <c r="G75" s="64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  <c r="AA75" s="64" t="n"/>
      <c r="AB75" s="64" t="n"/>
      <c r="AC75" s="64" t="n"/>
      <c r="AD75" s="64" t="n"/>
      <c r="AE75" s="64" t="n"/>
      <c r="AF75" s="64" t="n"/>
      <c r="AG75" s="64" t="n"/>
      <c r="AH75" s="64" t="n"/>
      <c r="AI75" s="64" t="n"/>
      <c r="AJ75" s="64" t="n"/>
      <c r="AK75" s="64" t="n"/>
      <c r="AL75" s="64" t="n"/>
      <c r="AM75" s="64" t="n"/>
      <c r="AN75" s="64" t="n"/>
      <c r="AO75" s="64" t="n"/>
      <c r="AP75" s="64" t="n"/>
      <c r="AQ75" s="64" t="n"/>
      <c r="AR75" s="64" t="n"/>
      <c r="AS75" s="64" t="n"/>
      <c r="AT75" s="64" t="n"/>
      <c r="AU75" s="64" t="n"/>
      <c r="AV75" s="64" t="n"/>
      <c r="AW75" s="64" t="n"/>
      <c r="AX75" s="64" t="n"/>
      <c r="AY75" s="64" t="n"/>
      <c r="AZ75" s="64" t="n"/>
      <c r="BA75" s="64" t="n"/>
      <c r="BB75" s="64" t="n"/>
      <c r="BC75" s="64" t="n"/>
      <c r="BD75" s="64" t="n"/>
      <c r="BE75" s="64" t="n"/>
      <c r="BF75" s="64" t="n"/>
      <c r="BG75" s="64" t="n"/>
      <c r="BH75" s="64" t="n"/>
      <c r="BI75" s="64" t="n"/>
      <c r="BJ75" s="64" t="n"/>
      <c r="BK75" s="64" t="n"/>
      <c r="BL75" s="64" t="n"/>
      <c r="BM75" s="64" t="n"/>
      <c r="BN75" s="64" t="n"/>
      <c r="BO75" s="64" t="n"/>
      <c r="BP75" s="64" t="n"/>
      <c r="BQ75" s="64" t="n"/>
      <c r="BR75" s="64" t="n"/>
      <c r="BS75" s="64" t="n"/>
      <c r="BT75" s="64" t="n"/>
      <c r="BU75" s="64" t="n"/>
      <c r="BV75" s="64" t="n"/>
      <c r="BW75" s="64" t="n"/>
      <c r="BX75" s="64" t="n"/>
      <c r="BY75" s="64" t="n"/>
      <c r="BZ75" s="64" t="n"/>
      <c r="CA75" s="64" t="n"/>
      <c r="CB75" s="64" t="n"/>
      <c r="CC75" s="64" t="n"/>
      <c r="CD75" s="64" t="n"/>
      <c r="CE75" s="64" t="n"/>
      <c r="CF75" s="64" t="n"/>
      <c r="CG75" s="64" t="n"/>
    </row>
    <row r="76" ht="21.95" customHeight="1" s="36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  <c r="Z76" s="64" t="n"/>
      <c r="AA76" s="64" t="n"/>
      <c r="AB76" s="64" t="n"/>
      <c r="AC76" s="64" t="n"/>
      <c r="AD76" s="64" t="n"/>
      <c r="AE76" s="64" t="n"/>
      <c r="AF76" s="64" t="n"/>
      <c r="AG76" s="64" t="n"/>
      <c r="AH76" s="64" t="n"/>
      <c r="AI76" s="64" t="n"/>
      <c r="AJ76" s="64" t="n"/>
      <c r="AK76" s="64" t="n"/>
      <c r="AL76" s="64" t="n"/>
      <c r="AM76" s="64" t="n"/>
      <c r="AN76" s="64" t="n"/>
      <c r="AO76" s="64" t="n"/>
      <c r="AP76" s="64" t="n"/>
      <c r="AQ76" s="64" t="n"/>
      <c r="AR76" s="64" t="n"/>
      <c r="AS76" s="64" t="n"/>
      <c r="AT76" s="64" t="n"/>
      <c r="AU76" s="64" t="n"/>
      <c r="AV76" s="64" t="n"/>
      <c r="AW76" s="64" t="n"/>
      <c r="AX76" s="64" t="n"/>
      <c r="AY76" s="64" t="n"/>
      <c r="AZ76" s="64" t="n"/>
      <c r="BA76" s="64" t="n"/>
      <c r="BB76" s="64" t="n"/>
      <c r="BC76" s="64" t="n"/>
      <c r="BD76" s="64" t="n"/>
      <c r="BE76" s="64" t="n"/>
      <c r="BF76" s="64" t="n"/>
      <c r="BG76" s="64" t="n"/>
      <c r="BH76" s="64" t="n"/>
      <c r="BI76" s="64" t="n"/>
      <c r="BJ76" s="64" t="n"/>
      <c r="BK76" s="64" t="n"/>
      <c r="BL76" s="64" t="n"/>
      <c r="BM76" s="64" t="n"/>
      <c r="BN76" s="64" t="n"/>
      <c r="BO76" s="64" t="n"/>
      <c r="BP76" s="64" t="n"/>
      <c r="BQ76" s="64" t="n"/>
      <c r="BR76" s="64" t="n"/>
      <c r="BS76" s="64" t="n"/>
      <c r="BT76" s="64" t="n"/>
      <c r="BU76" s="64" t="n"/>
      <c r="BV76" s="64" t="n"/>
      <c r="BW76" s="64" t="n"/>
      <c r="BX76" s="64" t="n"/>
      <c r="BY76" s="64" t="n"/>
      <c r="BZ76" s="64" t="n"/>
      <c r="CA76" s="64" t="n"/>
      <c r="CB76" s="64" t="n"/>
      <c r="CC76" s="64" t="n"/>
      <c r="CD76" s="64" t="n"/>
      <c r="CE76" s="64" t="n"/>
      <c r="CF76" s="64" t="n"/>
      <c r="CG76" s="64" t="n"/>
    </row>
    <row r="77" ht="21.95" customHeight="1" s="36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  <c r="AA77" s="64" t="n"/>
      <c r="AB77" s="64" t="n"/>
      <c r="AC77" s="64" t="n"/>
      <c r="AD77" s="64" t="n"/>
      <c r="AE77" s="64" t="n"/>
      <c r="AF77" s="64" t="n"/>
      <c r="AG77" s="64" t="n"/>
      <c r="AH77" s="64" t="n"/>
      <c r="AI77" s="64" t="n"/>
      <c r="AJ77" s="64" t="n"/>
      <c r="AK77" s="64" t="n"/>
      <c r="AL77" s="64" t="n"/>
      <c r="AM77" s="64" t="n"/>
      <c r="AN77" s="64" t="n"/>
      <c r="AO77" s="64" t="n"/>
      <c r="AP77" s="64" t="n"/>
      <c r="AQ77" s="64" t="n"/>
      <c r="AR77" s="64" t="n"/>
      <c r="AS77" s="64" t="n"/>
      <c r="AT77" s="64" t="n"/>
      <c r="AU77" s="64" t="n"/>
      <c r="AV77" s="64" t="n"/>
      <c r="AW77" s="64" t="n"/>
      <c r="AX77" s="64" t="n"/>
      <c r="AY77" s="64" t="n"/>
      <c r="AZ77" s="64" t="n"/>
      <c r="BA77" s="64" t="n"/>
      <c r="BB77" s="64" t="n"/>
      <c r="BC77" s="64" t="n"/>
      <c r="BD77" s="64" t="n"/>
      <c r="BE77" s="64" t="n"/>
      <c r="BF77" s="64" t="n"/>
      <c r="BG77" s="64" t="n"/>
      <c r="BH77" s="64" t="n"/>
      <c r="BI77" s="64" t="n"/>
      <c r="BJ77" s="64" t="n"/>
      <c r="BK77" s="64" t="n"/>
      <c r="BL77" s="64" t="n"/>
      <c r="BM77" s="64" t="n"/>
      <c r="BN77" s="64" t="n"/>
      <c r="BO77" s="64" t="n"/>
      <c r="BP77" s="64" t="n"/>
      <c r="BQ77" s="64" t="n"/>
      <c r="BR77" s="64" t="n"/>
      <c r="BS77" s="64" t="n"/>
      <c r="BT77" s="64" t="n"/>
      <c r="BU77" s="64" t="n"/>
      <c r="BV77" s="64" t="n"/>
      <c r="BW77" s="64" t="n"/>
      <c r="BX77" s="64" t="n"/>
      <c r="BY77" s="64" t="n"/>
      <c r="BZ77" s="64" t="n"/>
      <c r="CA77" s="64" t="n"/>
      <c r="CB77" s="64" t="n"/>
      <c r="CC77" s="64" t="n"/>
      <c r="CD77" s="64" t="n"/>
      <c r="CE77" s="64" t="n"/>
      <c r="CF77" s="64" t="n"/>
      <c r="CG77" s="64" t="n"/>
    </row>
    <row r="78" ht="21.95" customHeight="1" s="36">
      <c r="A78" s="64" t="n"/>
      <c r="B78" s="64" t="n"/>
      <c r="C78" s="64" t="n"/>
      <c r="D78" s="64" t="n"/>
      <c r="E78" s="64" t="n"/>
      <c r="F78" s="64" t="n"/>
      <c r="G78" s="64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n"/>
      <c r="AD78" s="64" t="n"/>
      <c r="AE78" s="64" t="n"/>
      <c r="AF78" s="64" t="n"/>
      <c r="AG78" s="64" t="n"/>
      <c r="AH78" s="64" t="n"/>
      <c r="AI78" s="64" t="n"/>
      <c r="AJ78" s="64" t="n"/>
      <c r="AK78" s="64" t="n"/>
      <c r="AL78" s="64" t="n"/>
      <c r="AM78" s="64" t="n"/>
      <c r="AN78" s="64" t="n"/>
      <c r="AO78" s="64" t="n"/>
      <c r="AP78" s="64" t="n"/>
      <c r="AQ78" s="64" t="n"/>
      <c r="AR78" s="64" t="n"/>
      <c r="AS78" s="64" t="n"/>
      <c r="AT78" s="64" t="n"/>
      <c r="AU78" s="64" t="n"/>
      <c r="AV78" s="64" t="n"/>
      <c r="AW78" s="64" t="n"/>
      <c r="AX78" s="64" t="n"/>
      <c r="AY78" s="64" t="n"/>
      <c r="AZ78" s="64" t="n"/>
      <c r="BA78" s="64" t="n"/>
      <c r="BB78" s="64" t="n"/>
      <c r="BC78" s="64" t="n"/>
      <c r="BD78" s="64" t="n"/>
      <c r="BE78" s="64" t="n"/>
      <c r="BF78" s="64" t="n"/>
      <c r="BG78" s="64" t="n"/>
      <c r="BH78" s="64" t="n"/>
      <c r="BI78" s="64" t="n"/>
      <c r="BJ78" s="64" t="n"/>
      <c r="BK78" s="64" t="n"/>
      <c r="BL78" s="64" t="n"/>
      <c r="BM78" s="64" t="n"/>
      <c r="BN78" s="64" t="n"/>
      <c r="BO78" s="64" t="n"/>
      <c r="BP78" s="64" t="n"/>
      <c r="BQ78" s="64" t="n"/>
      <c r="BR78" s="64" t="n"/>
      <c r="BS78" s="64" t="n"/>
      <c r="BT78" s="64" t="n"/>
      <c r="BU78" s="64" t="n"/>
      <c r="BV78" s="64" t="n"/>
      <c r="BW78" s="64" t="n"/>
      <c r="BX78" s="64" t="n"/>
      <c r="BY78" s="64" t="n"/>
      <c r="BZ78" s="64" t="n"/>
      <c r="CA78" s="64" t="n"/>
      <c r="CB78" s="64" t="n"/>
      <c r="CC78" s="64" t="n"/>
      <c r="CD78" s="64" t="n"/>
      <c r="CE78" s="64" t="n"/>
      <c r="CF78" s="64" t="n"/>
      <c r="CG78" s="64" t="n"/>
    </row>
    <row r="79" ht="21.95" customHeight="1" s="36">
      <c r="A79" s="64" t="n"/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  <c r="AA79" s="64" t="n"/>
      <c r="AB79" s="64" t="n"/>
      <c r="AC79" s="64" t="n"/>
      <c r="AD79" s="64" t="n"/>
      <c r="AE79" s="64" t="n"/>
      <c r="AF79" s="64" t="n"/>
      <c r="AG79" s="64" t="n"/>
      <c r="AH79" s="64" t="n"/>
      <c r="AI79" s="64" t="n"/>
      <c r="AJ79" s="64" t="n"/>
      <c r="AK79" s="64" t="n"/>
      <c r="AL79" s="64" t="n"/>
      <c r="AM79" s="64" t="n"/>
      <c r="AN79" s="64" t="n"/>
      <c r="AO79" s="64" t="n"/>
      <c r="AP79" s="64" t="n"/>
      <c r="AQ79" s="64" t="n"/>
      <c r="AR79" s="64" t="n"/>
      <c r="AS79" s="64" t="n"/>
      <c r="AT79" s="64" t="n"/>
      <c r="AU79" s="64" t="n"/>
      <c r="AV79" s="64" t="n"/>
      <c r="AW79" s="64" t="n"/>
      <c r="AX79" s="64" t="n"/>
      <c r="AY79" s="64" t="n"/>
      <c r="AZ79" s="64" t="n"/>
      <c r="BA79" s="64" t="n"/>
      <c r="BB79" s="64" t="n"/>
      <c r="BC79" s="64" t="n"/>
      <c r="BD79" s="64" t="n"/>
      <c r="BE79" s="64" t="n"/>
      <c r="BF79" s="64" t="n"/>
      <c r="BG79" s="64" t="n"/>
      <c r="BH79" s="64" t="n"/>
      <c r="BI79" s="64" t="n"/>
      <c r="BJ79" s="64" t="n"/>
      <c r="BK79" s="64" t="n"/>
      <c r="BL79" s="64" t="n"/>
      <c r="BM79" s="64" t="n"/>
      <c r="BN79" s="64" t="n"/>
      <c r="BO79" s="64" t="n"/>
      <c r="BP79" s="64" t="n"/>
      <c r="BQ79" s="64" t="n"/>
      <c r="BR79" s="64" t="n"/>
      <c r="BS79" s="64" t="n"/>
      <c r="BT79" s="64" t="n"/>
      <c r="BU79" s="64" t="n"/>
      <c r="BV79" s="64" t="n"/>
      <c r="BW79" s="64" t="n"/>
      <c r="BX79" s="64" t="n"/>
      <c r="BY79" s="64" t="n"/>
      <c r="BZ79" s="64" t="n"/>
      <c r="CA79" s="64" t="n"/>
      <c r="CB79" s="64" t="n"/>
      <c r="CC79" s="64" t="n"/>
      <c r="CD79" s="64" t="n"/>
      <c r="CE79" s="64" t="n"/>
      <c r="CF79" s="64" t="n"/>
      <c r="CG79" s="64" t="n"/>
    </row>
    <row r="80" ht="21.95" customHeight="1" s="36">
      <c r="A80" s="64" t="n"/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64" t="n"/>
      <c r="AB80" s="64" t="n"/>
      <c r="AC80" s="64" t="n"/>
      <c r="AD80" s="64" t="n"/>
      <c r="AE80" s="64" t="n"/>
      <c r="AF80" s="64" t="n"/>
      <c r="AG80" s="64" t="n"/>
      <c r="AH80" s="64" t="n"/>
      <c r="AI80" s="64" t="n"/>
      <c r="AJ80" s="64" t="n"/>
      <c r="AK80" s="64" t="n"/>
      <c r="AL80" s="64" t="n"/>
      <c r="AM80" s="64" t="n"/>
      <c r="AN80" s="64" t="n"/>
      <c r="AO80" s="64" t="n"/>
      <c r="AP80" s="64" t="n"/>
      <c r="AQ80" s="64" t="n"/>
      <c r="AR80" s="64" t="n"/>
      <c r="AS80" s="64" t="n"/>
      <c r="AT80" s="64" t="n"/>
      <c r="AU80" s="64" t="n"/>
      <c r="AV80" s="64" t="n"/>
      <c r="AW80" s="64" t="n"/>
      <c r="AX80" s="64" t="n"/>
      <c r="AY80" s="64" t="n"/>
      <c r="AZ80" s="64" t="n"/>
      <c r="BA80" s="64" t="n"/>
      <c r="BB80" s="64" t="n"/>
      <c r="BC80" s="64" t="n"/>
      <c r="BD80" s="64" t="n"/>
      <c r="BE80" s="64" t="n"/>
      <c r="BF80" s="64" t="n"/>
      <c r="BG80" s="64" t="n"/>
      <c r="BH80" s="64" t="n"/>
      <c r="BI80" s="64" t="n"/>
      <c r="BJ80" s="64" t="n"/>
      <c r="BK80" s="64" t="n"/>
      <c r="BL80" s="64" t="n"/>
      <c r="BM80" s="64" t="n"/>
      <c r="BN80" s="64" t="n"/>
      <c r="BO80" s="64" t="n"/>
      <c r="BP80" s="64" t="n"/>
      <c r="BQ80" s="64" t="n"/>
      <c r="BR80" s="64" t="n"/>
      <c r="BS80" s="64" t="n"/>
      <c r="BT80" s="64" t="n"/>
      <c r="BU80" s="64" t="n"/>
      <c r="BV80" s="64" t="n"/>
      <c r="BW80" s="64" t="n"/>
      <c r="BX80" s="64" t="n"/>
      <c r="BY80" s="64" t="n"/>
      <c r="BZ80" s="64" t="n"/>
      <c r="CA80" s="64" t="n"/>
      <c r="CB80" s="64" t="n"/>
      <c r="CC80" s="64" t="n"/>
      <c r="CD80" s="64" t="n"/>
      <c r="CE80" s="64" t="n"/>
      <c r="CF80" s="64" t="n"/>
      <c r="CG80" s="64" t="n"/>
    </row>
    <row r="81" ht="21.95" customHeight="1" s="36">
      <c r="A81" s="64" t="n"/>
      <c r="B81" s="64" t="n"/>
      <c r="C81" s="64" t="n"/>
      <c r="D81" s="64" t="n"/>
      <c r="E81" s="64" t="n"/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64" t="n"/>
      <c r="AB81" s="64" t="n"/>
      <c r="AC81" s="64" t="n"/>
      <c r="AD81" s="64" t="n"/>
      <c r="AE81" s="64" t="n"/>
      <c r="AF81" s="64" t="n"/>
      <c r="AG81" s="64" t="n"/>
      <c r="AH81" s="64" t="n"/>
      <c r="AI81" s="64" t="n"/>
      <c r="AJ81" s="64" t="n"/>
      <c r="AK81" s="64" t="n"/>
      <c r="AL81" s="64" t="n"/>
      <c r="AM81" s="64" t="n"/>
      <c r="AN81" s="64" t="n"/>
      <c r="AO81" s="64" t="n"/>
      <c r="AP81" s="64" t="n"/>
      <c r="AQ81" s="64" t="n"/>
      <c r="AR81" s="64" t="n"/>
      <c r="AS81" s="64" t="n"/>
      <c r="AT81" s="64" t="n"/>
      <c r="AU81" s="64" t="n"/>
      <c r="AV81" s="64" t="n"/>
      <c r="AW81" s="64" t="n"/>
      <c r="AX81" s="64" t="n"/>
      <c r="AY81" s="64" t="n"/>
      <c r="AZ81" s="64" t="n"/>
      <c r="BA81" s="64" t="n"/>
      <c r="BB81" s="64" t="n"/>
      <c r="BC81" s="64" t="n"/>
      <c r="BD81" s="64" t="n"/>
      <c r="BE81" s="64" t="n"/>
      <c r="BF81" s="64" t="n"/>
      <c r="BG81" s="64" t="n"/>
      <c r="BH81" s="64" t="n"/>
      <c r="BI81" s="64" t="n"/>
      <c r="BJ81" s="64" t="n"/>
      <c r="BK81" s="64" t="n"/>
      <c r="BL81" s="64" t="n"/>
      <c r="BM81" s="64" t="n"/>
      <c r="BN81" s="64" t="n"/>
      <c r="BO81" s="64" t="n"/>
      <c r="BP81" s="64" t="n"/>
      <c r="BQ81" s="64" t="n"/>
      <c r="BR81" s="64" t="n"/>
      <c r="BS81" s="64" t="n"/>
      <c r="BT81" s="64" t="n"/>
      <c r="BU81" s="64" t="n"/>
      <c r="BV81" s="64" t="n"/>
      <c r="BW81" s="64" t="n"/>
      <c r="BX81" s="64" t="n"/>
      <c r="BY81" s="64" t="n"/>
      <c r="BZ81" s="64" t="n"/>
      <c r="CA81" s="64" t="n"/>
      <c r="CB81" s="64" t="n"/>
      <c r="CC81" s="64" t="n"/>
      <c r="CD81" s="64" t="n"/>
      <c r="CE81" s="64" t="n"/>
      <c r="CF81" s="64" t="n"/>
      <c r="CG81" s="64" t="n"/>
    </row>
    <row r="82" ht="21.95" customHeight="1" s="36">
      <c r="A82" s="64" t="n"/>
      <c r="B82" s="64" t="n"/>
      <c r="C82" s="64" t="n"/>
      <c r="D82" s="64" t="n"/>
      <c r="E82" s="64" t="n"/>
      <c r="F82" s="64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  <c r="AA82" s="64" t="n"/>
      <c r="AB82" s="64" t="n"/>
      <c r="AC82" s="64" t="n"/>
      <c r="AD82" s="64" t="n"/>
      <c r="AE82" s="64" t="n"/>
      <c r="AF82" s="64" t="n"/>
      <c r="AG82" s="64" t="n"/>
      <c r="AH82" s="64" t="n"/>
      <c r="AI82" s="64" t="n"/>
      <c r="AJ82" s="64" t="n"/>
      <c r="AK82" s="64" t="n"/>
      <c r="AL82" s="64" t="n"/>
      <c r="AM82" s="64" t="n"/>
      <c r="AN82" s="64" t="n"/>
      <c r="AO82" s="64" t="n"/>
      <c r="AP82" s="64" t="n"/>
      <c r="AQ82" s="64" t="n"/>
      <c r="AR82" s="64" t="n"/>
      <c r="AS82" s="64" t="n"/>
      <c r="AT82" s="64" t="n"/>
      <c r="AU82" s="64" t="n"/>
      <c r="AV82" s="64" t="n"/>
      <c r="AW82" s="64" t="n"/>
      <c r="AX82" s="64" t="n"/>
      <c r="AY82" s="64" t="n"/>
      <c r="AZ82" s="64" t="n"/>
      <c r="BA82" s="64" t="n"/>
      <c r="BB82" s="64" t="n"/>
      <c r="BC82" s="64" t="n"/>
      <c r="BD82" s="64" t="n"/>
      <c r="BE82" s="64" t="n"/>
      <c r="BF82" s="64" t="n"/>
      <c r="BG82" s="64" t="n"/>
      <c r="BH82" s="64" t="n"/>
      <c r="BI82" s="64" t="n"/>
      <c r="BJ82" s="64" t="n"/>
      <c r="BK82" s="64" t="n"/>
      <c r="BL82" s="64" t="n"/>
      <c r="BM82" s="64" t="n"/>
      <c r="BN82" s="64" t="n"/>
      <c r="BO82" s="64" t="n"/>
      <c r="BP82" s="64" t="n"/>
      <c r="BQ82" s="64" t="n"/>
      <c r="BR82" s="64" t="n"/>
      <c r="BS82" s="64" t="n"/>
      <c r="BT82" s="64" t="n"/>
      <c r="BU82" s="64" t="n"/>
      <c r="BV82" s="64" t="n"/>
      <c r="BW82" s="64" t="n"/>
      <c r="BX82" s="64" t="n"/>
      <c r="BY82" s="64" t="n"/>
      <c r="BZ82" s="64" t="n"/>
      <c r="CA82" s="64" t="n"/>
      <c r="CB82" s="64" t="n"/>
      <c r="CC82" s="64" t="n"/>
      <c r="CD82" s="64" t="n"/>
      <c r="CE82" s="64" t="n"/>
      <c r="CF82" s="64" t="n"/>
      <c r="CG82" s="64" t="n"/>
    </row>
    <row r="83" ht="21.95" customHeight="1" s="36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  <c r="AA83" s="64" t="n"/>
      <c r="AB83" s="64" t="n"/>
      <c r="AC83" s="64" t="n"/>
      <c r="AD83" s="64" t="n"/>
      <c r="AE83" s="64" t="n"/>
      <c r="AF83" s="64" t="n"/>
      <c r="AG83" s="64" t="n"/>
      <c r="AH83" s="64" t="n"/>
      <c r="AI83" s="64" t="n"/>
      <c r="AJ83" s="64" t="n"/>
      <c r="AK83" s="64" t="n"/>
      <c r="AL83" s="64" t="n"/>
      <c r="AM83" s="64" t="n"/>
      <c r="AN83" s="64" t="n"/>
      <c r="AO83" s="64" t="n"/>
      <c r="AP83" s="64" t="n"/>
      <c r="AQ83" s="64" t="n"/>
      <c r="AR83" s="64" t="n"/>
      <c r="AS83" s="64" t="n"/>
      <c r="AT83" s="64" t="n"/>
      <c r="AU83" s="64" t="n"/>
      <c r="AV83" s="64" t="n"/>
      <c r="AW83" s="64" t="n"/>
      <c r="AX83" s="64" t="n"/>
      <c r="AY83" s="64" t="n"/>
      <c r="AZ83" s="64" t="n"/>
      <c r="BA83" s="64" t="n"/>
      <c r="BB83" s="64" t="n"/>
      <c r="BC83" s="64" t="n"/>
      <c r="BD83" s="64" t="n"/>
      <c r="BE83" s="64" t="n"/>
      <c r="BF83" s="64" t="n"/>
      <c r="BG83" s="64" t="n"/>
      <c r="BH83" s="64" t="n"/>
      <c r="BI83" s="64" t="n"/>
      <c r="BJ83" s="64" t="n"/>
      <c r="BK83" s="64" t="n"/>
      <c r="BL83" s="64" t="n"/>
      <c r="BM83" s="64" t="n"/>
      <c r="BN83" s="64" t="n"/>
      <c r="BO83" s="64" t="n"/>
      <c r="BP83" s="64" t="n"/>
      <c r="BQ83" s="64" t="n"/>
      <c r="BR83" s="64" t="n"/>
      <c r="BS83" s="64" t="n"/>
      <c r="BT83" s="64" t="n"/>
      <c r="BU83" s="64" t="n"/>
      <c r="BV83" s="64" t="n"/>
      <c r="BW83" s="64" t="n"/>
      <c r="BX83" s="64" t="n"/>
      <c r="BY83" s="64" t="n"/>
      <c r="BZ83" s="64" t="n"/>
      <c r="CA83" s="64" t="n"/>
      <c r="CB83" s="64" t="n"/>
      <c r="CC83" s="64" t="n"/>
      <c r="CD83" s="64" t="n"/>
      <c r="CE83" s="64" t="n"/>
      <c r="CF83" s="64" t="n"/>
      <c r="CG83" s="64" t="n"/>
    </row>
    <row r="84" ht="21.95" customHeight="1" s="36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  <c r="AA84" s="64" t="n"/>
      <c r="AB84" s="64" t="n"/>
      <c r="AC84" s="64" t="n"/>
      <c r="AD84" s="64" t="n"/>
      <c r="AE84" s="64" t="n"/>
      <c r="AF84" s="64" t="n"/>
      <c r="AG84" s="64" t="n"/>
      <c r="AH84" s="64" t="n"/>
      <c r="AI84" s="64" t="n"/>
      <c r="AJ84" s="64" t="n"/>
      <c r="AK84" s="64" t="n"/>
      <c r="AL84" s="64" t="n"/>
      <c r="AM84" s="64" t="n"/>
      <c r="AN84" s="64" t="n"/>
      <c r="AO84" s="64" t="n"/>
      <c r="AP84" s="64" t="n"/>
      <c r="AQ84" s="64" t="n"/>
      <c r="AR84" s="64" t="n"/>
      <c r="AS84" s="64" t="n"/>
      <c r="AT84" s="64" t="n"/>
      <c r="AU84" s="64" t="n"/>
      <c r="AV84" s="64" t="n"/>
      <c r="AW84" s="64" t="n"/>
      <c r="AX84" s="64" t="n"/>
      <c r="AY84" s="64" t="n"/>
      <c r="AZ84" s="64" t="n"/>
      <c r="BA84" s="64" t="n"/>
      <c r="BB84" s="64" t="n"/>
      <c r="BC84" s="64" t="n"/>
      <c r="BD84" s="64" t="n"/>
      <c r="BE84" s="64" t="n"/>
      <c r="BF84" s="64" t="n"/>
      <c r="BG84" s="64" t="n"/>
      <c r="BH84" s="64" t="n"/>
      <c r="BI84" s="64" t="n"/>
      <c r="BJ84" s="64" t="n"/>
      <c r="BK84" s="64" t="n"/>
      <c r="BL84" s="64" t="n"/>
      <c r="BM84" s="64" t="n"/>
      <c r="BN84" s="64" t="n"/>
      <c r="BO84" s="64" t="n"/>
      <c r="BP84" s="64" t="n"/>
      <c r="BQ84" s="64" t="n"/>
      <c r="BR84" s="64" t="n"/>
      <c r="BS84" s="64" t="n"/>
      <c r="BT84" s="64" t="n"/>
      <c r="BU84" s="64" t="n"/>
      <c r="BV84" s="64" t="n"/>
      <c r="BW84" s="64" t="n"/>
      <c r="BX84" s="64" t="n"/>
      <c r="BY84" s="64" t="n"/>
      <c r="BZ84" s="64" t="n"/>
      <c r="CA84" s="64" t="n"/>
      <c r="CB84" s="64" t="n"/>
      <c r="CC84" s="64" t="n"/>
      <c r="CD84" s="64" t="n"/>
      <c r="CE84" s="64" t="n"/>
      <c r="CF84" s="64" t="n"/>
      <c r="CG84" s="64" t="n"/>
    </row>
    <row r="85" ht="21.95" customHeight="1" s="36">
      <c r="A85" s="64" t="n"/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64" t="n"/>
      <c r="AE85" s="64" t="n"/>
      <c r="AF85" s="64" t="n"/>
      <c r="AG85" s="64" t="n"/>
      <c r="AH85" s="64" t="n"/>
      <c r="AI85" s="64" t="n"/>
      <c r="AJ85" s="64" t="n"/>
      <c r="AK85" s="64" t="n"/>
      <c r="AL85" s="64" t="n"/>
      <c r="AM85" s="64" t="n"/>
      <c r="AN85" s="64" t="n"/>
      <c r="AO85" s="64" t="n"/>
      <c r="AP85" s="64" t="n"/>
      <c r="AQ85" s="64" t="n"/>
      <c r="AR85" s="64" t="n"/>
      <c r="AS85" s="64" t="n"/>
      <c r="AT85" s="64" t="n"/>
      <c r="AU85" s="64" t="n"/>
      <c r="AV85" s="64" t="n"/>
      <c r="AW85" s="64" t="n"/>
      <c r="AX85" s="64" t="n"/>
      <c r="AY85" s="64" t="n"/>
      <c r="AZ85" s="64" t="n"/>
      <c r="BA85" s="64" t="n"/>
      <c r="BB85" s="64" t="n"/>
      <c r="BC85" s="64" t="n"/>
      <c r="BD85" s="64" t="n"/>
      <c r="BE85" s="64" t="n"/>
      <c r="BF85" s="64" t="n"/>
      <c r="BG85" s="64" t="n"/>
      <c r="BH85" s="64" t="n"/>
      <c r="BI85" s="64" t="n"/>
      <c r="BJ85" s="64" t="n"/>
      <c r="BK85" s="64" t="n"/>
      <c r="BL85" s="64" t="n"/>
      <c r="BM85" s="64" t="n"/>
      <c r="BN85" s="64" t="n"/>
      <c r="BO85" s="64" t="n"/>
      <c r="BP85" s="64" t="n"/>
      <c r="BQ85" s="64" t="n"/>
      <c r="BR85" s="64" t="n"/>
      <c r="BS85" s="64" t="n"/>
      <c r="BT85" s="64" t="n"/>
      <c r="BU85" s="64" t="n"/>
      <c r="BV85" s="64" t="n"/>
      <c r="BW85" s="64" t="n"/>
      <c r="BX85" s="64" t="n"/>
      <c r="BY85" s="64" t="n"/>
      <c r="BZ85" s="64" t="n"/>
      <c r="CA85" s="64" t="n"/>
      <c r="CB85" s="64" t="n"/>
      <c r="CC85" s="64" t="n"/>
      <c r="CD85" s="64" t="n"/>
      <c r="CE85" s="64" t="n"/>
      <c r="CF85" s="64" t="n"/>
      <c r="CG85" s="64" t="n"/>
    </row>
    <row r="86" ht="21.95" customHeight="1" s="36">
      <c r="A86" s="64" t="n"/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  <c r="AB86" s="64" t="n"/>
      <c r="AC86" s="64" t="n"/>
      <c r="AD86" s="64" t="n"/>
      <c r="AE86" s="64" t="n"/>
      <c r="AF86" s="64" t="n"/>
      <c r="AG86" s="64" t="n"/>
      <c r="AH86" s="64" t="n"/>
      <c r="AI86" s="64" t="n"/>
      <c r="AJ86" s="64" t="n"/>
      <c r="AK86" s="64" t="n"/>
      <c r="AL86" s="64" t="n"/>
      <c r="AM86" s="64" t="n"/>
      <c r="AN86" s="64" t="n"/>
      <c r="AO86" s="64" t="n"/>
      <c r="AP86" s="64" t="n"/>
      <c r="AQ86" s="64" t="n"/>
      <c r="AR86" s="64" t="n"/>
      <c r="AS86" s="64" t="n"/>
      <c r="AT86" s="64" t="n"/>
      <c r="AU86" s="64" t="n"/>
      <c r="AV86" s="64" t="n"/>
      <c r="AW86" s="64" t="n"/>
      <c r="AX86" s="64" t="n"/>
      <c r="AY86" s="64" t="n"/>
      <c r="AZ86" s="64" t="n"/>
      <c r="BA86" s="64" t="n"/>
      <c r="BB86" s="64" t="n"/>
      <c r="BC86" s="64" t="n"/>
      <c r="BD86" s="64" t="n"/>
      <c r="BE86" s="64" t="n"/>
      <c r="BF86" s="64" t="n"/>
      <c r="BG86" s="64" t="n"/>
      <c r="BH86" s="64" t="n"/>
      <c r="BI86" s="64" t="n"/>
      <c r="BJ86" s="64" t="n"/>
      <c r="BK86" s="64" t="n"/>
      <c r="BL86" s="64" t="n"/>
      <c r="BM86" s="64" t="n"/>
      <c r="BN86" s="64" t="n"/>
      <c r="BO86" s="64" t="n"/>
      <c r="BP86" s="64" t="n"/>
      <c r="BQ86" s="64" t="n"/>
      <c r="BR86" s="64" t="n"/>
      <c r="BS86" s="64" t="n"/>
      <c r="BT86" s="64" t="n"/>
      <c r="BU86" s="64" t="n"/>
      <c r="BV86" s="64" t="n"/>
      <c r="BW86" s="64" t="n"/>
      <c r="BX86" s="64" t="n"/>
      <c r="BY86" s="64" t="n"/>
      <c r="BZ86" s="64" t="n"/>
      <c r="CA86" s="64" t="n"/>
      <c r="CB86" s="64" t="n"/>
      <c r="CC86" s="64" t="n"/>
      <c r="CD86" s="64" t="n"/>
      <c r="CE86" s="64" t="n"/>
      <c r="CF86" s="64" t="n"/>
      <c r="CG86" s="64" t="n"/>
    </row>
    <row r="87" ht="21.95" customHeight="1" s="36">
      <c r="A87" s="64" t="n"/>
      <c r="B87" s="64" t="n"/>
      <c r="C87" s="64" t="n"/>
      <c r="D87" s="64" t="n"/>
      <c r="E87" s="64" t="n"/>
      <c r="F87" s="64" t="n"/>
      <c r="G87" s="64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  <c r="AA87" s="64" t="n"/>
      <c r="AB87" s="64" t="n"/>
      <c r="AC87" s="64" t="n"/>
      <c r="AD87" s="64" t="n"/>
      <c r="AE87" s="64" t="n"/>
      <c r="AF87" s="64" t="n"/>
      <c r="AG87" s="64" t="n"/>
      <c r="AH87" s="64" t="n"/>
      <c r="AI87" s="64" t="n"/>
      <c r="AJ87" s="64" t="n"/>
      <c r="AK87" s="64" t="n"/>
      <c r="AL87" s="64" t="n"/>
      <c r="AM87" s="64" t="n"/>
      <c r="AN87" s="64" t="n"/>
      <c r="AO87" s="64" t="n"/>
      <c r="AP87" s="64" t="n"/>
      <c r="AQ87" s="64" t="n"/>
      <c r="AR87" s="64" t="n"/>
      <c r="AS87" s="64" t="n"/>
      <c r="AT87" s="64" t="n"/>
      <c r="AU87" s="64" t="n"/>
      <c r="AV87" s="64" t="n"/>
      <c r="AW87" s="64" t="n"/>
      <c r="AX87" s="64" t="n"/>
      <c r="AY87" s="64" t="n"/>
      <c r="AZ87" s="64" t="n"/>
      <c r="BA87" s="64" t="n"/>
      <c r="BB87" s="64" t="n"/>
      <c r="BC87" s="64" t="n"/>
      <c r="BD87" s="64" t="n"/>
      <c r="BE87" s="64" t="n"/>
      <c r="BF87" s="64" t="n"/>
      <c r="BG87" s="64" t="n"/>
      <c r="BH87" s="64" t="n"/>
      <c r="BI87" s="64" t="n"/>
      <c r="BJ87" s="64" t="n"/>
      <c r="BK87" s="64" t="n"/>
      <c r="BL87" s="64" t="n"/>
      <c r="BM87" s="64" t="n"/>
      <c r="BN87" s="64" t="n"/>
      <c r="BO87" s="64" t="n"/>
      <c r="BP87" s="64" t="n"/>
      <c r="BQ87" s="64" t="n"/>
      <c r="BR87" s="64" t="n"/>
      <c r="BS87" s="64" t="n"/>
      <c r="BT87" s="64" t="n"/>
      <c r="BU87" s="64" t="n"/>
      <c r="BV87" s="64" t="n"/>
      <c r="BW87" s="64" t="n"/>
      <c r="BX87" s="64" t="n"/>
      <c r="BY87" s="64" t="n"/>
      <c r="BZ87" s="64" t="n"/>
      <c r="CA87" s="64" t="n"/>
      <c r="CB87" s="64" t="n"/>
      <c r="CC87" s="64" t="n"/>
      <c r="CD87" s="64" t="n"/>
      <c r="CE87" s="64" t="n"/>
      <c r="CF87" s="64" t="n"/>
      <c r="CG87" s="64" t="n"/>
    </row>
    <row r="88" ht="21.95" customHeight="1" s="36">
      <c r="A88" s="64" t="n"/>
      <c r="B88" s="64" t="n"/>
      <c r="C88" s="64" t="n"/>
      <c r="D88" s="64" t="n"/>
      <c r="E88" s="64" t="n"/>
      <c r="F88" s="64" t="n"/>
      <c r="G88" s="64" t="n"/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  <c r="Z88" s="64" t="n"/>
      <c r="AA88" s="64" t="n"/>
      <c r="AB88" s="64" t="n"/>
      <c r="AC88" s="64" t="n"/>
      <c r="AD88" s="64" t="n"/>
      <c r="AE88" s="64" t="n"/>
      <c r="AF88" s="64" t="n"/>
      <c r="AG88" s="64" t="n"/>
      <c r="AH88" s="64" t="n"/>
      <c r="AI88" s="64" t="n"/>
      <c r="AJ88" s="64" t="n"/>
      <c r="AK88" s="64" t="n"/>
      <c r="AL88" s="64" t="n"/>
      <c r="AM88" s="64" t="n"/>
      <c r="AN88" s="64" t="n"/>
      <c r="AO88" s="64" t="n"/>
      <c r="AP88" s="64" t="n"/>
      <c r="AQ88" s="64" t="n"/>
      <c r="AR88" s="64" t="n"/>
      <c r="AS88" s="64" t="n"/>
      <c r="AT88" s="64" t="n"/>
      <c r="AU88" s="64" t="n"/>
      <c r="AV88" s="64" t="n"/>
      <c r="AW88" s="64" t="n"/>
      <c r="AX88" s="64" t="n"/>
      <c r="AY88" s="64" t="n"/>
      <c r="AZ88" s="64" t="n"/>
      <c r="BA88" s="64" t="n"/>
      <c r="BB88" s="64" t="n"/>
      <c r="BC88" s="64" t="n"/>
      <c r="BD88" s="64" t="n"/>
      <c r="BE88" s="64" t="n"/>
      <c r="BF88" s="64" t="n"/>
      <c r="BG88" s="64" t="n"/>
      <c r="BH88" s="64" t="n"/>
      <c r="BI88" s="64" t="n"/>
      <c r="BJ88" s="64" t="n"/>
      <c r="BK88" s="64" t="n"/>
      <c r="BL88" s="64" t="n"/>
      <c r="BM88" s="64" t="n"/>
      <c r="BN88" s="64" t="n"/>
      <c r="BO88" s="64" t="n"/>
      <c r="BP88" s="64" t="n"/>
      <c r="BQ88" s="64" t="n"/>
      <c r="BR88" s="64" t="n"/>
      <c r="BS88" s="64" t="n"/>
      <c r="BT88" s="64" t="n"/>
      <c r="BU88" s="64" t="n"/>
      <c r="BV88" s="64" t="n"/>
      <c r="BW88" s="64" t="n"/>
      <c r="BX88" s="64" t="n"/>
      <c r="BY88" s="64" t="n"/>
      <c r="BZ88" s="64" t="n"/>
      <c r="CA88" s="64" t="n"/>
      <c r="CB88" s="64" t="n"/>
      <c r="CC88" s="64" t="n"/>
      <c r="CD88" s="64" t="n"/>
      <c r="CE88" s="64" t="n"/>
      <c r="CF88" s="64" t="n"/>
      <c r="CG88" s="64" t="n"/>
    </row>
    <row r="89" ht="21.95" customHeight="1" s="36">
      <c r="A89" s="64" t="n"/>
      <c r="B89" s="64" t="n"/>
      <c r="C89" s="64" t="n"/>
      <c r="D89" s="64" t="n"/>
      <c r="E89" s="64" t="n"/>
      <c r="F89" s="64" t="n"/>
      <c r="G89" s="64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  <c r="AA89" s="64" t="n"/>
      <c r="AB89" s="64" t="n"/>
      <c r="AC89" s="64" t="n"/>
      <c r="AD89" s="64" t="n"/>
      <c r="AE89" s="64" t="n"/>
      <c r="AF89" s="64" t="n"/>
      <c r="AG89" s="64" t="n"/>
      <c r="AH89" s="64" t="n"/>
      <c r="AI89" s="64" t="n"/>
      <c r="AJ89" s="64" t="n"/>
      <c r="AK89" s="64" t="n"/>
      <c r="AL89" s="64" t="n"/>
      <c r="AM89" s="64" t="n"/>
      <c r="AN89" s="64" t="n"/>
      <c r="AO89" s="64" t="n"/>
      <c r="AP89" s="64" t="n"/>
      <c r="AQ89" s="64" t="n"/>
      <c r="AR89" s="64" t="n"/>
      <c r="AS89" s="64" t="n"/>
      <c r="AT89" s="64" t="n"/>
      <c r="AU89" s="64" t="n"/>
      <c r="AV89" s="64" t="n"/>
      <c r="AW89" s="64" t="n"/>
      <c r="AX89" s="64" t="n"/>
      <c r="AY89" s="64" t="n"/>
      <c r="AZ89" s="64" t="n"/>
      <c r="BA89" s="64" t="n"/>
      <c r="BB89" s="64" t="n"/>
      <c r="BC89" s="64" t="n"/>
      <c r="BD89" s="64" t="n"/>
      <c r="BE89" s="64" t="n"/>
      <c r="BF89" s="64" t="n"/>
      <c r="BG89" s="64" t="n"/>
      <c r="BH89" s="64" t="n"/>
      <c r="BI89" s="64" t="n"/>
      <c r="BJ89" s="64" t="n"/>
      <c r="BK89" s="64" t="n"/>
      <c r="BL89" s="64" t="n"/>
      <c r="BM89" s="64" t="n"/>
      <c r="BN89" s="64" t="n"/>
      <c r="BO89" s="64" t="n"/>
      <c r="BP89" s="64" t="n"/>
      <c r="BQ89" s="64" t="n"/>
      <c r="BR89" s="64" t="n"/>
      <c r="BS89" s="64" t="n"/>
      <c r="BT89" s="64" t="n"/>
      <c r="BU89" s="64" t="n"/>
      <c r="BV89" s="64" t="n"/>
      <c r="BW89" s="64" t="n"/>
      <c r="BX89" s="64" t="n"/>
      <c r="BY89" s="64" t="n"/>
      <c r="BZ89" s="64" t="n"/>
      <c r="CA89" s="64" t="n"/>
      <c r="CB89" s="64" t="n"/>
      <c r="CC89" s="64" t="n"/>
      <c r="CD89" s="64" t="n"/>
      <c r="CE89" s="64" t="n"/>
      <c r="CF89" s="64" t="n"/>
      <c r="CG89" s="64" t="n"/>
    </row>
    <row r="90" ht="21.95" customHeight="1" s="36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  <c r="AA90" s="64" t="n"/>
      <c r="AB90" s="64" t="n"/>
      <c r="AC90" s="64" t="n"/>
      <c r="AD90" s="64" t="n"/>
      <c r="AE90" s="64" t="n"/>
      <c r="AF90" s="64" t="n"/>
      <c r="AG90" s="64" t="n"/>
      <c r="AH90" s="64" t="n"/>
      <c r="AI90" s="64" t="n"/>
      <c r="AJ90" s="64" t="n"/>
      <c r="AK90" s="64" t="n"/>
      <c r="AL90" s="64" t="n"/>
      <c r="AM90" s="64" t="n"/>
      <c r="AN90" s="64" t="n"/>
      <c r="AO90" s="64" t="n"/>
      <c r="AP90" s="64" t="n"/>
      <c r="AQ90" s="64" t="n"/>
      <c r="AR90" s="64" t="n"/>
      <c r="AS90" s="64" t="n"/>
      <c r="AT90" s="64" t="n"/>
      <c r="AU90" s="64" t="n"/>
      <c r="AV90" s="64" t="n"/>
      <c r="AW90" s="64" t="n"/>
      <c r="AX90" s="64" t="n"/>
      <c r="AY90" s="64" t="n"/>
      <c r="AZ90" s="64" t="n"/>
      <c r="BA90" s="64" t="n"/>
      <c r="BB90" s="64" t="n"/>
      <c r="BC90" s="64" t="n"/>
      <c r="BD90" s="64" t="n"/>
      <c r="BE90" s="64" t="n"/>
      <c r="BF90" s="64" t="n"/>
      <c r="BG90" s="64" t="n"/>
      <c r="BH90" s="64" t="n"/>
      <c r="BI90" s="64" t="n"/>
      <c r="BJ90" s="64" t="n"/>
      <c r="BK90" s="64" t="n"/>
      <c r="BL90" s="64" t="n"/>
      <c r="BM90" s="64" t="n"/>
      <c r="BN90" s="64" t="n"/>
      <c r="BO90" s="64" t="n"/>
      <c r="BP90" s="64" t="n"/>
      <c r="BQ90" s="64" t="n"/>
      <c r="BR90" s="64" t="n"/>
      <c r="BS90" s="64" t="n"/>
      <c r="BT90" s="64" t="n"/>
      <c r="BU90" s="64" t="n"/>
      <c r="BV90" s="64" t="n"/>
      <c r="BW90" s="64" t="n"/>
      <c r="BX90" s="64" t="n"/>
      <c r="BY90" s="64" t="n"/>
      <c r="BZ90" s="64" t="n"/>
      <c r="CA90" s="64" t="n"/>
      <c r="CB90" s="64" t="n"/>
      <c r="CC90" s="64" t="n"/>
      <c r="CD90" s="64" t="n"/>
      <c r="CE90" s="64" t="n"/>
      <c r="CF90" s="64" t="n"/>
      <c r="CG90" s="64" t="n"/>
    </row>
    <row r="91" ht="21.95" customHeight="1" s="36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  <c r="Z91" s="64" t="n"/>
      <c r="AA91" s="64" t="n"/>
      <c r="AB91" s="64" t="n"/>
      <c r="AC91" s="64" t="n"/>
      <c r="AD91" s="64" t="n"/>
      <c r="AE91" s="64" t="n"/>
      <c r="AF91" s="64" t="n"/>
      <c r="AG91" s="64" t="n"/>
      <c r="AH91" s="64" t="n"/>
      <c r="AI91" s="64" t="n"/>
      <c r="AJ91" s="64" t="n"/>
      <c r="AK91" s="64" t="n"/>
      <c r="AL91" s="64" t="n"/>
      <c r="AM91" s="64" t="n"/>
      <c r="AN91" s="64" t="n"/>
      <c r="AO91" s="64" t="n"/>
      <c r="AP91" s="64" t="n"/>
      <c r="AQ91" s="64" t="n"/>
      <c r="AR91" s="64" t="n"/>
      <c r="AS91" s="64" t="n"/>
      <c r="AT91" s="64" t="n"/>
      <c r="AU91" s="64" t="n"/>
      <c r="AV91" s="64" t="n"/>
      <c r="AW91" s="64" t="n"/>
      <c r="AX91" s="64" t="n"/>
      <c r="AY91" s="64" t="n"/>
      <c r="AZ91" s="64" t="n"/>
      <c r="BA91" s="64" t="n"/>
      <c r="BB91" s="64" t="n"/>
      <c r="BC91" s="64" t="n"/>
      <c r="BD91" s="64" t="n"/>
      <c r="BE91" s="64" t="n"/>
      <c r="BF91" s="64" t="n"/>
      <c r="BG91" s="64" t="n"/>
      <c r="BH91" s="64" t="n"/>
      <c r="BI91" s="64" t="n"/>
      <c r="BJ91" s="64" t="n"/>
      <c r="BK91" s="64" t="n"/>
      <c r="BL91" s="64" t="n"/>
      <c r="BM91" s="64" t="n"/>
      <c r="BN91" s="64" t="n"/>
      <c r="BO91" s="64" t="n"/>
      <c r="BP91" s="64" t="n"/>
      <c r="BQ91" s="64" t="n"/>
      <c r="BR91" s="64" t="n"/>
      <c r="BS91" s="64" t="n"/>
      <c r="BT91" s="64" t="n"/>
      <c r="BU91" s="64" t="n"/>
      <c r="BV91" s="64" t="n"/>
      <c r="BW91" s="64" t="n"/>
      <c r="BX91" s="64" t="n"/>
      <c r="BY91" s="64" t="n"/>
      <c r="BZ91" s="64" t="n"/>
      <c r="CA91" s="64" t="n"/>
      <c r="CB91" s="64" t="n"/>
      <c r="CC91" s="64" t="n"/>
      <c r="CD91" s="64" t="n"/>
      <c r="CE91" s="64" t="n"/>
      <c r="CF91" s="64" t="n"/>
      <c r="CG91" s="64" t="n"/>
    </row>
    <row r="92" ht="21.95" customHeight="1" s="36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  <c r="Z92" s="64" t="n"/>
      <c r="AA92" s="64" t="n"/>
      <c r="AB92" s="64" t="n"/>
      <c r="AC92" s="64" t="n"/>
      <c r="AD92" s="64" t="n"/>
      <c r="AE92" s="64" t="n"/>
      <c r="AF92" s="64" t="n"/>
      <c r="AG92" s="64" t="n"/>
      <c r="AH92" s="64" t="n"/>
      <c r="AI92" s="64" t="n"/>
      <c r="AJ92" s="64" t="n"/>
      <c r="AK92" s="64" t="n"/>
      <c r="AL92" s="64" t="n"/>
      <c r="AM92" s="64" t="n"/>
      <c r="AN92" s="64" t="n"/>
      <c r="AO92" s="64" t="n"/>
      <c r="AP92" s="64" t="n"/>
      <c r="AQ92" s="64" t="n"/>
      <c r="AR92" s="64" t="n"/>
      <c r="AS92" s="64" t="n"/>
      <c r="AT92" s="64" t="n"/>
      <c r="AU92" s="64" t="n"/>
      <c r="AV92" s="64" t="n"/>
      <c r="AW92" s="64" t="n"/>
      <c r="AX92" s="64" t="n"/>
      <c r="AY92" s="64" t="n"/>
      <c r="AZ92" s="64" t="n"/>
      <c r="BA92" s="64" t="n"/>
      <c r="BB92" s="64" t="n"/>
      <c r="BC92" s="64" t="n"/>
      <c r="BD92" s="64" t="n"/>
      <c r="BE92" s="64" t="n"/>
      <c r="BF92" s="64" t="n"/>
      <c r="BG92" s="64" t="n"/>
      <c r="BH92" s="64" t="n"/>
      <c r="BI92" s="64" t="n"/>
      <c r="BJ92" s="64" t="n"/>
      <c r="BK92" s="64" t="n"/>
      <c r="BL92" s="64" t="n"/>
      <c r="BM92" s="64" t="n"/>
      <c r="BN92" s="64" t="n"/>
      <c r="BO92" s="64" t="n"/>
      <c r="BP92" s="64" t="n"/>
      <c r="BQ92" s="64" t="n"/>
      <c r="BR92" s="64" t="n"/>
      <c r="BS92" s="64" t="n"/>
      <c r="BT92" s="64" t="n"/>
      <c r="BU92" s="64" t="n"/>
      <c r="BV92" s="64" t="n"/>
      <c r="BW92" s="64" t="n"/>
      <c r="BX92" s="64" t="n"/>
      <c r="BY92" s="64" t="n"/>
      <c r="BZ92" s="64" t="n"/>
      <c r="CA92" s="64" t="n"/>
      <c r="CB92" s="64" t="n"/>
      <c r="CC92" s="64" t="n"/>
      <c r="CD92" s="64" t="n"/>
      <c r="CE92" s="64" t="n"/>
      <c r="CF92" s="64" t="n"/>
      <c r="CG92" s="64" t="n"/>
    </row>
    <row r="93" ht="21.95" customHeight="1" s="36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  <c r="Z93" s="64" t="n"/>
      <c r="AA93" s="64" t="n"/>
      <c r="AB93" s="64" t="n"/>
      <c r="AC93" s="64" t="n"/>
      <c r="AD93" s="64" t="n"/>
      <c r="AE93" s="64" t="n"/>
      <c r="AF93" s="64" t="n"/>
      <c r="AG93" s="64" t="n"/>
      <c r="AH93" s="64" t="n"/>
      <c r="AI93" s="64" t="n"/>
      <c r="AJ93" s="64" t="n"/>
      <c r="AK93" s="64" t="n"/>
      <c r="AL93" s="64" t="n"/>
      <c r="AM93" s="64" t="n"/>
      <c r="AN93" s="64" t="n"/>
      <c r="AO93" s="64" t="n"/>
      <c r="AP93" s="64" t="n"/>
      <c r="AQ93" s="64" t="n"/>
      <c r="AR93" s="64" t="n"/>
      <c r="AS93" s="64" t="n"/>
      <c r="AT93" s="64" t="n"/>
      <c r="AU93" s="64" t="n"/>
      <c r="AV93" s="64" t="n"/>
      <c r="AW93" s="64" t="n"/>
      <c r="AX93" s="64" t="n"/>
      <c r="AY93" s="64" t="n"/>
      <c r="AZ93" s="64" t="n"/>
      <c r="BA93" s="64" t="n"/>
      <c r="BB93" s="64" t="n"/>
      <c r="BC93" s="64" t="n"/>
      <c r="BD93" s="64" t="n"/>
      <c r="BE93" s="64" t="n"/>
      <c r="BF93" s="64" t="n"/>
      <c r="BG93" s="64" t="n"/>
      <c r="BH93" s="64" t="n"/>
      <c r="BI93" s="64" t="n"/>
      <c r="BJ93" s="64" t="n"/>
      <c r="BK93" s="64" t="n"/>
      <c r="BL93" s="64" t="n"/>
      <c r="BM93" s="64" t="n"/>
      <c r="BN93" s="64" t="n"/>
      <c r="BO93" s="64" t="n"/>
      <c r="BP93" s="64" t="n"/>
      <c r="BQ93" s="64" t="n"/>
      <c r="BR93" s="64" t="n"/>
      <c r="BS93" s="64" t="n"/>
      <c r="BT93" s="64" t="n"/>
      <c r="BU93" s="64" t="n"/>
      <c r="BV93" s="64" t="n"/>
      <c r="BW93" s="64" t="n"/>
      <c r="BX93" s="64" t="n"/>
      <c r="BY93" s="64" t="n"/>
      <c r="BZ93" s="64" t="n"/>
      <c r="CA93" s="64" t="n"/>
      <c r="CB93" s="64" t="n"/>
      <c r="CC93" s="64" t="n"/>
      <c r="CD93" s="64" t="n"/>
      <c r="CE93" s="64" t="n"/>
      <c r="CF93" s="64" t="n"/>
      <c r="CG93" s="64" t="n"/>
    </row>
    <row r="94" ht="21.95" customHeight="1" s="36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  <c r="Z94" s="64" t="n"/>
      <c r="AA94" s="64" t="n"/>
      <c r="AB94" s="64" t="n"/>
      <c r="AC94" s="64" t="n"/>
      <c r="AD94" s="64" t="n"/>
      <c r="AE94" s="64" t="n"/>
      <c r="AF94" s="64" t="n"/>
      <c r="AG94" s="64" t="n"/>
      <c r="AH94" s="64" t="n"/>
      <c r="AI94" s="64" t="n"/>
      <c r="AJ94" s="64" t="n"/>
      <c r="AK94" s="64" t="n"/>
      <c r="AL94" s="64" t="n"/>
      <c r="AM94" s="64" t="n"/>
      <c r="AN94" s="64" t="n"/>
      <c r="AO94" s="64" t="n"/>
      <c r="AP94" s="64" t="n"/>
      <c r="AQ94" s="64" t="n"/>
      <c r="AR94" s="64" t="n"/>
      <c r="AS94" s="64" t="n"/>
      <c r="AT94" s="64" t="n"/>
      <c r="AU94" s="64" t="n"/>
      <c r="AV94" s="64" t="n"/>
      <c r="AW94" s="64" t="n"/>
      <c r="AX94" s="64" t="n"/>
      <c r="AY94" s="64" t="n"/>
      <c r="AZ94" s="64" t="n"/>
      <c r="BA94" s="64" t="n"/>
      <c r="BB94" s="64" t="n"/>
      <c r="BC94" s="64" t="n"/>
      <c r="BD94" s="64" t="n"/>
      <c r="BE94" s="64" t="n"/>
      <c r="BF94" s="64" t="n"/>
      <c r="BG94" s="64" t="n"/>
      <c r="BH94" s="64" t="n"/>
      <c r="BI94" s="64" t="n"/>
      <c r="BJ94" s="64" t="n"/>
      <c r="BK94" s="64" t="n"/>
      <c r="BL94" s="64" t="n"/>
      <c r="BM94" s="64" t="n"/>
      <c r="BN94" s="64" t="n"/>
      <c r="BO94" s="64" t="n"/>
      <c r="BP94" s="64" t="n"/>
      <c r="BQ94" s="64" t="n"/>
      <c r="BR94" s="64" t="n"/>
      <c r="BS94" s="64" t="n"/>
      <c r="BT94" s="64" t="n"/>
      <c r="BU94" s="64" t="n"/>
      <c r="BV94" s="64" t="n"/>
      <c r="BW94" s="64" t="n"/>
      <c r="BX94" s="64" t="n"/>
      <c r="BY94" s="64" t="n"/>
      <c r="BZ94" s="64" t="n"/>
      <c r="CA94" s="64" t="n"/>
      <c r="CB94" s="64" t="n"/>
      <c r="CC94" s="64" t="n"/>
      <c r="CD94" s="64" t="n"/>
      <c r="CE94" s="64" t="n"/>
      <c r="CF94" s="64" t="n"/>
      <c r="CG94" s="64" t="n"/>
    </row>
    <row r="95" ht="21.95" customHeight="1" s="36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  <c r="Z95" s="64" t="n"/>
      <c r="AA95" s="64" t="n"/>
      <c r="AB95" s="64" t="n"/>
      <c r="AC95" s="64" t="n"/>
      <c r="AD95" s="64" t="n"/>
      <c r="AE95" s="64" t="n"/>
      <c r="AF95" s="64" t="n"/>
      <c r="AG95" s="64" t="n"/>
      <c r="AH95" s="64" t="n"/>
      <c r="AI95" s="64" t="n"/>
      <c r="AJ95" s="64" t="n"/>
      <c r="AK95" s="64" t="n"/>
      <c r="AL95" s="64" t="n"/>
      <c r="AM95" s="64" t="n"/>
      <c r="AN95" s="64" t="n"/>
      <c r="AO95" s="64" t="n"/>
      <c r="AP95" s="64" t="n"/>
      <c r="AQ95" s="64" t="n"/>
      <c r="AR95" s="64" t="n"/>
      <c r="AS95" s="64" t="n"/>
      <c r="AT95" s="64" t="n"/>
      <c r="AU95" s="64" t="n"/>
      <c r="AV95" s="64" t="n"/>
      <c r="AW95" s="64" t="n"/>
      <c r="AX95" s="64" t="n"/>
      <c r="AY95" s="64" t="n"/>
      <c r="AZ95" s="64" t="n"/>
      <c r="BA95" s="64" t="n"/>
      <c r="BB95" s="64" t="n"/>
      <c r="BC95" s="64" t="n"/>
      <c r="BD95" s="64" t="n"/>
      <c r="BE95" s="64" t="n"/>
      <c r="BF95" s="64" t="n"/>
      <c r="BG95" s="64" t="n"/>
      <c r="BH95" s="64" t="n"/>
      <c r="BI95" s="64" t="n"/>
      <c r="BJ95" s="64" t="n"/>
      <c r="BK95" s="64" t="n"/>
      <c r="BL95" s="64" t="n"/>
      <c r="BM95" s="64" t="n"/>
      <c r="BN95" s="64" t="n"/>
      <c r="BO95" s="64" t="n"/>
      <c r="BP95" s="64" t="n"/>
      <c r="BQ95" s="64" t="n"/>
      <c r="BR95" s="64" t="n"/>
      <c r="BS95" s="64" t="n"/>
      <c r="BT95" s="64" t="n"/>
      <c r="BU95" s="64" t="n"/>
      <c r="BV95" s="64" t="n"/>
      <c r="BW95" s="64" t="n"/>
      <c r="BX95" s="64" t="n"/>
      <c r="BY95" s="64" t="n"/>
      <c r="BZ95" s="64" t="n"/>
      <c r="CA95" s="64" t="n"/>
      <c r="CB95" s="64" t="n"/>
      <c r="CC95" s="64" t="n"/>
      <c r="CD95" s="64" t="n"/>
      <c r="CE95" s="64" t="n"/>
      <c r="CF95" s="64" t="n"/>
      <c r="CG95" s="64" t="n"/>
    </row>
    <row r="96" ht="21.95" customHeight="1" s="36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  <c r="AA96" s="64" t="n"/>
      <c r="AB96" s="64" t="n"/>
      <c r="AC96" s="64" t="n"/>
      <c r="AD96" s="64" t="n"/>
      <c r="AE96" s="64" t="n"/>
      <c r="AF96" s="64" t="n"/>
      <c r="AG96" s="64" t="n"/>
      <c r="AH96" s="64" t="n"/>
      <c r="AI96" s="64" t="n"/>
      <c r="AJ96" s="64" t="n"/>
      <c r="AK96" s="64" t="n"/>
      <c r="AL96" s="64" t="n"/>
      <c r="AM96" s="64" t="n"/>
      <c r="AN96" s="64" t="n"/>
      <c r="AO96" s="64" t="n"/>
      <c r="AP96" s="64" t="n"/>
      <c r="AQ96" s="64" t="n"/>
      <c r="AR96" s="64" t="n"/>
      <c r="AS96" s="64" t="n"/>
      <c r="AT96" s="64" t="n"/>
      <c r="AU96" s="64" t="n"/>
      <c r="AV96" s="64" t="n"/>
      <c r="AW96" s="64" t="n"/>
      <c r="AX96" s="64" t="n"/>
      <c r="AY96" s="64" t="n"/>
      <c r="AZ96" s="64" t="n"/>
      <c r="BA96" s="64" t="n"/>
      <c r="BB96" s="64" t="n"/>
      <c r="BC96" s="64" t="n"/>
      <c r="BD96" s="64" t="n"/>
      <c r="BE96" s="64" t="n"/>
      <c r="BF96" s="64" t="n"/>
      <c r="BG96" s="64" t="n"/>
      <c r="BH96" s="64" t="n"/>
      <c r="BI96" s="64" t="n"/>
      <c r="BJ96" s="64" t="n"/>
      <c r="BK96" s="64" t="n"/>
      <c r="BL96" s="64" t="n"/>
      <c r="BM96" s="64" t="n"/>
      <c r="BN96" s="64" t="n"/>
      <c r="BO96" s="64" t="n"/>
      <c r="BP96" s="64" t="n"/>
      <c r="BQ96" s="64" t="n"/>
      <c r="BR96" s="64" t="n"/>
      <c r="BS96" s="64" t="n"/>
      <c r="BT96" s="64" t="n"/>
      <c r="BU96" s="64" t="n"/>
      <c r="BV96" s="64" t="n"/>
      <c r="BW96" s="64" t="n"/>
      <c r="BX96" s="64" t="n"/>
      <c r="BY96" s="64" t="n"/>
      <c r="BZ96" s="64" t="n"/>
      <c r="CA96" s="64" t="n"/>
      <c r="CB96" s="64" t="n"/>
      <c r="CC96" s="64" t="n"/>
      <c r="CD96" s="64" t="n"/>
      <c r="CE96" s="64" t="n"/>
      <c r="CF96" s="64" t="n"/>
      <c r="CG96" s="64" t="n"/>
    </row>
    <row r="97" ht="21.95" customHeight="1" s="36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  <c r="Z97" s="64" t="n"/>
      <c r="AA97" s="64" t="n"/>
      <c r="AB97" s="64" t="n"/>
      <c r="AC97" s="64" t="n"/>
      <c r="AD97" s="64" t="n"/>
      <c r="AE97" s="64" t="n"/>
      <c r="AF97" s="64" t="n"/>
      <c r="AG97" s="64" t="n"/>
      <c r="AH97" s="64" t="n"/>
      <c r="AI97" s="64" t="n"/>
      <c r="AJ97" s="64" t="n"/>
      <c r="AK97" s="64" t="n"/>
      <c r="AL97" s="64" t="n"/>
      <c r="AM97" s="64" t="n"/>
      <c r="AN97" s="64" t="n"/>
      <c r="AO97" s="64" t="n"/>
      <c r="AP97" s="64" t="n"/>
      <c r="AQ97" s="64" t="n"/>
      <c r="AR97" s="64" t="n"/>
      <c r="AS97" s="64" t="n"/>
      <c r="AT97" s="64" t="n"/>
      <c r="AU97" s="64" t="n"/>
      <c r="AV97" s="64" t="n"/>
      <c r="AW97" s="64" t="n"/>
      <c r="AX97" s="64" t="n"/>
      <c r="AY97" s="64" t="n"/>
      <c r="AZ97" s="64" t="n"/>
      <c r="BA97" s="64" t="n"/>
      <c r="BB97" s="64" t="n"/>
      <c r="BC97" s="64" t="n"/>
      <c r="BD97" s="64" t="n"/>
      <c r="BE97" s="64" t="n"/>
      <c r="BF97" s="64" t="n"/>
      <c r="BG97" s="64" t="n"/>
      <c r="BH97" s="64" t="n"/>
      <c r="BI97" s="64" t="n"/>
      <c r="BJ97" s="64" t="n"/>
      <c r="BK97" s="64" t="n"/>
      <c r="BL97" s="64" t="n"/>
      <c r="BM97" s="64" t="n"/>
      <c r="BN97" s="64" t="n"/>
      <c r="BO97" s="64" t="n"/>
      <c r="BP97" s="64" t="n"/>
      <c r="BQ97" s="64" t="n"/>
      <c r="BR97" s="64" t="n"/>
      <c r="BS97" s="64" t="n"/>
      <c r="BT97" s="64" t="n"/>
      <c r="BU97" s="64" t="n"/>
      <c r="BV97" s="64" t="n"/>
      <c r="BW97" s="64" t="n"/>
      <c r="BX97" s="64" t="n"/>
      <c r="BY97" s="64" t="n"/>
      <c r="BZ97" s="64" t="n"/>
      <c r="CA97" s="64" t="n"/>
      <c r="CB97" s="64" t="n"/>
      <c r="CC97" s="64" t="n"/>
      <c r="CD97" s="64" t="n"/>
      <c r="CE97" s="64" t="n"/>
      <c r="CF97" s="64" t="n"/>
      <c r="CG97" s="64" t="n"/>
    </row>
    <row r="98" ht="21.95" customHeight="1" s="36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  <c r="AA98" s="64" t="n"/>
      <c r="AB98" s="64" t="n"/>
      <c r="AC98" s="64" t="n"/>
      <c r="AD98" s="64" t="n"/>
      <c r="AE98" s="64" t="n"/>
      <c r="AF98" s="64" t="n"/>
      <c r="AG98" s="64" t="n"/>
      <c r="AH98" s="64" t="n"/>
      <c r="AI98" s="64" t="n"/>
      <c r="AJ98" s="64" t="n"/>
      <c r="AK98" s="64" t="n"/>
      <c r="AL98" s="64" t="n"/>
      <c r="AM98" s="64" t="n"/>
      <c r="AN98" s="64" t="n"/>
      <c r="AO98" s="64" t="n"/>
      <c r="AP98" s="64" t="n"/>
      <c r="AQ98" s="64" t="n"/>
      <c r="AR98" s="64" t="n"/>
      <c r="AS98" s="64" t="n"/>
      <c r="AT98" s="64" t="n"/>
      <c r="AU98" s="64" t="n"/>
      <c r="AV98" s="64" t="n"/>
      <c r="AW98" s="64" t="n"/>
      <c r="AX98" s="64" t="n"/>
      <c r="AY98" s="64" t="n"/>
      <c r="AZ98" s="64" t="n"/>
      <c r="BA98" s="64" t="n"/>
      <c r="BB98" s="64" t="n"/>
      <c r="BC98" s="64" t="n"/>
      <c r="BD98" s="64" t="n"/>
      <c r="BE98" s="64" t="n"/>
      <c r="BF98" s="64" t="n"/>
      <c r="BG98" s="64" t="n"/>
      <c r="BH98" s="64" t="n"/>
      <c r="BI98" s="64" t="n"/>
      <c r="BJ98" s="64" t="n"/>
      <c r="BK98" s="64" t="n"/>
      <c r="BL98" s="64" t="n"/>
      <c r="BM98" s="64" t="n"/>
      <c r="BN98" s="64" t="n"/>
      <c r="BO98" s="64" t="n"/>
      <c r="BP98" s="64" t="n"/>
      <c r="BQ98" s="64" t="n"/>
      <c r="BR98" s="64" t="n"/>
      <c r="BS98" s="64" t="n"/>
      <c r="BT98" s="64" t="n"/>
      <c r="BU98" s="64" t="n"/>
      <c r="BV98" s="64" t="n"/>
      <c r="BW98" s="64" t="n"/>
      <c r="BX98" s="64" t="n"/>
      <c r="BY98" s="64" t="n"/>
      <c r="BZ98" s="64" t="n"/>
      <c r="CA98" s="64" t="n"/>
      <c r="CB98" s="64" t="n"/>
      <c r="CC98" s="64" t="n"/>
      <c r="CD98" s="64" t="n"/>
      <c r="CE98" s="64" t="n"/>
      <c r="CF98" s="64" t="n"/>
      <c r="CG98" s="64" t="n"/>
    </row>
    <row r="99" ht="21.95" customHeight="1" s="36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  <c r="AA99" s="64" t="n"/>
      <c r="AB99" s="64" t="n"/>
      <c r="AC99" s="64" t="n"/>
      <c r="AD99" s="64" t="n"/>
      <c r="AE99" s="64" t="n"/>
      <c r="AF99" s="64" t="n"/>
      <c r="AG99" s="64" t="n"/>
      <c r="AH99" s="64" t="n"/>
      <c r="AI99" s="64" t="n"/>
      <c r="AJ99" s="64" t="n"/>
      <c r="AK99" s="64" t="n"/>
      <c r="AL99" s="64" t="n"/>
      <c r="AM99" s="64" t="n"/>
      <c r="AN99" s="64" t="n"/>
      <c r="AO99" s="64" t="n"/>
      <c r="AP99" s="64" t="n"/>
      <c r="AQ99" s="64" t="n"/>
      <c r="AR99" s="64" t="n"/>
      <c r="AS99" s="64" t="n"/>
      <c r="AT99" s="64" t="n"/>
      <c r="AU99" s="64" t="n"/>
      <c r="AV99" s="64" t="n"/>
      <c r="AW99" s="64" t="n"/>
      <c r="AX99" s="64" t="n"/>
      <c r="AY99" s="64" t="n"/>
      <c r="AZ99" s="64" t="n"/>
      <c r="BA99" s="64" t="n"/>
      <c r="BB99" s="64" t="n"/>
      <c r="BC99" s="64" t="n"/>
      <c r="BD99" s="64" t="n"/>
      <c r="BE99" s="64" t="n"/>
      <c r="BF99" s="64" t="n"/>
      <c r="BG99" s="64" t="n"/>
      <c r="BH99" s="64" t="n"/>
      <c r="BI99" s="64" t="n"/>
      <c r="BJ99" s="64" t="n"/>
      <c r="BK99" s="64" t="n"/>
      <c r="BL99" s="64" t="n"/>
      <c r="BM99" s="64" t="n"/>
      <c r="BN99" s="64" t="n"/>
      <c r="BO99" s="64" t="n"/>
      <c r="BP99" s="64" t="n"/>
      <c r="BQ99" s="64" t="n"/>
      <c r="BR99" s="64" t="n"/>
      <c r="BS99" s="64" t="n"/>
      <c r="BT99" s="64" t="n"/>
      <c r="BU99" s="64" t="n"/>
      <c r="BV99" s="64" t="n"/>
      <c r="BW99" s="64" t="n"/>
      <c r="BX99" s="64" t="n"/>
      <c r="BY99" s="64" t="n"/>
      <c r="BZ99" s="64" t="n"/>
      <c r="CA99" s="64" t="n"/>
      <c r="CB99" s="64" t="n"/>
      <c r="CC99" s="64" t="n"/>
      <c r="CD99" s="64" t="n"/>
      <c r="CE99" s="64" t="n"/>
      <c r="CF99" s="64" t="n"/>
      <c r="CG99" s="64" t="n"/>
    </row>
    <row r="100" ht="21.95" customHeight="1" s="36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  <c r="Z100" s="64" t="n"/>
      <c r="AA100" s="64" t="n"/>
      <c r="AB100" s="64" t="n"/>
      <c r="AC100" s="64" t="n"/>
      <c r="AD100" s="64" t="n"/>
      <c r="AE100" s="64" t="n"/>
      <c r="AF100" s="64" t="n"/>
      <c r="AG100" s="64" t="n"/>
      <c r="AH100" s="64" t="n"/>
      <c r="AI100" s="64" t="n"/>
      <c r="AJ100" s="64" t="n"/>
      <c r="AK100" s="64" t="n"/>
      <c r="AL100" s="64" t="n"/>
      <c r="AM100" s="64" t="n"/>
      <c r="AN100" s="64" t="n"/>
      <c r="AO100" s="64" t="n"/>
      <c r="AP100" s="64" t="n"/>
      <c r="AQ100" s="64" t="n"/>
      <c r="AR100" s="64" t="n"/>
      <c r="AS100" s="64" t="n"/>
      <c r="AT100" s="64" t="n"/>
      <c r="AU100" s="64" t="n"/>
      <c r="AV100" s="64" t="n"/>
      <c r="AW100" s="64" t="n"/>
      <c r="AX100" s="64" t="n"/>
      <c r="AY100" s="64" t="n"/>
      <c r="AZ100" s="64" t="n"/>
      <c r="BA100" s="64" t="n"/>
      <c r="BB100" s="64" t="n"/>
      <c r="BC100" s="64" t="n"/>
      <c r="BD100" s="64" t="n"/>
      <c r="BE100" s="64" t="n"/>
      <c r="BF100" s="64" t="n"/>
      <c r="BG100" s="64" t="n"/>
      <c r="BH100" s="64" t="n"/>
      <c r="BI100" s="64" t="n"/>
      <c r="BJ100" s="64" t="n"/>
      <c r="BK100" s="64" t="n"/>
      <c r="BL100" s="64" t="n"/>
      <c r="BM100" s="64" t="n"/>
      <c r="BN100" s="64" t="n"/>
      <c r="BO100" s="64" t="n"/>
      <c r="BP100" s="64" t="n"/>
      <c r="BQ100" s="64" t="n"/>
      <c r="BR100" s="64" t="n"/>
      <c r="BS100" s="64" t="n"/>
      <c r="BT100" s="64" t="n"/>
      <c r="BU100" s="64" t="n"/>
      <c r="BV100" s="64" t="n"/>
      <c r="BW100" s="64" t="n"/>
      <c r="BX100" s="64" t="n"/>
      <c r="BY100" s="64" t="n"/>
      <c r="BZ100" s="64" t="n"/>
      <c r="CA100" s="64" t="n"/>
      <c r="CB100" s="64" t="n"/>
      <c r="CC100" s="64" t="n"/>
      <c r="CD100" s="64" t="n"/>
      <c r="CE100" s="64" t="n"/>
      <c r="CF100" s="64" t="n"/>
      <c r="CG100" s="64" t="n"/>
    </row>
    <row r="101" ht="21.95" customHeight="1" s="36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  <c r="Z101" s="64" t="n"/>
      <c r="AA101" s="64" t="n"/>
      <c r="AB101" s="64" t="n"/>
      <c r="AC101" s="64" t="n"/>
      <c r="AD101" s="64" t="n"/>
      <c r="AE101" s="64" t="n"/>
      <c r="AF101" s="64" t="n"/>
      <c r="AG101" s="64" t="n"/>
      <c r="AH101" s="64" t="n"/>
      <c r="AI101" s="64" t="n"/>
      <c r="AJ101" s="64" t="n"/>
      <c r="AK101" s="64" t="n"/>
      <c r="AL101" s="64" t="n"/>
      <c r="AM101" s="64" t="n"/>
      <c r="AN101" s="64" t="n"/>
      <c r="AO101" s="64" t="n"/>
      <c r="AP101" s="64" t="n"/>
      <c r="AQ101" s="64" t="n"/>
      <c r="AR101" s="64" t="n"/>
      <c r="AS101" s="64" t="n"/>
      <c r="AT101" s="64" t="n"/>
      <c r="AU101" s="64" t="n"/>
      <c r="AV101" s="64" t="n"/>
      <c r="AW101" s="64" t="n"/>
      <c r="AX101" s="64" t="n"/>
      <c r="AY101" s="64" t="n"/>
      <c r="AZ101" s="64" t="n"/>
      <c r="BA101" s="64" t="n"/>
      <c r="BB101" s="64" t="n"/>
      <c r="BC101" s="64" t="n"/>
      <c r="BD101" s="64" t="n"/>
      <c r="BE101" s="64" t="n"/>
      <c r="BF101" s="64" t="n"/>
      <c r="BG101" s="64" t="n"/>
      <c r="BH101" s="64" t="n"/>
      <c r="BI101" s="64" t="n"/>
      <c r="BJ101" s="64" t="n"/>
      <c r="BK101" s="64" t="n"/>
      <c r="BL101" s="64" t="n"/>
      <c r="BM101" s="64" t="n"/>
      <c r="BN101" s="64" t="n"/>
      <c r="BO101" s="64" t="n"/>
      <c r="BP101" s="64" t="n"/>
      <c r="BQ101" s="64" t="n"/>
      <c r="BR101" s="64" t="n"/>
      <c r="BS101" s="64" t="n"/>
      <c r="BT101" s="64" t="n"/>
      <c r="BU101" s="64" t="n"/>
      <c r="BV101" s="64" t="n"/>
      <c r="BW101" s="64" t="n"/>
      <c r="BX101" s="64" t="n"/>
      <c r="BY101" s="64" t="n"/>
      <c r="BZ101" s="64" t="n"/>
      <c r="CA101" s="64" t="n"/>
      <c r="CB101" s="64" t="n"/>
      <c r="CC101" s="64" t="n"/>
      <c r="CD101" s="64" t="n"/>
      <c r="CE101" s="64" t="n"/>
      <c r="CF101" s="64" t="n"/>
      <c r="CG101" s="64" t="n"/>
    </row>
    <row r="102" ht="21.95" customHeight="1" s="36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  <c r="Z102" s="64" t="n"/>
      <c r="AA102" s="64" t="n"/>
      <c r="AB102" s="64" t="n"/>
      <c r="AC102" s="64" t="n"/>
      <c r="AD102" s="64" t="n"/>
      <c r="AE102" s="64" t="n"/>
      <c r="AF102" s="64" t="n"/>
      <c r="AG102" s="64" t="n"/>
      <c r="AH102" s="64" t="n"/>
      <c r="AI102" s="64" t="n"/>
      <c r="AJ102" s="64" t="n"/>
      <c r="AK102" s="64" t="n"/>
      <c r="AL102" s="64" t="n"/>
      <c r="AM102" s="64" t="n"/>
      <c r="AN102" s="64" t="n"/>
      <c r="AO102" s="64" t="n"/>
      <c r="AP102" s="64" t="n"/>
      <c r="AQ102" s="64" t="n"/>
      <c r="AR102" s="64" t="n"/>
      <c r="AS102" s="64" t="n"/>
      <c r="AT102" s="64" t="n"/>
      <c r="AU102" s="64" t="n"/>
      <c r="AV102" s="64" t="n"/>
      <c r="AW102" s="64" t="n"/>
      <c r="AX102" s="64" t="n"/>
      <c r="AY102" s="64" t="n"/>
      <c r="AZ102" s="64" t="n"/>
      <c r="BA102" s="64" t="n"/>
      <c r="BB102" s="64" t="n"/>
      <c r="BC102" s="64" t="n"/>
      <c r="BD102" s="64" t="n"/>
      <c r="BE102" s="64" t="n"/>
      <c r="BF102" s="64" t="n"/>
      <c r="BG102" s="64" t="n"/>
      <c r="BH102" s="64" t="n"/>
      <c r="BI102" s="64" t="n"/>
      <c r="BJ102" s="64" t="n"/>
      <c r="BK102" s="64" t="n"/>
      <c r="BL102" s="64" t="n"/>
      <c r="BM102" s="64" t="n"/>
      <c r="BN102" s="64" t="n"/>
      <c r="BO102" s="64" t="n"/>
      <c r="BP102" s="64" t="n"/>
      <c r="BQ102" s="64" t="n"/>
      <c r="BR102" s="64" t="n"/>
      <c r="BS102" s="64" t="n"/>
      <c r="BT102" s="64" t="n"/>
      <c r="BU102" s="64" t="n"/>
      <c r="BV102" s="64" t="n"/>
      <c r="BW102" s="64" t="n"/>
      <c r="BX102" s="64" t="n"/>
      <c r="BY102" s="64" t="n"/>
      <c r="BZ102" s="64" t="n"/>
      <c r="CA102" s="64" t="n"/>
      <c r="CB102" s="64" t="n"/>
      <c r="CC102" s="64" t="n"/>
      <c r="CD102" s="64" t="n"/>
      <c r="CE102" s="64" t="n"/>
      <c r="CF102" s="64" t="n"/>
      <c r="CG102" s="64" t="n"/>
    </row>
    <row r="103" ht="21.95" customHeight="1" s="36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  <c r="Z103" s="64" t="n"/>
      <c r="AA103" s="64" t="n"/>
      <c r="AB103" s="64" t="n"/>
      <c r="AC103" s="64" t="n"/>
      <c r="AD103" s="64" t="n"/>
      <c r="AE103" s="64" t="n"/>
      <c r="AF103" s="64" t="n"/>
      <c r="AG103" s="64" t="n"/>
      <c r="AH103" s="64" t="n"/>
      <c r="AI103" s="64" t="n"/>
      <c r="AJ103" s="64" t="n"/>
      <c r="AK103" s="64" t="n"/>
      <c r="AL103" s="64" t="n"/>
      <c r="AM103" s="64" t="n"/>
      <c r="AN103" s="64" t="n"/>
      <c r="AO103" s="64" t="n"/>
      <c r="AP103" s="64" t="n"/>
      <c r="AQ103" s="64" t="n"/>
      <c r="AR103" s="64" t="n"/>
      <c r="AS103" s="64" t="n"/>
      <c r="AT103" s="64" t="n"/>
      <c r="AU103" s="64" t="n"/>
      <c r="AV103" s="64" t="n"/>
      <c r="AW103" s="64" t="n"/>
      <c r="AX103" s="64" t="n"/>
      <c r="AY103" s="64" t="n"/>
      <c r="AZ103" s="64" t="n"/>
      <c r="BA103" s="64" t="n"/>
      <c r="BB103" s="64" t="n"/>
      <c r="BC103" s="64" t="n"/>
      <c r="BD103" s="64" t="n"/>
      <c r="BE103" s="64" t="n"/>
      <c r="BF103" s="64" t="n"/>
      <c r="BG103" s="64" t="n"/>
      <c r="BH103" s="64" t="n"/>
      <c r="BI103" s="64" t="n"/>
      <c r="BJ103" s="64" t="n"/>
      <c r="BK103" s="64" t="n"/>
      <c r="BL103" s="64" t="n"/>
      <c r="BM103" s="64" t="n"/>
      <c r="BN103" s="64" t="n"/>
      <c r="BO103" s="64" t="n"/>
      <c r="BP103" s="64" t="n"/>
      <c r="BQ103" s="64" t="n"/>
      <c r="BR103" s="64" t="n"/>
      <c r="BS103" s="64" t="n"/>
      <c r="BT103" s="64" t="n"/>
      <c r="BU103" s="64" t="n"/>
      <c r="BV103" s="64" t="n"/>
      <c r="BW103" s="64" t="n"/>
      <c r="BX103" s="64" t="n"/>
      <c r="BY103" s="64" t="n"/>
      <c r="BZ103" s="64" t="n"/>
      <c r="CA103" s="64" t="n"/>
      <c r="CB103" s="64" t="n"/>
      <c r="CC103" s="64" t="n"/>
      <c r="CD103" s="64" t="n"/>
      <c r="CE103" s="64" t="n"/>
      <c r="CF103" s="64" t="n"/>
      <c r="CG103" s="64" t="n"/>
    </row>
    <row r="104" ht="21.95" customHeight="1" s="36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  <c r="AA104" s="64" t="n"/>
      <c r="AB104" s="64" t="n"/>
      <c r="AC104" s="64" t="n"/>
      <c r="AD104" s="64" t="n"/>
      <c r="AE104" s="64" t="n"/>
      <c r="AF104" s="64" t="n"/>
      <c r="AG104" s="64" t="n"/>
      <c r="AH104" s="64" t="n"/>
      <c r="AI104" s="64" t="n"/>
      <c r="AJ104" s="64" t="n"/>
      <c r="AK104" s="64" t="n"/>
      <c r="AL104" s="64" t="n"/>
      <c r="AM104" s="64" t="n"/>
      <c r="AN104" s="64" t="n"/>
      <c r="AO104" s="64" t="n"/>
      <c r="AP104" s="64" t="n"/>
      <c r="AQ104" s="64" t="n"/>
      <c r="AR104" s="64" t="n"/>
      <c r="AS104" s="64" t="n"/>
      <c r="AT104" s="64" t="n"/>
      <c r="AU104" s="64" t="n"/>
      <c r="AV104" s="64" t="n"/>
      <c r="AW104" s="64" t="n"/>
      <c r="AX104" s="64" t="n"/>
      <c r="AY104" s="64" t="n"/>
      <c r="AZ104" s="64" t="n"/>
      <c r="BA104" s="64" t="n"/>
      <c r="BB104" s="64" t="n"/>
      <c r="BC104" s="64" t="n"/>
      <c r="BD104" s="64" t="n"/>
      <c r="BE104" s="64" t="n"/>
      <c r="BF104" s="64" t="n"/>
      <c r="BG104" s="64" t="n"/>
      <c r="BH104" s="64" t="n"/>
      <c r="BI104" s="64" t="n"/>
      <c r="BJ104" s="64" t="n"/>
      <c r="BK104" s="64" t="n"/>
      <c r="BL104" s="64" t="n"/>
      <c r="BM104" s="64" t="n"/>
      <c r="BN104" s="64" t="n"/>
      <c r="BO104" s="64" t="n"/>
      <c r="BP104" s="64" t="n"/>
      <c r="BQ104" s="64" t="n"/>
      <c r="BR104" s="64" t="n"/>
      <c r="BS104" s="64" t="n"/>
      <c r="BT104" s="64" t="n"/>
      <c r="BU104" s="64" t="n"/>
      <c r="BV104" s="64" t="n"/>
      <c r="BW104" s="64" t="n"/>
      <c r="BX104" s="64" t="n"/>
      <c r="BY104" s="64" t="n"/>
      <c r="BZ104" s="64" t="n"/>
      <c r="CA104" s="64" t="n"/>
      <c r="CB104" s="64" t="n"/>
      <c r="CC104" s="64" t="n"/>
      <c r="CD104" s="64" t="n"/>
      <c r="CE104" s="64" t="n"/>
      <c r="CF104" s="64" t="n"/>
      <c r="CG104" s="64" t="n"/>
    </row>
    <row r="105" ht="21.95" customHeight="1" s="36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  <c r="AA105" s="64" t="n"/>
      <c r="AB105" s="64" t="n"/>
      <c r="AC105" s="64" t="n"/>
      <c r="AD105" s="64" t="n"/>
      <c r="AE105" s="64" t="n"/>
      <c r="AF105" s="64" t="n"/>
      <c r="AG105" s="64" t="n"/>
      <c r="AH105" s="64" t="n"/>
      <c r="AI105" s="64" t="n"/>
      <c r="AJ105" s="64" t="n"/>
      <c r="AK105" s="64" t="n"/>
      <c r="AL105" s="64" t="n"/>
      <c r="AM105" s="64" t="n"/>
      <c r="AN105" s="64" t="n"/>
      <c r="AO105" s="64" t="n"/>
      <c r="AP105" s="64" t="n"/>
      <c r="AQ105" s="64" t="n"/>
      <c r="AR105" s="64" t="n"/>
      <c r="AS105" s="64" t="n"/>
      <c r="AT105" s="64" t="n"/>
      <c r="AU105" s="64" t="n"/>
      <c r="AV105" s="64" t="n"/>
      <c r="AW105" s="64" t="n"/>
      <c r="AX105" s="64" t="n"/>
      <c r="AY105" s="64" t="n"/>
      <c r="AZ105" s="64" t="n"/>
      <c r="BA105" s="64" t="n"/>
      <c r="BB105" s="64" t="n"/>
      <c r="BC105" s="64" t="n"/>
      <c r="BD105" s="64" t="n"/>
      <c r="BE105" s="64" t="n"/>
      <c r="BF105" s="64" t="n"/>
      <c r="BG105" s="64" t="n"/>
      <c r="BH105" s="64" t="n"/>
      <c r="BI105" s="64" t="n"/>
      <c r="BJ105" s="64" t="n"/>
      <c r="BK105" s="64" t="n"/>
      <c r="BL105" s="64" t="n"/>
      <c r="BM105" s="64" t="n"/>
      <c r="BN105" s="64" t="n"/>
      <c r="BO105" s="64" t="n"/>
      <c r="BP105" s="64" t="n"/>
      <c r="BQ105" s="64" t="n"/>
      <c r="BR105" s="64" t="n"/>
      <c r="BS105" s="64" t="n"/>
      <c r="BT105" s="64" t="n"/>
      <c r="BU105" s="64" t="n"/>
      <c r="BV105" s="64" t="n"/>
      <c r="BW105" s="64" t="n"/>
      <c r="BX105" s="64" t="n"/>
      <c r="BY105" s="64" t="n"/>
      <c r="BZ105" s="64" t="n"/>
      <c r="CA105" s="64" t="n"/>
      <c r="CB105" s="64" t="n"/>
      <c r="CC105" s="64" t="n"/>
      <c r="CD105" s="64" t="n"/>
      <c r="CE105" s="64" t="n"/>
      <c r="CF105" s="64" t="n"/>
      <c r="CG105" s="64" t="n"/>
    </row>
    <row r="106" ht="21.95" customHeight="1" s="36"/>
    <row r="107" ht="21.95" customHeight="1" s="36"/>
    <row r="108" ht="21.95" customHeight="1" s="36"/>
    <row r="109" ht="21.95" customHeight="1" s="36"/>
    <row r="110" ht="21.95" customHeight="1" s="36"/>
    <row r="111" ht="21.95" customHeight="1" s="36"/>
    <row r="112" ht="21.95" customHeight="1" s="36"/>
    <row r="113" ht="21.95" customHeight="1" s="36"/>
    <row r="114" ht="21.95" customHeight="1" s="36"/>
    <row r="115" ht="21.95" customHeight="1" s="36"/>
    <row r="116" ht="21.95" customHeight="1" s="36"/>
  </sheetData>
  <mergeCells count="5">
    <mergeCell ref="I15:I19"/>
    <mergeCell ref="I9:I13"/>
    <mergeCell ref="I21:I27"/>
    <mergeCell ref="A1:I1"/>
    <mergeCell ref="I3:I7"/>
  </mergeCells>
  <conditionalFormatting sqref="A1">
    <cfRule type="duplicateValues" priority="2540" dxfId="0"/>
  </conditionalFormatting>
  <conditionalFormatting sqref="B2">
    <cfRule type="duplicateValues" priority="1" dxfId="0"/>
  </conditionalFormatting>
  <conditionalFormatting sqref="B3:B1048576">
    <cfRule type="duplicateValues" priority="1594" dxfId="0"/>
  </conditionalFormatting>
  <conditionalFormatting sqref="B9">
    <cfRule type="duplicateValues" priority="12" dxfId="0"/>
  </conditionalFormatting>
  <conditionalFormatting sqref="B12">
    <cfRule type="duplicateValues" priority="11" dxfId="0"/>
  </conditionalFormatting>
  <conditionalFormatting sqref="B17">
    <cfRule type="duplicateValues" priority="10" dxfId="0"/>
  </conditionalFormatting>
  <conditionalFormatting sqref="B23">
    <cfRule type="duplicateValues" priority="9" dxfId="0"/>
  </conditionalFormatting>
  <conditionalFormatting sqref="B30">
    <cfRule type="duplicateValues" priority="8" dxfId="0"/>
  </conditionalFormatting>
  <conditionalFormatting sqref="B32">
    <cfRule type="duplicateValues" priority="7" dxfId="0"/>
  </conditionalFormatting>
  <conditionalFormatting sqref="B37">
    <cfRule type="duplicateValues" priority="6" dxfId="0"/>
  </conditionalFormatting>
  <conditionalFormatting sqref="B55">
    <cfRule type="duplicateValues" priority="5" dxfId="0"/>
  </conditionalFormatting>
  <conditionalFormatting sqref="B68">
    <cfRule type="duplicateValues" priority="4" dxfId="0"/>
  </conditionalFormatting>
  <conditionalFormatting sqref="B78">
    <cfRule type="duplicateValues" priority="3" dxfId="0"/>
  </conditionalFormatting>
  <conditionalFormatting sqref="B90">
    <cfRule type="duplicateValues" priority="2" dxfId="0"/>
  </conditionalFormatting>
  <pageMargins left="0.748031496062992" right="0.748031496062992" top="0.984251968503937" bottom="0.984251968503937" header="0.511811023622047" footer="0.511811023622047"/>
  <pageSetup orientation="landscape" paperSize="9" scale="85" fitToHeight="0"/>
</worksheet>
</file>

<file path=xl/worksheets/sheet4.xml><?xml version="1.0" encoding="utf-8"?>
<worksheet xmlns="http://schemas.openxmlformats.org/spreadsheetml/2006/main">
  <sheetPr>
    <outlinePr summaryBelow="1" summaryRight="1"/>
    <pageSetUpPr autoPageBreaks="0"/>
  </sheetPr>
  <dimension ref="A1:CG27"/>
  <sheetViews>
    <sheetView tabSelected="1" zoomScale="85" zoomScaleNormal="85" workbookViewId="0">
      <selection activeCell="M6" sqref="M6"/>
    </sheetView>
  </sheetViews>
  <sheetFormatPr baseColWidth="8" defaultColWidth="8.25" defaultRowHeight="15.75"/>
  <cols>
    <col width="15" bestFit="1" customWidth="1" style="52" min="1" max="1"/>
    <col width="21" bestFit="1" customWidth="1" style="43" min="2" max="2"/>
    <col width="12" bestFit="1" customWidth="1" style="78" min="3" max="3"/>
    <col width="17" bestFit="1" customWidth="1" style="51" min="4" max="4"/>
    <col width="12" bestFit="1" customWidth="1" style="43" min="5" max="5"/>
    <col width="24" bestFit="1" customWidth="1" style="79" min="6" max="6"/>
    <col width="19" bestFit="1" customWidth="1" style="43" min="7" max="7"/>
    <col width="15" bestFit="1" customWidth="1" style="78" min="8" max="8"/>
    <col width="14" bestFit="1" customWidth="1" style="43" min="9" max="9"/>
    <col width="17" bestFit="1" customWidth="1" style="80" min="10" max="10"/>
    <col width="16" bestFit="1" customWidth="1" style="81" min="11" max="11"/>
    <col width="36" customWidth="1" style="81" min="12" max="12"/>
    <col width="17" customWidth="1" style="81" min="13" max="13"/>
    <col width="12" bestFit="1" customWidth="1" style="43" min="14" max="14"/>
    <col width="12" bestFit="1" customWidth="1" style="81" min="15" max="15"/>
    <col width="16" bestFit="1" customWidth="1" style="47" min="16" max="16"/>
    <col width="16" bestFit="1" customWidth="1" style="82" min="17" max="17"/>
    <col width="12" bestFit="1" customWidth="1" style="78" min="18" max="18"/>
    <col width="38.25" customWidth="1" style="78" min="19" max="19"/>
    <col width="11.375" customWidth="1" style="78" min="20" max="21"/>
    <col width="11.375" customWidth="1" style="47" min="22" max="22"/>
    <col width="11.375" customWidth="1" style="78" min="23" max="24"/>
    <col width="11.375" customWidth="1" style="83" min="25" max="25"/>
    <col width="11.75" customWidth="1" style="78" min="26" max="26"/>
    <col width="11.75" customWidth="1" style="81" min="27" max="85"/>
    <col width="8.25" customWidth="1" style="43" min="86" max="16384"/>
  </cols>
  <sheetData>
    <row r="1" ht="40" customFormat="1" customHeight="1" s="56">
      <c r="A1" s="57" t="inlineStr">
        <is>
          <t>FlowCell_ID</t>
        </is>
      </c>
      <c r="B1" s="58" t="inlineStr">
        <is>
          <t>SampleID</t>
        </is>
      </c>
      <c r="C1" s="58" t="inlineStr">
        <is>
          <t>qPCR浓度</t>
        </is>
      </c>
      <c r="D1" s="59" t="inlineStr">
        <is>
          <t>pooling文库数</t>
        </is>
      </c>
      <c r="E1" s="58" t="inlineStr">
        <is>
          <t>上机浓度</t>
        </is>
      </c>
      <c r="F1" s="60" t="inlineStr">
        <is>
          <t>文库类型</t>
        </is>
      </c>
      <c r="G1" s="60" t="inlineStr">
        <is>
          <t>需求数据量（G）</t>
        </is>
      </c>
      <c r="H1" s="58" t="inlineStr">
        <is>
          <t>Lane_Number</t>
        </is>
      </c>
      <c r="I1" s="61" t="inlineStr">
        <is>
          <t>产出数据量</t>
        </is>
      </c>
      <c r="J1" s="62" t="inlineStr">
        <is>
          <t>欠缺数据量(G)</t>
        </is>
      </c>
      <c r="K1" s="63" t="inlineStr">
        <is>
          <t>数据量补测率</t>
        </is>
      </c>
      <c r="L1" s="67" t="inlineStr">
        <is>
          <t>客户单位</t>
        </is>
      </c>
      <c r="M1" s="58" t="inlineStr">
        <is>
          <t>单lane产出(G)</t>
        </is>
      </c>
      <c r="N1" s="58" t="inlineStr">
        <is>
          <t>调整比例</t>
        </is>
      </c>
      <c r="O1" s="63" t="inlineStr">
        <is>
          <t>扩增效率</t>
        </is>
      </c>
      <c r="P1" s="63" t="inlineStr">
        <is>
          <t>稀释加样人员</t>
        </is>
      </c>
      <c r="Q1" s="58" t="inlineStr">
        <is>
          <t>lane操作人员</t>
        </is>
      </c>
      <c r="R1" s="58" t="inlineStr">
        <is>
          <t>操作人员</t>
        </is>
      </c>
      <c r="S1" s="84" t="n"/>
      <c r="T1" s="84" t="n"/>
      <c r="U1" s="84" t="n"/>
      <c r="V1" s="54" t="n"/>
      <c r="W1" s="84" t="n"/>
      <c r="X1" s="84" t="n"/>
      <c r="Y1" s="84" t="n"/>
      <c r="Z1" s="84" t="n"/>
      <c r="AA1" s="85" t="n"/>
      <c r="AB1" s="85" t="n"/>
      <c r="AC1" s="85" t="n"/>
      <c r="AD1" s="85" t="n"/>
      <c r="AE1" s="85" t="n"/>
      <c r="AF1" s="85" t="n"/>
      <c r="AG1" s="85" t="n"/>
      <c r="AH1" s="85" t="n"/>
      <c r="AI1" s="85" t="n"/>
      <c r="AJ1" s="85" t="n"/>
      <c r="AK1" s="85" t="n"/>
      <c r="AL1" s="85" t="n"/>
      <c r="AM1" s="85" t="n"/>
      <c r="AN1" s="85" t="n"/>
      <c r="AO1" s="85" t="n"/>
      <c r="AP1" s="85" t="n"/>
      <c r="AQ1" s="85" t="n"/>
      <c r="AR1" s="85" t="n"/>
      <c r="AS1" s="85" t="n"/>
      <c r="AT1" s="85" t="n"/>
      <c r="AU1" s="85" t="n"/>
      <c r="AV1" s="85" t="n"/>
      <c r="AW1" s="85" t="n"/>
      <c r="AX1" s="85" t="n"/>
      <c r="AY1" s="85" t="n"/>
      <c r="AZ1" s="85" t="n"/>
      <c r="BA1" s="85" t="n"/>
      <c r="BB1" s="85" t="n"/>
      <c r="BC1" s="85" t="n"/>
      <c r="BD1" s="85" t="n"/>
      <c r="BE1" s="85" t="n"/>
      <c r="BF1" s="85" t="n"/>
      <c r="BG1" s="85" t="n"/>
      <c r="BH1" s="85" t="n"/>
      <c r="BI1" s="85" t="n"/>
      <c r="BJ1" s="85" t="n"/>
      <c r="BK1" s="85" t="n"/>
      <c r="BL1" s="85" t="n"/>
      <c r="BM1" s="85" t="n"/>
      <c r="BN1" s="85" t="n"/>
      <c r="BO1" s="85" t="n"/>
      <c r="BP1" s="85" t="n"/>
      <c r="BQ1" s="85" t="n"/>
      <c r="BR1" s="85" t="n"/>
      <c r="BS1" s="85" t="n"/>
      <c r="BT1" s="85" t="n"/>
      <c r="BU1" s="85" t="n"/>
      <c r="BV1" s="85" t="n"/>
      <c r="BW1" s="85" t="n"/>
      <c r="BX1" s="85" t="n"/>
      <c r="BY1" s="85" t="n"/>
      <c r="BZ1" s="85" t="n"/>
      <c r="CA1" s="85" t="n"/>
      <c r="CB1" s="85" t="n"/>
      <c r="CC1" s="85" t="n"/>
      <c r="CD1" s="85" t="n"/>
      <c r="CE1" s="85" t="n"/>
      <c r="CF1" s="85" t="n"/>
      <c r="CG1" s="85" t="n"/>
    </row>
    <row r="2" ht="30" customHeight="1" s="36">
      <c r="A2" s="118" t="inlineStr">
        <is>
          <t>2026/08/07</t>
        </is>
      </c>
      <c r="B2" s="118" t="inlineStr">
        <is>
          <t>P1-53.334</t>
        </is>
      </c>
      <c r="C2" s="118" t="n"/>
      <c r="D2" s="118" t="n">
        <v>2</v>
      </c>
      <c r="E2" s="127" t="n"/>
      <c r="F2" s="118" t="inlineStr">
        <is>
          <t>10x5′单细胞免疫组库</t>
        </is>
      </c>
      <c r="G2" s="127" t="n">
        <v>53.334</v>
      </c>
      <c r="H2" s="118" t="inlineStr">
        <is>
          <t>P1</t>
        </is>
      </c>
      <c r="I2" s="130" t="n"/>
      <c r="J2" s="127">
        <f>I2-G2</f>
        <v/>
      </c>
      <c r="K2" s="131">
        <f>J2/G2</f>
        <v/>
      </c>
      <c r="L2" s="118" t="inlineStr">
        <is>
          <t>四川欣莱科生物科技有限公司</t>
        </is>
      </c>
      <c r="M2" s="132" t="n"/>
      <c r="N2" s="132" t="n"/>
      <c r="O2" s="132" t="n"/>
      <c r="P2" s="132" t="n"/>
      <c r="Q2" s="132" t="n"/>
      <c r="R2" s="132" t="n"/>
      <c r="S2" s="126" t="n"/>
    </row>
    <row r="3" ht="30" customHeight="1" s="36">
      <c r="A3" s="118" t="inlineStr">
        <is>
          <t>2026/08/07</t>
        </is>
      </c>
      <c r="B3" s="118" t="inlineStr">
        <is>
          <t>P1-173.332</t>
        </is>
      </c>
      <c r="C3" s="118" t="n"/>
      <c r="D3" s="118" t="n">
        <v>6</v>
      </c>
      <c r="E3" s="127" t="n"/>
      <c r="F3" s="118" t="inlineStr">
        <is>
          <t>10x5′单细胞免疫组库</t>
        </is>
      </c>
      <c r="G3" s="127" t="n">
        <v>173.332</v>
      </c>
      <c r="H3" s="121" t="n"/>
      <c r="I3" s="130" t="n"/>
      <c r="J3" s="127">
        <f>I3-G3</f>
        <v/>
      </c>
      <c r="K3" s="131">
        <f>J3/G3</f>
        <v/>
      </c>
      <c r="L3" s="118" t="inlineStr">
        <is>
          <t>广州承启生物科技有限公司</t>
        </is>
      </c>
      <c r="M3" s="132" t="n"/>
      <c r="N3" s="132" t="n"/>
      <c r="O3" s="132" t="n"/>
      <c r="P3" s="132" t="n"/>
      <c r="Q3" s="133" t="n"/>
      <c r="R3" s="132" t="n"/>
      <c r="S3" s="126" t="n"/>
    </row>
    <row r="4" ht="30" customHeight="1" s="36">
      <c r="A4" s="118" t="inlineStr">
        <is>
          <t>2026/08/07</t>
        </is>
      </c>
      <c r="B4" s="118" t="inlineStr">
        <is>
          <t>P1-16.667</t>
        </is>
      </c>
      <c r="C4" s="118" t="n"/>
      <c r="D4" s="118" t="n">
        <v>3</v>
      </c>
      <c r="E4" s="127" t="n"/>
      <c r="F4" s="118" t="inlineStr">
        <is>
          <t>10x5′单细胞免疫组库</t>
        </is>
      </c>
      <c r="G4" s="127" t="n">
        <v>16.667</v>
      </c>
      <c r="H4" s="121" t="n"/>
      <c r="I4" s="130" t="n"/>
      <c r="J4" s="127">
        <f>I4-G4</f>
        <v/>
      </c>
      <c r="K4" s="131">
        <f>J4/G4</f>
        <v/>
      </c>
      <c r="L4" s="118" t="inlineStr">
        <is>
          <t>广州承启生物科技有限公司</t>
        </is>
      </c>
      <c r="M4" s="132" t="n"/>
      <c r="N4" s="132" t="n"/>
      <c r="O4" s="132" t="n"/>
      <c r="P4" s="132" t="n"/>
      <c r="Q4" s="133" t="n"/>
      <c r="R4" s="132" t="n"/>
      <c r="S4" s="126" t="n"/>
    </row>
    <row r="5" ht="30" customHeight="1" s="36">
      <c r="A5" s="118" t="inlineStr">
        <is>
          <t>2026/08/07</t>
        </is>
      </c>
      <c r="B5" s="118" t="inlineStr">
        <is>
          <t>P1-6.666</t>
        </is>
      </c>
      <c r="C5" s="118" t="n"/>
      <c r="D5" s="118" t="n">
        <v>2</v>
      </c>
      <c r="E5" s="127" t="n"/>
      <c r="F5" s="118" t="inlineStr">
        <is>
          <t>10x5′单细胞免疫组库</t>
        </is>
      </c>
      <c r="G5" s="127" t="n">
        <v>6.666</v>
      </c>
      <c r="H5" s="123" t="n"/>
      <c r="I5" s="130" t="n"/>
      <c r="J5" s="127">
        <f>I5-G5</f>
        <v/>
      </c>
      <c r="K5" s="131">
        <f>J5/G5</f>
        <v/>
      </c>
      <c r="L5" s="118" t="inlineStr">
        <is>
          <t>武汉迈维代谢生物科技股份有限公司</t>
        </is>
      </c>
      <c r="M5" s="132" t="n"/>
      <c r="N5" s="132" t="n"/>
      <c r="O5" s="132" t="n"/>
      <c r="P5" s="132" t="n"/>
      <c r="Q5" s="133" t="n"/>
      <c r="R5" s="132" t="n"/>
      <c r="S5" s="126" t="n"/>
    </row>
    <row r="6" ht="30" customHeight="1" s="36">
      <c r="A6" s="118" t="inlineStr">
        <is>
          <t>2026/08/07</t>
        </is>
      </c>
      <c r="B6" s="118" t="inlineStr">
        <is>
          <t>HGC-Lib-26099231</t>
        </is>
      </c>
      <c r="C6" s="118" t="n"/>
      <c r="D6" s="118" t="n">
        <v>1</v>
      </c>
      <c r="E6" s="127" t="n"/>
      <c r="F6" s="118" t="inlineStr">
        <is>
          <t>10x5′单细胞免疫组库</t>
        </is>
      </c>
      <c r="G6" s="127" t="n">
        <v>33.333</v>
      </c>
      <c r="H6" s="118" t="inlineStr">
        <is>
          <t>P3</t>
        </is>
      </c>
      <c r="I6" s="130" t="n"/>
      <c r="J6" s="127">
        <f>I6-G6</f>
        <v/>
      </c>
      <c r="K6" s="131">
        <f>J6/G6</f>
        <v/>
      </c>
      <c r="L6" s="118" t="inlineStr">
        <is>
          <t>武汉迈维代谢生物科技股份有限公司</t>
        </is>
      </c>
      <c r="M6" s="132" t="n"/>
      <c r="N6" s="132" t="n"/>
      <c r="O6" s="132" t="n"/>
      <c r="P6" s="132" t="n"/>
      <c r="Q6" s="133" t="n"/>
      <c r="R6" s="132" t="n"/>
      <c r="S6" s="126" t="n"/>
    </row>
    <row r="7" ht="30" customHeight="1" s="36">
      <c r="A7" s="118" t="inlineStr">
        <is>
          <t>2026/08/07</t>
        </is>
      </c>
      <c r="B7" s="118" t="inlineStr">
        <is>
          <t>P2-53.334</t>
        </is>
      </c>
      <c r="C7" s="118" t="n"/>
      <c r="D7" s="118" t="n">
        <v>2</v>
      </c>
      <c r="E7" s="127" t="n"/>
      <c r="F7" s="118" t="inlineStr">
        <is>
          <t>10x5′单细胞免疫组库</t>
        </is>
      </c>
      <c r="G7" s="127" t="n">
        <v>53.334</v>
      </c>
      <c r="H7" s="118" t="inlineStr">
        <is>
          <t>P2</t>
        </is>
      </c>
      <c r="I7" s="130" t="n"/>
      <c r="J7" s="127">
        <f>I7-G7</f>
        <v/>
      </c>
      <c r="K7" s="131">
        <f>J7/G7</f>
        <v/>
      </c>
      <c r="L7" s="118" t="inlineStr">
        <is>
          <t>四川欣莱科生物科技有限公司</t>
        </is>
      </c>
      <c r="M7" s="132" t="n"/>
      <c r="N7" s="132" t="n"/>
      <c r="O7" s="132" t="n"/>
      <c r="P7" s="132" t="n"/>
      <c r="Q7" s="133" t="n"/>
      <c r="R7" s="132" t="n"/>
      <c r="S7" s="126" t="n"/>
    </row>
    <row r="8" ht="30" customHeight="1" s="36">
      <c r="A8" s="118" t="inlineStr">
        <is>
          <t>2026/08/07</t>
        </is>
      </c>
      <c r="B8" s="118" t="inlineStr">
        <is>
          <t>P2-173.332</t>
        </is>
      </c>
      <c r="C8" s="118" t="n"/>
      <c r="D8" s="118" t="n">
        <v>6</v>
      </c>
      <c r="E8" s="127" t="n"/>
      <c r="F8" s="118" t="inlineStr">
        <is>
          <t>10x5′单细胞免疫组库</t>
        </is>
      </c>
      <c r="G8" s="127" t="n">
        <v>173.332</v>
      </c>
      <c r="H8" s="121" t="n"/>
      <c r="I8" s="130" t="n"/>
      <c r="J8" s="127">
        <f>I8-G8</f>
        <v/>
      </c>
      <c r="K8" s="131">
        <f>J8/G8</f>
        <v/>
      </c>
      <c r="L8" s="118" t="inlineStr">
        <is>
          <t>广州承启生物科技有限公司</t>
        </is>
      </c>
      <c r="M8" s="132" t="n"/>
      <c r="N8" s="132" t="n"/>
      <c r="O8" s="132" t="n"/>
      <c r="P8" s="132" t="n"/>
      <c r="Q8" s="133" t="n"/>
      <c r="R8" s="132" t="n"/>
      <c r="S8" s="126" t="n"/>
    </row>
    <row r="9" ht="30" customHeight="1" s="36">
      <c r="A9" s="118" t="inlineStr">
        <is>
          <t>2026/08/07</t>
        </is>
      </c>
      <c r="B9" s="118" t="inlineStr">
        <is>
          <t>P2-16.667</t>
        </is>
      </c>
      <c r="C9" s="118" t="n"/>
      <c r="D9" s="118" t="n">
        <v>3</v>
      </c>
      <c r="E9" s="127" t="n"/>
      <c r="F9" s="118" t="inlineStr">
        <is>
          <t>10x5′单细胞免疫组库</t>
        </is>
      </c>
      <c r="G9" s="127" t="n">
        <v>16.667</v>
      </c>
      <c r="H9" s="121" t="n"/>
      <c r="I9" s="130" t="n"/>
      <c r="J9" s="127">
        <f>I9-G9</f>
        <v/>
      </c>
      <c r="K9" s="131">
        <f>J9/G9</f>
        <v/>
      </c>
      <c r="L9" s="118" t="inlineStr">
        <is>
          <t>广州承启生物科技有限公司</t>
        </is>
      </c>
      <c r="M9" s="132" t="n"/>
      <c r="N9" s="132" t="n"/>
      <c r="O9" s="132" t="n"/>
      <c r="P9" s="132" t="n"/>
      <c r="Q9" s="133" t="n"/>
      <c r="R9" s="132" t="n"/>
      <c r="S9" s="126" t="n"/>
    </row>
    <row r="10" ht="30" customHeight="1" s="36">
      <c r="A10" s="118" t="inlineStr">
        <is>
          <t>2026/08/07</t>
        </is>
      </c>
      <c r="B10" s="118" t="inlineStr">
        <is>
          <t>P2-6.666</t>
        </is>
      </c>
      <c r="C10" s="118" t="n"/>
      <c r="D10" s="118" t="n">
        <v>2</v>
      </c>
      <c r="E10" s="127" t="n"/>
      <c r="F10" s="118" t="inlineStr">
        <is>
          <t>10x5′单细胞免疫组库</t>
        </is>
      </c>
      <c r="G10" s="127" t="n">
        <v>6.666</v>
      </c>
      <c r="H10" s="123" t="n"/>
      <c r="I10" s="130" t="n"/>
      <c r="J10" s="127">
        <f>I10-G10</f>
        <v/>
      </c>
      <c r="K10" s="131">
        <f>J10/G10</f>
        <v/>
      </c>
      <c r="L10" s="118" t="inlineStr">
        <is>
          <t>武汉迈维代谢生物科技股份有限公司</t>
        </is>
      </c>
      <c r="M10" s="132" t="n"/>
      <c r="N10" s="132" t="n"/>
      <c r="O10" s="132" t="n"/>
      <c r="P10" s="132" t="n"/>
      <c r="Q10" s="133" t="n"/>
      <c r="R10" s="132" t="n"/>
      <c r="S10" s="126" t="n"/>
    </row>
    <row r="11" ht="30" customHeight="1" s="36">
      <c r="A11" s="118" t="inlineStr">
        <is>
          <t>2026/08/07</t>
        </is>
      </c>
      <c r="B11" s="118" t="inlineStr">
        <is>
          <t>HGC-Lib-26099231</t>
        </is>
      </c>
      <c r="C11" s="118" t="n"/>
      <c r="D11" s="118" t="n">
        <v>1</v>
      </c>
      <c r="E11" s="127" t="n"/>
      <c r="F11" s="118" t="inlineStr">
        <is>
          <t>10x5′单细胞免疫组库</t>
        </is>
      </c>
      <c r="G11" s="127" t="n">
        <v>33.333</v>
      </c>
      <c r="H11" s="118" t="inlineStr">
        <is>
          <t>P3</t>
        </is>
      </c>
      <c r="I11" s="130" t="n"/>
      <c r="J11" s="127">
        <f>I11-G11</f>
        <v/>
      </c>
      <c r="K11" s="131">
        <f>J11/G11</f>
        <v/>
      </c>
      <c r="L11" s="118" t="inlineStr">
        <is>
          <t>武汉迈维代谢生物科技股份有限公司</t>
        </is>
      </c>
      <c r="M11" s="132" t="n"/>
      <c r="N11" s="132" t="n"/>
      <c r="O11" s="132" t="n"/>
      <c r="P11" s="132" t="n"/>
      <c r="Q11" s="133" t="n"/>
      <c r="R11" s="132" t="n"/>
      <c r="S11" s="126" t="n"/>
    </row>
    <row r="12" ht="30" customHeight="1" s="36">
      <c r="A12" s="118" t="inlineStr">
        <is>
          <t>2026/08/07</t>
        </is>
      </c>
      <c r="B12" s="118" t="inlineStr">
        <is>
          <t>P3-53.334</t>
        </is>
      </c>
      <c r="C12" s="118" t="n"/>
      <c r="D12" s="118" t="n">
        <v>2</v>
      </c>
      <c r="E12" s="127" t="n"/>
      <c r="F12" s="118" t="inlineStr">
        <is>
          <t>10x5′单细胞免疫组库</t>
        </is>
      </c>
      <c r="G12" s="127" t="n">
        <v>53.334</v>
      </c>
      <c r="H12" s="121" t="n"/>
      <c r="I12" s="130" t="n"/>
      <c r="J12" s="127">
        <f>I12-G12</f>
        <v/>
      </c>
      <c r="K12" s="131">
        <f>J12/G12</f>
        <v/>
      </c>
      <c r="L12" s="118" t="inlineStr">
        <is>
          <t>四川欣莱科生物科技有限公司</t>
        </is>
      </c>
      <c r="M12" s="132" t="n"/>
      <c r="N12" s="132" t="n"/>
      <c r="O12" s="132" t="n"/>
      <c r="P12" s="132" t="n"/>
      <c r="Q12" s="133" t="n"/>
      <c r="R12" s="132" t="n"/>
      <c r="S12" s="126" t="n"/>
    </row>
    <row r="13" ht="30" customHeight="1" s="36">
      <c r="A13" s="118" t="inlineStr">
        <is>
          <t>2026/08/07</t>
        </is>
      </c>
      <c r="B13" s="118" t="inlineStr">
        <is>
          <t>P3-173.332</t>
        </is>
      </c>
      <c r="C13" s="118" t="n"/>
      <c r="D13" s="118" t="n">
        <v>6</v>
      </c>
      <c r="E13" s="127" t="n"/>
      <c r="F13" s="118" t="inlineStr">
        <is>
          <t>10x5′单细胞免疫组库</t>
        </is>
      </c>
      <c r="G13" s="127" t="n">
        <v>173.332</v>
      </c>
      <c r="H13" s="121" t="n"/>
      <c r="I13" s="130" t="n"/>
      <c r="J13" s="127">
        <f>I13-G13</f>
        <v/>
      </c>
      <c r="K13" s="131">
        <f>J13/G13</f>
        <v/>
      </c>
      <c r="L13" s="118" t="inlineStr">
        <is>
          <t>广州承启生物科技有限公司</t>
        </is>
      </c>
      <c r="M13" s="132" t="n"/>
      <c r="N13" s="132" t="n"/>
      <c r="O13" s="132" t="n"/>
      <c r="P13" s="132" t="n"/>
      <c r="Q13" s="133" t="n"/>
      <c r="R13" s="132" t="n"/>
      <c r="S13" s="126" t="n"/>
    </row>
    <row r="14" ht="30" customHeight="1" s="36">
      <c r="A14" s="118" t="inlineStr">
        <is>
          <t>2026/08/07</t>
        </is>
      </c>
      <c r="B14" s="118" t="inlineStr">
        <is>
          <t>P3-16.667</t>
        </is>
      </c>
      <c r="C14" s="118" t="n"/>
      <c r="D14" s="118" t="n">
        <v>3</v>
      </c>
      <c r="E14" s="127" t="n"/>
      <c r="F14" s="118" t="inlineStr">
        <is>
          <t>10x5′单细胞免疫组库</t>
        </is>
      </c>
      <c r="G14" s="127" t="n">
        <v>16.667</v>
      </c>
      <c r="H14" s="121" t="n"/>
      <c r="I14" s="130" t="n"/>
      <c r="J14" s="127">
        <f>I14-G14</f>
        <v/>
      </c>
      <c r="K14" s="131">
        <f>J14/G14</f>
        <v/>
      </c>
      <c r="L14" s="118" t="inlineStr">
        <is>
          <t>广州承启生物科技有限公司</t>
        </is>
      </c>
      <c r="M14" s="132" t="n"/>
      <c r="N14" s="132" t="n"/>
      <c r="O14" s="132" t="n"/>
      <c r="P14" s="132" t="n"/>
      <c r="Q14" s="133" t="n"/>
      <c r="R14" s="132" t="n"/>
      <c r="S14" s="126" t="n"/>
    </row>
    <row r="15" ht="30" customHeight="1" s="36">
      <c r="A15" s="118" t="inlineStr">
        <is>
          <t>2026/08/07</t>
        </is>
      </c>
      <c r="B15" s="118" t="inlineStr">
        <is>
          <t>P3-6.666</t>
        </is>
      </c>
      <c r="C15" s="118" t="n"/>
      <c r="D15" s="118" t="n">
        <v>2</v>
      </c>
      <c r="E15" s="127" t="n"/>
      <c r="F15" s="118" t="inlineStr">
        <is>
          <t>10x5′单细胞免疫组库</t>
        </is>
      </c>
      <c r="G15" s="127" t="n">
        <v>6.666</v>
      </c>
      <c r="H15" s="121" t="n"/>
      <c r="I15" s="130" t="n"/>
      <c r="J15" s="127">
        <f>I15-G15</f>
        <v/>
      </c>
      <c r="K15" s="131">
        <f>J15/G15</f>
        <v/>
      </c>
      <c r="L15" s="118" t="inlineStr">
        <is>
          <t>武汉迈维代谢生物科技股份有限公司</t>
        </is>
      </c>
      <c r="M15" s="132" t="n"/>
      <c r="N15" s="132" t="n"/>
      <c r="O15" s="132" t="n"/>
      <c r="P15" s="132" t="n"/>
      <c r="Q15" s="133" t="n"/>
      <c r="R15" s="132" t="n"/>
      <c r="S15" s="126" t="n"/>
    </row>
    <row r="16" ht="30" customHeight="1" s="36">
      <c r="A16" s="118" t="inlineStr">
        <is>
          <t>2026/08/07</t>
        </is>
      </c>
      <c r="B16" s="118" t="inlineStr">
        <is>
          <t>HGC-Lib-26099231</t>
        </is>
      </c>
      <c r="C16" s="118" t="n"/>
      <c r="D16" s="118" t="n">
        <v>1</v>
      </c>
      <c r="E16" s="127" t="n"/>
      <c r="F16" s="118" t="inlineStr">
        <is>
          <t>10x5′单细胞免疫组库</t>
        </is>
      </c>
      <c r="G16" s="127" t="n">
        <v>33.333</v>
      </c>
      <c r="H16" s="123" t="n"/>
      <c r="I16" s="130" t="n"/>
      <c r="J16" s="127">
        <f>I16-G16</f>
        <v/>
      </c>
      <c r="K16" s="131">
        <f>J16/G16</f>
        <v/>
      </c>
      <c r="L16" s="118" t="inlineStr">
        <is>
          <t>武汉迈维代谢生物科技股份有限公司</t>
        </is>
      </c>
      <c r="M16" s="132" t="n"/>
      <c r="N16" s="132" t="n"/>
      <c r="O16" s="132" t="n"/>
      <c r="P16" s="132" t="n"/>
      <c r="Q16" s="133" t="n"/>
      <c r="R16" s="132" t="n"/>
      <c r="S16" s="126" t="n"/>
    </row>
    <row r="17" ht="30" customHeight="1" s="36">
      <c r="A17" s="118" t="inlineStr">
        <is>
          <t>2026/08/07</t>
        </is>
      </c>
      <c r="B17" s="118" t="inlineStr">
        <is>
          <t>P4-5.867</t>
        </is>
      </c>
      <c r="C17" s="118" t="n"/>
      <c r="D17" s="118" t="n">
        <v>5</v>
      </c>
      <c r="E17" s="127" t="n"/>
      <c r="F17" s="118" t="inlineStr">
        <is>
          <t>WGS</t>
        </is>
      </c>
      <c r="G17" s="127" t="n">
        <v>5.867</v>
      </c>
      <c r="H17" s="118" t="inlineStr">
        <is>
          <t>P4</t>
        </is>
      </c>
      <c r="I17" s="130" t="n"/>
      <c r="J17" s="127">
        <f>I17-G17</f>
        <v/>
      </c>
      <c r="K17" s="131">
        <f>J17/G17</f>
        <v/>
      </c>
      <c r="L17" s="118" t="inlineStr">
        <is>
          <t>北京百迈客生物科技有限公司</t>
        </is>
      </c>
      <c r="M17" s="132" t="n"/>
      <c r="N17" s="132" t="n"/>
      <c r="O17" s="132" t="n"/>
      <c r="P17" s="132" t="n"/>
      <c r="Q17" s="133" t="n"/>
      <c r="R17" s="132" t="n"/>
      <c r="S17" s="126" t="n"/>
    </row>
    <row r="18" ht="30" customHeight="1" s="36">
      <c r="A18" s="118" t="inlineStr">
        <is>
          <t>2026/08/07</t>
        </is>
      </c>
      <c r="B18" s="118" t="inlineStr">
        <is>
          <t>HGC-Lib-26099715</t>
        </is>
      </c>
      <c r="C18" s="118" t="n"/>
      <c r="D18" s="118" t="n">
        <v>1</v>
      </c>
      <c r="E18" s="127" t="n"/>
      <c r="F18" s="118" t="inlineStr">
        <is>
          <t>10x5′单细胞免疫组库</t>
        </is>
      </c>
      <c r="G18" s="127" t="n">
        <v>80</v>
      </c>
      <c r="H18" s="121" t="n"/>
      <c r="I18" s="130" t="n"/>
      <c r="J18" s="127">
        <f>I18-G18</f>
        <v/>
      </c>
      <c r="K18" s="131">
        <f>J18/G18</f>
        <v/>
      </c>
      <c r="L18" s="118" t="inlineStr">
        <is>
          <t>四川欣莱科生物科技有限公司</t>
        </is>
      </c>
      <c r="M18" s="132" t="n"/>
      <c r="N18" s="132" t="n"/>
      <c r="O18" s="132" t="n"/>
      <c r="P18" s="132" t="n"/>
      <c r="Q18" s="133" t="n"/>
      <c r="R18" s="132" t="n"/>
      <c r="S18" s="126" t="n"/>
    </row>
    <row r="19" ht="30" customHeight="1" s="36">
      <c r="A19" s="118" t="inlineStr">
        <is>
          <t>2026/08/07</t>
        </is>
      </c>
      <c r="B19" s="118" t="inlineStr">
        <is>
          <t>HGC-POOL-26097627</t>
        </is>
      </c>
      <c r="C19" s="118" t="n"/>
      <c r="D19" s="118" t="n">
        <v>1</v>
      </c>
      <c r="E19" s="127" t="n"/>
      <c r="F19" s="118" t="inlineStr">
        <is>
          <t>GRO-seq文库</t>
        </is>
      </c>
      <c r="G19" s="127" t="n">
        <v>20</v>
      </c>
      <c r="H19" s="121" t="n"/>
      <c r="I19" s="130" t="n"/>
      <c r="J19" s="127">
        <f>I19-G19</f>
        <v/>
      </c>
      <c r="K19" s="131">
        <f>J19/G19</f>
        <v/>
      </c>
      <c r="L19" s="118" t="inlineStr">
        <is>
          <t>广州深碳科技有限公司</t>
        </is>
      </c>
      <c r="M19" s="132" t="n"/>
      <c r="N19" s="132" t="n"/>
      <c r="O19" s="132" t="n"/>
      <c r="P19" s="132" t="n"/>
      <c r="Q19" s="133" t="n"/>
      <c r="R19" s="132" t="n"/>
      <c r="S19" s="126" t="n"/>
    </row>
    <row r="20" ht="30" customHeight="1" s="36">
      <c r="A20" s="118" t="inlineStr">
        <is>
          <t>2026/08/07</t>
        </is>
      </c>
      <c r="B20" s="118" t="inlineStr">
        <is>
          <t>HGC-POOL-26100066</t>
        </is>
      </c>
      <c r="C20" s="118" t="n"/>
      <c r="D20" s="118" t="n">
        <v>1</v>
      </c>
      <c r="E20" s="127" t="n"/>
      <c r="F20" s="118" t="inlineStr">
        <is>
          <t>illumina单细胞</t>
        </is>
      </c>
      <c r="G20" s="127" t="n">
        <v>100</v>
      </c>
      <c r="H20" s="121" t="n"/>
      <c r="I20" s="130" t="n"/>
      <c r="J20" s="127">
        <f>I20-G20</f>
        <v/>
      </c>
      <c r="K20" s="131">
        <f>J20/G20</f>
        <v/>
      </c>
      <c r="L20" s="118" t="inlineStr">
        <is>
          <t>上海逆耳生物科技有限公司</t>
        </is>
      </c>
      <c r="M20" s="132" t="n"/>
      <c r="N20" s="132" t="n"/>
      <c r="O20" s="132" t="n"/>
      <c r="P20" s="132" t="n"/>
      <c r="Q20" s="133" t="n"/>
      <c r="R20" s="132" t="n"/>
      <c r="S20" s="126" t="n"/>
    </row>
    <row r="21" ht="30" customHeight="1" s="36">
      <c r="A21" s="118" t="inlineStr">
        <is>
          <t>2026/08/07</t>
        </is>
      </c>
      <c r="B21" s="118" t="inlineStr">
        <is>
          <t>260574E</t>
        </is>
      </c>
      <c r="C21" s="118" t="n"/>
      <c r="D21" s="118" t="n">
        <v>1</v>
      </c>
      <c r="E21" s="127" t="n"/>
      <c r="F21" s="118" t="inlineStr">
        <is>
          <t>SuperWES</t>
        </is>
      </c>
      <c r="G21" s="127" t="n">
        <v>80</v>
      </c>
      <c r="H21" s="121" t="n"/>
      <c r="I21" s="130" t="n"/>
      <c r="J21" s="127">
        <f>I21-G21</f>
        <v/>
      </c>
      <c r="K21" s="131">
        <f>J21/G21</f>
        <v/>
      </c>
      <c r="L21" s="118" t="inlineStr">
        <is>
          <t>中山大学肿瘤防治中心</t>
        </is>
      </c>
      <c r="M21" s="132" t="n"/>
      <c r="N21" s="132" t="n"/>
      <c r="O21" s="132" t="n"/>
      <c r="P21" s="132" t="n"/>
      <c r="Q21" s="133" t="n"/>
      <c r="R21" s="132" t="n"/>
      <c r="S21" s="126" t="n"/>
    </row>
    <row r="22" ht="30" customHeight="1" s="36">
      <c r="A22" s="118" t="inlineStr">
        <is>
          <t>2026/08/07</t>
        </is>
      </c>
      <c r="B22" s="118" t="inlineStr">
        <is>
          <t>HGC-26095264</t>
        </is>
      </c>
      <c r="C22" s="118" t="n"/>
      <c r="D22" s="118" t="n">
        <v>1</v>
      </c>
      <c r="E22" s="127" t="n"/>
      <c r="F22" s="118" t="inlineStr">
        <is>
          <t>WGS</t>
        </is>
      </c>
      <c r="G22" s="127" t="n">
        <v>2.43</v>
      </c>
      <c r="H22" s="121" t="n"/>
      <c r="I22" s="130" t="n"/>
      <c r="J22" s="127">
        <f>I22-G22</f>
        <v/>
      </c>
      <c r="K22" s="131">
        <f>J22/G22</f>
        <v/>
      </c>
      <c r="L22" s="118" t="inlineStr">
        <is>
          <t>北京百迈客生物科技有限公司</t>
        </is>
      </c>
      <c r="M22" s="132" t="n"/>
      <c r="N22" s="132" t="n"/>
      <c r="O22" s="132" t="n"/>
      <c r="P22" s="132" t="n"/>
      <c r="Q22" s="133" t="n"/>
      <c r="R22" s="132" t="n"/>
      <c r="S22" s="126" t="n"/>
    </row>
    <row r="23" ht="30" customHeight="1" s="36">
      <c r="A23" s="118" t="inlineStr">
        <is>
          <t>2026/08/07</t>
        </is>
      </c>
      <c r="B23" s="118" t="inlineStr">
        <is>
          <t>HGC-26095266</t>
        </is>
      </c>
      <c r="C23" s="118" t="n"/>
      <c r="D23" s="118" t="n">
        <v>1</v>
      </c>
      <c r="E23" s="127" t="n"/>
      <c r="F23" s="118" t="inlineStr">
        <is>
          <t>WGS</t>
        </is>
      </c>
      <c r="G23" s="127" t="n">
        <v>2.143</v>
      </c>
      <c r="H23" s="123" t="n"/>
      <c r="I23" s="130" t="n"/>
      <c r="J23" s="127">
        <f>I23-G23</f>
        <v/>
      </c>
      <c r="K23" s="131">
        <f>J23/G23</f>
        <v/>
      </c>
      <c r="L23" s="118" t="inlineStr">
        <is>
          <t>北京百迈客生物科技有限公司</t>
        </is>
      </c>
      <c r="M23" s="132" t="n"/>
      <c r="N23" s="132" t="n"/>
      <c r="O23" s="132" t="n"/>
      <c r="P23" s="132" t="n"/>
      <c r="Q23" s="133" t="n"/>
      <c r="R23" s="132" t="n"/>
      <c r="S23" s="126" t="n"/>
    </row>
    <row r="24" ht="30" customHeight="1" s="36">
      <c r="A24" s="118" t="inlineStr">
        <is>
          <t>2026/08/07</t>
        </is>
      </c>
      <c r="B24" s="118" t="inlineStr">
        <is>
          <t>S1-300</t>
        </is>
      </c>
      <c r="C24" s="118" t="n"/>
      <c r="D24" s="118" t="n">
        <v>12</v>
      </c>
      <c r="E24" s="127" t="n"/>
      <c r="F24" s="118" t="inlineStr">
        <is>
          <t>10x3′单细胞转录组</t>
        </is>
      </c>
      <c r="G24" s="127" t="n">
        <v>300</v>
      </c>
      <c r="H24" s="118" t="inlineStr">
        <is>
          <t>S1</t>
        </is>
      </c>
      <c r="I24" s="130" t="n"/>
      <c r="J24" s="127">
        <f>I24-G24</f>
        <v/>
      </c>
      <c r="K24" s="131">
        <f>J24/G24</f>
        <v/>
      </c>
      <c r="L24" s="118" t="inlineStr">
        <is>
          <t>广州承启生物科技有限公司</t>
        </is>
      </c>
      <c r="M24" s="132" t="n"/>
      <c r="N24" s="132" t="n"/>
      <c r="O24" s="132" t="n"/>
      <c r="P24" s="132" t="n"/>
      <c r="Q24" s="133" t="n"/>
      <c r="R24" s="132" t="n"/>
      <c r="S24" s="126" t="n"/>
    </row>
    <row r="25" ht="30" customHeight="1" s="36">
      <c r="A25" s="118" t="inlineStr">
        <is>
          <t>2026/08/07</t>
        </is>
      </c>
      <c r="B25" s="118" t="inlineStr">
        <is>
          <t>S2-300</t>
        </is>
      </c>
      <c r="C25" s="118" t="n"/>
      <c r="D25" s="118" t="n">
        <v>12</v>
      </c>
      <c r="E25" s="127" t="n"/>
      <c r="F25" s="118" t="inlineStr">
        <is>
          <t>10x3′单细胞转录组</t>
        </is>
      </c>
      <c r="G25" s="127" t="n">
        <v>300</v>
      </c>
      <c r="H25" s="118" t="inlineStr">
        <is>
          <t>S2</t>
        </is>
      </c>
      <c r="I25" s="130" t="n"/>
      <c r="J25" s="127">
        <f>I25-G25</f>
        <v/>
      </c>
      <c r="K25" s="131">
        <f>J25/G25</f>
        <v/>
      </c>
      <c r="L25" s="118" t="inlineStr">
        <is>
          <t>广州承启生物科技有限公司</t>
        </is>
      </c>
      <c r="M25" s="132" t="n"/>
      <c r="N25" s="132" t="n"/>
      <c r="O25" s="132" t="n"/>
      <c r="P25" s="132" t="n"/>
      <c r="Q25" s="133" t="n"/>
      <c r="R25" s="132" t="n"/>
      <c r="S25" s="126" t="n"/>
    </row>
    <row r="26" ht="30" customHeight="1" s="36">
      <c r="A26" s="118" t="inlineStr">
        <is>
          <t>2026/08/07</t>
        </is>
      </c>
      <c r="B26" s="118" t="inlineStr">
        <is>
          <t>S3-300</t>
        </is>
      </c>
      <c r="C26" s="118" t="n"/>
      <c r="D26" s="118" t="n">
        <v>12</v>
      </c>
      <c r="E26" s="127" t="n"/>
      <c r="F26" s="118" t="inlineStr">
        <is>
          <t>10x3′单细胞转录组</t>
        </is>
      </c>
      <c r="G26" s="127" t="n">
        <v>300</v>
      </c>
      <c r="H26" s="118" t="inlineStr">
        <is>
          <t>S3</t>
        </is>
      </c>
      <c r="I26" s="130" t="n"/>
      <c r="J26" s="127">
        <f>I26-G26</f>
        <v/>
      </c>
      <c r="K26" s="131">
        <f>J26/G26</f>
        <v/>
      </c>
      <c r="L26" s="118" t="inlineStr">
        <is>
          <t>广州承启生物科技有限公司</t>
        </is>
      </c>
      <c r="M26" s="132" t="n"/>
      <c r="N26" s="132" t="n"/>
      <c r="O26" s="132" t="n"/>
      <c r="P26" s="132" t="n"/>
      <c r="Q26" s="133" t="n"/>
      <c r="R26" s="132" t="n"/>
      <c r="S26" s="126" t="n"/>
    </row>
    <row r="27" ht="30" customHeight="1" s="36">
      <c r="A27" s="118" t="inlineStr">
        <is>
          <t>2026/08/07</t>
        </is>
      </c>
      <c r="B27" s="118" t="inlineStr">
        <is>
          <t>S4-300</t>
        </is>
      </c>
      <c r="C27" s="118" t="n"/>
      <c r="D27" s="118" t="n">
        <v>12</v>
      </c>
      <c r="E27" s="127" t="n"/>
      <c r="F27" s="118" t="inlineStr">
        <is>
          <t>10x3′单细胞转录组</t>
        </is>
      </c>
      <c r="G27" s="127" t="n">
        <v>300</v>
      </c>
      <c r="H27" s="118" t="inlineStr">
        <is>
          <t>S4</t>
        </is>
      </c>
      <c r="I27" s="130" t="n"/>
      <c r="J27" s="127">
        <f>I27-G27</f>
        <v/>
      </c>
      <c r="K27" s="131">
        <f>J27/G27</f>
        <v/>
      </c>
      <c r="L27" s="118" t="inlineStr">
        <is>
          <t>广州承启生物科技有限公司</t>
        </is>
      </c>
      <c r="M27" s="132" t="n"/>
      <c r="N27" s="132" t="n"/>
      <c r="O27" s="132" t="n"/>
      <c r="P27" s="132" t="n"/>
      <c r="Q27" s="133" t="n"/>
      <c r="R27" s="132" t="n"/>
      <c r="S27" s="126" t="n"/>
    </row>
  </sheetData>
  <mergeCells count="4">
    <mergeCell ref="H17:H23"/>
    <mergeCell ref="H7:H10"/>
    <mergeCell ref="H2:H5"/>
    <mergeCell ref="H11:H16"/>
  </mergeCells>
  <conditionalFormatting sqref="A1:I1">
    <cfRule type="duplicateValues" priority="3" dxfId="0"/>
  </conditionalFormatting>
  <conditionalFormatting sqref="B1:B1048576">
    <cfRule type="duplicateValues" priority="2" dxfId="0"/>
  </conditionalFormatting>
  <conditionalFormatting sqref="J1:K1048576">
    <cfRule type="cellIs" priority="1" operator="lessThan" dxfId="0">
      <formula>0</formula>
    </cfRule>
  </conditionalFormatting>
  <pageMargins left="0.748031496062992" right="0.748031496062992" top="0.984251968503937" bottom="0.984251968503937" header="0.511811023622047" footer="0.511811023622047"/>
  <pageSetup orientation="landscape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2017-11-11T10:31:00Z</dcterms:created>
  <dcterms:modified xsi:type="dcterms:W3CDTF">2026-08-07T07:07:08Z</dcterms:modified>
  <cp:lastModifiedBy>admin</cp:lastModifiedBy>
  <cp:lastPrinted>2022-03-27T07:17:00Z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84374A1BBFC14AD78321F39BDBC6C8B6_13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