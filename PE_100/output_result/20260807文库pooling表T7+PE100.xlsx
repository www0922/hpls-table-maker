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name="C" sheetId="1" state="visible" r:id="rId1"/>
    <sheet name="D" sheetId="2" state="visible" r:id="rId2"/>
    <sheet name="T7+制备" sheetId="3" state="visible" r:id="rId3"/>
    <sheet name="下机数据统计模版" sheetId="4" state="visible" r:id="rId4"/>
    <sheet name="B1-B3" sheetId="5" state="hidden" r:id="rId5"/>
  </sheets>
  <externalReferences>
    <externalReference r:id="rId6"/>
    <externalReference r:id="rId7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[$-409]yyyy/m/d\ h:mm\ "/>
    <numFmt numFmtId="172" formatCode="_ [$¥-804]* #,##0.00_ ;_ [$¥-804]* \-#,##0.00_ ;_ [$¥-804]* &quot;-&quot;??_ ;_ @_ "/>
    <numFmt numFmtId="173" formatCode="_ [$￥-804]* #,##0.00_ ;_ [$￥-804]* \-#,##0.00_ ;_ [$￥-804]* &quot;-&quot;??_ ;_ @_ "/>
    <numFmt numFmtId="174" formatCode="0.000"/>
  </numFmts>
  <fonts count="25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0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sz val="14"/>
    </font>
    <font>
      <name val="Times New Roman"/>
      <family val="1"/>
      <b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sz val="14"/>
    </font>
    <font>
      <name val="Times New Roman"/>
      <family val="1"/>
      <sz val="20"/>
    </font>
    <font>
      <name val="Times New Roman"/>
      <family val="1"/>
      <b val="1"/>
      <sz val="18"/>
    </font>
    <font>
      <name val="Times New Roman"/>
      <family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8"/>
    </font>
    <font>
      <name val="宋体"/>
      <charset val="134"/>
      <family val="3"/>
      <sz val="12"/>
    </font>
    <font>
      <name val="Times New Roman"/>
      <family val="1"/>
      <color rgb="FF000000"/>
      <sz val="14"/>
    </font>
    <font>
      <name val="宋体"/>
      <charset val="134"/>
      <family val="3"/>
      <color rgb="FF000000"/>
      <sz val="14"/>
    </font>
    <font>
      <name val="Times New Roman"/>
      <sz val="10"/>
    </font>
  </fonts>
  <fills count="11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99CCFF"/>
        <bgColor rgb="0099CC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1">
    <xf numFmtId="0" fontId="0" fillId="0" borderId="0" applyAlignment="1">
      <alignment vertical="center"/>
    </xf>
    <xf numFmtId="9" fontId="21" fillId="0" borderId="0" applyAlignment="1">
      <alignment vertical="center"/>
    </xf>
    <xf numFmtId="0" fontId="16" fillId="0" borderId="0" applyAlignment="1">
      <alignment vertical="center"/>
    </xf>
    <xf numFmtId="171" fontId="16" fillId="0" borderId="0" applyAlignment="1">
      <alignment vertical="center"/>
    </xf>
    <xf numFmtId="172" fontId="16" fillId="0" borderId="0" applyAlignment="1">
      <alignment vertical="center"/>
    </xf>
    <xf numFmtId="173" fontId="17" fillId="0" borderId="0"/>
    <xf numFmtId="173" fontId="16" fillId="0" borderId="0" applyAlignment="1">
      <alignment vertical="center"/>
    </xf>
    <xf numFmtId="0" fontId="16" fillId="0" borderId="0"/>
    <xf numFmtId="171" fontId="16" fillId="0" borderId="0"/>
    <xf numFmtId="0" fontId="16" fillId="0" borderId="0"/>
    <xf numFmtId="0" fontId="21" fillId="0" borderId="0" applyAlignment="1">
      <alignment vertical="center"/>
    </xf>
  </cellStyleXfs>
  <cellXfs count="1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1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9" fontId="1" fillId="0" borderId="0" applyAlignment="1" pivotButton="0" quotePrefix="0" xfId="1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166" fontId="7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1">
      <alignment horizontal="center" vertical="center"/>
    </xf>
    <xf numFmtId="164" fontId="9" fillId="4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168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169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8" fontId="8" fillId="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6" fontId="0" fillId="5" borderId="2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168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horizontal="center" vertical="center" wrapText="1"/>
    </xf>
    <xf numFmtId="166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165" fontId="15" fillId="2" borderId="0" applyAlignment="1" pivotButton="0" quotePrefix="0" xfId="0">
      <alignment horizontal="center" vertical="center" wrapText="1"/>
    </xf>
    <xf numFmtId="164" fontId="13" fillId="2" borderId="0" applyAlignment="1" pivotButton="0" quotePrefix="0" xfId="0">
      <alignment horizontal="center" vertical="center" wrapText="1"/>
    </xf>
    <xf numFmtId="167" fontId="15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10">
      <alignment vertical="center"/>
    </xf>
    <xf numFmtId="0" fontId="22" fillId="0" borderId="5" applyAlignment="1" pivotButton="0" quotePrefix="0" xfId="10">
      <alignment horizontal="center" vertical="center" wrapText="1"/>
    </xf>
    <xf numFmtId="0" fontId="22" fillId="0" borderId="6" applyAlignment="1" pivotButton="0" quotePrefix="0" xfId="10">
      <alignment horizontal="center" vertical="center" wrapText="1"/>
    </xf>
    <xf numFmtId="0" fontId="23" fillId="0" borderId="6" applyAlignment="1" pivotButton="0" quotePrefix="0" xfId="10">
      <alignment horizontal="center" vertical="center" wrapText="1"/>
    </xf>
    <xf numFmtId="0" fontId="23" fillId="8" borderId="6" applyAlignment="1" pivotButton="0" quotePrefix="0" xfId="10">
      <alignment horizontal="center" vertical="center" wrapText="1"/>
    </xf>
    <xf numFmtId="0" fontId="23" fillId="0" borderId="6" applyAlignment="1" pivotButton="0" quotePrefix="0" xfId="10">
      <alignment horizontal="center" vertical="center"/>
    </xf>
    <xf numFmtId="0" fontId="22" fillId="9" borderId="7" applyAlignment="1" pivotButton="0" quotePrefix="0" xfId="1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2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horizontal="center" vertical="center" wrapText="1"/>
    </xf>
    <xf numFmtId="166" fontId="15" fillId="2" borderId="0" applyAlignment="1" pivotButton="0" quotePrefix="0" xfId="0">
      <alignment horizontal="center" vertical="center" wrapText="1"/>
    </xf>
    <xf numFmtId="165" fontId="15" fillId="2" borderId="0" applyAlignment="1" pivotButton="0" quotePrefix="0" xfId="0">
      <alignment horizontal="center" vertical="center" wrapText="1"/>
    </xf>
    <xf numFmtId="164" fontId="13" fillId="2" borderId="0" applyAlignment="1" pivotButton="0" quotePrefix="0" xfId="0">
      <alignment horizontal="center" vertical="center" wrapText="1"/>
    </xf>
    <xf numFmtId="167" fontId="15" fillId="2" borderId="1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1">
      <alignment horizontal="center" vertical="center"/>
    </xf>
    <xf numFmtId="164" fontId="9" fillId="4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168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169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8" fontId="8" fillId="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6" fontId="0" fillId="5" borderId="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0" fillId="10" borderId="0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2" fontId="24" fillId="0" borderId="9" applyAlignment="1" pivotButton="0" quotePrefix="0" xfId="0">
      <alignment horizontal="center" vertical="center"/>
    </xf>
    <xf numFmtId="174" fontId="24" fillId="0" borderId="9" applyAlignment="1" pivotButton="0" quotePrefix="0" xfId="0">
      <alignment horizontal="center" vertical="center"/>
    </xf>
    <xf numFmtId="174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12" pivotButton="0" quotePrefix="0" xfId="0"/>
    <xf numFmtId="0" fontId="24" fillId="0" borderId="0" pivotButton="0" quotePrefix="0" xfId="0"/>
    <xf numFmtId="2" fontId="24" fillId="0" borderId="0" applyAlignment="1" pivotButton="0" quotePrefix="0" xfId="0">
      <alignment horizontal="center" vertical="center"/>
    </xf>
    <xf numFmtId="2" fontId="24" fillId="0" borderId="0" pivotButton="0" quotePrefix="0" xfId="0"/>
    <xf numFmtId="174" fontId="24" fillId="10" borderId="0" applyAlignment="1" pivotButton="0" quotePrefix="0" xfId="0">
      <alignment horizontal="center" vertical="center"/>
    </xf>
    <xf numFmtId="0" fontId="24" fillId="0" borderId="11" pivotButton="0" quotePrefix="0" xfId="0"/>
    <xf numFmtId="0" fontId="24" fillId="0" borderId="9" pivotButton="0" quotePrefix="0" xfId="0"/>
    <xf numFmtId="2" fontId="24" fillId="0" borderId="9" pivotButton="0" quotePrefix="0" xfId="0"/>
    <xf numFmtId="174" fontId="24" fillId="0" borderId="0" pivotButton="0" quotePrefix="0" xfId="0"/>
    <xf numFmtId="0" fontId="24" fillId="10" borderId="0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2" fontId="0" fillId="0" borderId="9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/>
    </xf>
  </cellXfs>
  <cellStyles count="11">
    <cellStyle name="常规" xfId="0" builtinId="0"/>
    <cellStyle name="百分比" xfId="1" builtinId="5"/>
    <cellStyle name="常规 10 3" xfId="2"/>
    <cellStyle name="常规 31" xfId="3"/>
    <cellStyle name="常规 156 3" xfId="4"/>
    <cellStyle name="Normal_tmc program 2003may24 (Excel 5.0)" xfId="5"/>
    <cellStyle name="常规 13" xfId="6"/>
    <cellStyle name="常规 130 3 2" xfId="7"/>
    <cellStyle name="常规 2 4 2 2" xfId="8"/>
    <cellStyle name="常规 2" xfId="9"/>
    <cellStyle name="常规 3" xfId="1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hgc\&#29983;&#29289;&#25216;&#26415;&#20013;&#24515;\&#36136;&#25511;&#19978;&#26426;&#32452;\&#22806;&#21253;&#25991;&#24211;&#36136;&#26816;&#24635;&#34920;20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hgc\&#29983;&#29289;&#25216;&#26415;&#20013;&#24515;\&#36136;&#25511;&#19978;&#26426;&#32452;\DNBSeq-T7\202501\202250117\&#27743;&#35199;Xplus&#19978;&#26426;-2024080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10月份"/>
      <sheetName val="11月份"/>
      <sheetName val="12月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 t="str">
            <v>样本编号</v>
          </cell>
          <cell r="F1" t="str">
            <v>样本名称</v>
          </cell>
          <cell r="G1" t="str">
            <v>数据量</v>
          </cell>
          <cell r="H1" t="str">
            <v>文库类型</v>
          </cell>
          <cell r="I1" t="str">
            <v>检测人</v>
          </cell>
          <cell r="J1" t="str">
            <v>浓度ng/ul</v>
          </cell>
          <cell r="K1" t="str">
            <v>平均片段</v>
          </cell>
          <cell r="L1" t="str">
            <v>检测人</v>
          </cell>
          <cell r="N1" t="str">
            <v>QubitnM</v>
          </cell>
        </row>
        <row r="2">
          <cell r="E2" t="str">
            <v>HGC-POOL-2449785</v>
          </cell>
          <cell r="F2" t="str">
            <v>H1-9YCKVNM-HUMAN-D1</v>
          </cell>
          <cell r="I2" t="str">
            <v>YHT</v>
          </cell>
          <cell r="J2">
            <v>2.1800000000000002</v>
          </cell>
          <cell r="K2">
            <v>342</v>
          </cell>
          <cell r="L2" t="str">
            <v>YHT</v>
          </cell>
          <cell r="N2">
            <v>9.8065677013045391</v>
          </cell>
        </row>
        <row r="3">
          <cell r="E3" t="str">
            <v>HGC-POOL-2449786</v>
          </cell>
          <cell r="F3" t="str">
            <v>H1-9YCKVNM-HUMAN-A1</v>
          </cell>
          <cell r="I3" t="str">
            <v>YHT</v>
          </cell>
          <cell r="J3">
            <v>3.38</v>
          </cell>
          <cell r="K3">
            <v>334</v>
          </cell>
          <cell r="L3" t="str">
            <v>YHT</v>
          </cell>
          <cell r="N3">
            <v>15.568862275449099</v>
          </cell>
        </row>
        <row r="4">
          <cell r="E4" t="str">
            <v>HGC-POOL-2449787</v>
          </cell>
          <cell r="F4" t="str">
            <v>H1-GXFPDX4-MOUSE-D1</v>
          </cell>
          <cell r="I4" t="str">
            <v>YHT</v>
          </cell>
          <cell r="J4">
            <v>1.45</v>
          </cell>
          <cell r="K4">
            <v>336</v>
          </cell>
          <cell r="L4" t="str">
            <v>YHT</v>
          </cell>
          <cell r="N4">
            <v>6.6391941391941396</v>
          </cell>
        </row>
        <row r="5">
          <cell r="E5" t="str">
            <v>HGC-POOL-2449788</v>
          </cell>
          <cell r="F5" t="str">
            <v>H1-GXFPDX4-MOUSE-A1</v>
          </cell>
          <cell r="I5" t="str">
            <v>YHT</v>
          </cell>
          <cell r="J5">
            <v>3.82</v>
          </cell>
          <cell r="K5">
            <v>329</v>
          </cell>
          <cell r="L5" t="str">
            <v>YHT</v>
          </cell>
          <cell r="N5">
            <v>17.862988075754</v>
          </cell>
        </row>
        <row r="6">
          <cell r="E6" t="str">
            <v>HGC-Lib-2449798</v>
          </cell>
          <cell r="F6" t="str">
            <v>NC</v>
          </cell>
          <cell r="I6" t="str">
            <v>YHT</v>
          </cell>
          <cell r="J6">
            <v>62.4</v>
          </cell>
          <cell r="K6">
            <v>257</v>
          </cell>
          <cell r="N6">
            <v>373.54085603112799</v>
          </cell>
        </row>
        <row r="7">
          <cell r="E7" t="str">
            <v>HGC-Lib-2449799</v>
          </cell>
          <cell r="F7" t="str">
            <v>RIG-1</v>
          </cell>
          <cell r="I7" t="str">
            <v>YHT</v>
          </cell>
          <cell r="J7">
            <v>91.4</v>
          </cell>
          <cell r="K7">
            <v>251</v>
          </cell>
          <cell r="N7">
            <v>560.22065583818596</v>
          </cell>
        </row>
        <row r="8">
          <cell r="E8" t="str">
            <v>HGC-Lib-2449800</v>
          </cell>
          <cell r="F8" t="str">
            <v>SVF6.24</v>
          </cell>
          <cell r="I8" t="str">
            <v>YHT</v>
          </cell>
          <cell r="J8">
            <v>9.6</v>
          </cell>
          <cell r="K8">
            <v>501</v>
          </cell>
          <cell r="N8">
            <v>29.4795025333948</v>
          </cell>
        </row>
        <row r="9">
          <cell r="E9" t="str">
            <v>HGC-Lib-2449801</v>
          </cell>
          <cell r="F9" t="str">
            <v>健侧6.24</v>
          </cell>
          <cell r="I9" t="str">
            <v>YHT</v>
          </cell>
          <cell r="J9">
            <v>20.2</v>
          </cell>
          <cell r="K9">
            <v>493</v>
          </cell>
          <cell r="N9">
            <v>63.036355125604601</v>
          </cell>
        </row>
        <row r="10">
          <cell r="E10" t="str">
            <v>HGC-Lib-2449802</v>
          </cell>
          <cell r="F10" t="str">
            <v>患侧6.24</v>
          </cell>
          <cell r="I10" t="str">
            <v>YHT</v>
          </cell>
          <cell r="J10">
            <v>21.2</v>
          </cell>
          <cell r="K10">
            <v>489</v>
          </cell>
          <cell r="N10">
            <v>66.698128047821299</v>
          </cell>
        </row>
        <row r="11">
          <cell r="E11" t="str">
            <v>HGC-Lib-2449803</v>
          </cell>
          <cell r="F11" t="str">
            <v>1女cfRNA</v>
          </cell>
          <cell r="I11" t="str">
            <v>YHT</v>
          </cell>
          <cell r="J11" t="str">
            <v>/</v>
          </cell>
          <cell r="K11" t="str">
            <v>/</v>
          </cell>
          <cell r="L11" t="str">
            <v>YHT</v>
          </cell>
          <cell r="N11" t="e">
            <v>#VALUE!</v>
          </cell>
        </row>
        <row r="12">
          <cell r="E12" t="str">
            <v>HGC-Lib-2449804</v>
          </cell>
          <cell r="F12" t="str">
            <v>2父cfRNA</v>
          </cell>
          <cell r="I12" t="str">
            <v>YHT</v>
          </cell>
          <cell r="J12" t="str">
            <v>/</v>
          </cell>
          <cell r="K12" t="str">
            <v>/</v>
          </cell>
          <cell r="L12" t="str">
            <v>YHT</v>
          </cell>
          <cell r="N12" t="e">
            <v>#VALUE!</v>
          </cell>
        </row>
        <row r="13">
          <cell r="E13" t="str">
            <v>HGC-Lib-2449805</v>
          </cell>
          <cell r="F13" t="str">
            <v>3母cfRNA</v>
          </cell>
          <cell r="I13" t="str">
            <v>YHT</v>
          </cell>
          <cell r="J13" t="str">
            <v>/</v>
          </cell>
          <cell r="K13" t="str">
            <v>/</v>
          </cell>
          <cell r="L13" t="str">
            <v>YHT</v>
          </cell>
          <cell r="N13" t="e">
            <v>#VALUE!</v>
          </cell>
        </row>
        <row r="14">
          <cell r="E14" t="str">
            <v>HGC-Lib-2449806</v>
          </cell>
          <cell r="F14" t="str">
            <v>4子cfRNA</v>
          </cell>
          <cell r="I14" t="str">
            <v>YHT</v>
          </cell>
          <cell r="J14" t="str">
            <v>/</v>
          </cell>
          <cell r="K14" t="str">
            <v>/</v>
          </cell>
          <cell r="L14" t="str">
            <v>YHT</v>
          </cell>
          <cell r="N14" t="e">
            <v>#VALUE!</v>
          </cell>
        </row>
        <row r="15">
          <cell r="E15" t="str">
            <v>HGC-Lib-2449807</v>
          </cell>
          <cell r="F15" t="str">
            <v>5测</v>
          </cell>
          <cell r="I15" t="str">
            <v>YHT</v>
          </cell>
          <cell r="J15" t="str">
            <v>/</v>
          </cell>
          <cell r="K15" t="str">
            <v>/</v>
          </cell>
          <cell r="L15" t="str">
            <v>YHT</v>
          </cell>
          <cell r="N15" t="e">
            <v>#VALUE!</v>
          </cell>
        </row>
        <row r="16">
          <cell r="E16" t="str">
            <v>HGC-Lib-2449808</v>
          </cell>
          <cell r="F16" t="str">
            <v>RA4号</v>
          </cell>
          <cell r="I16" t="str">
            <v>YHT</v>
          </cell>
          <cell r="J16">
            <v>1.36</v>
          </cell>
          <cell r="K16">
            <v>558</v>
          </cell>
          <cell r="L16" t="str">
            <v>YHT</v>
          </cell>
          <cell r="N16">
            <v>3.74965536255859</v>
          </cell>
        </row>
        <row r="17">
          <cell r="E17" t="str">
            <v>HGC-Lib-2449809</v>
          </cell>
          <cell r="F17" t="str">
            <v>RA6号</v>
          </cell>
          <cell r="I17" t="str">
            <v>YHT</v>
          </cell>
          <cell r="J17">
            <v>6.26</v>
          </cell>
          <cell r="K17">
            <v>565</v>
          </cell>
          <cell r="L17" t="str">
            <v>YHT</v>
          </cell>
          <cell r="N17">
            <v>17.045609257998599</v>
          </cell>
        </row>
        <row r="18">
          <cell r="E18" t="str">
            <v>HGC-Lib-2449810</v>
          </cell>
          <cell r="F18" t="str">
            <v>RA7号</v>
          </cell>
          <cell r="I18" t="str">
            <v>YHT</v>
          </cell>
          <cell r="J18">
            <v>3.6</v>
          </cell>
          <cell r="K18">
            <v>560</v>
          </cell>
          <cell r="L18" t="str">
            <v>YHT</v>
          </cell>
          <cell r="N18">
            <v>9.8901098901098905</v>
          </cell>
        </row>
        <row r="19">
          <cell r="E19" t="str">
            <v>HGC-Lib-2449811</v>
          </cell>
          <cell r="F19" t="str">
            <v>RA9号</v>
          </cell>
          <cell r="I19" t="str">
            <v>YHT</v>
          </cell>
          <cell r="J19">
            <v>6.66</v>
          </cell>
          <cell r="K19">
            <v>560</v>
          </cell>
          <cell r="L19" t="str">
            <v>YHT</v>
          </cell>
          <cell r="N19">
            <v>18.296703296703299</v>
          </cell>
        </row>
        <row r="20">
          <cell r="E20" t="str">
            <v>HGC-Lib-2449812</v>
          </cell>
          <cell r="F20" t="str">
            <v>RA10号</v>
          </cell>
          <cell r="I20" t="str">
            <v>YHT</v>
          </cell>
          <cell r="J20">
            <v>4.0599999999999996</v>
          </cell>
          <cell r="K20">
            <v>515</v>
          </cell>
          <cell r="L20" t="str">
            <v>YHT</v>
          </cell>
          <cell r="N20">
            <v>12.128454070201601</v>
          </cell>
        </row>
        <row r="21">
          <cell r="E21" t="str">
            <v>HGC-Lib-2449813</v>
          </cell>
          <cell r="F21" t="str">
            <v>正常2号</v>
          </cell>
          <cell r="I21" t="str">
            <v>YHT</v>
          </cell>
          <cell r="J21">
            <v>11.1</v>
          </cell>
          <cell r="K21">
            <v>559</v>
          </cell>
          <cell r="L21" t="str">
            <v>YHT</v>
          </cell>
          <cell r="N21">
            <v>30.5490573826889</v>
          </cell>
        </row>
        <row r="22">
          <cell r="E22" t="str">
            <v>HGC-Lib-2449814</v>
          </cell>
          <cell r="F22" t="str">
            <v>正常3号</v>
          </cell>
          <cell r="I22" t="str">
            <v>YHT</v>
          </cell>
          <cell r="J22">
            <v>7.44</v>
          </cell>
          <cell r="K22">
            <v>501</v>
          </cell>
          <cell r="L22" t="str">
            <v>YHT</v>
          </cell>
          <cell r="N22">
            <v>22.846614463380899</v>
          </cell>
        </row>
        <row r="23">
          <cell r="E23" t="str">
            <v>HGC-Lib-2449815</v>
          </cell>
          <cell r="F23" t="str">
            <v>正常4号</v>
          </cell>
          <cell r="I23" t="str">
            <v>YHT</v>
          </cell>
          <cell r="J23">
            <v>5.52</v>
          </cell>
          <cell r="K23">
            <v>522</v>
          </cell>
          <cell r="L23" t="str">
            <v>YHT</v>
          </cell>
          <cell r="N23">
            <v>16.2687886825818</v>
          </cell>
        </row>
        <row r="24">
          <cell r="E24" t="str">
            <v>HGC-Lib-2449816</v>
          </cell>
          <cell r="F24" t="str">
            <v>DES2</v>
          </cell>
          <cell r="I24" t="str">
            <v>YHT</v>
          </cell>
          <cell r="J24">
            <v>8.76</v>
          </cell>
          <cell r="K24">
            <v>591</v>
          </cell>
          <cell r="L24" t="str">
            <v>YHT</v>
          </cell>
          <cell r="N24">
            <v>22.803592346739599</v>
          </cell>
        </row>
        <row r="25">
          <cell r="E25" t="str">
            <v>HGC-Lib-2449835</v>
          </cell>
          <cell r="F25" t="str">
            <v>CB-T20-1</v>
          </cell>
          <cell r="I25" t="str">
            <v>YHT</v>
          </cell>
          <cell r="J25">
            <v>56.8</v>
          </cell>
          <cell r="K25">
            <v>424</v>
          </cell>
          <cell r="N25">
            <v>206.095791001451</v>
          </cell>
        </row>
        <row r="26">
          <cell r="E26" t="str">
            <v>HGC-Lib-2449836</v>
          </cell>
          <cell r="F26" t="str">
            <v>CB-T20-2</v>
          </cell>
          <cell r="I26" t="str">
            <v>YHT</v>
          </cell>
          <cell r="J26">
            <v>59.8</v>
          </cell>
          <cell r="K26">
            <v>427</v>
          </cell>
          <cell r="N26">
            <v>215.45667447306801</v>
          </cell>
        </row>
        <row r="27">
          <cell r="E27" t="str">
            <v>HGC-Lib-2449837</v>
          </cell>
          <cell r="F27" t="str">
            <v>12M_6N</v>
          </cell>
          <cell r="I27" t="str">
            <v>YHT</v>
          </cell>
          <cell r="J27">
            <v>29</v>
          </cell>
          <cell r="K27">
            <v>325</v>
          </cell>
          <cell r="N27">
            <v>137.27810650887599</v>
          </cell>
        </row>
        <row r="28">
          <cell r="E28" t="str">
            <v>HGC-Lib-2449838</v>
          </cell>
          <cell r="F28" t="str">
            <v>LC17-1</v>
          </cell>
          <cell r="I28" t="str">
            <v>YHT</v>
          </cell>
          <cell r="J28">
            <v>32.6</v>
          </cell>
          <cell r="K28">
            <v>343</v>
          </cell>
          <cell r="N28">
            <v>146.22112581296301</v>
          </cell>
        </row>
        <row r="29">
          <cell r="E29" t="str">
            <v>HGC-Lib-2449839</v>
          </cell>
          <cell r="F29" t="str">
            <v>LC17-2</v>
          </cell>
          <cell r="I29" t="str">
            <v>YHT</v>
          </cell>
          <cell r="J29">
            <v>7.72</v>
          </cell>
          <cell r="K29">
            <v>427</v>
          </cell>
          <cell r="N29">
            <v>27.814808142676998</v>
          </cell>
        </row>
        <row r="30">
          <cell r="E30" t="str">
            <v>HGC-Lib-2449840</v>
          </cell>
          <cell r="F30" t="str">
            <v>LC17-3</v>
          </cell>
          <cell r="I30" t="str">
            <v>YHT</v>
          </cell>
          <cell r="J30">
            <v>25.6</v>
          </cell>
          <cell r="K30">
            <v>343</v>
          </cell>
          <cell r="N30">
            <v>114.82395155864501</v>
          </cell>
        </row>
        <row r="31">
          <cell r="E31" t="str">
            <v>HGC-Lib-2449841</v>
          </cell>
          <cell r="F31" t="str">
            <v>LC17-4</v>
          </cell>
          <cell r="I31" t="str">
            <v>YHT</v>
          </cell>
          <cell r="J31">
            <v>31.6</v>
          </cell>
          <cell r="K31">
            <v>339</v>
          </cell>
          <cell r="N31">
            <v>143.40821420467401</v>
          </cell>
        </row>
        <row r="32">
          <cell r="E32" t="str">
            <v>HGC-Lib-2449842</v>
          </cell>
          <cell r="F32" t="str">
            <v>L-1</v>
          </cell>
          <cell r="I32" t="str">
            <v>YHT</v>
          </cell>
          <cell r="J32">
            <v>7.6</v>
          </cell>
          <cell r="N32" t="e">
            <v>#DIV/0!</v>
          </cell>
        </row>
        <row r="33">
          <cell r="E33" t="str">
            <v>HGC-Lib-2449843</v>
          </cell>
          <cell r="F33" t="str">
            <v>L-2</v>
          </cell>
          <cell r="I33" t="str">
            <v>YHT</v>
          </cell>
          <cell r="J33">
            <v>10.4</v>
          </cell>
          <cell r="N33" t="e">
            <v>#DIV/0!</v>
          </cell>
        </row>
        <row r="34">
          <cell r="E34" t="str">
            <v>HGC-POOL-2449848</v>
          </cell>
          <cell r="F34" t="str">
            <v>ssq_rice_20240627</v>
          </cell>
          <cell r="I34" t="str">
            <v>YHT</v>
          </cell>
          <cell r="J34">
            <v>5.92</v>
          </cell>
          <cell r="K34">
            <v>344</v>
          </cell>
          <cell r="L34" t="str">
            <v>YHT</v>
          </cell>
          <cell r="N34">
            <v>26.4758497316637</v>
          </cell>
        </row>
        <row r="35">
          <cell r="E35" t="str">
            <v>HGC-POOL-2449849</v>
          </cell>
          <cell r="F35" t="str">
            <v>T813pooling</v>
          </cell>
          <cell r="I35" t="str">
            <v>YHT</v>
          </cell>
          <cell r="J35">
            <v>1.5</v>
          </cell>
          <cell r="K35">
            <v>197</v>
          </cell>
          <cell r="L35" t="str">
            <v>HZK</v>
          </cell>
          <cell r="N35">
            <v>11.7141741507224</v>
          </cell>
        </row>
        <row r="36">
          <cell r="E36" t="str">
            <v>HGC-Lib-2449850</v>
          </cell>
          <cell r="F36" t="str">
            <v>1 HCHE165_SAN2_rep2_ATAC</v>
          </cell>
          <cell r="I36" t="str">
            <v>YHT</v>
          </cell>
          <cell r="J36">
            <v>91.4</v>
          </cell>
          <cell r="K36">
            <v>350</v>
          </cell>
          <cell r="N36">
            <v>401.75824175824198</v>
          </cell>
        </row>
        <row r="37">
          <cell r="E37" t="str">
            <v>HGC-Lib-2449851</v>
          </cell>
          <cell r="F37" t="str">
            <v>3 HE165_SAN2_rep2_ATAC</v>
          </cell>
          <cell r="I37" t="str">
            <v>YHT</v>
          </cell>
          <cell r="J37">
            <v>41</v>
          </cell>
          <cell r="K37">
            <v>293</v>
          </cell>
          <cell r="N37">
            <v>215.27960094513</v>
          </cell>
        </row>
        <row r="38">
          <cell r="E38" t="str">
            <v>HGC-Lib-2449852</v>
          </cell>
          <cell r="F38" t="str">
            <v>2 HCHE165_H3.3_rep1</v>
          </cell>
          <cell r="I38" t="str">
            <v>YHT</v>
          </cell>
          <cell r="J38">
            <v>17.5</v>
          </cell>
          <cell r="K38">
            <v>319</v>
          </cell>
          <cell r="N38">
            <v>84.3983602604292</v>
          </cell>
        </row>
        <row r="39">
          <cell r="E39" t="str">
            <v>HGC-Lib-2449853</v>
          </cell>
          <cell r="F39" t="str">
            <v>FW2024-389-2305735</v>
          </cell>
          <cell r="I39" t="str">
            <v>YHT</v>
          </cell>
          <cell r="J39">
            <v>82</v>
          </cell>
          <cell r="K39">
            <v>301</v>
          </cell>
          <cell r="N39">
            <v>419.11576795297702</v>
          </cell>
        </row>
        <row r="40">
          <cell r="E40" t="str">
            <v>HGC-Lib-2449854</v>
          </cell>
          <cell r="F40" t="str">
            <v>FWSP20240122-LGQ</v>
          </cell>
          <cell r="I40" t="str">
            <v>YHT</v>
          </cell>
          <cell r="J40">
            <v>20</v>
          </cell>
          <cell r="K40">
            <v>322</v>
          </cell>
          <cell r="N40">
            <v>95.556617295747699</v>
          </cell>
        </row>
        <row r="41">
          <cell r="E41" t="str">
            <v>HGC-Lib-2449855</v>
          </cell>
          <cell r="F41" t="str">
            <v>FW2024-636-03-B4</v>
          </cell>
          <cell r="I41" t="str">
            <v>YHT</v>
          </cell>
          <cell r="J41">
            <v>1.22</v>
          </cell>
          <cell r="K41">
            <v>434</v>
          </cell>
          <cell r="L41" t="str">
            <v>YHT</v>
          </cell>
          <cell r="N41">
            <v>4.3247075505139998</v>
          </cell>
        </row>
        <row r="42">
          <cell r="E42" t="str">
            <v>HGC-Lib-2449856</v>
          </cell>
          <cell r="F42" t="str">
            <v>FW2024-636-03-T4</v>
          </cell>
          <cell r="I42" t="str">
            <v>YHT</v>
          </cell>
          <cell r="J42">
            <v>13.1</v>
          </cell>
          <cell r="K42">
            <v>471</v>
          </cell>
          <cell r="N42">
            <v>42.789482279928102</v>
          </cell>
        </row>
        <row r="43">
          <cell r="E43" t="str">
            <v>HGC-Lib-2449857</v>
          </cell>
          <cell r="F43" t="str">
            <v>FW2024-636-03-N4</v>
          </cell>
          <cell r="I43" t="str">
            <v>YHT</v>
          </cell>
          <cell r="J43">
            <v>13.5</v>
          </cell>
          <cell r="K43">
            <v>470</v>
          </cell>
          <cell r="N43">
            <v>44.189852700491002</v>
          </cell>
        </row>
        <row r="44">
          <cell r="E44" t="str">
            <v>HGC-Lib-2449858</v>
          </cell>
          <cell r="F44" t="str">
            <v>FW2024-636-03-T5</v>
          </cell>
          <cell r="I44" t="str">
            <v>YHT</v>
          </cell>
          <cell r="J44">
            <v>3.5</v>
          </cell>
          <cell r="K44">
            <v>473</v>
          </cell>
          <cell r="L44" t="str">
            <v>YHT</v>
          </cell>
          <cell r="N44">
            <v>11.383964872337</v>
          </cell>
        </row>
        <row r="45">
          <cell r="E45" t="str">
            <v>HGC-Lib-2449859</v>
          </cell>
          <cell r="F45" t="str">
            <v>FW2024-636-03-B4-TCR</v>
          </cell>
          <cell r="I45" t="str">
            <v>YHT</v>
          </cell>
          <cell r="J45">
            <v>21.4</v>
          </cell>
          <cell r="K45">
            <v>566</v>
          </cell>
          <cell r="N45">
            <v>58.1679804294645</v>
          </cell>
        </row>
        <row r="46">
          <cell r="E46" t="str">
            <v>HGC-Lib-2449860</v>
          </cell>
          <cell r="F46" t="str">
            <v>FW2024-636-03-T4-TCR</v>
          </cell>
          <cell r="I46" t="str">
            <v>YHT</v>
          </cell>
          <cell r="J46">
            <v>13.7</v>
          </cell>
          <cell r="K46">
            <v>492</v>
          </cell>
          <cell r="N46">
            <v>42.839274546591597</v>
          </cell>
        </row>
        <row r="47">
          <cell r="E47" t="str">
            <v>HGC-Lib-2449861</v>
          </cell>
          <cell r="F47" t="str">
            <v>FW2024-636-03-N4-TCR</v>
          </cell>
          <cell r="I47" t="str">
            <v>YHT</v>
          </cell>
          <cell r="J47">
            <v>21.4</v>
          </cell>
          <cell r="K47">
            <v>518</v>
          </cell>
          <cell r="N47">
            <v>63.558063558063601</v>
          </cell>
        </row>
        <row r="48">
          <cell r="E48" t="str">
            <v>HGC-Lib-2449862</v>
          </cell>
          <cell r="F48" t="str">
            <v>FW2024-636-03-B4-BCR</v>
          </cell>
          <cell r="I48" t="str">
            <v>YHT</v>
          </cell>
          <cell r="J48">
            <v>12.7</v>
          </cell>
          <cell r="K48">
            <v>539</v>
          </cell>
          <cell r="N48">
            <v>36.249464820893401</v>
          </cell>
        </row>
        <row r="49">
          <cell r="E49" t="str">
            <v>HGC-Lib-2449863</v>
          </cell>
          <cell r="F49" t="str">
            <v>FW2024-636-03-T4-BCR</v>
          </cell>
          <cell r="I49" t="str">
            <v>YHT</v>
          </cell>
          <cell r="J49">
            <v>6.22</v>
          </cell>
          <cell r="K49">
            <v>512</v>
          </cell>
          <cell r="L49" t="str">
            <v>YHT</v>
          </cell>
          <cell r="N49">
            <v>18.689903846153801</v>
          </cell>
        </row>
        <row r="50">
          <cell r="E50" t="str">
            <v>HGC-Lib-2449864</v>
          </cell>
          <cell r="F50" t="str">
            <v>FW2024-636-03-N4-BCR</v>
          </cell>
          <cell r="I50" t="str">
            <v>XCL</v>
          </cell>
          <cell r="J50">
            <v>6.84</v>
          </cell>
          <cell r="K50">
            <v>669</v>
          </cell>
          <cell r="L50" t="str">
            <v>YHT</v>
          </cell>
          <cell r="N50">
            <v>15.7295619179027</v>
          </cell>
        </row>
        <row r="51">
          <cell r="E51" t="str">
            <v>HGC-Lib-2449865</v>
          </cell>
          <cell r="F51" t="str">
            <v>FWGN20240233-11A</v>
          </cell>
          <cell r="I51" t="str">
            <v>XCL</v>
          </cell>
          <cell r="J51">
            <v>4.18</v>
          </cell>
          <cell r="K51">
            <v>377</v>
          </cell>
          <cell r="L51" t="str">
            <v>YHT</v>
          </cell>
          <cell r="N51">
            <v>17.057743317690299</v>
          </cell>
        </row>
        <row r="52">
          <cell r="E52" t="str">
            <v>HGC-Lib-2449866</v>
          </cell>
          <cell r="F52" t="str">
            <v>FWGN20240233-12A</v>
          </cell>
          <cell r="I52" t="str">
            <v>XCL</v>
          </cell>
          <cell r="J52">
            <v>17.100000000000001</v>
          </cell>
          <cell r="K52">
            <v>501</v>
          </cell>
          <cell r="N52">
            <v>52.510363887609401</v>
          </cell>
        </row>
        <row r="53">
          <cell r="E53" t="str">
            <v>HGC-Lib-2449867</v>
          </cell>
          <cell r="F53" t="str">
            <v>FWGN20240233-11B</v>
          </cell>
          <cell r="I53" t="str">
            <v>XCL</v>
          </cell>
          <cell r="J53">
            <v>3.94</v>
          </cell>
          <cell r="N53" t="e">
            <v>#DIV/0!</v>
          </cell>
        </row>
        <row r="54">
          <cell r="E54" t="str">
            <v>HGC-Lib-2449868</v>
          </cell>
          <cell r="F54" t="str">
            <v>FWGN20240233-12B</v>
          </cell>
          <cell r="I54" t="str">
            <v>XCL</v>
          </cell>
          <cell r="J54">
            <v>15.7</v>
          </cell>
          <cell r="N54" t="e">
            <v>#DIV/0!</v>
          </cell>
        </row>
        <row r="55">
          <cell r="E55" t="str">
            <v>HGC-POOL-2449869</v>
          </cell>
          <cell r="F55" t="str">
            <v>WT2419-A</v>
          </cell>
          <cell r="I55" t="str">
            <v>XCL</v>
          </cell>
          <cell r="J55">
            <v>6.14</v>
          </cell>
          <cell r="K55">
            <v>390</v>
          </cell>
          <cell r="N55">
            <v>24.220907297830401</v>
          </cell>
        </row>
        <row r="56">
          <cell r="E56" t="str">
            <v>HGC-POOL-2449870</v>
          </cell>
          <cell r="F56" t="str">
            <v>WT2419-B</v>
          </cell>
          <cell r="I56" t="str">
            <v>XCL</v>
          </cell>
          <cell r="J56">
            <v>12.4</v>
          </cell>
          <cell r="K56">
            <v>419</v>
          </cell>
          <cell r="N56">
            <v>45.529649348265103</v>
          </cell>
        </row>
        <row r="57">
          <cell r="E57" t="str">
            <v>HGC-Lib-2449873</v>
          </cell>
          <cell r="F57" t="str">
            <v>hitomcll243</v>
          </cell>
          <cell r="I57" t="str">
            <v>XCL</v>
          </cell>
          <cell r="J57">
            <v>39.200000000000003</v>
          </cell>
          <cell r="K57">
            <v>441</v>
          </cell>
          <cell r="M57" t="str">
            <v>加水40ul</v>
          </cell>
          <cell r="N57">
            <v>136.75213675213701</v>
          </cell>
        </row>
        <row r="58">
          <cell r="E58" t="str">
            <v>HGC-Lib-2449874</v>
          </cell>
          <cell r="F58" t="str">
            <v>hitomcll244</v>
          </cell>
          <cell r="I58" t="str">
            <v>XCL</v>
          </cell>
          <cell r="J58">
            <v>53.2</v>
          </cell>
          <cell r="K58">
            <v>421</v>
          </cell>
          <cell r="M58" t="str">
            <v>加水40ul</v>
          </cell>
          <cell r="N58">
            <v>194.40891649917799</v>
          </cell>
        </row>
        <row r="59">
          <cell r="E59" t="str">
            <v>HGC-Lib-2449875</v>
          </cell>
          <cell r="F59" t="str">
            <v>hitomcll245</v>
          </cell>
          <cell r="I59" t="str">
            <v>XCL</v>
          </cell>
          <cell r="J59">
            <v>64.8</v>
          </cell>
          <cell r="K59">
            <v>418</v>
          </cell>
          <cell r="M59" t="str">
            <v>加水40ul</v>
          </cell>
          <cell r="N59">
            <v>238.49834376150201</v>
          </cell>
        </row>
        <row r="60">
          <cell r="E60" t="str">
            <v>HGC-Lib-2449876</v>
          </cell>
          <cell r="F60" t="str">
            <v>hitomcll246</v>
          </cell>
          <cell r="I60" t="str">
            <v>XCL</v>
          </cell>
          <cell r="J60">
            <v>51.8</v>
          </cell>
          <cell r="K60">
            <v>397</v>
          </cell>
          <cell r="M60" t="str">
            <v>加水40ul</v>
          </cell>
          <cell r="N60">
            <v>200.73629141639199</v>
          </cell>
        </row>
        <row r="61">
          <cell r="E61" t="str">
            <v>HGC-Lib-2449877</v>
          </cell>
          <cell r="F61" t="str">
            <v>hitomcll247</v>
          </cell>
          <cell r="I61" t="str">
            <v>XCL</v>
          </cell>
          <cell r="J61">
            <v>56.6</v>
          </cell>
          <cell r="K61">
            <v>393</v>
          </cell>
          <cell r="M61" t="str">
            <v>加水40ul</v>
          </cell>
          <cell r="N61">
            <v>221.56977882168701</v>
          </cell>
        </row>
        <row r="62">
          <cell r="E62" t="str">
            <v>HGC-Lib-2449878</v>
          </cell>
          <cell r="F62" t="str">
            <v>hitomcll248</v>
          </cell>
          <cell r="I62" t="str">
            <v>XCL</v>
          </cell>
          <cell r="J62">
            <v>75.2</v>
          </cell>
          <cell r="K62">
            <v>408</v>
          </cell>
          <cell r="N62">
            <v>283.55957767722498</v>
          </cell>
        </row>
        <row r="63">
          <cell r="E63" t="str">
            <v>HGC-Lib-2449879</v>
          </cell>
          <cell r="F63" t="str">
            <v>hitomcll249</v>
          </cell>
          <cell r="I63" t="str">
            <v>XCL</v>
          </cell>
          <cell r="J63">
            <v>86</v>
          </cell>
          <cell r="K63">
            <v>403</v>
          </cell>
          <cell r="N63">
            <v>328.30692880320697</v>
          </cell>
        </row>
        <row r="64">
          <cell r="E64" t="str">
            <v>HGC-Lib-2449880</v>
          </cell>
          <cell r="F64" t="str">
            <v>hitomcll250</v>
          </cell>
          <cell r="I64" t="str">
            <v>XCL</v>
          </cell>
          <cell r="J64">
            <v>44.6</v>
          </cell>
          <cell r="K64">
            <v>424</v>
          </cell>
          <cell r="M64" t="str">
            <v>加水40ul</v>
          </cell>
          <cell r="N64">
            <v>161.82873730043499</v>
          </cell>
        </row>
        <row r="65">
          <cell r="E65" t="str">
            <v>HGC-Lib-2449881</v>
          </cell>
          <cell r="F65" t="str">
            <v>hitomcll251</v>
          </cell>
          <cell r="I65" t="str">
            <v>XCL</v>
          </cell>
          <cell r="J65">
            <v>92.6</v>
          </cell>
          <cell r="K65">
            <v>425</v>
          </cell>
          <cell r="N65">
            <v>335.20361990950198</v>
          </cell>
        </row>
        <row r="66">
          <cell r="E66" t="str">
            <v>HGC-Lib-2449882</v>
          </cell>
          <cell r="F66" t="str">
            <v>hitomcll252</v>
          </cell>
          <cell r="I66" t="str">
            <v>XCL</v>
          </cell>
          <cell r="J66">
            <v>59.2</v>
          </cell>
          <cell r="K66">
            <v>431</v>
          </cell>
          <cell r="N66">
            <v>211.315366767803</v>
          </cell>
        </row>
        <row r="67">
          <cell r="E67" t="str">
            <v>HGC-Lib-2449883</v>
          </cell>
          <cell r="F67" t="str">
            <v>hitomcll253</v>
          </cell>
          <cell r="I67" t="str">
            <v>XCL</v>
          </cell>
          <cell r="J67">
            <v>61.4</v>
          </cell>
          <cell r="K67">
            <v>418</v>
          </cell>
          <cell r="N67">
            <v>225.98454177401501</v>
          </cell>
        </row>
        <row r="68">
          <cell r="E68" t="str">
            <v>HGC-Lib-2449884</v>
          </cell>
          <cell r="F68" t="str">
            <v>hitomcll254</v>
          </cell>
          <cell r="I68" t="str">
            <v>XCL</v>
          </cell>
          <cell r="J68">
            <v>79.599999999999994</v>
          </cell>
          <cell r="K68">
            <v>451</v>
          </cell>
          <cell r="N68">
            <v>271.533344704076</v>
          </cell>
        </row>
        <row r="69">
          <cell r="E69" t="str">
            <v>HGC-Lib-2449885</v>
          </cell>
          <cell r="F69" t="str">
            <v>hitomcll255</v>
          </cell>
          <cell r="I69" t="str">
            <v>XCL</v>
          </cell>
          <cell r="J69">
            <v>97</v>
          </cell>
          <cell r="K69">
            <v>438</v>
          </cell>
          <cell r="N69">
            <v>340.70951879171099</v>
          </cell>
        </row>
        <row r="70">
          <cell r="E70" t="str">
            <v>HGC-Lib-2449886</v>
          </cell>
          <cell r="F70" t="str">
            <v>hitomcll256</v>
          </cell>
          <cell r="I70" t="str">
            <v>XCL</v>
          </cell>
          <cell r="J70">
            <v>57</v>
          </cell>
          <cell r="K70">
            <v>443</v>
          </cell>
          <cell r="N70">
            <v>197.95103316548</v>
          </cell>
        </row>
        <row r="71">
          <cell r="E71" t="str">
            <v>HGC-Lib-2449887</v>
          </cell>
          <cell r="F71" t="str">
            <v>hitomcll257</v>
          </cell>
          <cell r="I71" t="str">
            <v>XCL</v>
          </cell>
          <cell r="J71">
            <v>83</v>
          </cell>
          <cell r="K71">
            <v>430</v>
          </cell>
          <cell r="N71">
            <v>296.95885509839002</v>
          </cell>
        </row>
        <row r="72">
          <cell r="E72" t="str">
            <v>HGC-Lib-2449888</v>
          </cell>
          <cell r="F72" t="str">
            <v>hitomcll258</v>
          </cell>
          <cell r="I72" t="str">
            <v>XCL</v>
          </cell>
          <cell r="J72">
            <v>55.2</v>
          </cell>
          <cell r="K72">
            <v>427</v>
          </cell>
          <cell r="N72">
            <v>198.88308412898601</v>
          </cell>
        </row>
        <row r="73">
          <cell r="E73" t="str">
            <v>HGC-Lib-2449889</v>
          </cell>
          <cell r="F73" t="str">
            <v>hitomcll259</v>
          </cell>
          <cell r="I73" t="str">
            <v>XCL</v>
          </cell>
          <cell r="J73">
            <v>96.6</v>
          </cell>
          <cell r="K73">
            <v>398</v>
          </cell>
          <cell r="N73">
            <v>373.40548898337801</v>
          </cell>
        </row>
        <row r="74">
          <cell r="E74" t="str">
            <v>HGC-Lib-2449890</v>
          </cell>
          <cell r="F74" t="str">
            <v>hitomcll260</v>
          </cell>
          <cell r="I74" t="str">
            <v>XCL</v>
          </cell>
          <cell r="J74">
            <v>50.8</v>
          </cell>
          <cell r="K74">
            <v>422</v>
          </cell>
          <cell r="M74" t="str">
            <v>加水40ul</v>
          </cell>
          <cell r="N74">
            <v>185.19868756835601</v>
          </cell>
        </row>
        <row r="75">
          <cell r="E75" t="str">
            <v>HGC-Lib-2449891</v>
          </cell>
          <cell r="F75" t="str">
            <v>hitomcll275</v>
          </cell>
          <cell r="I75" t="str">
            <v>XCL</v>
          </cell>
          <cell r="J75">
            <v>97.2</v>
          </cell>
          <cell r="K75">
            <v>421</v>
          </cell>
          <cell r="N75">
            <v>355.19824593458799</v>
          </cell>
        </row>
        <row r="76">
          <cell r="E76" t="str">
            <v>HGC-POOL-2449892</v>
          </cell>
          <cell r="F76" t="str">
            <v>YX20240628_3</v>
          </cell>
          <cell r="I76" t="str">
            <v>XCL</v>
          </cell>
          <cell r="J76">
            <v>84</v>
          </cell>
          <cell r="K76">
            <v>345</v>
          </cell>
          <cell r="N76">
            <v>374.581939799331</v>
          </cell>
        </row>
        <row r="77">
          <cell r="E77" t="str">
            <v>HGC-POOL-2449893</v>
          </cell>
          <cell r="F77" t="str">
            <v>YX20240628_4</v>
          </cell>
          <cell r="I77" t="str">
            <v>XCL</v>
          </cell>
          <cell r="J77">
            <v>9.0399999999999991</v>
          </cell>
          <cell r="K77">
            <v>438</v>
          </cell>
          <cell r="N77">
            <v>31.752722163681099</v>
          </cell>
        </row>
        <row r="78">
          <cell r="E78" t="str">
            <v>HGC-POOL-2449894</v>
          </cell>
          <cell r="F78" t="str">
            <v>YX20240628_5</v>
          </cell>
          <cell r="I78" t="str">
            <v>XCL</v>
          </cell>
          <cell r="J78">
            <v>31.2</v>
          </cell>
          <cell r="K78">
            <v>375</v>
          </cell>
          <cell r="N78">
            <v>128</v>
          </cell>
        </row>
        <row r="79">
          <cell r="E79" t="str">
            <v>HGC-POOL-2449895</v>
          </cell>
          <cell r="F79" t="str">
            <v>YX20240628_6</v>
          </cell>
          <cell r="I79" t="str">
            <v>XCL</v>
          </cell>
          <cell r="J79">
            <v>26.4</v>
          </cell>
          <cell r="K79">
            <v>343</v>
          </cell>
          <cell r="N79">
            <v>118.41220004485299</v>
          </cell>
        </row>
        <row r="80">
          <cell r="E80" t="str">
            <v>HGC-POOL-2449896</v>
          </cell>
          <cell r="F80" t="str">
            <v>YX20240628_7</v>
          </cell>
          <cell r="I80" t="str">
            <v>XCL</v>
          </cell>
          <cell r="J80">
            <v>2.94</v>
          </cell>
          <cell r="K80">
            <v>380</v>
          </cell>
          <cell r="N80">
            <v>11.9028340080972</v>
          </cell>
        </row>
        <row r="81">
          <cell r="E81" t="str">
            <v>HGC-POOL-2449897</v>
          </cell>
          <cell r="F81" t="str">
            <v>YX20240628_8</v>
          </cell>
          <cell r="I81" t="str">
            <v>XCL</v>
          </cell>
          <cell r="J81">
            <v>36</v>
          </cell>
          <cell r="K81">
            <v>352</v>
          </cell>
          <cell r="N81">
            <v>157.34265734265699</v>
          </cell>
        </row>
        <row r="82">
          <cell r="E82" t="str">
            <v>HGC-POOL-2449898</v>
          </cell>
          <cell r="F82" t="str">
            <v>YX20240628_9</v>
          </cell>
          <cell r="I82" t="str">
            <v>XCL</v>
          </cell>
          <cell r="J82">
            <v>42.6</v>
          </cell>
          <cell r="K82">
            <v>347</v>
          </cell>
          <cell r="N82">
            <v>188.871647084904</v>
          </cell>
        </row>
        <row r="83">
          <cell r="E83" t="str">
            <v>HGC-POOL-2449899</v>
          </cell>
          <cell r="F83" t="str">
            <v>YX20240628_10</v>
          </cell>
          <cell r="I83" t="str">
            <v>XCL</v>
          </cell>
          <cell r="J83">
            <v>19.8</v>
          </cell>
          <cell r="K83">
            <v>340</v>
          </cell>
          <cell r="N83">
            <v>89.592760180995498</v>
          </cell>
        </row>
        <row r="84">
          <cell r="E84" t="str">
            <v>HGC-Lib-2449900</v>
          </cell>
          <cell r="F84" t="str">
            <v>NT</v>
          </cell>
          <cell r="I84" t="str">
            <v>XCL</v>
          </cell>
          <cell r="J84">
            <v>33.4</v>
          </cell>
          <cell r="K84">
            <v>428</v>
          </cell>
          <cell r="N84">
            <v>120.057512580877</v>
          </cell>
        </row>
        <row r="85">
          <cell r="E85" t="str">
            <v>HGC-Lib-2449901</v>
          </cell>
          <cell r="F85" t="str">
            <v>V3</v>
          </cell>
          <cell r="I85" t="str">
            <v>XCL</v>
          </cell>
          <cell r="J85">
            <v>49.8</v>
          </cell>
          <cell r="K85">
            <v>398</v>
          </cell>
          <cell r="N85">
            <v>192.50096637031299</v>
          </cell>
        </row>
        <row r="86">
          <cell r="E86" t="str">
            <v>HGC-Lib-2449902</v>
          </cell>
          <cell r="F86" t="str">
            <v>V4</v>
          </cell>
          <cell r="I86" t="str">
            <v>XCL</v>
          </cell>
          <cell r="J86">
            <v>61.4</v>
          </cell>
          <cell r="K86">
            <v>383</v>
          </cell>
          <cell r="N86">
            <v>246.63587065675799</v>
          </cell>
        </row>
        <row r="87">
          <cell r="E87" t="str">
            <v>HGC-Lib-2449903</v>
          </cell>
          <cell r="F87" t="str">
            <v>R3</v>
          </cell>
          <cell r="I87" t="str">
            <v>XCL</v>
          </cell>
          <cell r="J87">
            <v>46.2</v>
          </cell>
          <cell r="K87">
            <v>411</v>
          </cell>
          <cell r="N87">
            <v>172.936552498596</v>
          </cell>
        </row>
        <row r="88">
          <cell r="E88" t="str">
            <v>HGC-POOL-2449904</v>
          </cell>
          <cell r="F88" t="str">
            <v>RX20240628-1</v>
          </cell>
          <cell r="I88" t="str">
            <v>XCL</v>
          </cell>
          <cell r="J88">
            <v>66.8</v>
          </cell>
          <cell r="K88">
            <v>466</v>
          </cell>
          <cell r="N88">
            <v>220.53482997688999</v>
          </cell>
        </row>
        <row r="89">
          <cell r="E89" t="str">
            <v>HGC-POOL-2449905</v>
          </cell>
          <cell r="F89" t="str">
            <v>RX20240628-2</v>
          </cell>
          <cell r="I89" t="str">
            <v>XCL</v>
          </cell>
          <cell r="J89">
            <v>11.5</v>
          </cell>
          <cell r="K89">
            <v>341</v>
          </cell>
          <cell r="N89">
            <v>51.883600270697002</v>
          </cell>
        </row>
        <row r="90">
          <cell r="E90" t="str">
            <v>HGC-POOL-2449906</v>
          </cell>
          <cell r="F90" t="str">
            <v>RX20240628-3</v>
          </cell>
          <cell r="I90" t="str">
            <v>XCL</v>
          </cell>
          <cell r="J90">
            <v>15.3</v>
          </cell>
          <cell r="K90">
            <v>462</v>
          </cell>
          <cell r="N90">
            <v>50.949050949050999</v>
          </cell>
        </row>
        <row r="91">
          <cell r="E91" t="str">
            <v>HGC-POOL-2449907</v>
          </cell>
          <cell r="F91" t="str">
            <v>RX20240628-4</v>
          </cell>
          <cell r="I91" t="str">
            <v>XCL</v>
          </cell>
          <cell r="J91">
            <v>6.92</v>
          </cell>
          <cell r="K91">
            <v>575</v>
          </cell>
          <cell r="N91">
            <v>18.5150501672241</v>
          </cell>
        </row>
        <row r="92">
          <cell r="E92" t="str">
            <v>HGC-POOL-2449908</v>
          </cell>
          <cell r="F92" t="str">
            <v>RX20240628-5</v>
          </cell>
          <cell r="I92" t="str">
            <v>XCL</v>
          </cell>
          <cell r="J92">
            <v>1.45</v>
          </cell>
          <cell r="K92">
            <v>721</v>
          </cell>
          <cell r="N92">
            <v>3.0939933852555201</v>
          </cell>
        </row>
        <row r="93">
          <cell r="E93" t="str">
            <v>HGC-Lib-2449909</v>
          </cell>
          <cell r="F93" t="str">
            <v>RX20240628-6</v>
          </cell>
          <cell r="I93" t="str">
            <v>XCL</v>
          </cell>
          <cell r="J93">
            <v>38.6</v>
          </cell>
          <cell r="K93">
            <v>676</v>
          </cell>
          <cell r="N93">
            <v>87.8470641784251</v>
          </cell>
        </row>
        <row r="94">
          <cell r="E94" t="str">
            <v>HGC-Lib-2449910</v>
          </cell>
          <cell r="F94" t="str">
            <v>RX20240628-7</v>
          </cell>
          <cell r="I94" t="str">
            <v>XCL</v>
          </cell>
          <cell r="J94">
            <v>24.8</v>
          </cell>
          <cell r="K94">
            <v>674</v>
          </cell>
          <cell r="N94">
            <v>56.608080346952804</v>
          </cell>
        </row>
        <row r="95">
          <cell r="E95" t="str">
            <v>HGC-Lib-2449911</v>
          </cell>
          <cell r="F95" t="str">
            <v>RX20240628-8</v>
          </cell>
          <cell r="I95" t="str">
            <v>XCL</v>
          </cell>
          <cell r="J95">
            <v>17.3</v>
          </cell>
          <cell r="K95">
            <v>553</v>
          </cell>
          <cell r="N95">
            <v>48.129086103769701</v>
          </cell>
        </row>
        <row r="96">
          <cell r="E96" t="str">
            <v>HGC-Lib-2449912</v>
          </cell>
          <cell r="F96" t="str">
            <v>RX20240628-9</v>
          </cell>
          <cell r="I96" t="str">
            <v>XCL</v>
          </cell>
          <cell r="J96">
            <v>16.100000000000001</v>
          </cell>
          <cell r="K96">
            <v>563</v>
          </cell>
          <cell r="N96">
            <v>43.995081295258899</v>
          </cell>
        </row>
        <row r="97">
          <cell r="E97" t="str">
            <v>HGC-Lib-2449913</v>
          </cell>
          <cell r="F97" t="str">
            <v>RX20240628-10</v>
          </cell>
          <cell r="I97" t="str">
            <v>XCL</v>
          </cell>
          <cell r="J97">
            <v>8.94</v>
          </cell>
          <cell r="K97">
            <v>569</v>
          </cell>
          <cell r="N97">
            <v>24.171961606056499</v>
          </cell>
        </row>
        <row r="98">
          <cell r="E98" t="str">
            <v>HGC-POOL-2450001</v>
          </cell>
          <cell r="F98" t="str">
            <v>LRB-0625-L1</v>
          </cell>
          <cell r="G98">
            <v>24</v>
          </cell>
          <cell r="I98" t="str">
            <v>WH</v>
          </cell>
          <cell r="J98">
            <v>28.8</v>
          </cell>
          <cell r="K98">
            <v>452</v>
          </cell>
          <cell r="N98">
            <v>98.025867937372396</v>
          </cell>
        </row>
        <row r="99">
          <cell r="E99" t="str">
            <v>HGC-POOL-2450002</v>
          </cell>
          <cell r="F99" t="str">
            <v>LRB-0625-L2</v>
          </cell>
          <cell r="G99">
            <v>24</v>
          </cell>
          <cell r="I99" t="str">
            <v>WH</v>
          </cell>
          <cell r="J99">
            <v>38.4</v>
          </cell>
          <cell r="K99">
            <v>469</v>
          </cell>
          <cell r="N99">
            <v>125.963588650156</v>
          </cell>
        </row>
        <row r="100">
          <cell r="E100" t="str">
            <v>HGC-POOL-2450003</v>
          </cell>
          <cell r="F100" t="str">
            <v>LRB-0625-L3</v>
          </cell>
          <cell r="G100">
            <v>24</v>
          </cell>
          <cell r="I100" t="str">
            <v>WH</v>
          </cell>
          <cell r="J100">
            <v>41</v>
          </cell>
          <cell r="K100">
            <v>492</v>
          </cell>
          <cell r="N100">
            <v>128.20512820512801</v>
          </cell>
        </row>
        <row r="101">
          <cell r="E101" t="str">
            <v>HGC-POOL-2450004</v>
          </cell>
          <cell r="F101" t="str">
            <v>LRB-0625-L4</v>
          </cell>
          <cell r="G101">
            <v>24</v>
          </cell>
          <cell r="I101" t="str">
            <v>WH</v>
          </cell>
          <cell r="J101">
            <v>43.8</v>
          </cell>
          <cell r="K101">
            <v>498</v>
          </cell>
          <cell r="N101">
            <v>135.31047265986999</v>
          </cell>
        </row>
        <row r="102">
          <cell r="E102" t="str">
            <v>HGC-POOL-2450005</v>
          </cell>
          <cell r="F102" t="str">
            <v>LRB-0625-L5</v>
          </cell>
          <cell r="G102">
            <v>24</v>
          </cell>
          <cell r="I102" t="str">
            <v>WH</v>
          </cell>
          <cell r="J102">
            <v>47</v>
          </cell>
          <cell r="K102">
            <v>502</v>
          </cell>
          <cell r="N102">
            <v>144.039227704566</v>
          </cell>
        </row>
        <row r="103">
          <cell r="E103" t="str">
            <v>HGC-POOL-2450006</v>
          </cell>
          <cell r="F103" t="str">
            <v>LRB-0625-L6</v>
          </cell>
          <cell r="G103">
            <v>24</v>
          </cell>
          <cell r="I103" t="str">
            <v>WH</v>
          </cell>
          <cell r="J103">
            <v>44.4</v>
          </cell>
          <cell r="K103">
            <v>518</v>
          </cell>
          <cell r="N103">
            <v>131.868131868132</v>
          </cell>
        </row>
        <row r="104">
          <cell r="E104" t="str">
            <v>HGC-Lib-2450007</v>
          </cell>
          <cell r="F104" t="str">
            <v>Tilapia_Heart_H3K27ac</v>
          </cell>
          <cell r="G104">
            <v>7</v>
          </cell>
          <cell r="I104" t="str">
            <v>WH</v>
          </cell>
          <cell r="J104">
            <v>10.8</v>
          </cell>
          <cell r="K104">
            <v>410</v>
          </cell>
          <cell r="N104">
            <v>40.525328330206399</v>
          </cell>
        </row>
        <row r="105">
          <cell r="E105" t="str">
            <v>HGC-Lib-2450008</v>
          </cell>
          <cell r="F105" t="str">
            <v>Tilapia_Heart_H3K27me3</v>
          </cell>
          <cell r="G105">
            <v>7</v>
          </cell>
          <cell r="I105" t="str">
            <v>WH</v>
          </cell>
          <cell r="J105">
            <v>13.3</v>
          </cell>
          <cell r="K105">
            <v>418</v>
          </cell>
          <cell r="N105">
            <v>48.951048951049003</v>
          </cell>
        </row>
        <row r="106">
          <cell r="E106" t="str">
            <v>HGC-Lib-2450009</v>
          </cell>
          <cell r="F106" t="str">
            <v>Tilapia_Heart_H3K4me1</v>
          </cell>
          <cell r="G106">
            <v>7</v>
          </cell>
          <cell r="I106" t="str">
            <v>WH</v>
          </cell>
          <cell r="J106">
            <v>16.7</v>
          </cell>
          <cell r="K106">
            <v>427</v>
          </cell>
          <cell r="N106">
            <v>60.169338857863401</v>
          </cell>
        </row>
        <row r="107">
          <cell r="E107" t="str">
            <v>HGC-Lib-2450010</v>
          </cell>
          <cell r="F107" t="str">
            <v>Tilapia_Heart_H3K4me3</v>
          </cell>
          <cell r="G107">
            <v>7</v>
          </cell>
          <cell r="I107" t="str">
            <v>WH</v>
          </cell>
          <cell r="J107">
            <v>10.6</v>
          </cell>
          <cell r="K107">
            <v>412</v>
          </cell>
          <cell r="N107">
            <v>39.581777445855103</v>
          </cell>
        </row>
        <row r="108">
          <cell r="E108" t="str">
            <v>HGC-Lib-2450011</v>
          </cell>
          <cell r="F108" t="str">
            <v>Tilapia_Heart_IgG</v>
          </cell>
          <cell r="G108">
            <v>7</v>
          </cell>
          <cell r="I108" t="str">
            <v>WH</v>
          </cell>
          <cell r="J108">
            <v>0.13800000000000001</v>
          </cell>
          <cell r="K108">
            <v>407</v>
          </cell>
          <cell r="L108" t="str">
            <v>YHT</v>
          </cell>
          <cell r="N108">
            <v>0.52164052164052199</v>
          </cell>
        </row>
        <row r="109">
          <cell r="E109" t="str">
            <v>HGC-Lib-2450012</v>
          </cell>
          <cell r="F109" t="str">
            <v>Tilapia_Liver_H3K27ac</v>
          </cell>
          <cell r="G109">
            <v>7</v>
          </cell>
          <cell r="I109" t="str">
            <v>WH</v>
          </cell>
          <cell r="J109">
            <v>2.02</v>
          </cell>
          <cell r="K109">
            <v>330</v>
          </cell>
          <cell r="L109" t="str">
            <v>YHT</v>
          </cell>
          <cell r="N109">
            <v>9.4172494172494208</v>
          </cell>
        </row>
        <row r="110">
          <cell r="E110" t="str">
            <v>HGC-Lib-2450013</v>
          </cell>
          <cell r="F110" t="str">
            <v>Tilapia_Liver_H3K27me3</v>
          </cell>
          <cell r="G110">
            <v>7</v>
          </cell>
          <cell r="I110" t="str">
            <v>WH</v>
          </cell>
          <cell r="J110">
            <v>3.72</v>
          </cell>
          <cell r="K110">
            <v>345</v>
          </cell>
          <cell r="L110" t="str">
            <v>YHT</v>
          </cell>
          <cell r="N110">
            <v>16.588628762541799</v>
          </cell>
        </row>
        <row r="111">
          <cell r="E111" t="str">
            <v>HGC-Lib-2450014</v>
          </cell>
          <cell r="F111" t="str">
            <v>Tilapia_Liver_H3K4me1</v>
          </cell>
          <cell r="G111">
            <v>7</v>
          </cell>
          <cell r="I111" t="str">
            <v>WH</v>
          </cell>
          <cell r="J111">
            <v>3.66</v>
          </cell>
          <cell r="K111">
            <v>337</v>
          </cell>
          <cell r="L111" t="str">
            <v>YHT</v>
          </cell>
          <cell r="N111">
            <v>16.7085140378909</v>
          </cell>
        </row>
        <row r="112">
          <cell r="E112" t="str">
            <v>HGC-Lib-2450015</v>
          </cell>
          <cell r="F112" t="str">
            <v>Tilapia_Liver_H3K4me3</v>
          </cell>
          <cell r="G112">
            <v>7</v>
          </cell>
          <cell r="I112" t="str">
            <v>WH</v>
          </cell>
          <cell r="J112">
            <v>0.81799999999999995</v>
          </cell>
          <cell r="K112">
            <v>320</v>
          </cell>
          <cell r="L112" t="str">
            <v>YHT</v>
          </cell>
          <cell r="N112">
            <v>3.9326923076923102</v>
          </cell>
        </row>
        <row r="113">
          <cell r="E113" t="str">
            <v>HGC-Lib-2450016</v>
          </cell>
          <cell r="F113" t="str">
            <v>Tilapia_Liver_IgG</v>
          </cell>
          <cell r="G113">
            <v>7</v>
          </cell>
          <cell r="I113" t="str">
            <v>WH</v>
          </cell>
          <cell r="J113">
            <v>0.122</v>
          </cell>
          <cell r="K113">
            <v>464</v>
          </cell>
          <cell r="L113" t="str">
            <v>YHT</v>
          </cell>
          <cell r="N113">
            <v>0.40450928381962897</v>
          </cell>
        </row>
        <row r="114">
          <cell r="E114" t="str">
            <v>HGC-Lib-2450017</v>
          </cell>
          <cell r="F114" t="str">
            <v>Tilapia_Testis_H3K27ac</v>
          </cell>
          <cell r="G114">
            <v>7</v>
          </cell>
          <cell r="I114" t="str">
            <v>WH</v>
          </cell>
          <cell r="J114">
            <v>7.08</v>
          </cell>
          <cell r="K114">
            <v>382</v>
          </cell>
          <cell r="L114" t="str">
            <v>YHT</v>
          </cell>
          <cell r="N114">
            <v>28.5138944824809</v>
          </cell>
        </row>
        <row r="115">
          <cell r="E115" t="str">
            <v>HGC-Lib-2450018</v>
          </cell>
          <cell r="F115" t="str">
            <v>Tilapia_Testis_H3K27me3</v>
          </cell>
          <cell r="G115">
            <v>7</v>
          </cell>
          <cell r="I115" t="str">
            <v>WH</v>
          </cell>
          <cell r="J115">
            <v>7.98</v>
          </cell>
          <cell r="K115">
            <v>386</v>
          </cell>
          <cell r="L115" t="str">
            <v>YHT</v>
          </cell>
          <cell r="N115">
            <v>31.805500199282601</v>
          </cell>
        </row>
        <row r="116">
          <cell r="E116" t="str">
            <v>HGC-Lib-2450019</v>
          </cell>
          <cell r="F116" t="str">
            <v>Tilapia_Testis_H3K4me1</v>
          </cell>
          <cell r="G116">
            <v>7</v>
          </cell>
          <cell r="I116" t="str">
            <v>WH</v>
          </cell>
          <cell r="J116">
            <v>23.2</v>
          </cell>
          <cell r="K116">
            <v>412</v>
          </cell>
          <cell r="N116">
            <v>86.631814787154596</v>
          </cell>
        </row>
        <row r="117">
          <cell r="E117" t="str">
            <v>HGC-Lib-2450020</v>
          </cell>
          <cell r="F117" t="str">
            <v>Tilapia_Testis_H3K4me3</v>
          </cell>
          <cell r="G117">
            <v>7</v>
          </cell>
          <cell r="I117" t="str">
            <v>WH</v>
          </cell>
          <cell r="J117">
            <v>6.96</v>
          </cell>
          <cell r="K117">
            <v>410</v>
          </cell>
          <cell r="L117" t="str">
            <v>YHT</v>
          </cell>
          <cell r="N117">
            <v>26.116322701688599</v>
          </cell>
        </row>
        <row r="118">
          <cell r="E118" t="str">
            <v>HGC-Lib-2450021</v>
          </cell>
          <cell r="F118" t="str">
            <v>Tilapia_Testis_IgG</v>
          </cell>
          <cell r="G118">
            <v>7</v>
          </cell>
          <cell r="I118" t="str">
            <v>WH</v>
          </cell>
          <cell r="J118" t="str">
            <v>/</v>
          </cell>
          <cell r="K118">
            <v>441</v>
          </cell>
          <cell r="L118" t="str">
            <v>YHT</v>
          </cell>
          <cell r="N118" t="e">
            <v>#VALUE!</v>
          </cell>
        </row>
        <row r="119">
          <cell r="E119" t="str">
            <v>HGC-Lib-2450022</v>
          </cell>
          <cell r="F119" t="str">
            <v>T819-1</v>
          </cell>
          <cell r="G119">
            <v>2</v>
          </cell>
          <cell r="I119" t="str">
            <v>WH</v>
          </cell>
          <cell r="J119">
            <v>9.16</v>
          </cell>
          <cell r="N119" t="e">
            <v>#DIV/0!</v>
          </cell>
        </row>
        <row r="120">
          <cell r="E120" t="str">
            <v>HGC-Lib-2450023</v>
          </cell>
          <cell r="F120" t="str">
            <v>WG2421D1</v>
          </cell>
          <cell r="G120">
            <v>10</v>
          </cell>
          <cell r="I120" t="str">
            <v>WH</v>
          </cell>
          <cell r="J120">
            <v>0.64200000000000002</v>
          </cell>
          <cell r="K120">
            <v>470</v>
          </cell>
          <cell r="L120" t="str">
            <v>YHT</v>
          </cell>
          <cell r="N120">
            <v>2.1014729950900199</v>
          </cell>
        </row>
        <row r="121">
          <cell r="E121" t="str">
            <v>HGC-Lib-2450024</v>
          </cell>
          <cell r="F121" t="str">
            <v>WG2422D1</v>
          </cell>
          <cell r="G121">
            <v>10</v>
          </cell>
          <cell r="I121" t="str">
            <v>WH</v>
          </cell>
          <cell r="J121">
            <v>0.14799999999999999</v>
          </cell>
          <cell r="K121">
            <v>485</v>
          </cell>
          <cell r="L121" t="str">
            <v>YHT</v>
          </cell>
          <cell r="N121">
            <v>0.469468675654243</v>
          </cell>
        </row>
        <row r="122">
          <cell r="E122" t="str">
            <v>HGC-Lib-2450025</v>
          </cell>
          <cell r="F122" t="str">
            <v>WG2422D2</v>
          </cell>
          <cell r="G122">
            <v>10</v>
          </cell>
          <cell r="I122" t="str">
            <v>WH</v>
          </cell>
          <cell r="J122" t="str">
            <v>/</v>
          </cell>
          <cell r="K122">
            <v>488</v>
          </cell>
          <cell r="L122" t="str">
            <v>YHT</v>
          </cell>
          <cell r="N122" t="e">
            <v>#VALUE!</v>
          </cell>
        </row>
        <row r="123">
          <cell r="E123" t="str">
            <v>HGC-POOL-2450026</v>
          </cell>
          <cell r="F123" t="str">
            <v>WG2421-22R</v>
          </cell>
          <cell r="G123">
            <v>30</v>
          </cell>
          <cell r="I123" t="str">
            <v>WH</v>
          </cell>
          <cell r="J123">
            <v>1.27</v>
          </cell>
          <cell r="K123">
            <v>439</v>
          </cell>
          <cell r="L123" t="str">
            <v>YHT</v>
          </cell>
          <cell r="N123">
            <v>4.4506746101279102</v>
          </cell>
        </row>
        <row r="124">
          <cell r="E124" t="str">
            <v>HGC-Lib-2450027</v>
          </cell>
          <cell r="F124" t="str">
            <v>0628X1</v>
          </cell>
          <cell r="I124" t="str">
            <v>WH</v>
          </cell>
          <cell r="J124">
            <v>35</v>
          </cell>
          <cell r="K124">
            <v>449</v>
          </cell>
          <cell r="N124">
            <v>119.924618811033</v>
          </cell>
        </row>
        <row r="125">
          <cell r="E125" t="str">
            <v>HGC-POOL-2450028</v>
          </cell>
          <cell r="F125" t="str">
            <v>0628S5</v>
          </cell>
          <cell r="I125" t="str">
            <v>WH</v>
          </cell>
          <cell r="J125">
            <v>15.1</v>
          </cell>
          <cell r="K125">
            <v>465</v>
          </cell>
          <cell r="N125">
            <v>49.958643507030601</v>
          </cell>
        </row>
        <row r="126">
          <cell r="E126" t="str">
            <v>HGC-POOL-2450029</v>
          </cell>
          <cell r="F126" t="str">
            <v>0628S6</v>
          </cell>
          <cell r="I126" t="str">
            <v>WH</v>
          </cell>
          <cell r="J126">
            <v>25.6</v>
          </cell>
          <cell r="K126">
            <v>491</v>
          </cell>
          <cell r="N126">
            <v>80.213065956446798</v>
          </cell>
        </row>
        <row r="127">
          <cell r="E127" t="str">
            <v>HGC-POOL-2450030</v>
          </cell>
          <cell r="F127" t="str">
            <v>0628S7</v>
          </cell>
          <cell r="I127" t="str">
            <v>WH</v>
          </cell>
          <cell r="J127">
            <v>14.5</v>
          </cell>
          <cell r="K127">
            <v>533</v>
          </cell>
          <cell r="N127">
            <v>41.853081252705998</v>
          </cell>
        </row>
        <row r="128">
          <cell r="E128" t="str">
            <v>HGC-Lib-2450031</v>
          </cell>
          <cell r="F128" t="str">
            <v>EZS0156-0uM-2 less</v>
          </cell>
          <cell r="G128">
            <v>2</v>
          </cell>
          <cell r="I128" t="str">
            <v>WH</v>
          </cell>
          <cell r="J128">
            <v>0.126</v>
          </cell>
          <cell r="K128">
            <v>272</v>
          </cell>
          <cell r="L128" t="str">
            <v>YHT</v>
          </cell>
          <cell r="N128">
            <v>0.71266968325791902</v>
          </cell>
        </row>
        <row r="129">
          <cell r="E129" t="str">
            <v>HGC-Lib-2450032</v>
          </cell>
          <cell r="F129" t="str">
            <v>EZS0156-50uM-2 less</v>
          </cell>
          <cell r="G129">
            <v>2</v>
          </cell>
          <cell r="I129" t="str">
            <v>WH</v>
          </cell>
          <cell r="J129" t="str">
            <v>/</v>
          </cell>
          <cell r="K129">
            <v>266</v>
          </cell>
          <cell r="L129" t="str">
            <v>YHT</v>
          </cell>
          <cell r="N129" t="e">
            <v>#VALUE!</v>
          </cell>
        </row>
        <row r="130">
          <cell r="E130" t="str">
            <v>HGC-Lib-2450033</v>
          </cell>
          <cell r="F130" t="str">
            <v>EZS0156-350uM-2 less</v>
          </cell>
          <cell r="G130">
            <v>2</v>
          </cell>
          <cell r="I130" t="str">
            <v>WH</v>
          </cell>
          <cell r="J130">
            <v>3.22</v>
          </cell>
          <cell r="K130">
            <v>199</v>
          </cell>
          <cell r="L130" t="str">
            <v>YHT</v>
          </cell>
          <cell r="N130">
            <v>24.893699265558599</v>
          </cell>
        </row>
        <row r="131">
          <cell r="E131" t="str">
            <v>HGC-Lib-2450034</v>
          </cell>
          <cell r="F131" t="str">
            <v>EZS0156-500uM-2 less</v>
          </cell>
          <cell r="G131">
            <v>2</v>
          </cell>
          <cell r="I131" t="str">
            <v>WH</v>
          </cell>
          <cell r="J131">
            <v>0.64200000000000002</v>
          </cell>
          <cell r="K131">
            <v>221</v>
          </cell>
          <cell r="L131" t="str">
            <v>YHT</v>
          </cell>
          <cell r="N131">
            <v>4.4691959624086302</v>
          </cell>
        </row>
        <row r="132">
          <cell r="E132" t="str">
            <v>HGC-Lib-2450035</v>
          </cell>
          <cell r="F132" t="str">
            <v>EZS0156-0uM-2 more</v>
          </cell>
          <cell r="G132">
            <v>2</v>
          </cell>
          <cell r="I132" t="str">
            <v>WH</v>
          </cell>
          <cell r="J132">
            <v>4.08</v>
          </cell>
          <cell r="K132">
            <v>350</v>
          </cell>
          <cell r="L132" t="str">
            <v>YHT</v>
          </cell>
          <cell r="N132">
            <v>17.934065934065899</v>
          </cell>
        </row>
        <row r="133">
          <cell r="E133" t="str">
            <v>HGC-Lib-2450036</v>
          </cell>
          <cell r="F133" t="str">
            <v>EZS0156-50uM-2 more</v>
          </cell>
          <cell r="G133">
            <v>2</v>
          </cell>
          <cell r="I133" t="str">
            <v>WH</v>
          </cell>
          <cell r="J133">
            <v>4.8600000000000003</v>
          </cell>
          <cell r="K133">
            <v>342</v>
          </cell>
          <cell r="L133" t="str">
            <v>YHT</v>
          </cell>
          <cell r="N133">
            <v>21.862348178137701</v>
          </cell>
        </row>
        <row r="134">
          <cell r="E134" t="str">
            <v>HGC-Lib-2450037</v>
          </cell>
          <cell r="F134" t="str">
            <v>EZS0156-350uM-2 more</v>
          </cell>
          <cell r="G134">
            <v>2</v>
          </cell>
          <cell r="I134" t="str">
            <v>WH</v>
          </cell>
          <cell r="J134">
            <v>2.82</v>
          </cell>
          <cell r="K134">
            <v>336</v>
          </cell>
          <cell r="L134" t="str">
            <v>YHT</v>
          </cell>
          <cell r="N134">
            <v>12.9120879120879</v>
          </cell>
        </row>
        <row r="135">
          <cell r="E135" t="str">
            <v>HGC-Lib-2450038</v>
          </cell>
          <cell r="F135" t="str">
            <v>EZS0156-500uM-2 more</v>
          </cell>
          <cell r="G135">
            <v>2</v>
          </cell>
          <cell r="I135" t="str">
            <v>WH</v>
          </cell>
          <cell r="J135">
            <v>4.24</v>
          </cell>
          <cell r="K135">
            <v>330</v>
          </cell>
          <cell r="L135" t="str">
            <v>YHT</v>
          </cell>
          <cell r="N135">
            <v>19.766899766899801</v>
          </cell>
        </row>
        <row r="136">
          <cell r="E136" t="str">
            <v>HGC-Lib-2450039</v>
          </cell>
          <cell r="F136" t="str">
            <v>HitomXNN373</v>
          </cell>
          <cell r="G136" t="str">
            <v>2</v>
          </cell>
          <cell r="I136" t="str">
            <v>WH</v>
          </cell>
          <cell r="J136">
            <v>77.8</v>
          </cell>
          <cell r="K136">
            <v>365</v>
          </cell>
          <cell r="N136">
            <v>327.924130663857</v>
          </cell>
        </row>
        <row r="137">
          <cell r="E137" t="str">
            <v>HGC-Lib-2450040</v>
          </cell>
          <cell r="F137" t="str">
            <v>HitomXNN374</v>
          </cell>
          <cell r="G137">
            <v>2</v>
          </cell>
          <cell r="I137" t="str">
            <v>WH</v>
          </cell>
          <cell r="J137">
            <v>80</v>
          </cell>
          <cell r="K137">
            <v>377</v>
          </cell>
          <cell r="N137">
            <v>326.46398694144102</v>
          </cell>
        </row>
        <row r="138">
          <cell r="E138" t="str">
            <v>HGC-Lib-2450041</v>
          </cell>
          <cell r="F138" t="str">
            <v>HitomXNN375</v>
          </cell>
          <cell r="G138">
            <v>2</v>
          </cell>
          <cell r="I138" t="str">
            <v>WH</v>
          </cell>
          <cell r="J138">
            <v>37.6</v>
          </cell>
          <cell r="K138">
            <v>480</v>
          </cell>
          <cell r="N138">
            <v>120.51282051282099</v>
          </cell>
        </row>
        <row r="139">
          <cell r="E139" t="str">
            <v>HGC-Lib-2450042</v>
          </cell>
          <cell r="F139" t="str">
            <v>HitomXNN376</v>
          </cell>
          <cell r="G139">
            <v>2</v>
          </cell>
          <cell r="I139" t="str">
            <v>WH</v>
          </cell>
          <cell r="J139">
            <v>110</v>
          </cell>
          <cell r="K139">
            <v>617</v>
          </cell>
          <cell r="N139">
            <v>274.28001496072801</v>
          </cell>
        </row>
        <row r="140">
          <cell r="E140" t="str">
            <v>HGC-POOL-2450043</v>
          </cell>
          <cell r="F140" t="str">
            <v>ATAC</v>
          </cell>
          <cell r="G140">
            <v>144</v>
          </cell>
          <cell r="I140" t="str">
            <v>WH</v>
          </cell>
          <cell r="J140">
            <v>9.5399999999999991</v>
          </cell>
          <cell r="K140">
            <v>508</v>
          </cell>
          <cell r="L140" t="str">
            <v>YHT</v>
          </cell>
          <cell r="N140">
            <v>28.891580860084801</v>
          </cell>
        </row>
        <row r="141">
          <cell r="E141" t="str">
            <v>HGC-Lib-2450044</v>
          </cell>
          <cell r="F141" t="str">
            <v>Tilapia_Headkidney_H3K27ac</v>
          </cell>
          <cell r="G141">
            <v>7</v>
          </cell>
          <cell r="I141" t="str">
            <v>WH</v>
          </cell>
          <cell r="J141">
            <v>6.8</v>
          </cell>
          <cell r="K141">
            <v>365</v>
          </cell>
          <cell r="L141" t="str">
            <v>YHT</v>
          </cell>
          <cell r="N141">
            <v>28.661749209694399</v>
          </cell>
        </row>
        <row r="142">
          <cell r="E142" t="str">
            <v>HGC-Lib-2450045</v>
          </cell>
          <cell r="F142" t="str">
            <v>Tilapia_Headkidney_H3K27me3</v>
          </cell>
          <cell r="G142">
            <v>7</v>
          </cell>
          <cell r="I142" t="str">
            <v>WH</v>
          </cell>
          <cell r="J142">
            <v>1.61</v>
          </cell>
          <cell r="K142">
            <v>375</v>
          </cell>
          <cell r="L142" t="str">
            <v>YHT</v>
          </cell>
          <cell r="N142">
            <v>6.6051282051282101</v>
          </cell>
        </row>
        <row r="143">
          <cell r="E143" t="str">
            <v>HGC-Lib-2450046</v>
          </cell>
          <cell r="F143" t="str">
            <v>Tilapia_Headkidney_H3K4me1</v>
          </cell>
          <cell r="G143">
            <v>7</v>
          </cell>
          <cell r="I143" t="str">
            <v>WH</v>
          </cell>
          <cell r="J143">
            <v>0.65800000000000003</v>
          </cell>
          <cell r="K143">
            <v>369</v>
          </cell>
          <cell r="L143" t="str">
            <v>YHT</v>
          </cell>
          <cell r="N143">
            <v>2.7433812799666502</v>
          </cell>
        </row>
        <row r="144">
          <cell r="E144" t="str">
            <v>HGC-Lib-2450047</v>
          </cell>
          <cell r="F144" t="str">
            <v>Tilapia_Headkidney_H3K4me3</v>
          </cell>
          <cell r="G144">
            <v>7</v>
          </cell>
          <cell r="I144" t="str">
            <v>WH</v>
          </cell>
          <cell r="J144">
            <v>1.75</v>
          </cell>
          <cell r="K144">
            <v>378</v>
          </cell>
          <cell r="L144" t="str">
            <v>YHT</v>
          </cell>
          <cell r="N144">
            <v>7.1225071225071197</v>
          </cell>
        </row>
        <row r="145">
          <cell r="E145" t="str">
            <v>HGC-Lib-2450048</v>
          </cell>
          <cell r="F145" t="str">
            <v>Tilapia_Headkidney_IgG</v>
          </cell>
          <cell r="G145">
            <v>7</v>
          </cell>
          <cell r="I145" t="str">
            <v>WH</v>
          </cell>
          <cell r="J145">
            <v>0.11799999999999999</v>
          </cell>
          <cell r="K145">
            <v>404</v>
          </cell>
          <cell r="L145" t="str">
            <v>YHT</v>
          </cell>
          <cell r="N145">
            <v>0.44935262757044903</v>
          </cell>
        </row>
        <row r="146">
          <cell r="E146" t="str">
            <v>HGC-Lib-2450049</v>
          </cell>
          <cell r="F146" t="str">
            <v>Tilapia_Spleen_H3K27ac</v>
          </cell>
          <cell r="G146">
            <v>7</v>
          </cell>
          <cell r="I146" t="str">
            <v>HZK</v>
          </cell>
          <cell r="J146">
            <v>5.7</v>
          </cell>
          <cell r="K146">
            <v>391</v>
          </cell>
          <cell r="L146" t="str">
            <v>YHT</v>
          </cell>
          <cell r="N146">
            <v>22.4277001770608</v>
          </cell>
        </row>
        <row r="147">
          <cell r="E147" t="str">
            <v>HGC-Lib-2450050</v>
          </cell>
          <cell r="F147" t="str">
            <v>Tilapia_Spleen_H3K27me3</v>
          </cell>
          <cell r="G147">
            <v>7</v>
          </cell>
          <cell r="I147" t="str">
            <v>HZK</v>
          </cell>
          <cell r="J147">
            <v>8.48</v>
          </cell>
          <cell r="K147">
            <v>389</v>
          </cell>
          <cell r="L147" t="str">
            <v>YHT</v>
          </cell>
          <cell r="N147">
            <v>33.5376705556654</v>
          </cell>
        </row>
        <row r="148">
          <cell r="E148" t="str">
            <v>HGC-Lib-2450051</v>
          </cell>
          <cell r="F148" t="str">
            <v>Tilapia_Spleen_H3K4me1</v>
          </cell>
          <cell r="G148">
            <v>7</v>
          </cell>
          <cell r="I148" t="str">
            <v>HZK</v>
          </cell>
          <cell r="J148">
            <v>9.58</v>
          </cell>
          <cell r="K148">
            <v>386</v>
          </cell>
          <cell r="L148" t="str">
            <v>YHT</v>
          </cell>
          <cell r="N148">
            <v>38.1825428457553</v>
          </cell>
        </row>
        <row r="149">
          <cell r="E149" t="str">
            <v>HGC-Lib-2450052</v>
          </cell>
          <cell r="F149" t="str">
            <v>Tilapia_Spleen_H3K4me3</v>
          </cell>
          <cell r="G149">
            <v>7</v>
          </cell>
          <cell r="I149" t="str">
            <v>HZK</v>
          </cell>
          <cell r="J149">
            <v>7.72</v>
          </cell>
          <cell r="K149">
            <v>377</v>
          </cell>
          <cell r="L149" t="str">
            <v>YHT</v>
          </cell>
          <cell r="N149">
            <v>31.503774739849</v>
          </cell>
        </row>
        <row r="150">
          <cell r="E150" t="str">
            <v>HGC-Lib-2450053</v>
          </cell>
          <cell r="F150" t="str">
            <v>Tilapia_Spleen_IgG</v>
          </cell>
          <cell r="G150">
            <v>7</v>
          </cell>
          <cell r="I150" t="str">
            <v>HZK</v>
          </cell>
          <cell r="J150">
            <v>0.25800000000000001</v>
          </cell>
          <cell r="K150">
            <v>376</v>
          </cell>
          <cell r="L150" t="str">
            <v>YHT</v>
          </cell>
          <cell r="N150">
            <v>1.0556464811784001</v>
          </cell>
        </row>
        <row r="151">
          <cell r="E151" t="str">
            <v>HGC-Lib-2450054</v>
          </cell>
          <cell r="F151" t="str">
            <v>Tilapia_Ovary_H3K27ac</v>
          </cell>
          <cell r="G151">
            <v>7</v>
          </cell>
          <cell r="I151" t="str">
            <v>HZK</v>
          </cell>
          <cell r="J151">
            <v>5.84</v>
          </cell>
          <cell r="K151">
            <v>460</v>
          </cell>
          <cell r="L151" t="str">
            <v>YHT</v>
          </cell>
          <cell r="N151">
            <v>19.531772575250798</v>
          </cell>
        </row>
        <row r="152">
          <cell r="E152" t="str">
            <v>HGC-Lib-2450055</v>
          </cell>
          <cell r="F152" t="str">
            <v>Tilapia_Ovary_H3K27me3</v>
          </cell>
          <cell r="G152">
            <v>7</v>
          </cell>
          <cell r="I152" t="str">
            <v>HZK</v>
          </cell>
          <cell r="J152">
            <v>8.9</v>
          </cell>
          <cell r="K152">
            <v>439</v>
          </cell>
          <cell r="L152" t="str">
            <v>YHT</v>
          </cell>
          <cell r="N152">
            <v>31.1897669528649</v>
          </cell>
        </row>
        <row r="153">
          <cell r="E153" t="str">
            <v>HGC-Lib-2450056</v>
          </cell>
          <cell r="F153" t="str">
            <v>Tilapia_Ovary_H3K4me1</v>
          </cell>
          <cell r="G153">
            <v>7</v>
          </cell>
          <cell r="I153" t="str">
            <v>HZK</v>
          </cell>
          <cell r="J153">
            <v>6.82</v>
          </cell>
          <cell r="K153">
            <v>394</v>
          </cell>
          <cell r="L153" t="str">
            <v>YHT</v>
          </cell>
          <cell r="N153">
            <v>26.630222569308899</v>
          </cell>
        </row>
        <row r="154">
          <cell r="E154" t="str">
            <v>HGC-Lib-2450057</v>
          </cell>
          <cell r="F154" t="str">
            <v>Tilapia_Ovary_H3K4me3</v>
          </cell>
          <cell r="G154">
            <v>7</v>
          </cell>
          <cell r="I154" t="str">
            <v>HZK</v>
          </cell>
          <cell r="J154">
            <v>6.56</v>
          </cell>
          <cell r="K154">
            <v>427</v>
          </cell>
          <cell r="L154" t="str">
            <v>YHT</v>
          </cell>
          <cell r="N154">
            <v>23.635381012430202</v>
          </cell>
        </row>
        <row r="155">
          <cell r="E155" t="str">
            <v>HGC-Lib-2450058</v>
          </cell>
          <cell r="F155" t="str">
            <v>Tilapia_Ovary_IgG</v>
          </cell>
          <cell r="G155">
            <v>7</v>
          </cell>
          <cell r="I155" t="str">
            <v>HZK</v>
          </cell>
          <cell r="J155">
            <v>0.11799999999999999</v>
          </cell>
          <cell r="K155">
            <v>393</v>
          </cell>
          <cell r="L155" t="str">
            <v>YHT</v>
          </cell>
          <cell r="N155">
            <v>0.46192992757878298</v>
          </cell>
        </row>
        <row r="156">
          <cell r="E156" t="str">
            <v>HGC-Lib-2450059</v>
          </cell>
          <cell r="F156" t="str">
            <v>Tilapia_Gill_H3K27ac</v>
          </cell>
          <cell r="G156">
            <v>7</v>
          </cell>
          <cell r="I156" t="str">
            <v>HZK</v>
          </cell>
          <cell r="J156">
            <v>2.6</v>
          </cell>
          <cell r="K156">
            <v>328</v>
          </cell>
          <cell r="L156" t="str">
            <v>YHT</v>
          </cell>
          <cell r="N156">
            <v>12.1951219512195</v>
          </cell>
        </row>
        <row r="157">
          <cell r="E157" t="str">
            <v>HGC-Lib-2450060</v>
          </cell>
          <cell r="F157" t="str">
            <v>Tilapia_Gill_H3K27me3</v>
          </cell>
          <cell r="G157">
            <v>7</v>
          </cell>
          <cell r="I157" t="str">
            <v>HZK</v>
          </cell>
          <cell r="J157">
            <v>3.36</v>
          </cell>
          <cell r="K157">
            <v>317</v>
          </cell>
          <cell r="L157" t="str">
            <v>YHT</v>
          </cell>
          <cell r="N157">
            <v>16.306721669497701</v>
          </cell>
        </row>
        <row r="158">
          <cell r="E158" t="str">
            <v>HGC-Lib-2450061</v>
          </cell>
          <cell r="F158" t="str">
            <v>Tilapia_Gill_H3K4me1</v>
          </cell>
          <cell r="G158">
            <v>7</v>
          </cell>
          <cell r="I158" t="str">
            <v>HZK</v>
          </cell>
          <cell r="J158">
            <v>0.88800000000000001</v>
          </cell>
          <cell r="K158">
            <v>329</v>
          </cell>
          <cell r="L158" t="str">
            <v>YHT</v>
          </cell>
          <cell r="N158">
            <v>4.1524433013794697</v>
          </cell>
        </row>
        <row r="159">
          <cell r="E159" t="str">
            <v>HGC-Lib-2450062</v>
          </cell>
          <cell r="F159" t="str">
            <v>Tilapia_Gill_H3K4me3</v>
          </cell>
          <cell r="G159">
            <v>7</v>
          </cell>
          <cell r="I159" t="str">
            <v>HZK</v>
          </cell>
          <cell r="J159">
            <v>1.58</v>
          </cell>
          <cell r="K159">
            <v>322</v>
          </cell>
          <cell r="L159" t="str">
            <v>YHT</v>
          </cell>
          <cell r="N159">
            <v>7.54897276636407</v>
          </cell>
        </row>
        <row r="160">
          <cell r="E160" t="str">
            <v>HGC-Lib-2450063</v>
          </cell>
          <cell r="F160" t="str">
            <v>Tilapia_Gill_IgG</v>
          </cell>
          <cell r="G160">
            <v>7</v>
          </cell>
          <cell r="I160" t="str">
            <v>HZK</v>
          </cell>
          <cell r="J160">
            <v>0.14000000000000001</v>
          </cell>
          <cell r="K160">
            <v>335</v>
          </cell>
          <cell r="L160" t="str">
            <v>YHT</v>
          </cell>
          <cell r="N160">
            <v>0.64293915040183702</v>
          </cell>
        </row>
        <row r="161">
          <cell r="E161" t="str">
            <v>HGC-Lib-2450064</v>
          </cell>
          <cell r="F161" t="str">
            <v>LFTBC240621010</v>
          </cell>
          <cell r="G161">
            <v>100</v>
          </cell>
          <cell r="I161" t="str">
            <v>HZK</v>
          </cell>
          <cell r="J161">
            <v>14.8</v>
          </cell>
          <cell r="N161" t="e">
            <v>#DIV/0!</v>
          </cell>
        </row>
        <row r="162">
          <cell r="E162" t="str">
            <v>HGC-Lib-2450065</v>
          </cell>
          <cell r="F162" t="str">
            <v>BCRLFTBC240621010</v>
          </cell>
          <cell r="G162">
            <v>12</v>
          </cell>
          <cell r="I162" t="str">
            <v>HZK</v>
          </cell>
          <cell r="J162">
            <v>13.3</v>
          </cell>
          <cell r="N162" t="e">
            <v>#DIV/0!</v>
          </cell>
        </row>
        <row r="163">
          <cell r="E163" t="str">
            <v>HGC-Lib-2450066</v>
          </cell>
          <cell r="F163" t="str">
            <v>TCRLFTBC240621010</v>
          </cell>
          <cell r="G163">
            <v>12</v>
          </cell>
          <cell r="I163" t="str">
            <v>HZK</v>
          </cell>
          <cell r="J163">
            <v>26.2</v>
          </cell>
          <cell r="N163" t="e">
            <v>#DIV/0!</v>
          </cell>
        </row>
        <row r="164">
          <cell r="E164" t="str">
            <v>HGC-Lib-2450067</v>
          </cell>
          <cell r="F164" t="str">
            <v>LFTBC240524026CK</v>
          </cell>
          <cell r="G164">
            <v>90</v>
          </cell>
          <cell r="I164" t="str">
            <v>HZK</v>
          </cell>
          <cell r="J164">
            <v>14.5</v>
          </cell>
          <cell r="N164" t="e">
            <v>#DIV/0!</v>
          </cell>
        </row>
        <row r="165">
          <cell r="E165" t="str">
            <v>HGC-Lib-2450068</v>
          </cell>
          <cell r="F165" t="str">
            <v>BCRLFTBC240524026CK</v>
          </cell>
          <cell r="G165">
            <v>12</v>
          </cell>
          <cell r="I165" t="str">
            <v>HZK</v>
          </cell>
          <cell r="J165">
            <v>24.8</v>
          </cell>
          <cell r="N165" t="e">
            <v>#DIV/0!</v>
          </cell>
        </row>
        <row r="166">
          <cell r="E166" t="str">
            <v>HGC-Lib-2450069</v>
          </cell>
          <cell r="F166" t="str">
            <v>TCRLFTBC240524026CK</v>
          </cell>
          <cell r="G166">
            <v>12</v>
          </cell>
          <cell r="I166" t="str">
            <v>HZK</v>
          </cell>
          <cell r="J166">
            <v>27.4</v>
          </cell>
          <cell r="N166" t="e">
            <v>#DIV/0!</v>
          </cell>
        </row>
        <row r="167">
          <cell r="E167" t="str">
            <v>HGC-Lib-2450070</v>
          </cell>
          <cell r="F167" t="str">
            <v>LC240625016</v>
          </cell>
          <cell r="G167">
            <v>100</v>
          </cell>
          <cell r="I167" t="str">
            <v>HZK</v>
          </cell>
          <cell r="J167">
            <v>14.8</v>
          </cell>
          <cell r="N167" t="e">
            <v>#DIV/0!</v>
          </cell>
        </row>
        <row r="168">
          <cell r="E168" t="str">
            <v>HGC-Lib-2450071</v>
          </cell>
          <cell r="F168" t="str">
            <v>LC240625017</v>
          </cell>
          <cell r="G168">
            <v>100</v>
          </cell>
          <cell r="I168" t="str">
            <v>HZK</v>
          </cell>
          <cell r="J168">
            <v>22.2</v>
          </cell>
          <cell r="N168" t="e">
            <v>#DIV/0!</v>
          </cell>
        </row>
        <row r="169">
          <cell r="E169" t="str">
            <v>HGC-Lib-2450072</v>
          </cell>
          <cell r="F169" t="str">
            <v>LA240620072X1</v>
          </cell>
          <cell r="G169">
            <v>30</v>
          </cell>
          <cell r="I169" t="str">
            <v>HZK</v>
          </cell>
          <cell r="J169">
            <v>13.8</v>
          </cell>
          <cell r="N169" t="e">
            <v>#DIV/0!</v>
          </cell>
        </row>
        <row r="170">
          <cell r="E170" t="str">
            <v>HGC-Lib-2450073</v>
          </cell>
          <cell r="F170" t="str">
            <v>LA240620067X1</v>
          </cell>
          <cell r="G170">
            <v>30</v>
          </cell>
          <cell r="I170" t="str">
            <v>HZK</v>
          </cell>
          <cell r="J170">
            <v>16.899999999999999</v>
          </cell>
          <cell r="N170" t="e">
            <v>#DIV/0!</v>
          </cell>
        </row>
        <row r="171">
          <cell r="E171" t="str">
            <v>HGC-Lib-2450074</v>
          </cell>
          <cell r="F171" t="str">
            <v>LA240620071X1</v>
          </cell>
          <cell r="G171">
            <v>30</v>
          </cell>
          <cell r="I171" t="str">
            <v>HZK</v>
          </cell>
          <cell r="J171">
            <v>16.899999999999999</v>
          </cell>
          <cell r="N171" t="e">
            <v>#DIV/0!</v>
          </cell>
        </row>
        <row r="172">
          <cell r="E172" t="str">
            <v>HGC-Lib-2450075</v>
          </cell>
          <cell r="F172" t="str">
            <v>LA240620068X1</v>
          </cell>
          <cell r="G172">
            <v>30</v>
          </cell>
          <cell r="I172" t="str">
            <v>HZK</v>
          </cell>
          <cell r="J172">
            <v>15.9</v>
          </cell>
          <cell r="N172" t="e">
            <v>#DIV/0!</v>
          </cell>
        </row>
        <row r="173">
          <cell r="E173" t="str">
            <v>HGC-Lib-2450076</v>
          </cell>
          <cell r="F173" t="str">
            <v>LA240620070X1</v>
          </cell>
          <cell r="G173">
            <v>30</v>
          </cell>
          <cell r="I173" t="str">
            <v>HZK</v>
          </cell>
          <cell r="J173">
            <v>13.2</v>
          </cell>
          <cell r="N173" t="e">
            <v>#DIV/0!</v>
          </cell>
        </row>
        <row r="174">
          <cell r="E174" t="str">
            <v>HGC-Lib-2450077</v>
          </cell>
          <cell r="F174" t="str">
            <v>LA240620069X1</v>
          </cell>
          <cell r="G174">
            <v>30</v>
          </cell>
          <cell r="I174" t="str">
            <v>HZK</v>
          </cell>
          <cell r="J174">
            <v>14.5</v>
          </cell>
          <cell r="N174" t="e">
            <v>#DIV/0!</v>
          </cell>
        </row>
        <row r="175">
          <cell r="E175" t="str">
            <v>HGC-Lib-2450078</v>
          </cell>
          <cell r="F175" t="str">
            <v>TCRLFTC240618035CK</v>
          </cell>
          <cell r="G175">
            <v>12</v>
          </cell>
          <cell r="I175" t="str">
            <v>HZK</v>
          </cell>
          <cell r="J175">
            <v>28.4</v>
          </cell>
          <cell r="N175" t="e">
            <v>#DIV/0!</v>
          </cell>
        </row>
        <row r="176">
          <cell r="E176" t="str">
            <v>HGC-Lib-2450079</v>
          </cell>
          <cell r="F176" t="str">
            <v>LC240622072</v>
          </cell>
          <cell r="G176">
            <v>100</v>
          </cell>
          <cell r="I176" t="str">
            <v>HZK</v>
          </cell>
          <cell r="J176">
            <v>28</v>
          </cell>
          <cell r="N176" t="e">
            <v>#DIV/0!</v>
          </cell>
        </row>
        <row r="177">
          <cell r="E177" t="str">
            <v>HGC-Lib-2450080</v>
          </cell>
          <cell r="F177" t="str">
            <v>LA240626024</v>
          </cell>
          <cell r="G177">
            <v>100</v>
          </cell>
          <cell r="I177" t="str">
            <v>HZK</v>
          </cell>
          <cell r="J177">
            <v>16</v>
          </cell>
          <cell r="N177" t="e">
            <v>#DIV/0!</v>
          </cell>
        </row>
        <row r="178">
          <cell r="E178" t="str">
            <v>HGC-Lib-2450081</v>
          </cell>
          <cell r="F178" t="str">
            <v>LA240626022</v>
          </cell>
          <cell r="G178">
            <v>100</v>
          </cell>
          <cell r="I178" t="str">
            <v>HZK</v>
          </cell>
          <cell r="J178">
            <v>13</v>
          </cell>
          <cell r="N178" t="e">
            <v>#DIV/0!</v>
          </cell>
        </row>
        <row r="179">
          <cell r="E179" t="str">
            <v>HGC-Lib-2450082</v>
          </cell>
          <cell r="F179" t="str">
            <v>LA240626023</v>
          </cell>
          <cell r="G179">
            <v>100</v>
          </cell>
          <cell r="I179" t="str">
            <v>HZK</v>
          </cell>
          <cell r="J179">
            <v>13.2</v>
          </cell>
          <cell r="N179" t="e">
            <v>#DIV/0!</v>
          </cell>
        </row>
        <row r="180">
          <cell r="E180" t="str">
            <v>HGC-Lib-2450083</v>
          </cell>
          <cell r="F180" t="str">
            <v>LC240626026</v>
          </cell>
          <cell r="G180">
            <v>100</v>
          </cell>
          <cell r="I180" t="str">
            <v>HZK</v>
          </cell>
          <cell r="J180">
            <v>20.8</v>
          </cell>
          <cell r="N180" t="e">
            <v>#DIV/0!</v>
          </cell>
        </row>
        <row r="181">
          <cell r="E181" t="str">
            <v>HGC-POOL-2450084</v>
          </cell>
          <cell r="F181" t="str">
            <v>L230406046XA</v>
          </cell>
          <cell r="G181">
            <v>40</v>
          </cell>
          <cell r="I181" t="str">
            <v>HZK</v>
          </cell>
          <cell r="J181">
            <v>13.4</v>
          </cell>
          <cell r="N181" t="e">
            <v>#DIV/0!</v>
          </cell>
        </row>
        <row r="182">
          <cell r="E182" t="str">
            <v>HGC-Lib-2450085</v>
          </cell>
          <cell r="F182" t="str">
            <v>TCRLFTBC240625007</v>
          </cell>
          <cell r="G182">
            <v>12</v>
          </cell>
          <cell r="I182" t="str">
            <v>HZK</v>
          </cell>
          <cell r="J182">
            <v>26.4</v>
          </cell>
          <cell r="N182" t="e">
            <v>#DIV/0!</v>
          </cell>
        </row>
        <row r="183">
          <cell r="E183" t="str">
            <v>HGC-Lib-2450086</v>
          </cell>
          <cell r="F183" t="str">
            <v>LC240626060</v>
          </cell>
          <cell r="G183">
            <v>90</v>
          </cell>
          <cell r="I183" t="str">
            <v>HZK</v>
          </cell>
          <cell r="J183">
            <v>15.4</v>
          </cell>
          <cell r="N183" t="e">
            <v>#DIV/0!</v>
          </cell>
        </row>
        <row r="184">
          <cell r="E184" t="str">
            <v>HGC-Lib-2450087</v>
          </cell>
          <cell r="F184" t="str">
            <v>BCRLFTBC240625007</v>
          </cell>
          <cell r="G184">
            <v>12</v>
          </cell>
          <cell r="I184" t="str">
            <v>HZK</v>
          </cell>
          <cell r="J184">
            <v>23</v>
          </cell>
          <cell r="N184" t="e">
            <v>#DIV/0!</v>
          </cell>
        </row>
        <row r="185">
          <cell r="E185" t="str">
            <v>HGC-Lib-2450088</v>
          </cell>
          <cell r="F185" t="str">
            <v>LFTBC240625005</v>
          </cell>
          <cell r="G185">
            <v>100</v>
          </cell>
          <cell r="I185" t="str">
            <v>HZK</v>
          </cell>
          <cell r="J185">
            <v>7.74</v>
          </cell>
          <cell r="N185" t="e">
            <v>#DIV/0!</v>
          </cell>
        </row>
        <row r="186">
          <cell r="E186" t="str">
            <v>HGC-Lib-2450089</v>
          </cell>
          <cell r="F186" t="str">
            <v>BCRLFTBC240625006</v>
          </cell>
          <cell r="G186">
            <v>12</v>
          </cell>
          <cell r="I186" t="str">
            <v>HZK</v>
          </cell>
          <cell r="J186">
            <v>21.4</v>
          </cell>
          <cell r="N186" t="e">
            <v>#DIV/0!</v>
          </cell>
        </row>
        <row r="187">
          <cell r="E187" t="str">
            <v>HGC-Lib-2450090</v>
          </cell>
          <cell r="F187" t="str">
            <v>TCRLFTBC240625006</v>
          </cell>
          <cell r="G187">
            <v>12</v>
          </cell>
          <cell r="I187" t="str">
            <v>HZK</v>
          </cell>
          <cell r="J187">
            <v>23.2</v>
          </cell>
          <cell r="N187" t="e">
            <v>#DIV/0!</v>
          </cell>
        </row>
        <row r="188">
          <cell r="E188" t="str">
            <v>HGC-Lib-2450091</v>
          </cell>
          <cell r="F188" t="str">
            <v>LFTBC240625007</v>
          </cell>
          <cell r="G188">
            <v>100</v>
          </cell>
          <cell r="I188" t="str">
            <v>HZK</v>
          </cell>
          <cell r="J188">
            <v>13.1</v>
          </cell>
          <cell r="N188" t="e">
            <v>#DIV/0!</v>
          </cell>
        </row>
        <row r="189">
          <cell r="E189" t="str">
            <v>HGC-Lib-2450092</v>
          </cell>
          <cell r="F189" t="str">
            <v>TCRLFTBC240625005</v>
          </cell>
          <cell r="G189">
            <v>12</v>
          </cell>
          <cell r="I189" t="str">
            <v>HZK</v>
          </cell>
          <cell r="J189">
            <v>23.2</v>
          </cell>
          <cell r="N189" t="e">
            <v>#DIV/0!</v>
          </cell>
        </row>
        <row r="190">
          <cell r="E190" t="str">
            <v>HGC-Lib-2450093</v>
          </cell>
          <cell r="F190" t="str">
            <v>BCRLFTBC240625005</v>
          </cell>
          <cell r="G190">
            <v>12</v>
          </cell>
          <cell r="I190" t="str">
            <v>HZK</v>
          </cell>
          <cell r="J190">
            <v>17.100000000000001</v>
          </cell>
          <cell r="N190" t="e">
            <v>#DIV/0!</v>
          </cell>
        </row>
        <row r="191">
          <cell r="E191" t="str">
            <v>HGC-Lib-2450094</v>
          </cell>
          <cell r="F191" t="str">
            <v>TCRLFTBC240625008</v>
          </cell>
          <cell r="G191">
            <v>12</v>
          </cell>
          <cell r="I191" t="str">
            <v>HZK</v>
          </cell>
          <cell r="J191">
            <v>25.4</v>
          </cell>
          <cell r="N191" t="e">
            <v>#DIV/0!</v>
          </cell>
        </row>
        <row r="192">
          <cell r="E192" t="str">
            <v>HGC-Lib-2450095</v>
          </cell>
          <cell r="F192" t="str">
            <v>BCRLFTBC240625008</v>
          </cell>
          <cell r="G192">
            <v>12</v>
          </cell>
          <cell r="I192" t="str">
            <v>HZK</v>
          </cell>
          <cell r="J192">
            <v>24.4</v>
          </cell>
          <cell r="N192" t="e">
            <v>#DIV/0!</v>
          </cell>
        </row>
        <row r="193">
          <cell r="E193" t="str">
            <v>HGC-Lib-2450096</v>
          </cell>
          <cell r="F193" t="str">
            <v>LFTBC240625006</v>
          </cell>
          <cell r="G193">
            <v>100</v>
          </cell>
          <cell r="I193" t="str">
            <v>HZK</v>
          </cell>
          <cell r="J193">
            <v>11.4</v>
          </cell>
          <cell r="N193" t="e">
            <v>#DIV/0!</v>
          </cell>
        </row>
        <row r="194">
          <cell r="E194" t="str">
            <v>HGC-Lib-2450097</v>
          </cell>
          <cell r="F194" t="str">
            <v>LTC240625097</v>
          </cell>
          <cell r="G194">
            <v>90</v>
          </cell>
          <cell r="I194" t="str">
            <v>HZK</v>
          </cell>
          <cell r="J194">
            <v>14.6</v>
          </cell>
          <cell r="N194" t="e">
            <v>#DIV/0!</v>
          </cell>
        </row>
        <row r="195">
          <cell r="E195" t="str">
            <v>HGC-Lib-2450098</v>
          </cell>
          <cell r="F195" t="str">
            <v>LC240625098</v>
          </cell>
          <cell r="G195">
            <v>90</v>
          </cell>
          <cell r="I195" t="str">
            <v>HZK</v>
          </cell>
          <cell r="J195">
            <v>18.7</v>
          </cell>
          <cell r="N195" t="e">
            <v>#DIV/0!</v>
          </cell>
        </row>
        <row r="196">
          <cell r="E196" t="str">
            <v>HGC-Lib-2450099</v>
          </cell>
          <cell r="F196" t="str">
            <v>LA230430003</v>
          </cell>
          <cell r="G196">
            <v>130</v>
          </cell>
          <cell r="I196" t="str">
            <v>HZK</v>
          </cell>
          <cell r="J196">
            <v>3.96</v>
          </cell>
          <cell r="N196" t="e">
            <v>#DIV/0!</v>
          </cell>
        </row>
        <row r="197">
          <cell r="E197" t="str">
            <v>HGC-Lib-2450107</v>
          </cell>
          <cell r="F197" t="str">
            <v>OL27328</v>
          </cell>
          <cell r="G197">
            <v>1000</v>
          </cell>
          <cell r="I197" t="str">
            <v>GZQ</v>
          </cell>
          <cell r="J197">
            <v>2.9</v>
          </cell>
          <cell r="K197">
            <v>444</v>
          </cell>
          <cell r="L197" t="str">
            <v>YHT</v>
          </cell>
          <cell r="N197">
            <v>10.04851004851</v>
          </cell>
        </row>
        <row r="198">
          <cell r="E198" t="str">
            <v>HGC-Lib-2450108</v>
          </cell>
          <cell r="F198" t="str">
            <v>OL27334</v>
          </cell>
          <cell r="G198">
            <v>1000</v>
          </cell>
          <cell r="I198" t="str">
            <v>GZQ</v>
          </cell>
          <cell r="J198">
            <v>2.96</v>
          </cell>
          <cell r="K198">
            <v>456</v>
          </cell>
          <cell r="L198" t="str">
            <v>YHT</v>
          </cell>
          <cell r="N198">
            <v>9.9865047233468296</v>
          </cell>
        </row>
        <row r="199">
          <cell r="E199" t="str">
            <v>HGC-POOL-2450109</v>
          </cell>
          <cell r="F199" t="str">
            <v>OL27340</v>
          </cell>
          <cell r="G199">
            <v>224</v>
          </cell>
          <cell r="I199" t="str">
            <v>GZQ</v>
          </cell>
          <cell r="J199">
            <v>2.06</v>
          </cell>
          <cell r="K199">
            <v>334</v>
          </cell>
          <cell r="L199" t="str">
            <v>YHT</v>
          </cell>
          <cell r="N199">
            <v>9.4887148779364399</v>
          </cell>
        </row>
        <row r="200">
          <cell r="E200" t="str">
            <v>HGC-POOL-2450110</v>
          </cell>
          <cell r="F200" t="str">
            <v>OL27342</v>
          </cell>
          <cell r="G200">
            <v>166</v>
          </cell>
          <cell r="I200" t="str">
            <v>GZQ</v>
          </cell>
          <cell r="J200">
            <v>0.92200000000000004</v>
          </cell>
          <cell r="K200">
            <v>349</v>
          </cell>
          <cell r="L200" t="str">
            <v>YHT</v>
          </cell>
          <cell r="N200">
            <v>4.0643597090588504</v>
          </cell>
        </row>
        <row r="201">
          <cell r="E201" t="str">
            <v>HGC-Lib-2450100</v>
          </cell>
          <cell r="F201" t="str">
            <v>LVC221031002</v>
          </cell>
          <cell r="G201">
            <v>130</v>
          </cell>
          <cell r="I201" t="str">
            <v>HZK</v>
          </cell>
          <cell r="J201">
            <v>20.8</v>
          </cell>
          <cell r="N201" t="e">
            <v>#DIV/0!</v>
          </cell>
        </row>
        <row r="202">
          <cell r="E202" t="str">
            <v>HGC-Lib-2450101</v>
          </cell>
          <cell r="F202" t="str">
            <v>LVC221031003</v>
          </cell>
          <cell r="G202">
            <v>130</v>
          </cell>
          <cell r="I202" t="str">
            <v>HZK</v>
          </cell>
          <cell r="J202">
            <v>13.7</v>
          </cell>
          <cell r="N202" t="e">
            <v>#DIV/0!</v>
          </cell>
        </row>
        <row r="203">
          <cell r="E203" t="str">
            <v>HGC-Lib-2450102</v>
          </cell>
          <cell r="F203" t="str">
            <v>LVC221031004</v>
          </cell>
          <cell r="G203">
            <v>130</v>
          </cell>
          <cell r="I203" t="str">
            <v>HZK</v>
          </cell>
          <cell r="J203">
            <v>16.3</v>
          </cell>
          <cell r="N203" t="e">
            <v>#DIV/0!</v>
          </cell>
        </row>
        <row r="204">
          <cell r="E204" t="str">
            <v>HGC-Lib-2450103</v>
          </cell>
          <cell r="F204" t="str">
            <v>LVC221031005</v>
          </cell>
          <cell r="G204">
            <v>130</v>
          </cell>
          <cell r="I204" t="str">
            <v>HZK</v>
          </cell>
          <cell r="J204">
            <v>15.4</v>
          </cell>
          <cell r="N204" t="e">
            <v>#DIV/0!</v>
          </cell>
        </row>
        <row r="205">
          <cell r="E205" t="str">
            <v>HGC-Lib-2450104</v>
          </cell>
          <cell r="F205" t="str">
            <v>LVC221031006</v>
          </cell>
          <cell r="G205">
            <v>130</v>
          </cell>
          <cell r="I205" t="str">
            <v>HZK</v>
          </cell>
          <cell r="J205">
            <v>18.3</v>
          </cell>
          <cell r="N205" t="e">
            <v>#DIV/0!</v>
          </cell>
        </row>
        <row r="206">
          <cell r="E206" t="str">
            <v>HGC-Lib-2450105</v>
          </cell>
          <cell r="F206" t="str">
            <v>LVC221031007</v>
          </cell>
          <cell r="G206">
            <v>130</v>
          </cell>
          <cell r="I206" t="str">
            <v>HZK</v>
          </cell>
          <cell r="J206">
            <v>23</v>
          </cell>
          <cell r="N206" t="e">
            <v>#DIV/0!</v>
          </cell>
        </row>
        <row r="207">
          <cell r="E207" t="str">
            <v>HGC-Lib-2450106</v>
          </cell>
          <cell r="F207" t="str">
            <v>LVC221031008</v>
          </cell>
          <cell r="G207">
            <v>130</v>
          </cell>
          <cell r="I207" t="str">
            <v>HZK</v>
          </cell>
          <cell r="J207">
            <v>15.4</v>
          </cell>
          <cell r="N207" t="e">
            <v>#DIV/0!</v>
          </cell>
        </row>
        <row r="208">
          <cell r="E208" t="str">
            <v>HGC-Lib-2450110</v>
          </cell>
          <cell r="F208" t="str">
            <v>NC1</v>
          </cell>
          <cell r="G208">
            <v>6</v>
          </cell>
          <cell r="H208" t="str">
            <v>ATAC-Seq文库</v>
          </cell>
          <cell r="I208" t="str">
            <v>YHT</v>
          </cell>
          <cell r="J208">
            <v>28.4</v>
          </cell>
          <cell r="K208">
            <v>321</v>
          </cell>
          <cell r="L208" t="str">
            <v>XCL</v>
          </cell>
          <cell r="N208">
            <v>136.11310807572499</v>
          </cell>
        </row>
        <row r="209">
          <cell r="E209" t="str">
            <v>HGC-Lib-2450111</v>
          </cell>
          <cell r="F209" t="str">
            <v>NC2</v>
          </cell>
          <cell r="G209">
            <v>6</v>
          </cell>
          <cell r="H209" t="str">
            <v>ATAC-Seq文库</v>
          </cell>
          <cell r="I209" t="str">
            <v>YHT</v>
          </cell>
          <cell r="J209">
            <v>39.799999999999997</v>
          </cell>
          <cell r="K209">
            <v>375</v>
          </cell>
          <cell r="L209" t="str">
            <v>XCL</v>
          </cell>
          <cell r="N209">
            <v>163.28205128205099</v>
          </cell>
        </row>
        <row r="210">
          <cell r="E210" t="str">
            <v>HGC-Lib-2450112</v>
          </cell>
          <cell r="F210" t="str">
            <v>NC3</v>
          </cell>
          <cell r="G210">
            <v>6</v>
          </cell>
          <cell r="H210" t="str">
            <v>ATAC-Seq文库</v>
          </cell>
          <cell r="I210" t="str">
            <v>YHT</v>
          </cell>
          <cell r="J210">
            <v>34.799999999999997</v>
          </cell>
          <cell r="K210">
            <v>361</v>
          </cell>
          <cell r="L210" t="str">
            <v>XCL</v>
          </cell>
          <cell r="N210">
            <v>148.305987641168</v>
          </cell>
        </row>
        <row r="211">
          <cell r="E211" t="str">
            <v>HGC-Lib-2450113</v>
          </cell>
          <cell r="F211" t="str">
            <v>KD1</v>
          </cell>
          <cell r="G211">
            <v>6</v>
          </cell>
          <cell r="H211" t="str">
            <v>ATAC-Seq文库</v>
          </cell>
          <cell r="I211" t="str">
            <v>YHT</v>
          </cell>
          <cell r="J211">
            <v>35.799999999999997</v>
          </cell>
          <cell r="K211">
            <v>331</v>
          </cell>
          <cell r="L211" t="str">
            <v>XCL</v>
          </cell>
          <cell r="N211">
            <v>166.39553799674599</v>
          </cell>
        </row>
        <row r="212">
          <cell r="E212" t="str">
            <v>HGC-Lib-2450114</v>
          </cell>
          <cell r="F212" t="str">
            <v>KD2</v>
          </cell>
          <cell r="G212">
            <v>6</v>
          </cell>
          <cell r="H212" t="str">
            <v>ATAC-Seq文库</v>
          </cell>
          <cell r="I212" t="str">
            <v>YHT</v>
          </cell>
          <cell r="J212">
            <v>46</v>
          </cell>
          <cell r="K212">
            <v>366</v>
          </cell>
          <cell r="L212" t="str">
            <v>XCL</v>
          </cell>
          <cell r="N212">
            <v>193.358554014292</v>
          </cell>
        </row>
        <row r="213">
          <cell r="E213" t="str">
            <v>HGC-Lib-2450115</v>
          </cell>
          <cell r="F213" t="str">
            <v>KD3</v>
          </cell>
          <cell r="G213">
            <v>6</v>
          </cell>
          <cell r="H213" t="str">
            <v>ATAC-Seq文库</v>
          </cell>
          <cell r="I213" t="str">
            <v>YHT</v>
          </cell>
          <cell r="J213">
            <v>53.4</v>
          </cell>
          <cell r="K213">
            <v>346</v>
          </cell>
          <cell r="L213" t="str">
            <v>XCL</v>
          </cell>
          <cell r="N213">
            <v>237.438861716318</v>
          </cell>
        </row>
        <row r="214">
          <cell r="E214" t="str">
            <v>HGC-Lib-2450116</v>
          </cell>
          <cell r="F214" t="str">
            <v>con2</v>
          </cell>
          <cell r="G214">
            <v>6</v>
          </cell>
          <cell r="H214" t="str">
            <v>mRNA文库</v>
          </cell>
          <cell r="I214" t="str">
            <v>YHT</v>
          </cell>
          <cell r="J214">
            <v>21</v>
          </cell>
          <cell r="K214">
            <v>478</v>
          </cell>
          <cell r="L214" t="str">
            <v>XCL</v>
          </cell>
          <cell r="N214">
            <v>67.589314451239105</v>
          </cell>
        </row>
        <row r="215">
          <cell r="E215" t="str">
            <v>HGC-Lib-2450117</v>
          </cell>
          <cell r="F215" t="str">
            <v>con3</v>
          </cell>
          <cell r="G215">
            <v>6</v>
          </cell>
          <cell r="H215" t="str">
            <v>mRNA文库</v>
          </cell>
          <cell r="I215" t="str">
            <v>YHT</v>
          </cell>
          <cell r="J215">
            <v>13.7</v>
          </cell>
          <cell r="K215">
            <v>497</v>
          </cell>
          <cell r="L215" t="str">
            <v>XCL</v>
          </cell>
          <cell r="N215">
            <v>42.4082959294227</v>
          </cell>
        </row>
        <row r="216">
          <cell r="E216" t="str">
            <v>HGC-Lib-2450118</v>
          </cell>
          <cell r="F216" t="str">
            <v>Run1</v>
          </cell>
          <cell r="G216">
            <v>6</v>
          </cell>
          <cell r="H216" t="str">
            <v>mRNA文库</v>
          </cell>
          <cell r="I216" t="str">
            <v>YHT</v>
          </cell>
          <cell r="J216">
            <v>14.7</v>
          </cell>
          <cell r="K216">
            <v>477</v>
          </cell>
          <cell r="L216" t="str">
            <v>XCL</v>
          </cell>
          <cell r="N216">
            <v>47.411707789066298</v>
          </cell>
        </row>
        <row r="217">
          <cell r="E217" t="str">
            <v>HGC-Lib-2450119</v>
          </cell>
          <cell r="F217" t="str">
            <v>Run2</v>
          </cell>
          <cell r="G217">
            <v>6</v>
          </cell>
          <cell r="H217" t="str">
            <v>mRNA文库</v>
          </cell>
          <cell r="I217" t="str">
            <v>YHT</v>
          </cell>
          <cell r="J217">
            <v>16.2</v>
          </cell>
          <cell r="K217">
            <v>470</v>
          </cell>
          <cell r="L217" t="str">
            <v>XCL</v>
          </cell>
          <cell r="N217">
            <v>53.0278232405892</v>
          </cell>
        </row>
        <row r="218">
          <cell r="E218" t="str">
            <v>HGC-Lib-2450120</v>
          </cell>
          <cell r="F218" t="str">
            <v>Run3</v>
          </cell>
          <cell r="G218">
            <v>6</v>
          </cell>
          <cell r="H218" t="str">
            <v>mRNA文库</v>
          </cell>
          <cell r="I218" t="str">
            <v>YHT</v>
          </cell>
          <cell r="J218">
            <v>16</v>
          </cell>
          <cell r="K218">
            <v>454</v>
          </cell>
          <cell r="L218" t="str">
            <v>XCL</v>
          </cell>
          <cell r="N218">
            <v>54.218908844459499</v>
          </cell>
        </row>
        <row r="219">
          <cell r="E219" t="str">
            <v>HGC-Lib-2450121</v>
          </cell>
          <cell r="F219" t="str">
            <v>ST1</v>
          </cell>
          <cell r="G219">
            <v>6</v>
          </cell>
          <cell r="H219" t="str">
            <v>mRNA文库</v>
          </cell>
          <cell r="I219" t="str">
            <v>YHT</v>
          </cell>
          <cell r="J219">
            <v>4.9000000000000004</v>
          </cell>
          <cell r="K219">
            <v>419</v>
          </cell>
          <cell r="L219" t="str">
            <v>GZQ</v>
          </cell>
          <cell r="N219">
            <v>17.991554984395101</v>
          </cell>
        </row>
        <row r="220">
          <cell r="E220" t="str">
            <v>HGC-Lib-2450122</v>
          </cell>
          <cell r="F220" t="str">
            <v>ST2</v>
          </cell>
          <cell r="G220">
            <v>6</v>
          </cell>
          <cell r="H220" t="str">
            <v>mRNA文库</v>
          </cell>
          <cell r="I220" t="str">
            <v>YHT</v>
          </cell>
          <cell r="J220">
            <v>1.27</v>
          </cell>
          <cell r="K220">
            <v>359</v>
          </cell>
          <cell r="L220" t="str">
            <v>GZQ</v>
          </cell>
          <cell r="N220">
            <v>5.4424683951146404</v>
          </cell>
        </row>
        <row r="221">
          <cell r="E221" t="str">
            <v>HGC-Lib-2450123</v>
          </cell>
          <cell r="F221" t="str">
            <v>LT1</v>
          </cell>
          <cell r="G221">
            <v>6</v>
          </cell>
          <cell r="H221" t="str">
            <v>mRNA文库</v>
          </cell>
          <cell r="I221" t="str">
            <v>YHT</v>
          </cell>
          <cell r="J221">
            <v>1.32</v>
          </cell>
          <cell r="K221">
            <v>542</v>
          </cell>
          <cell r="L221" t="str">
            <v>GZQ</v>
          </cell>
          <cell r="N221">
            <v>3.7468066988362199</v>
          </cell>
        </row>
        <row r="222">
          <cell r="E222" t="str">
            <v>HGC-Lib-2450124</v>
          </cell>
          <cell r="F222" t="str">
            <v>LT2</v>
          </cell>
          <cell r="G222">
            <v>6</v>
          </cell>
          <cell r="H222" t="str">
            <v>mRNA文库</v>
          </cell>
          <cell r="I222" t="str">
            <v>YHT</v>
          </cell>
          <cell r="J222">
            <v>0.90400000000000003</v>
          </cell>
          <cell r="K222">
            <v>442</v>
          </cell>
          <cell r="L222" t="str">
            <v>GZQ</v>
          </cell>
          <cell r="N222">
            <v>3.1465367211973501</v>
          </cell>
        </row>
        <row r="223">
          <cell r="E223" t="str">
            <v>HGC-Lib-2450125</v>
          </cell>
          <cell r="F223" t="str">
            <v>NC1</v>
          </cell>
          <cell r="G223">
            <v>6</v>
          </cell>
          <cell r="H223" t="str">
            <v>cut&amp;tag文库</v>
          </cell>
          <cell r="I223" t="str">
            <v>YHT</v>
          </cell>
          <cell r="J223">
            <v>0.53400000000000003</v>
          </cell>
          <cell r="K223">
            <v>355</v>
          </cell>
          <cell r="L223" t="str">
            <v>GZQ</v>
          </cell>
          <cell r="N223">
            <v>2.3141928494041202</v>
          </cell>
        </row>
        <row r="224">
          <cell r="E224" t="str">
            <v>HGC-Lib-2450126</v>
          </cell>
          <cell r="F224" t="str">
            <v>NC2</v>
          </cell>
          <cell r="G224">
            <v>6</v>
          </cell>
          <cell r="H224" t="str">
            <v>cut&amp;tag文库</v>
          </cell>
          <cell r="I224" t="str">
            <v>YHT</v>
          </cell>
          <cell r="J224">
            <v>0.56999999999999995</v>
          </cell>
          <cell r="K224">
            <v>311</v>
          </cell>
          <cell r="L224" t="str">
            <v>GZQ</v>
          </cell>
          <cell r="N224">
            <v>2.8196883502349701</v>
          </cell>
        </row>
        <row r="225">
          <cell r="E225" t="str">
            <v>HGC-Lib-2450127</v>
          </cell>
          <cell r="F225" t="str">
            <v>NC3</v>
          </cell>
          <cell r="G225">
            <v>6</v>
          </cell>
          <cell r="H225" t="str">
            <v>cut&amp;tag文库</v>
          </cell>
          <cell r="I225" t="str">
            <v>YHT</v>
          </cell>
          <cell r="J225">
            <v>0.73399999999999999</v>
          </cell>
          <cell r="K225">
            <v>311</v>
          </cell>
          <cell r="L225" t="str">
            <v>GZQ</v>
          </cell>
          <cell r="N225">
            <v>3.6309671036359101</v>
          </cell>
        </row>
        <row r="226">
          <cell r="E226" t="str">
            <v>HGC-Lib-2450128</v>
          </cell>
          <cell r="F226" t="str">
            <v>NC4-IgG</v>
          </cell>
          <cell r="G226">
            <v>6</v>
          </cell>
          <cell r="H226" t="str">
            <v>cut&amp;tag文库</v>
          </cell>
          <cell r="I226" t="str">
            <v>YHT</v>
          </cell>
          <cell r="J226">
            <v>2.2799999999999998</v>
          </cell>
          <cell r="K226">
            <v>283</v>
          </cell>
          <cell r="L226" t="str">
            <v>GZQ</v>
          </cell>
          <cell r="N226">
            <v>12.394672465343801</v>
          </cell>
        </row>
        <row r="227">
          <cell r="E227" t="str">
            <v>HGC-Lib-2450129</v>
          </cell>
          <cell r="F227" t="str">
            <v>KD1</v>
          </cell>
          <cell r="G227">
            <v>6</v>
          </cell>
          <cell r="H227" t="str">
            <v>cut&amp;tag文库</v>
          </cell>
          <cell r="I227" t="str">
            <v>YHT</v>
          </cell>
          <cell r="J227">
            <v>0.66</v>
          </cell>
          <cell r="K227">
            <v>309</v>
          </cell>
          <cell r="L227" t="str">
            <v>GZQ</v>
          </cell>
          <cell r="N227">
            <v>3.2860343539955199</v>
          </cell>
        </row>
        <row r="228">
          <cell r="E228" t="str">
            <v>HGC-Lib-2450130</v>
          </cell>
          <cell r="F228" t="str">
            <v>KD2</v>
          </cell>
          <cell r="G228">
            <v>6</v>
          </cell>
          <cell r="H228" t="str">
            <v>cut&amp;tag文库</v>
          </cell>
          <cell r="I228" t="str">
            <v>YHT</v>
          </cell>
          <cell r="J228">
            <v>0.71599999999999997</v>
          </cell>
          <cell r="K228">
            <v>314</v>
          </cell>
          <cell r="L228" t="str">
            <v>GZQ</v>
          </cell>
          <cell r="N228">
            <v>3.5080842724154802</v>
          </cell>
        </row>
        <row r="229">
          <cell r="E229" t="str">
            <v>HGC-Lib-2450131</v>
          </cell>
          <cell r="F229" t="str">
            <v>KD3</v>
          </cell>
          <cell r="G229">
            <v>6</v>
          </cell>
          <cell r="H229" t="str">
            <v>cut&amp;tag文库</v>
          </cell>
          <cell r="I229" t="str">
            <v>YHT</v>
          </cell>
          <cell r="J229">
            <v>0.56999999999999995</v>
          </cell>
          <cell r="K229">
            <v>319</v>
          </cell>
          <cell r="L229" t="str">
            <v>GZQ</v>
          </cell>
          <cell r="N229">
            <v>2.7489751627682701</v>
          </cell>
        </row>
        <row r="230">
          <cell r="E230" t="str">
            <v>HGC-Lib-2450132</v>
          </cell>
          <cell r="F230" t="str">
            <v>KD4-IgG</v>
          </cell>
          <cell r="G230">
            <v>6</v>
          </cell>
          <cell r="H230" t="str">
            <v>cut&amp;tag文库</v>
          </cell>
          <cell r="I230" t="str">
            <v>YHT</v>
          </cell>
          <cell r="J230">
            <v>2.56</v>
          </cell>
          <cell r="K230">
            <v>340</v>
          </cell>
          <cell r="L230" t="str">
            <v>GZQ</v>
          </cell>
          <cell r="N230">
            <v>11.583710407239799</v>
          </cell>
        </row>
        <row r="231">
          <cell r="E231" t="str">
            <v>HGC-Lib-2450133</v>
          </cell>
          <cell r="F231" t="str">
            <v>C1</v>
          </cell>
          <cell r="G231">
            <v>2</v>
          </cell>
          <cell r="H231" t="str">
            <v>甲基化文库</v>
          </cell>
          <cell r="I231" t="str">
            <v>YHT</v>
          </cell>
          <cell r="J231">
            <v>4.4000000000000004</v>
          </cell>
          <cell r="K231">
            <v>433</v>
          </cell>
          <cell r="L231" t="str">
            <v>GZQ</v>
          </cell>
          <cell r="N231">
            <v>15.633327411618399</v>
          </cell>
        </row>
        <row r="232">
          <cell r="E232" t="str">
            <v>HGC-Lib-2450134</v>
          </cell>
          <cell r="F232" t="str">
            <v>C2</v>
          </cell>
          <cell r="G232">
            <v>2</v>
          </cell>
          <cell r="H232" t="str">
            <v>甲基化文库</v>
          </cell>
          <cell r="I232" t="str">
            <v>YHT</v>
          </cell>
          <cell r="J232">
            <v>6.4</v>
          </cell>
          <cell r="K232">
            <v>456</v>
          </cell>
          <cell r="L232" t="str">
            <v>GZQ</v>
          </cell>
          <cell r="N232">
            <v>21.5924426450742</v>
          </cell>
        </row>
        <row r="233">
          <cell r="E233" t="str">
            <v>HGC-Lib-2450135</v>
          </cell>
          <cell r="F233" t="str">
            <v>C3</v>
          </cell>
          <cell r="G233">
            <v>2</v>
          </cell>
          <cell r="H233" t="str">
            <v>甲基化文库</v>
          </cell>
          <cell r="I233" t="str">
            <v>YHT</v>
          </cell>
          <cell r="J233">
            <v>3.8</v>
          </cell>
          <cell r="K233">
            <v>428</v>
          </cell>
          <cell r="L233" t="str">
            <v>GZQ</v>
          </cell>
          <cell r="N233">
            <v>13.6592379583034</v>
          </cell>
        </row>
        <row r="234">
          <cell r="E234" t="str">
            <v>HGC-Lib-2450136</v>
          </cell>
          <cell r="F234" t="str">
            <v>C4</v>
          </cell>
          <cell r="G234">
            <v>2</v>
          </cell>
          <cell r="H234" t="str">
            <v>甲基化文库</v>
          </cell>
          <cell r="I234" t="str">
            <v>YHT</v>
          </cell>
          <cell r="J234">
            <v>2.76</v>
          </cell>
          <cell r="K234">
            <v>377</v>
          </cell>
          <cell r="L234" t="str">
            <v>GZQ</v>
          </cell>
          <cell r="N234">
            <v>11.263007549479701</v>
          </cell>
        </row>
        <row r="235">
          <cell r="E235" t="str">
            <v>HGC-Lib-2450137</v>
          </cell>
          <cell r="F235" t="str">
            <v>C5</v>
          </cell>
          <cell r="G235">
            <v>2</v>
          </cell>
          <cell r="H235" t="str">
            <v>甲基化文库</v>
          </cell>
          <cell r="I235" t="str">
            <v>YHT</v>
          </cell>
          <cell r="J235">
            <v>3.62</v>
          </cell>
          <cell r="K235">
            <v>403</v>
          </cell>
          <cell r="L235" t="str">
            <v>GZQ</v>
          </cell>
          <cell r="N235">
            <v>13.8194311891582</v>
          </cell>
        </row>
        <row r="236">
          <cell r="E236" t="str">
            <v>HGC-Lib-2450138</v>
          </cell>
          <cell r="F236" t="str">
            <v>7T</v>
          </cell>
          <cell r="G236">
            <v>2</v>
          </cell>
          <cell r="H236" t="str">
            <v>甲基化文库</v>
          </cell>
          <cell r="I236" t="str">
            <v>YHT</v>
          </cell>
          <cell r="J236">
            <v>14</v>
          </cell>
          <cell r="K236">
            <v>478</v>
          </cell>
          <cell r="L236" t="str">
            <v>GZQ</v>
          </cell>
          <cell r="N236">
            <v>45.059542967492803</v>
          </cell>
        </row>
        <row r="237">
          <cell r="E237" t="str">
            <v>HGC-Lib-2450139</v>
          </cell>
          <cell r="F237" t="str">
            <v>7N</v>
          </cell>
          <cell r="G237">
            <v>2</v>
          </cell>
          <cell r="H237" t="str">
            <v>甲基化文库</v>
          </cell>
          <cell r="I237" t="str">
            <v>YHT</v>
          </cell>
          <cell r="J237">
            <v>6.2</v>
          </cell>
          <cell r="K237">
            <v>471</v>
          </cell>
          <cell r="L237" t="str">
            <v>GZQ</v>
          </cell>
          <cell r="N237">
            <v>20.251510697370598</v>
          </cell>
        </row>
        <row r="238">
          <cell r="E238" t="str">
            <v>HGC-Lib-2450140</v>
          </cell>
          <cell r="F238" t="str">
            <v>N_B_N4508-1K-BDv2-2240424TEST</v>
          </cell>
          <cell r="G238" t="str">
            <v>10.0</v>
          </cell>
          <cell r="H238" t="str">
            <v>BD-单细胞</v>
          </cell>
          <cell r="I238" t="str">
            <v>YHT</v>
          </cell>
          <cell r="J238">
            <v>17.399999999999999</v>
          </cell>
          <cell r="N238" t="e">
            <v>#DIV/0!</v>
          </cell>
        </row>
        <row r="239">
          <cell r="E239" t="str">
            <v>HGC-Lib-2450141</v>
          </cell>
          <cell r="F239" t="str">
            <v>N_B_N4617-4B-10X5aPD1-1</v>
          </cell>
          <cell r="G239" t="str">
            <v>100.0</v>
          </cell>
          <cell r="H239" t="str">
            <v>10x 5'单细胞</v>
          </cell>
          <cell r="I239" t="str">
            <v>YHT</v>
          </cell>
          <cell r="J239">
            <v>38.6</v>
          </cell>
          <cell r="N239" t="e">
            <v>#DIV/0!</v>
          </cell>
        </row>
        <row r="240">
          <cell r="E240" t="str">
            <v>HGC-Lib-2450142</v>
          </cell>
          <cell r="F240" t="str">
            <v>N_B_N4617-4C-10X5aPD1-2</v>
          </cell>
          <cell r="G240" t="str">
            <v>100.0</v>
          </cell>
          <cell r="H240" t="str">
            <v>10x 5'单细胞</v>
          </cell>
          <cell r="I240" t="str">
            <v>YHT</v>
          </cell>
          <cell r="J240">
            <v>33.799999999999997</v>
          </cell>
          <cell r="N240" t="e">
            <v>#DIV/0!</v>
          </cell>
        </row>
        <row r="241">
          <cell r="E241" t="str">
            <v>HGC-Lib-2450143</v>
          </cell>
          <cell r="F241" t="str">
            <v>N_B_N4617-4D-10X5aPD1-3</v>
          </cell>
          <cell r="G241" t="str">
            <v>100.0</v>
          </cell>
          <cell r="H241" t="str">
            <v>10x 5'单细胞</v>
          </cell>
          <cell r="I241" t="str">
            <v>YHT</v>
          </cell>
          <cell r="J241">
            <v>39.4</v>
          </cell>
          <cell r="N241" t="e">
            <v>#DIV/0!</v>
          </cell>
        </row>
        <row r="242">
          <cell r="E242" t="str">
            <v>HGC-Lib-2450144</v>
          </cell>
          <cell r="F242" t="str">
            <v>N_B_N4617-4E-10X5ATBaPD1-1</v>
          </cell>
          <cell r="G242" t="str">
            <v>100.0</v>
          </cell>
          <cell r="H242" t="str">
            <v>10x 5'单细胞</v>
          </cell>
          <cell r="I242" t="str">
            <v>YHT</v>
          </cell>
          <cell r="J242">
            <v>36.799999999999997</v>
          </cell>
          <cell r="N242" t="e">
            <v>#DIV/0!</v>
          </cell>
        </row>
        <row r="243">
          <cell r="E243" t="str">
            <v>HGC-Lib-2450145</v>
          </cell>
          <cell r="F243" t="str">
            <v>N_B_N4617-4F-10X5ATBaPD1-2</v>
          </cell>
          <cell r="G243" t="str">
            <v>100.0</v>
          </cell>
          <cell r="H243" t="str">
            <v>10x 5'单细胞</v>
          </cell>
          <cell r="I243" t="str">
            <v>YHT</v>
          </cell>
          <cell r="J243">
            <v>42.2</v>
          </cell>
          <cell r="N243" t="e">
            <v>#DIV/0!</v>
          </cell>
        </row>
        <row r="244">
          <cell r="E244" t="str">
            <v>HGC-Lib-2450146</v>
          </cell>
          <cell r="F244" t="str">
            <v>N_B_N4617-4G-10X5ATBaPD1-3</v>
          </cell>
          <cell r="G244" t="str">
            <v>100.0</v>
          </cell>
          <cell r="H244" t="str">
            <v>10x 5'单细胞</v>
          </cell>
          <cell r="I244" t="str">
            <v>YHT</v>
          </cell>
          <cell r="J244">
            <v>31.6</v>
          </cell>
          <cell r="N244" t="e">
            <v>#DIV/0!</v>
          </cell>
        </row>
        <row r="245">
          <cell r="E245" t="str">
            <v>HGC-Lib-2450147</v>
          </cell>
          <cell r="F245" t="str">
            <v>N_B_N4617-4B-10X5TCRaPD1-1-2</v>
          </cell>
          <cell r="G245" t="str">
            <v>10.0</v>
          </cell>
          <cell r="H245" t="str">
            <v>10X5TCR</v>
          </cell>
          <cell r="I245" t="str">
            <v>YHT</v>
          </cell>
          <cell r="J245">
            <v>48.6</v>
          </cell>
          <cell r="N245" t="e">
            <v>#DIV/0!</v>
          </cell>
        </row>
        <row r="246">
          <cell r="E246" t="str">
            <v>HGC-Lib-2450148</v>
          </cell>
          <cell r="F246" t="str">
            <v>N_B_N4617-4C-10X5TCRaPD1-2-2</v>
          </cell>
          <cell r="G246" t="str">
            <v>10.0</v>
          </cell>
          <cell r="H246" t="str">
            <v>10X5TCR</v>
          </cell>
          <cell r="I246" t="str">
            <v>YHT</v>
          </cell>
          <cell r="J246">
            <v>71.2</v>
          </cell>
          <cell r="N246" t="e">
            <v>#DIV/0!</v>
          </cell>
        </row>
        <row r="247">
          <cell r="E247" t="str">
            <v>HGC-Lib-2450149</v>
          </cell>
          <cell r="F247" t="str">
            <v>N_B_N4617-4D-10X5TCRaPD1-3-2</v>
          </cell>
          <cell r="G247" t="str">
            <v>10.0</v>
          </cell>
          <cell r="H247" t="str">
            <v>10X5TCR</v>
          </cell>
          <cell r="I247" t="str">
            <v>YHT</v>
          </cell>
          <cell r="J247">
            <v>76</v>
          </cell>
          <cell r="N247" t="e">
            <v>#DIV/0!</v>
          </cell>
        </row>
        <row r="248">
          <cell r="E248" t="str">
            <v>HGC-Lib-2450150</v>
          </cell>
          <cell r="F248" t="str">
            <v>N_B_N4617-4E-10X5TCRATBaPD1-1-2</v>
          </cell>
          <cell r="G248" t="str">
            <v>10.0</v>
          </cell>
          <cell r="H248" t="str">
            <v>10X5TCR</v>
          </cell>
          <cell r="I248" t="str">
            <v>YHT</v>
          </cell>
          <cell r="J248">
            <v>97.8</v>
          </cell>
          <cell r="N248" t="e">
            <v>#DIV/0!</v>
          </cell>
        </row>
        <row r="249">
          <cell r="E249" t="str">
            <v>HGC-Lib-2450151</v>
          </cell>
          <cell r="F249" t="str">
            <v>N_B_N4617-4F-10X5TCRATBaPD1-2-2</v>
          </cell>
          <cell r="G249" t="str">
            <v>10.0</v>
          </cell>
          <cell r="H249" t="str">
            <v>10X5TCR</v>
          </cell>
          <cell r="I249" t="str">
            <v>YHT</v>
          </cell>
          <cell r="J249">
            <v>50.8</v>
          </cell>
          <cell r="N249" t="e">
            <v>#DIV/0!</v>
          </cell>
        </row>
        <row r="250">
          <cell r="E250" t="str">
            <v>HGC-Lib-2450152</v>
          </cell>
          <cell r="F250" t="str">
            <v>N_B_N4617-4G-10X5TCRATBaPD1-3-2</v>
          </cell>
          <cell r="G250" t="str">
            <v>10.0</v>
          </cell>
          <cell r="H250" t="str">
            <v>10X5TCR</v>
          </cell>
          <cell r="I250" t="str">
            <v>YHT</v>
          </cell>
          <cell r="J250">
            <v>67.400000000000006</v>
          </cell>
          <cell r="N250" t="e">
            <v>#DIV/0!</v>
          </cell>
        </row>
        <row r="251">
          <cell r="E251" t="str">
            <v>HGC-Lib-2450153</v>
          </cell>
          <cell r="F251" t="str">
            <v>N_B_N4617-1A-10X3CR-mBO070</v>
          </cell>
          <cell r="G251" t="str">
            <v>200.0</v>
          </cell>
          <cell r="H251" t="str">
            <v>10× 3'单细胞</v>
          </cell>
          <cell r="I251" t="str">
            <v>YHT</v>
          </cell>
          <cell r="J251">
            <v>28.4</v>
          </cell>
          <cell r="N251" t="e">
            <v>#DIV/0!</v>
          </cell>
        </row>
        <row r="252">
          <cell r="E252" t="str">
            <v>HGC-Lib-2450154</v>
          </cell>
          <cell r="F252" t="str">
            <v>N_B_N4617-2S-10X320240618zhongliu1</v>
          </cell>
          <cell r="G252" t="str">
            <v>100.0</v>
          </cell>
          <cell r="H252" t="str">
            <v>10× 3'单细胞</v>
          </cell>
          <cell r="I252" t="str">
            <v>YHT</v>
          </cell>
          <cell r="J252">
            <v>15.8</v>
          </cell>
          <cell r="N252" t="e">
            <v>#DIV/0!</v>
          </cell>
        </row>
        <row r="253">
          <cell r="E253" t="str">
            <v>HGC-Lib-2450155</v>
          </cell>
          <cell r="F253" t="str">
            <v>N_B_N4617-2T-10X320240618zhongliu2</v>
          </cell>
          <cell r="G253" t="str">
            <v>100.0</v>
          </cell>
          <cell r="H253" t="str">
            <v>10× 3'单细胞</v>
          </cell>
          <cell r="I253" t="str">
            <v>YHT</v>
          </cell>
          <cell r="J253">
            <v>25</v>
          </cell>
          <cell r="N253" t="e">
            <v>#DIV/0!</v>
          </cell>
        </row>
        <row r="254">
          <cell r="E254" t="str">
            <v>HGC-Lib-2450156</v>
          </cell>
          <cell r="F254" t="str">
            <v>N_B_N4619-1A-10X3C-blood</v>
          </cell>
          <cell r="G254" t="str">
            <v>100.0</v>
          </cell>
          <cell r="H254" t="str">
            <v>10× 3'单细胞</v>
          </cell>
          <cell r="I254" t="str">
            <v>YHT</v>
          </cell>
          <cell r="J254">
            <v>18.600000000000001</v>
          </cell>
          <cell r="N254" t="e">
            <v>#DIV/0!</v>
          </cell>
        </row>
        <row r="255">
          <cell r="E255" t="str">
            <v>HGC-Lib-2450157</v>
          </cell>
          <cell r="F255" t="str">
            <v>N_B_N4619-1B-10X3G-blood</v>
          </cell>
          <cell r="G255" t="str">
            <v>100.0</v>
          </cell>
          <cell r="H255" t="str">
            <v>10× 3'单细胞</v>
          </cell>
          <cell r="I255" t="str">
            <v>YHT</v>
          </cell>
          <cell r="J255">
            <v>18</v>
          </cell>
          <cell r="N255" t="e">
            <v>#DIV/0!</v>
          </cell>
        </row>
        <row r="256">
          <cell r="E256" t="str">
            <v>HGC-Lib-2450158</v>
          </cell>
          <cell r="F256" t="str">
            <v>N_B_N4617-2M-10X3GF-blood1</v>
          </cell>
          <cell r="G256" t="str">
            <v>100.0</v>
          </cell>
          <cell r="H256" t="str">
            <v>10× 3'单细胞</v>
          </cell>
          <cell r="I256" t="str">
            <v>YHT</v>
          </cell>
          <cell r="J256">
            <v>21.8</v>
          </cell>
          <cell r="N256" t="e">
            <v>#DIV/0!</v>
          </cell>
        </row>
        <row r="257">
          <cell r="E257" t="str">
            <v>HGC-Lib-2450159</v>
          </cell>
          <cell r="F257" t="str">
            <v>N_B_N4617-2N-10X3GF-blood2</v>
          </cell>
          <cell r="G257" t="str">
            <v>100.0</v>
          </cell>
          <cell r="H257" t="str">
            <v>10× 3'单细胞</v>
          </cell>
          <cell r="I257" t="str">
            <v>YHT</v>
          </cell>
          <cell r="J257">
            <v>16.3</v>
          </cell>
          <cell r="N257" t="e">
            <v>#DIV/0!</v>
          </cell>
        </row>
        <row r="258">
          <cell r="E258" t="str">
            <v>HGC-Lib-2450160</v>
          </cell>
          <cell r="F258" t="str">
            <v>N_B_N4617-2G-10X3C-spleen</v>
          </cell>
          <cell r="G258" t="str">
            <v>100.0</v>
          </cell>
          <cell r="H258" t="str">
            <v>10× 3'单细胞</v>
          </cell>
          <cell r="I258" t="str">
            <v>YHT</v>
          </cell>
          <cell r="J258">
            <v>20.8</v>
          </cell>
          <cell r="N258" t="e">
            <v>#DIV/0!</v>
          </cell>
        </row>
        <row r="259">
          <cell r="E259" t="str">
            <v>HGC-Lib-2450161</v>
          </cell>
          <cell r="F259" t="str">
            <v>N_B_N4617-2H-10X3G-spleen</v>
          </cell>
          <cell r="G259" t="str">
            <v>100.0</v>
          </cell>
          <cell r="H259" t="str">
            <v>10× 3'单细胞</v>
          </cell>
          <cell r="I259" t="str">
            <v>YHT</v>
          </cell>
          <cell r="J259">
            <v>21.2</v>
          </cell>
          <cell r="N259" t="e">
            <v>#DIV/0!</v>
          </cell>
        </row>
        <row r="260">
          <cell r="E260" t="str">
            <v>HGC-Lib-2450162</v>
          </cell>
          <cell r="F260" t="str">
            <v>N_B_N4617-2J-10X3GF-spleen1</v>
          </cell>
          <cell r="G260" t="str">
            <v>100.0</v>
          </cell>
          <cell r="H260" t="str">
            <v>10× 3'单细胞</v>
          </cell>
          <cell r="I260" t="str">
            <v>YHT</v>
          </cell>
          <cell r="J260">
            <v>17</v>
          </cell>
          <cell r="N260" t="e">
            <v>#DIV/0!</v>
          </cell>
        </row>
        <row r="261">
          <cell r="E261" t="str">
            <v>HGC-Lib-2450163</v>
          </cell>
          <cell r="F261" t="str">
            <v>N_B_N4617-2K-10X3GF-spleen2</v>
          </cell>
          <cell r="G261" t="str">
            <v>100.0</v>
          </cell>
          <cell r="H261" t="str">
            <v>10× 3'单细胞</v>
          </cell>
          <cell r="I261" t="str">
            <v>YHT</v>
          </cell>
          <cell r="J261">
            <v>21.2</v>
          </cell>
          <cell r="N261" t="e">
            <v>#DIV/0!</v>
          </cell>
        </row>
        <row r="262">
          <cell r="E262" t="str">
            <v>HGC-Lib-2450164</v>
          </cell>
          <cell r="F262" t="str">
            <v>N_B_N4619-1H-10X3wrc-11</v>
          </cell>
          <cell r="G262" t="str">
            <v>100.0</v>
          </cell>
          <cell r="H262" t="str">
            <v>10× 3'单细胞</v>
          </cell>
          <cell r="I262" t="str">
            <v>YHT</v>
          </cell>
          <cell r="J262">
            <v>14.1</v>
          </cell>
          <cell r="N262" t="e">
            <v>#DIV/0!</v>
          </cell>
        </row>
        <row r="263">
          <cell r="E263" t="str">
            <v>HGC-Lib-2450165</v>
          </cell>
          <cell r="F263" t="str">
            <v>N_B_N4619-1J-10X3wrc-12</v>
          </cell>
          <cell r="G263" t="str">
            <v>100.0</v>
          </cell>
          <cell r="H263" t="str">
            <v>10× 3'单细胞</v>
          </cell>
          <cell r="I263" t="str">
            <v>YHT</v>
          </cell>
          <cell r="J263">
            <v>13.7</v>
          </cell>
          <cell r="N263" t="e">
            <v>#DIV/0!</v>
          </cell>
        </row>
        <row r="264">
          <cell r="E264" t="str">
            <v>HGC-Lib-2450166</v>
          </cell>
          <cell r="F264" t="str">
            <v>N_B_N4619-1K-10X3wrc-13</v>
          </cell>
          <cell r="G264" t="str">
            <v>100.0</v>
          </cell>
          <cell r="H264" t="str">
            <v>10× 3'单细胞</v>
          </cell>
          <cell r="I264" t="str">
            <v>YHT</v>
          </cell>
          <cell r="J264">
            <v>17.399999999999999</v>
          </cell>
          <cell r="N264" t="e">
            <v>#DIV/0!</v>
          </cell>
        </row>
        <row r="265">
          <cell r="E265" t="str">
            <v>HGC-Lib-2450167</v>
          </cell>
          <cell r="F265" t="str">
            <v>N_B_N4619-1M-10X3P2</v>
          </cell>
          <cell r="G265" t="str">
            <v>100.0</v>
          </cell>
          <cell r="H265" t="str">
            <v>10× 3'单细胞</v>
          </cell>
          <cell r="I265" t="str">
            <v>YHT</v>
          </cell>
          <cell r="J265">
            <v>17.600000000000001</v>
          </cell>
          <cell r="N265" t="e">
            <v>#DIV/0!</v>
          </cell>
        </row>
        <row r="266">
          <cell r="E266" t="str">
            <v>HGC-Lib-2450168</v>
          </cell>
          <cell r="F266" t="str">
            <v>N_B_N4619-1N-10X3P6</v>
          </cell>
          <cell r="G266" t="str">
            <v>100.0</v>
          </cell>
          <cell r="H266" t="str">
            <v>10× 3'单细胞</v>
          </cell>
          <cell r="I266" t="str">
            <v>YHT</v>
          </cell>
          <cell r="J266">
            <v>22.2</v>
          </cell>
          <cell r="N266" t="e">
            <v>#DIV/0!</v>
          </cell>
        </row>
        <row r="267">
          <cell r="E267" t="str">
            <v>HGC-Lib-2450169</v>
          </cell>
          <cell r="F267" t="str">
            <v>N_B_N4619-1P-10X3P4P5Mix</v>
          </cell>
          <cell r="G267" t="str">
            <v>100.0</v>
          </cell>
          <cell r="H267" t="str">
            <v>10× 3'单细胞</v>
          </cell>
          <cell r="I267" t="str">
            <v>YHT</v>
          </cell>
          <cell r="J267">
            <v>10.5</v>
          </cell>
          <cell r="N267" t="e">
            <v>#DIV/0!</v>
          </cell>
        </row>
        <row r="268">
          <cell r="E268" t="str">
            <v>HGC-Lib-2450170</v>
          </cell>
          <cell r="F268" t="str">
            <v>N_B_N4620-0X-10X320240620pangguangaizuzhi</v>
          </cell>
          <cell r="G268" t="str">
            <v>100.0</v>
          </cell>
          <cell r="H268" t="str">
            <v>10× 3'单细胞</v>
          </cell>
          <cell r="I268" t="str">
            <v>YHT</v>
          </cell>
          <cell r="J268">
            <v>16.2</v>
          </cell>
          <cell r="N268" t="e">
            <v>#DIV/0!</v>
          </cell>
        </row>
        <row r="269">
          <cell r="E269" t="str">
            <v>HGC-Lib-2450171</v>
          </cell>
          <cell r="F269" t="str">
            <v>N_B_N4619-2K-10X3Al</v>
          </cell>
          <cell r="G269" t="str">
            <v>100.0</v>
          </cell>
          <cell r="H269" t="str">
            <v>10× 3'单细胞</v>
          </cell>
          <cell r="I269" t="str">
            <v>YHT</v>
          </cell>
          <cell r="J269">
            <v>20.6</v>
          </cell>
          <cell r="N269" t="e">
            <v>#DIV/0!</v>
          </cell>
        </row>
        <row r="270">
          <cell r="E270" t="str">
            <v>HGC-Lib-2450172</v>
          </cell>
          <cell r="F270" t="str">
            <v>N_B_N4619-2M-10X35-FUAl</v>
          </cell>
          <cell r="G270" t="str">
            <v>100.0</v>
          </cell>
          <cell r="H270" t="str">
            <v>10× 3'单细胞</v>
          </cell>
          <cell r="I270" t="str">
            <v>YHT</v>
          </cell>
          <cell r="J270">
            <v>25.2</v>
          </cell>
          <cell r="N270" t="e">
            <v>#DIV/0!</v>
          </cell>
        </row>
        <row r="271">
          <cell r="E271" t="str">
            <v>HGC-Lib-2450173</v>
          </cell>
          <cell r="F271" t="str">
            <v>N_B_N4619-03-10X3C0N</v>
          </cell>
          <cell r="G271" t="str">
            <v>100.0</v>
          </cell>
          <cell r="H271" t="str">
            <v>10× 3'单细胞</v>
          </cell>
          <cell r="I271" t="str">
            <v>YHT</v>
          </cell>
          <cell r="J271">
            <v>18.2</v>
          </cell>
          <cell r="N271" t="e">
            <v>#DIV/0!</v>
          </cell>
        </row>
        <row r="272">
          <cell r="E272" t="str">
            <v>HGC-Lib-2450174</v>
          </cell>
          <cell r="F272" t="str">
            <v>N_B_N4619-04-10X3K0</v>
          </cell>
          <cell r="G272" t="str">
            <v>100.0</v>
          </cell>
          <cell r="H272" t="str">
            <v>10× 3'单细胞</v>
          </cell>
          <cell r="I272" t="str">
            <v>YHT</v>
          </cell>
          <cell r="J272">
            <v>23.6</v>
          </cell>
          <cell r="N272" t="e">
            <v>#DIV/0!</v>
          </cell>
        </row>
        <row r="273">
          <cell r="E273" t="str">
            <v>HGC-Lib-2450175</v>
          </cell>
          <cell r="F273" t="str">
            <v>N_B_N4612-4S-10X3GF-2</v>
          </cell>
          <cell r="G273" t="str">
            <v>100.0</v>
          </cell>
          <cell r="H273" t="str">
            <v>10× 3'单细胞</v>
          </cell>
          <cell r="I273" t="str">
            <v>YHT</v>
          </cell>
          <cell r="J273">
            <v>29</v>
          </cell>
          <cell r="N273" t="e">
            <v>#DIV/0!</v>
          </cell>
        </row>
        <row r="274">
          <cell r="E274" t="str">
            <v>HGC-Lib-2450176</v>
          </cell>
          <cell r="F274" t="str">
            <v>N_B_N4612-4T-10X3GF-3</v>
          </cell>
          <cell r="G274" t="str">
            <v>100.0</v>
          </cell>
          <cell r="H274" t="str">
            <v>10× 3'单细胞</v>
          </cell>
          <cell r="I274" t="str">
            <v>YHT</v>
          </cell>
          <cell r="J274">
            <v>29.4</v>
          </cell>
          <cell r="N274" t="e">
            <v>#DIV/0!</v>
          </cell>
        </row>
        <row r="275">
          <cell r="E275" t="str">
            <v>HGC-Lib-2450177</v>
          </cell>
          <cell r="F275" t="str">
            <v>N_B_N4612-4U-10X3SPF-2</v>
          </cell>
          <cell r="G275" t="str">
            <v>100.0</v>
          </cell>
          <cell r="H275" t="str">
            <v>10× 3'单细胞</v>
          </cell>
          <cell r="I275" t="str">
            <v>YHT</v>
          </cell>
          <cell r="J275">
            <v>34.200000000000003</v>
          </cell>
          <cell r="N275" t="e">
            <v>#DIV/0!</v>
          </cell>
        </row>
        <row r="276">
          <cell r="E276" t="str">
            <v>HGC-Lib-2450178</v>
          </cell>
          <cell r="F276" t="str">
            <v>N_B_N4612-4V-10X3SPF-3</v>
          </cell>
          <cell r="G276" t="str">
            <v>100.0</v>
          </cell>
          <cell r="H276" t="str">
            <v>10× 3'单细胞</v>
          </cell>
          <cell r="I276" t="str">
            <v>YHT</v>
          </cell>
          <cell r="J276">
            <v>30.4</v>
          </cell>
          <cell r="N276" t="e">
            <v>#DIV/0!</v>
          </cell>
        </row>
        <row r="277">
          <cell r="E277" t="str">
            <v>HGC-Lib-2450179</v>
          </cell>
          <cell r="F277" t="str">
            <v>N_B_N4621-1D-10X3T0621</v>
          </cell>
          <cell r="G277" t="str">
            <v>100.0</v>
          </cell>
          <cell r="H277" t="str">
            <v>10× 3'单细胞</v>
          </cell>
          <cell r="I277" t="str">
            <v>YHT</v>
          </cell>
          <cell r="J277">
            <v>19.5</v>
          </cell>
          <cell r="N277" t="e">
            <v>#DIV/0!</v>
          </cell>
        </row>
        <row r="278">
          <cell r="E278" t="str">
            <v>HGC-Lib-2450180</v>
          </cell>
          <cell r="F278" t="str">
            <v>N_B_N4621-1E-10X3N0621</v>
          </cell>
          <cell r="G278" t="str">
            <v>100.0</v>
          </cell>
          <cell r="H278" t="str">
            <v>10× 3'单细胞</v>
          </cell>
          <cell r="I278" t="str">
            <v>YHT</v>
          </cell>
          <cell r="J278">
            <v>15.5</v>
          </cell>
          <cell r="N278" t="e">
            <v>#DIV/0!</v>
          </cell>
        </row>
        <row r="279">
          <cell r="E279" t="str">
            <v>HGC-Lib-2450181</v>
          </cell>
          <cell r="F279" t="str">
            <v>N_B_N4621-03-10X320240621renpangguangaizuzhi</v>
          </cell>
          <cell r="G279" t="str">
            <v>100.0</v>
          </cell>
          <cell r="H279" t="str">
            <v>10× 3'单细胞</v>
          </cell>
          <cell r="I279" t="str">
            <v>YHT</v>
          </cell>
          <cell r="J279">
            <v>40.200000000000003</v>
          </cell>
          <cell r="N279" t="e">
            <v>#DIV/0!</v>
          </cell>
        </row>
        <row r="280">
          <cell r="E280" t="str">
            <v>HGC-Lib-2450182</v>
          </cell>
          <cell r="F280" t="str">
            <v>N_B_N4618-07-10X3686789-T</v>
          </cell>
          <cell r="G280" t="str">
            <v>100.0</v>
          </cell>
          <cell r="H280" t="str">
            <v>10× 3'单细胞</v>
          </cell>
          <cell r="I280" t="str">
            <v>YHT</v>
          </cell>
          <cell r="J280">
            <v>38.200000000000003</v>
          </cell>
          <cell r="N280" t="e">
            <v>#DIV/0!</v>
          </cell>
        </row>
        <row r="281">
          <cell r="E281" t="str">
            <v>HGC-Lib-2450183</v>
          </cell>
          <cell r="F281" t="str">
            <v>N_B_N4618-08-10X3686789-N</v>
          </cell>
          <cell r="G281" t="str">
            <v>10.0</v>
          </cell>
          <cell r="H281" t="str">
            <v>10× 3'单细胞</v>
          </cell>
          <cell r="I281" t="str">
            <v>YHT</v>
          </cell>
          <cell r="J281">
            <v>14.6</v>
          </cell>
          <cell r="N281" t="e">
            <v>#DIV/0!</v>
          </cell>
        </row>
        <row r="282">
          <cell r="E282" t="str">
            <v>HGC-Lib-2450184</v>
          </cell>
          <cell r="F282" t="str">
            <v>N_B_N4618-09-10X3687041-T</v>
          </cell>
          <cell r="G282" t="str">
            <v>100.0</v>
          </cell>
          <cell r="H282" t="str">
            <v>10× 3'单细胞</v>
          </cell>
          <cell r="I282" t="str">
            <v>YHT</v>
          </cell>
          <cell r="J282">
            <v>32.200000000000003</v>
          </cell>
          <cell r="N282" t="e">
            <v>#DIV/0!</v>
          </cell>
        </row>
        <row r="283">
          <cell r="E283" t="str">
            <v>HGC-Lib-2450185</v>
          </cell>
          <cell r="F283" t="str">
            <v>YCK5-补</v>
          </cell>
          <cell r="G283">
            <v>10</v>
          </cell>
          <cell r="H283" t="str">
            <v>10× 3'单细胞</v>
          </cell>
          <cell r="I283" t="str">
            <v>YHT</v>
          </cell>
          <cell r="J283">
            <v>9.68</v>
          </cell>
          <cell r="K283">
            <v>543</v>
          </cell>
          <cell r="L283" t="str">
            <v>XCL</v>
          </cell>
          <cell r="N283">
            <v>27.425981017141201</v>
          </cell>
        </row>
        <row r="284">
          <cell r="E284" t="str">
            <v>HGC-Lib-2450186</v>
          </cell>
          <cell r="F284" t="str">
            <v>ZXW1</v>
          </cell>
          <cell r="G284">
            <v>45</v>
          </cell>
          <cell r="H284" t="str">
            <v>10× 3'单细胞</v>
          </cell>
          <cell r="I284" t="str">
            <v>YHT</v>
          </cell>
          <cell r="J284">
            <v>8.6199999999999992</v>
          </cell>
          <cell r="K284">
            <v>526</v>
          </cell>
          <cell r="L284" t="str">
            <v>XCL</v>
          </cell>
          <cell r="N284">
            <v>25.212050307107301</v>
          </cell>
        </row>
        <row r="285">
          <cell r="E285" t="str">
            <v>HGC-Lib-2450187</v>
          </cell>
          <cell r="F285" t="str">
            <v>ZXW2</v>
          </cell>
          <cell r="G285">
            <v>45</v>
          </cell>
          <cell r="H285" t="str">
            <v>10× 3'单细胞</v>
          </cell>
          <cell r="I285" t="str">
            <v>YHT</v>
          </cell>
          <cell r="J285">
            <v>9.64</v>
          </cell>
          <cell r="K285">
            <v>505</v>
          </cell>
          <cell r="L285" t="str">
            <v>XCL</v>
          </cell>
          <cell r="N285">
            <v>29.367859862909398</v>
          </cell>
        </row>
        <row r="286">
          <cell r="E286" t="str">
            <v>HGC-Lib-2450188</v>
          </cell>
          <cell r="F286" t="str">
            <v>LJY4</v>
          </cell>
          <cell r="G286">
            <v>90</v>
          </cell>
          <cell r="H286" t="str">
            <v>10× 3'单细胞</v>
          </cell>
          <cell r="I286" t="str">
            <v>YHT</v>
          </cell>
          <cell r="J286">
            <v>28.8</v>
          </cell>
          <cell r="K286">
            <v>520</v>
          </cell>
          <cell r="L286" t="str">
            <v>XCL</v>
          </cell>
          <cell r="N286">
            <v>85.207100591715999</v>
          </cell>
        </row>
        <row r="287">
          <cell r="E287" t="str">
            <v>HGC-Lib-2450189</v>
          </cell>
          <cell r="F287" t="str">
            <v>YZ1WTA</v>
          </cell>
          <cell r="G287">
            <v>10</v>
          </cell>
          <cell r="H287" t="str">
            <v>BD-单细胞</v>
          </cell>
          <cell r="I287" t="str">
            <v>YHT</v>
          </cell>
          <cell r="J287">
            <v>21.2</v>
          </cell>
          <cell r="K287">
            <v>648</v>
          </cell>
          <cell r="L287" t="str">
            <v>XCL</v>
          </cell>
          <cell r="N287">
            <v>50.332383665717003</v>
          </cell>
        </row>
        <row r="288">
          <cell r="E288" t="str">
            <v>HGC-Lib-2450190</v>
          </cell>
          <cell r="F288" t="str">
            <v>YZ2WTA</v>
          </cell>
          <cell r="G288">
            <v>10</v>
          </cell>
          <cell r="H288" t="str">
            <v>BD-单细胞</v>
          </cell>
          <cell r="I288" t="str">
            <v>YHT</v>
          </cell>
          <cell r="J288">
            <v>21</v>
          </cell>
          <cell r="K288">
            <v>645</v>
          </cell>
          <cell r="L288" t="str">
            <v>XCL</v>
          </cell>
          <cell r="N288">
            <v>50.089445438282603</v>
          </cell>
        </row>
        <row r="289">
          <cell r="E289" t="str">
            <v>HGC-Lib-2450191</v>
          </cell>
          <cell r="F289" t="str">
            <v>D24060812</v>
          </cell>
          <cell r="G289">
            <v>9</v>
          </cell>
          <cell r="H289" t="str">
            <v>宏基因组</v>
          </cell>
          <cell r="I289" t="str">
            <v>WWH</v>
          </cell>
          <cell r="J289">
            <v>14.1</v>
          </cell>
          <cell r="N289" t="e">
            <v>#DIV/0!</v>
          </cell>
        </row>
        <row r="290">
          <cell r="E290" t="str">
            <v>HGC-Lib-2450192</v>
          </cell>
          <cell r="F290" t="str">
            <v>D24060813</v>
          </cell>
          <cell r="G290">
            <v>9</v>
          </cell>
          <cell r="H290" t="str">
            <v>宏基因组</v>
          </cell>
          <cell r="I290" t="str">
            <v>WWH</v>
          </cell>
          <cell r="J290">
            <v>11.7</v>
          </cell>
          <cell r="N290" t="e">
            <v>#DIV/0!</v>
          </cell>
        </row>
        <row r="291">
          <cell r="E291" t="str">
            <v>HGC-Lib-2450193</v>
          </cell>
          <cell r="F291" t="str">
            <v>D24060814</v>
          </cell>
          <cell r="G291">
            <v>9</v>
          </cell>
          <cell r="H291" t="str">
            <v>宏基因组</v>
          </cell>
          <cell r="I291" t="str">
            <v>WWH</v>
          </cell>
          <cell r="J291">
            <v>10.9</v>
          </cell>
          <cell r="N291" t="e">
            <v>#DIV/0!</v>
          </cell>
        </row>
        <row r="292">
          <cell r="E292" t="str">
            <v>HGC-Lib-2450194</v>
          </cell>
          <cell r="F292" t="str">
            <v>D24060815</v>
          </cell>
          <cell r="G292">
            <v>9</v>
          </cell>
          <cell r="H292" t="str">
            <v>宏基因组</v>
          </cell>
          <cell r="I292" t="str">
            <v>WWH</v>
          </cell>
          <cell r="J292">
            <v>13.4</v>
          </cell>
          <cell r="N292" t="e">
            <v>#DIV/0!</v>
          </cell>
        </row>
        <row r="293">
          <cell r="E293" t="str">
            <v>HGC-Lib-2450195</v>
          </cell>
          <cell r="F293" t="str">
            <v>D24060816</v>
          </cell>
          <cell r="G293">
            <v>9</v>
          </cell>
          <cell r="H293" t="str">
            <v>宏基因组</v>
          </cell>
          <cell r="I293" t="str">
            <v>WWH</v>
          </cell>
          <cell r="J293">
            <v>12.4</v>
          </cell>
          <cell r="N293" t="e">
            <v>#DIV/0!</v>
          </cell>
        </row>
        <row r="294">
          <cell r="E294" t="str">
            <v>HGC-Lib-2450196</v>
          </cell>
          <cell r="F294" t="str">
            <v>D24060817</v>
          </cell>
          <cell r="G294">
            <v>9</v>
          </cell>
          <cell r="H294" t="str">
            <v>宏基因组</v>
          </cell>
          <cell r="I294" t="str">
            <v>WWH</v>
          </cell>
          <cell r="J294">
            <v>15.5</v>
          </cell>
          <cell r="N294" t="e">
            <v>#DIV/0!</v>
          </cell>
        </row>
        <row r="295">
          <cell r="E295" t="str">
            <v>HGC-Lib-2450197</v>
          </cell>
          <cell r="F295" t="str">
            <v>D24060818</v>
          </cell>
          <cell r="G295">
            <v>9</v>
          </cell>
          <cell r="H295" t="str">
            <v>宏基因组</v>
          </cell>
          <cell r="I295" t="str">
            <v>WWH</v>
          </cell>
          <cell r="J295">
            <v>8.58</v>
          </cell>
          <cell r="N295" t="e">
            <v>#DIV/0!</v>
          </cell>
        </row>
        <row r="296">
          <cell r="E296" t="str">
            <v>HGC-Lib-2450198</v>
          </cell>
          <cell r="F296" t="str">
            <v>D24060819</v>
          </cell>
          <cell r="G296">
            <v>9</v>
          </cell>
          <cell r="H296" t="str">
            <v>宏基因组</v>
          </cell>
          <cell r="I296" t="str">
            <v>WWH</v>
          </cell>
          <cell r="J296">
            <v>7.26</v>
          </cell>
          <cell r="N296" t="e">
            <v>#DIV/0!</v>
          </cell>
        </row>
        <row r="297">
          <cell r="E297" t="str">
            <v>HGC-Lib-2450199</v>
          </cell>
          <cell r="F297" t="str">
            <v>D24060820</v>
          </cell>
          <cell r="G297">
            <v>9</v>
          </cell>
          <cell r="H297" t="str">
            <v>宏基因组</v>
          </cell>
          <cell r="I297" t="str">
            <v>WWH</v>
          </cell>
          <cell r="J297">
            <v>10.5</v>
          </cell>
          <cell r="N297" t="e">
            <v>#DIV/0!</v>
          </cell>
        </row>
        <row r="298">
          <cell r="E298" t="str">
            <v>HGC-Lib-2450200</v>
          </cell>
          <cell r="F298" t="str">
            <v>D24060821</v>
          </cell>
          <cell r="G298">
            <v>9</v>
          </cell>
          <cell r="H298" t="str">
            <v>宏基因组</v>
          </cell>
          <cell r="I298" t="str">
            <v>WWH</v>
          </cell>
          <cell r="J298">
            <v>10.8</v>
          </cell>
          <cell r="N298" t="e">
            <v>#DIV/0!</v>
          </cell>
        </row>
        <row r="299">
          <cell r="E299" t="str">
            <v>HGC-Lib-2450201</v>
          </cell>
          <cell r="F299" t="str">
            <v>D24060822</v>
          </cell>
          <cell r="G299">
            <v>9</v>
          </cell>
          <cell r="H299" t="str">
            <v>宏基因组</v>
          </cell>
          <cell r="I299" t="str">
            <v>WWH</v>
          </cell>
          <cell r="J299">
            <v>12.4</v>
          </cell>
          <cell r="N299" t="e">
            <v>#DIV/0!</v>
          </cell>
        </row>
        <row r="300">
          <cell r="E300" t="str">
            <v>HGC-Lib-2450202</v>
          </cell>
          <cell r="F300" t="str">
            <v>D24060823</v>
          </cell>
          <cell r="G300">
            <v>9</v>
          </cell>
          <cell r="H300" t="str">
            <v>宏基因组</v>
          </cell>
          <cell r="I300" t="str">
            <v>WWH</v>
          </cell>
          <cell r="J300">
            <v>11.6</v>
          </cell>
          <cell r="N300" t="e">
            <v>#DIV/0!</v>
          </cell>
        </row>
        <row r="301">
          <cell r="E301" t="str">
            <v>HGC-Lib-2450203</v>
          </cell>
          <cell r="F301" t="str">
            <v>D24060797</v>
          </cell>
          <cell r="G301">
            <v>9</v>
          </cell>
          <cell r="H301" t="str">
            <v>宏基因组</v>
          </cell>
          <cell r="I301" t="str">
            <v>WWH</v>
          </cell>
          <cell r="J301">
            <v>6.8</v>
          </cell>
          <cell r="N301" t="e">
            <v>#DIV/0!</v>
          </cell>
        </row>
        <row r="302">
          <cell r="E302" t="str">
            <v>HGC-Lib-2450204</v>
          </cell>
          <cell r="F302" t="str">
            <v>D24060798</v>
          </cell>
          <cell r="G302">
            <v>9</v>
          </cell>
          <cell r="H302" t="str">
            <v>宏基因组</v>
          </cell>
          <cell r="I302" t="str">
            <v>WWH</v>
          </cell>
          <cell r="J302">
            <v>9.8000000000000007</v>
          </cell>
          <cell r="N302" t="e">
            <v>#DIV/0!</v>
          </cell>
        </row>
        <row r="303">
          <cell r="E303" t="str">
            <v>HGC-Lib-2450205</v>
          </cell>
          <cell r="F303" t="str">
            <v>D24060799</v>
          </cell>
          <cell r="G303">
            <v>9</v>
          </cell>
          <cell r="H303" t="str">
            <v>宏基因组</v>
          </cell>
          <cell r="I303" t="str">
            <v>WWH</v>
          </cell>
          <cell r="J303">
            <v>9.92</v>
          </cell>
          <cell r="N303" t="e">
            <v>#DIV/0!</v>
          </cell>
        </row>
        <row r="304">
          <cell r="E304" t="str">
            <v>HGC-Lib-2450206</v>
          </cell>
          <cell r="F304" t="str">
            <v>D24060800</v>
          </cell>
          <cell r="G304">
            <v>9</v>
          </cell>
          <cell r="H304" t="str">
            <v>宏基因组</v>
          </cell>
          <cell r="I304" t="str">
            <v>WWH</v>
          </cell>
          <cell r="J304">
            <v>11.8</v>
          </cell>
          <cell r="N304" t="e">
            <v>#DIV/0!</v>
          </cell>
        </row>
        <row r="305">
          <cell r="E305" t="str">
            <v>HGC-Lib-2450207</v>
          </cell>
          <cell r="F305" t="str">
            <v>D24060801</v>
          </cell>
          <cell r="G305">
            <v>9</v>
          </cell>
          <cell r="H305" t="str">
            <v>宏基因组</v>
          </cell>
          <cell r="I305" t="str">
            <v>WWH</v>
          </cell>
          <cell r="J305">
            <v>12.1</v>
          </cell>
          <cell r="N305" t="e">
            <v>#DIV/0!</v>
          </cell>
        </row>
        <row r="306">
          <cell r="E306" t="str">
            <v>HGC-Lib-2450208</v>
          </cell>
          <cell r="F306" t="str">
            <v>D24060802</v>
          </cell>
          <cell r="G306">
            <v>9</v>
          </cell>
          <cell r="H306" t="str">
            <v>宏基因组</v>
          </cell>
          <cell r="I306" t="str">
            <v>WWH</v>
          </cell>
          <cell r="J306">
            <v>13.6</v>
          </cell>
          <cell r="N306" t="e">
            <v>#DIV/0!</v>
          </cell>
        </row>
        <row r="307">
          <cell r="E307" t="str">
            <v>HGC-Lib-2450209</v>
          </cell>
          <cell r="F307" t="str">
            <v>D24060803</v>
          </cell>
          <cell r="G307">
            <v>9</v>
          </cell>
          <cell r="H307" t="str">
            <v>宏基因组</v>
          </cell>
          <cell r="I307" t="str">
            <v>WWH</v>
          </cell>
          <cell r="J307">
            <v>13</v>
          </cell>
          <cell r="N307" t="e">
            <v>#DIV/0!</v>
          </cell>
        </row>
        <row r="308">
          <cell r="E308" t="str">
            <v>HGC-Lib-2450210</v>
          </cell>
          <cell r="F308" t="str">
            <v>D24060804</v>
          </cell>
          <cell r="G308">
            <v>9</v>
          </cell>
          <cell r="H308" t="str">
            <v>宏基因组</v>
          </cell>
          <cell r="I308" t="str">
            <v>WWH</v>
          </cell>
          <cell r="J308">
            <v>13.5</v>
          </cell>
          <cell r="N308" t="e">
            <v>#DIV/0!</v>
          </cell>
        </row>
        <row r="309">
          <cell r="E309" t="str">
            <v>HGC-Lib-2450211</v>
          </cell>
          <cell r="F309" t="str">
            <v>D24060805</v>
          </cell>
          <cell r="G309">
            <v>9</v>
          </cell>
          <cell r="H309" t="str">
            <v>宏基因组</v>
          </cell>
          <cell r="I309" t="str">
            <v>WWH</v>
          </cell>
          <cell r="J309">
            <v>11.5</v>
          </cell>
          <cell r="N309" t="e">
            <v>#DIV/0!</v>
          </cell>
        </row>
        <row r="310">
          <cell r="E310" t="str">
            <v>HGC-Lib-2450212</v>
          </cell>
          <cell r="F310" t="str">
            <v>D24060806</v>
          </cell>
          <cell r="G310">
            <v>9</v>
          </cell>
          <cell r="H310" t="str">
            <v>宏基因组</v>
          </cell>
          <cell r="I310" t="str">
            <v>WWH</v>
          </cell>
          <cell r="J310">
            <v>12.1</v>
          </cell>
          <cell r="N310" t="e">
            <v>#DIV/0!</v>
          </cell>
        </row>
        <row r="311">
          <cell r="E311" t="str">
            <v>HGC-Lib-2450213</v>
          </cell>
          <cell r="F311" t="str">
            <v>D24060807</v>
          </cell>
          <cell r="G311">
            <v>9</v>
          </cell>
          <cell r="H311" t="str">
            <v>宏基因组</v>
          </cell>
          <cell r="I311" t="str">
            <v>WWH</v>
          </cell>
          <cell r="J311">
            <v>9.2799999999999994</v>
          </cell>
          <cell r="N311" t="e">
            <v>#DIV/0!</v>
          </cell>
        </row>
        <row r="312">
          <cell r="E312" t="str">
            <v>HGC-Lib-2450214</v>
          </cell>
          <cell r="F312" t="str">
            <v>D24060808</v>
          </cell>
          <cell r="G312">
            <v>9</v>
          </cell>
          <cell r="H312" t="str">
            <v>宏基因组</v>
          </cell>
          <cell r="I312" t="str">
            <v>WWH</v>
          </cell>
          <cell r="J312">
            <v>10.1</v>
          </cell>
          <cell r="N312" t="e">
            <v>#DIV/0!</v>
          </cell>
        </row>
        <row r="313">
          <cell r="E313" t="str">
            <v>HGC-Lib-2450215</v>
          </cell>
          <cell r="F313" t="str">
            <v>D24060809</v>
          </cell>
          <cell r="G313">
            <v>9</v>
          </cell>
          <cell r="H313" t="str">
            <v>宏基因组</v>
          </cell>
          <cell r="I313" t="str">
            <v>WWH</v>
          </cell>
          <cell r="J313">
            <v>6.24</v>
          </cell>
          <cell r="N313" t="e">
            <v>#DIV/0!</v>
          </cell>
        </row>
        <row r="314">
          <cell r="E314" t="str">
            <v>HGC-Lib-2450216</v>
          </cell>
          <cell r="F314" t="str">
            <v>D24060810</v>
          </cell>
          <cell r="G314">
            <v>9</v>
          </cell>
          <cell r="H314" t="str">
            <v>宏基因组</v>
          </cell>
          <cell r="I314" t="str">
            <v>WWH</v>
          </cell>
          <cell r="J314">
            <v>10.5</v>
          </cell>
          <cell r="N314" t="e">
            <v>#DIV/0!</v>
          </cell>
        </row>
        <row r="315">
          <cell r="E315" t="str">
            <v>HGC-Lib-2450217</v>
          </cell>
          <cell r="F315" t="str">
            <v>D24060811</v>
          </cell>
          <cell r="G315">
            <v>9</v>
          </cell>
          <cell r="H315" t="str">
            <v>宏基因组</v>
          </cell>
          <cell r="I315" t="str">
            <v>WWH</v>
          </cell>
          <cell r="J315">
            <v>8.7200000000000006</v>
          </cell>
          <cell r="N315" t="e">
            <v>#DIV/0!</v>
          </cell>
        </row>
        <row r="316">
          <cell r="E316" t="str">
            <v>HGC-Lib-2450218</v>
          </cell>
          <cell r="F316" t="str">
            <v>D24060600</v>
          </cell>
          <cell r="G316">
            <v>9</v>
          </cell>
          <cell r="H316" t="str">
            <v>宏基因组</v>
          </cell>
          <cell r="I316" t="str">
            <v>WWH</v>
          </cell>
          <cell r="J316">
            <v>8.48</v>
          </cell>
          <cell r="N316" t="e">
            <v>#DIV/0!</v>
          </cell>
        </row>
        <row r="317">
          <cell r="E317" t="str">
            <v>HGC-Lib-2450219</v>
          </cell>
          <cell r="F317" t="str">
            <v>D24060601</v>
          </cell>
          <cell r="G317">
            <v>9</v>
          </cell>
          <cell r="H317" t="str">
            <v>宏基因组</v>
          </cell>
          <cell r="I317" t="str">
            <v>WWH</v>
          </cell>
          <cell r="J317">
            <v>8.0399999999999991</v>
          </cell>
          <cell r="N317" t="e">
            <v>#DIV/0!</v>
          </cell>
        </row>
        <row r="318">
          <cell r="E318" t="str">
            <v>HGC-Lib-2450220</v>
          </cell>
          <cell r="F318" t="str">
            <v>D24060602</v>
          </cell>
          <cell r="G318">
            <v>9</v>
          </cell>
          <cell r="H318" t="str">
            <v>宏基因组</v>
          </cell>
          <cell r="I318" t="str">
            <v>WWH</v>
          </cell>
          <cell r="J318">
            <v>9.7200000000000006</v>
          </cell>
          <cell r="N318" t="e">
            <v>#DIV/0!</v>
          </cell>
        </row>
        <row r="319">
          <cell r="E319" t="str">
            <v>HGC-Lib-2450221</v>
          </cell>
          <cell r="F319" t="str">
            <v>D24060603</v>
          </cell>
          <cell r="G319">
            <v>9</v>
          </cell>
          <cell r="H319" t="str">
            <v>宏基因组</v>
          </cell>
          <cell r="I319" t="str">
            <v>WWH</v>
          </cell>
          <cell r="J319">
            <v>11.1</v>
          </cell>
          <cell r="N319" t="e">
            <v>#DIV/0!</v>
          </cell>
        </row>
        <row r="320">
          <cell r="E320" t="str">
            <v>HGC-Lib-2450222</v>
          </cell>
          <cell r="F320" t="str">
            <v>D24060604</v>
          </cell>
          <cell r="G320">
            <v>9</v>
          </cell>
          <cell r="H320" t="str">
            <v>宏基因组</v>
          </cell>
          <cell r="I320" t="str">
            <v>WWH</v>
          </cell>
          <cell r="J320">
            <v>8.44</v>
          </cell>
          <cell r="N320" t="e">
            <v>#DIV/0!</v>
          </cell>
        </row>
        <row r="321">
          <cell r="E321" t="str">
            <v>HGC-Lib-2450223</v>
          </cell>
          <cell r="F321" t="str">
            <v>D24060605</v>
          </cell>
          <cell r="G321">
            <v>9</v>
          </cell>
          <cell r="H321" t="str">
            <v>宏基因组</v>
          </cell>
          <cell r="I321" t="str">
            <v>WWH</v>
          </cell>
          <cell r="J321">
            <v>9.42</v>
          </cell>
          <cell r="N321" t="e">
            <v>#DIV/0!</v>
          </cell>
        </row>
        <row r="322">
          <cell r="E322" t="str">
            <v>HGC-Lib-2450224</v>
          </cell>
          <cell r="F322" t="str">
            <v>D24060606</v>
          </cell>
          <cell r="G322">
            <v>9</v>
          </cell>
          <cell r="H322" t="str">
            <v>宏基因组</v>
          </cell>
          <cell r="I322" t="str">
            <v>WWH</v>
          </cell>
          <cell r="J322">
            <v>11.4</v>
          </cell>
          <cell r="N322" t="e">
            <v>#DIV/0!</v>
          </cell>
        </row>
        <row r="323">
          <cell r="E323" t="str">
            <v>HGC-Lib-2450225</v>
          </cell>
          <cell r="F323" t="str">
            <v>D24060607</v>
          </cell>
          <cell r="G323">
            <v>9</v>
          </cell>
          <cell r="H323" t="str">
            <v>宏基因组</v>
          </cell>
          <cell r="I323" t="str">
            <v>WWH</v>
          </cell>
          <cell r="J323">
            <v>10.8</v>
          </cell>
          <cell r="N323" t="e">
            <v>#DIV/0!</v>
          </cell>
        </row>
        <row r="324">
          <cell r="E324" t="str">
            <v>HGC-Lib-2450226</v>
          </cell>
          <cell r="F324" t="str">
            <v>D24060608</v>
          </cell>
          <cell r="G324">
            <v>9</v>
          </cell>
          <cell r="H324" t="str">
            <v>宏基因组</v>
          </cell>
          <cell r="I324" t="str">
            <v>WWH</v>
          </cell>
          <cell r="J324">
            <v>7.44</v>
          </cell>
          <cell r="N324" t="e">
            <v>#DIV/0!</v>
          </cell>
        </row>
        <row r="325">
          <cell r="E325" t="str">
            <v>HGC-Lib-2450227</v>
          </cell>
          <cell r="F325" t="str">
            <v>D24060609</v>
          </cell>
          <cell r="G325">
            <v>9</v>
          </cell>
          <cell r="H325" t="str">
            <v>宏基因组</v>
          </cell>
          <cell r="I325" t="str">
            <v>WWH</v>
          </cell>
          <cell r="J325">
            <v>11.9</v>
          </cell>
          <cell r="N325" t="e">
            <v>#DIV/0!</v>
          </cell>
        </row>
        <row r="326">
          <cell r="E326" t="str">
            <v>HGC-Lib-2450228</v>
          </cell>
          <cell r="F326" t="str">
            <v>D24060610</v>
          </cell>
          <cell r="G326">
            <v>9</v>
          </cell>
          <cell r="H326" t="str">
            <v>宏基因组</v>
          </cell>
          <cell r="I326" t="str">
            <v>WWH</v>
          </cell>
          <cell r="J326">
            <v>10.3</v>
          </cell>
          <cell r="N326" t="e">
            <v>#DIV/0!</v>
          </cell>
        </row>
        <row r="327">
          <cell r="E327" t="str">
            <v>HGC-Lib-2450229</v>
          </cell>
          <cell r="F327" t="str">
            <v>D24060611</v>
          </cell>
          <cell r="G327">
            <v>9</v>
          </cell>
          <cell r="H327" t="str">
            <v>宏基因组</v>
          </cell>
          <cell r="I327" t="str">
            <v>WWH</v>
          </cell>
          <cell r="J327">
            <v>8.94</v>
          </cell>
          <cell r="N327" t="e">
            <v>#DIV/0!</v>
          </cell>
        </row>
        <row r="328">
          <cell r="E328" t="str">
            <v>HGC-Lib-2450230</v>
          </cell>
          <cell r="F328" t="str">
            <v>D24060612</v>
          </cell>
          <cell r="G328">
            <v>9</v>
          </cell>
          <cell r="H328" t="str">
            <v>宏基因组</v>
          </cell>
          <cell r="I328" t="str">
            <v>WWH</v>
          </cell>
          <cell r="J328">
            <v>9.18</v>
          </cell>
          <cell r="N328" t="e">
            <v>#DIV/0!</v>
          </cell>
        </row>
        <row r="329">
          <cell r="E329" t="str">
            <v>HGC-Lib-2450231</v>
          </cell>
          <cell r="F329" t="str">
            <v>D24060613</v>
          </cell>
          <cell r="G329">
            <v>9</v>
          </cell>
          <cell r="H329" t="str">
            <v>宏基因组</v>
          </cell>
          <cell r="I329" t="str">
            <v>WWH</v>
          </cell>
          <cell r="J329">
            <v>8.06</v>
          </cell>
          <cell r="N329" t="e">
            <v>#DIV/0!</v>
          </cell>
        </row>
        <row r="330">
          <cell r="E330" t="str">
            <v>HGC-Lib-2450232</v>
          </cell>
          <cell r="F330" t="str">
            <v>D24060614</v>
          </cell>
          <cell r="G330">
            <v>9</v>
          </cell>
          <cell r="H330" t="str">
            <v>宏基因组</v>
          </cell>
          <cell r="I330" t="str">
            <v>WWH</v>
          </cell>
          <cell r="J330">
            <v>9.9</v>
          </cell>
          <cell r="N330" t="e">
            <v>#DIV/0!</v>
          </cell>
        </row>
        <row r="331">
          <cell r="E331" t="str">
            <v>HGC-Lib-2450233</v>
          </cell>
          <cell r="F331" t="str">
            <v>D24060615</v>
          </cell>
          <cell r="G331">
            <v>9</v>
          </cell>
          <cell r="H331" t="str">
            <v>宏基因组</v>
          </cell>
          <cell r="I331" t="str">
            <v>WWH</v>
          </cell>
          <cell r="J331">
            <v>5.94</v>
          </cell>
          <cell r="N331" t="e">
            <v>#DIV/0!</v>
          </cell>
        </row>
        <row r="332">
          <cell r="E332" t="str">
            <v>HGC-Lib-2450234</v>
          </cell>
          <cell r="F332" t="str">
            <v>D24060616</v>
          </cell>
          <cell r="G332">
            <v>9</v>
          </cell>
          <cell r="H332" t="str">
            <v>宏基因组</v>
          </cell>
          <cell r="I332" t="str">
            <v>WWH</v>
          </cell>
          <cell r="J332">
            <v>10.6</v>
          </cell>
          <cell r="N332" t="e">
            <v>#DIV/0!</v>
          </cell>
        </row>
        <row r="333">
          <cell r="E333" t="str">
            <v>HGC-Lib-2450235</v>
          </cell>
          <cell r="F333" t="str">
            <v>D24060617</v>
          </cell>
          <cell r="G333">
            <v>9</v>
          </cell>
          <cell r="H333" t="str">
            <v>宏基因组</v>
          </cell>
          <cell r="I333" t="str">
            <v>WWH</v>
          </cell>
          <cell r="J333">
            <v>10.6</v>
          </cell>
          <cell r="N333" t="e">
            <v>#DIV/0!</v>
          </cell>
        </row>
        <row r="334">
          <cell r="E334" t="str">
            <v>HGC-Lib-2450236</v>
          </cell>
          <cell r="F334" t="str">
            <v>D24060618</v>
          </cell>
          <cell r="G334">
            <v>9</v>
          </cell>
          <cell r="H334" t="str">
            <v>宏基因组</v>
          </cell>
          <cell r="I334" t="str">
            <v>WWH</v>
          </cell>
          <cell r="J334">
            <v>11.4</v>
          </cell>
          <cell r="N334" t="e">
            <v>#DIV/0!</v>
          </cell>
        </row>
        <row r="335">
          <cell r="E335" t="str">
            <v>HGC-Lib-2450237</v>
          </cell>
          <cell r="F335" t="str">
            <v>D24060619</v>
          </cell>
          <cell r="G335">
            <v>9</v>
          </cell>
          <cell r="H335" t="str">
            <v>宏基因组</v>
          </cell>
          <cell r="I335" t="str">
            <v>WWH</v>
          </cell>
          <cell r="J335">
            <v>13.6</v>
          </cell>
          <cell r="N335" t="e">
            <v>#DIV/0!</v>
          </cell>
        </row>
        <row r="336">
          <cell r="E336" t="str">
            <v>HGC-Lib-2450238</v>
          </cell>
          <cell r="F336" t="str">
            <v>D24060620</v>
          </cell>
          <cell r="G336">
            <v>9</v>
          </cell>
          <cell r="H336" t="str">
            <v>宏基因组</v>
          </cell>
          <cell r="I336" t="str">
            <v>WWH</v>
          </cell>
          <cell r="J336">
            <v>9.7799999999999994</v>
          </cell>
          <cell r="N336" t="e">
            <v>#DIV/0!</v>
          </cell>
        </row>
        <row r="337">
          <cell r="E337" t="str">
            <v>HGC-Lib-2450239</v>
          </cell>
          <cell r="F337" t="str">
            <v>D24060621</v>
          </cell>
          <cell r="G337">
            <v>9</v>
          </cell>
          <cell r="H337" t="str">
            <v>宏基因组</v>
          </cell>
          <cell r="I337" t="str">
            <v>WWH</v>
          </cell>
          <cell r="J337">
            <v>11.2</v>
          </cell>
          <cell r="N337" t="e">
            <v>#DIV/0!</v>
          </cell>
        </row>
        <row r="338">
          <cell r="E338" t="str">
            <v>HGC-Lib-2450240</v>
          </cell>
          <cell r="F338" t="str">
            <v>D24060622</v>
          </cell>
          <cell r="G338">
            <v>9</v>
          </cell>
          <cell r="H338" t="str">
            <v>宏基因组</v>
          </cell>
          <cell r="I338" t="str">
            <v>WWH</v>
          </cell>
          <cell r="J338">
            <v>6.94</v>
          </cell>
          <cell r="N338" t="e">
            <v>#DIV/0!</v>
          </cell>
        </row>
        <row r="339">
          <cell r="E339" t="str">
            <v>HGC-Lib-2450241</v>
          </cell>
          <cell r="F339" t="str">
            <v>D24060623</v>
          </cell>
          <cell r="G339">
            <v>9</v>
          </cell>
          <cell r="H339" t="str">
            <v>宏基因组</v>
          </cell>
          <cell r="I339" t="str">
            <v>WWH</v>
          </cell>
          <cell r="J339">
            <v>8.58</v>
          </cell>
          <cell r="N339" t="e">
            <v>#DIV/0!</v>
          </cell>
        </row>
        <row r="340">
          <cell r="E340" t="str">
            <v>HGC-Lib-2450242</v>
          </cell>
          <cell r="F340" t="str">
            <v>D24060624</v>
          </cell>
          <cell r="G340">
            <v>9</v>
          </cell>
          <cell r="H340" t="str">
            <v>宏基因组</v>
          </cell>
          <cell r="I340" t="str">
            <v>WWH</v>
          </cell>
          <cell r="J340">
            <v>9.7799999999999994</v>
          </cell>
          <cell r="N340" t="e">
            <v>#DIV/0!</v>
          </cell>
        </row>
        <row r="341">
          <cell r="E341" t="str">
            <v>HGC-Lib-2450243</v>
          </cell>
          <cell r="F341" t="str">
            <v>D24060625</v>
          </cell>
          <cell r="G341">
            <v>9</v>
          </cell>
          <cell r="H341" t="str">
            <v>宏基因组</v>
          </cell>
          <cell r="I341" t="str">
            <v>WWH</v>
          </cell>
          <cell r="J341">
            <v>12.7</v>
          </cell>
          <cell r="N341" t="e">
            <v>#DIV/0!</v>
          </cell>
        </row>
        <row r="342">
          <cell r="E342" t="str">
            <v>HGC-Lib-2450244</v>
          </cell>
          <cell r="F342" t="str">
            <v>D24060626</v>
          </cell>
          <cell r="G342">
            <v>9</v>
          </cell>
          <cell r="H342" t="str">
            <v>宏基因组</v>
          </cell>
          <cell r="I342" t="str">
            <v>WWH</v>
          </cell>
          <cell r="J342">
            <v>11.6</v>
          </cell>
          <cell r="N342" t="e">
            <v>#DIV/0!</v>
          </cell>
        </row>
        <row r="343">
          <cell r="E343" t="str">
            <v>HGC-Lib-2450245</v>
          </cell>
          <cell r="F343" t="str">
            <v>D24060627</v>
          </cell>
          <cell r="G343">
            <v>9</v>
          </cell>
          <cell r="H343" t="str">
            <v>宏基因组</v>
          </cell>
          <cell r="I343" t="str">
            <v>WWH</v>
          </cell>
          <cell r="J343">
            <v>10.3</v>
          </cell>
          <cell r="N343" t="e">
            <v>#DIV/0!</v>
          </cell>
        </row>
        <row r="344">
          <cell r="E344" t="str">
            <v>HGC-Lib-2450246</v>
          </cell>
          <cell r="F344" t="str">
            <v>D24060628</v>
          </cell>
          <cell r="G344">
            <v>9</v>
          </cell>
          <cell r="H344" t="str">
            <v>宏基因组</v>
          </cell>
          <cell r="I344" t="str">
            <v>WWH</v>
          </cell>
          <cell r="J344">
            <v>8.16</v>
          </cell>
          <cell r="N344" t="e">
            <v>#DIV/0!</v>
          </cell>
        </row>
        <row r="345">
          <cell r="E345" t="str">
            <v>HGC-Lib-2450247</v>
          </cell>
          <cell r="F345" t="str">
            <v>D24060629</v>
          </cell>
          <cell r="G345">
            <v>9</v>
          </cell>
          <cell r="H345" t="str">
            <v>宏基因组</v>
          </cell>
          <cell r="I345" t="str">
            <v>WWH</v>
          </cell>
          <cell r="J345">
            <v>9.8000000000000007</v>
          </cell>
          <cell r="N345" t="e">
            <v>#DIV/0!</v>
          </cell>
        </row>
        <row r="346">
          <cell r="E346" t="str">
            <v>HGC-Lib-2450248</v>
          </cell>
          <cell r="F346" t="str">
            <v>D24060630</v>
          </cell>
          <cell r="G346">
            <v>9</v>
          </cell>
          <cell r="H346" t="str">
            <v>宏基因组</v>
          </cell>
          <cell r="I346" t="str">
            <v>WWH</v>
          </cell>
          <cell r="J346">
            <v>9.08</v>
          </cell>
          <cell r="N346" t="e">
            <v>#DIV/0!</v>
          </cell>
        </row>
        <row r="347">
          <cell r="E347" t="str">
            <v>HGC-Lib-2450249</v>
          </cell>
          <cell r="F347" t="str">
            <v>D24060631</v>
          </cell>
          <cell r="G347">
            <v>9</v>
          </cell>
          <cell r="H347" t="str">
            <v>宏基因组</v>
          </cell>
          <cell r="I347" t="str">
            <v>WWH</v>
          </cell>
          <cell r="J347">
            <v>9.6999999999999993</v>
          </cell>
          <cell r="N347" t="e">
            <v>#DIV/0!</v>
          </cell>
        </row>
        <row r="348">
          <cell r="E348" t="str">
            <v>HGC-Lib-2450250</v>
          </cell>
          <cell r="F348" t="str">
            <v>D24060632</v>
          </cell>
          <cell r="G348">
            <v>9</v>
          </cell>
          <cell r="H348" t="str">
            <v>宏基因组</v>
          </cell>
          <cell r="I348" t="str">
            <v>WWH</v>
          </cell>
          <cell r="J348">
            <v>9.14</v>
          </cell>
          <cell r="N348" t="e">
            <v>#DIV/0!</v>
          </cell>
        </row>
        <row r="349">
          <cell r="E349" t="str">
            <v>HGC-Lib-2450251</v>
          </cell>
          <cell r="F349" t="str">
            <v>D24060633</v>
          </cell>
          <cell r="G349">
            <v>9</v>
          </cell>
          <cell r="H349" t="str">
            <v>宏基因组</v>
          </cell>
          <cell r="I349" t="str">
            <v>WWH</v>
          </cell>
          <cell r="J349">
            <v>6.54</v>
          </cell>
          <cell r="N349" t="e">
            <v>#DIV/0!</v>
          </cell>
        </row>
        <row r="350">
          <cell r="E350" t="str">
            <v>HGC-Lib-2450252</v>
          </cell>
          <cell r="F350" t="str">
            <v>D24060634</v>
          </cell>
          <cell r="G350">
            <v>9</v>
          </cell>
          <cell r="H350" t="str">
            <v>宏基因组</v>
          </cell>
          <cell r="I350" t="str">
            <v>WWH</v>
          </cell>
          <cell r="J350">
            <v>6.42</v>
          </cell>
          <cell r="N350" t="e">
            <v>#DIV/0!</v>
          </cell>
        </row>
        <row r="351">
          <cell r="E351" t="str">
            <v>HGC-Lib-2450253</v>
          </cell>
          <cell r="F351" t="str">
            <v>D24060635</v>
          </cell>
          <cell r="G351">
            <v>9</v>
          </cell>
          <cell r="H351" t="str">
            <v>宏基因组</v>
          </cell>
          <cell r="I351" t="str">
            <v>WWH</v>
          </cell>
          <cell r="J351">
            <v>12.2</v>
          </cell>
          <cell r="N351" t="e">
            <v>#DIV/0!</v>
          </cell>
        </row>
        <row r="352">
          <cell r="E352" t="str">
            <v>HGC-Lib-2450254</v>
          </cell>
          <cell r="F352" t="str">
            <v>D24060636</v>
          </cell>
          <cell r="G352">
            <v>9</v>
          </cell>
          <cell r="H352" t="str">
            <v>宏基因组</v>
          </cell>
          <cell r="I352" t="str">
            <v>WWH</v>
          </cell>
          <cell r="J352">
            <v>7.16</v>
          </cell>
          <cell r="N352" t="e">
            <v>#DIV/0!</v>
          </cell>
        </row>
        <row r="353">
          <cell r="E353" t="str">
            <v>HGC-Lib-2450255</v>
          </cell>
          <cell r="F353" t="str">
            <v>D24060637</v>
          </cell>
          <cell r="G353">
            <v>9</v>
          </cell>
          <cell r="H353" t="str">
            <v>宏基因组</v>
          </cell>
          <cell r="I353" t="str">
            <v>WWH</v>
          </cell>
          <cell r="J353">
            <v>3.34</v>
          </cell>
          <cell r="N353" t="e">
            <v>#DIV/0!</v>
          </cell>
        </row>
        <row r="354">
          <cell r="E354" t="str">
            <v>HGC-Lib-2450256</v>
          </cell>
          <cell r="F354" t="str">
            <v>D24060638</v>
          </cell>
          <cell r="G354">
            <v>9</v>
          </cell>
          <cell r="H354" t="str">
            <v>宏基因组</v>
          </cell>
          <cell r="I354" t="str">
            <v>WWH</v>
          </cell>
          <cell r="J354">
            <v>5.46</v>
          </cell>
          <cell r="N354" t="e">
            <v>#DIV/0!</v>
          </cell>
        </row>
        <row r="355">
          <cell r="E355" t="str">
            <v>HGC-Lib-2450257</v>
          </cell>
          <cell r="F355" t="str">
            <v>D24060639</v>
          </cell>
          <cell r="G355">
            <v>9</v>
          </cell>
          <cell r="H355" t="str">
            <v>宏基因组</v>
          </cell>
          <cell r="I355" t="str">
            <v>WWH</v>
          </cell>
          <cell r="J355">
            <v>6.8</v>
          </cell>
          <cell r="N355" t="e">
            <v>#DIV/0!</v>
          </cell>
        </row>
        <row r="356">
          <cell r="E356" t="str">
            <v>HGC-Lib-2450258</v>
          </cell>
          <cell r="F356" t="str">
            <v>D24060640</v>
          </cell>
          <cell r="G356">
            <v>9</v>
          </cell>
          <cell r="H356" t="str">
            <v>宏基因组</v>
          </cell>
          <cell r="I356" t="str">
            <v>WWH</v>
          </cell>
          <cell r="J356">
            <v>10.5</v>
          </cell>
          <cell r="N356" t="e">
            <v>#DIV/0!</v>
          </cell>
        </row>
        <row r="357">
          <cell r="E357" t="str">
            <v>HGC-Lib-2450259</v>
          </cell>
          <cell r="F357" t="str">
            <v>D24060641</v>
          </cell>
          <cell r="G357">
            <v>9</v>
          </cell>
          <cell r="H357" t="str">
            <v>宏基因组</v>
          </cell>
          <cell r="I357" t="str">
            <v>WWH</v>
          </cell>
          <cell r="J357">
            <v>9.14</v>
          </cell>
          <cell r="N357" t="e">
            <v>#DIV/0!</v>
          </cell>
        </row>
        <row r="358">
          <cell r="E358" t="str">
            <v>HGC-Lib-2450260</v>
          </cell>
          <cell r="F358" t="str">
            <v>D24060642</v>
          </cell>
          <cell r="G358">
            <v>9</v>
          </cell>
          <cell r="H358" t="str">
            <v>宏基因组</v>
          </cell>
          <cell r="I358" t="str">
            <v>WWH</v>
          </cell>
          <cell r="J358">
            <v>8.9600000000000009</v>
          </cell>
          <cell r="N358" t="e">
            <v>#DIV/0!</v>
          </cell>
        </row>
        <row r="359">
          <cell r="E359" t="str">
            <v>HGC-Lib-2450261</v>
          </cell>
          <cell r="F359" t="str">
            <v>D24060643</v>
          </cell>
          <cell r="G359">
            <v>9</v>
          </cell>
          <cell r="H359" t="str">
            <v>宏基因组</v>
          </cell>
          <cell r="I359" t="str">
            <v>WWH</v>
          </cell>
          <cell r="J359">
            <v>8.6</v>
          </cell>
          <cell r="N359" t="e">
            <v>#DIV/0!</v>
          </cell>
        </row>
        <row r="360">
          <cell r="E360" t="str">
            <v>HGC-Lib-2450262</v>
          </cell>
          <cell r="F360" t="str">
            <v>D24060644</v>
          </cell>
          <cell r="G360">
            <v>9</v>
          </cell>
          <cell r="H360" t="str">
            <v>宏基因组</v>
          </cell>
          <cell r="I360" t="str">
            <v>WWH</v>
          </cell>
          <cell r="J360">
            <v>9.98</v>
          </cell>
          <cell r="N360" t="e">
            <v>#DIV/0!</v>
          </cell>
        </row>
        <row r="361">
          <cell r="E361" t="str">
            <v>HGC-Lib-2450263</v>
          </cell>
          <cell r="F361" t="str">
            <v>D24060645</v>
          </cell>
          <cell r="G361">
            <v>9</v>
          </cell>
          <cell r="H361" t="str">
            <v>宏基因组</v>
          </cell>
          <cell r="I361" t="str">
            <v>WWH</v>
          </cell>
          <cell r="J361">
            <v>9.4</v>
          </cell>
          <cell r="N361" t="e">
            <v>#DIV/0!</v>
          </cell>
        </row>
        <row r="362">
          <cell r="E362" t="str">
            <v>HGC-Lib-2450264</v>
          </cell>
          <cell r="F362" t="str">
            <v>D24060646</v>
          </cell>
          <cell r="G362">
            <v>9</v>
          </cell>
          <cell r="H362" t="str">
            <v>宏基因组</v>
          </cell>
          <cell r="I362" t="str">
            <v>WWH</v>
          </cell>
          <cell r="J362">
            <v>8.52</v>
          </cell>
          <cell r="N362" t="e">
            <v>#DIV/0!</v>
          </cell>
        </row>
        <row r="363">
          <cell r="E363" t="str">
            <v>HGC-Lib-2450265</v>
          </cell>
          <cell r="F363" t="str">
            <v>D24060647</v>
          </cell>
          <cell r="G363">
            <v>9</v>
          </cell>
          <cell r="H363" t="str">
            <v>宏基因组</v>
          </cell>
          <cell r="I363" t="str">
            <v>WWH</v>
          </cell>
          <cell r="J363">
            <v>10.5</v>
          </cell>
          <cell r="N363" t="e">
            <v>#DIV/0!</v>
          </cell>
        </row>
        <row r="364">
          <cell r="E364" t="str">
            <v>HGC-Lib-2450266</v>
          </cell>
          <cell r="F364" t="str">
            <v>D24060648</v>
          </cell>
          <cell r="G364">
            <v>9</v>
          </cell>
          <cell r="H364" t="str">
            <v>宏基因组</v>
          </cell>
          <cell r="I364" t="str">
            <v>WWH</v>
          </cell>
          <cell r="J364">
            <v>7.7</v>
          </cell>
          <cell r="N364" t="e">
            <v>#DIV/0!</v>
          </cell>
        </row>
        <row r="365">
          <cell r="E365" t="str">
            <v>HGC-Lib-2450267</v>
          </cell>
          <cell r="F365" t="str">
            <v>D24060649</v>
          </cell>
          <cell r="G365">
            <v>9</v>
          </cell>
          <cell r="H365" t="str">
            <v>宏基因组</v>
          </cell>
          <cell r="I365" t="str">
            <v>WWH</v>
          </cell>
          <cell r="J365">
            <v>6.9</v>
          </cell>
          <cell r="N365" t="e">
            <v>#DIV/0!</v>
          </cell>
        </row>
        <row r="366">
          <cell r="E366" t="str">
            <v>HGC-Lib-2450268</v>
          </cell>
          <cell r="F366" t="str">
            <v>D24060650</v>
          </cell>
          <cell r="G366">
            <v>9</v>
          </cell>
          <cell r="H366" t="str">
            <v>宏基因组</v>
          </cell>
          <cell r="I366" t="str">
            <v>WWH</v>
          </cell>
          <cell r="J366">
            <v>7.82</v>
          </cell>
          <cell r="N366" t="e">
            <v>#DIV/0!</v>
          </cell>
        </row>
        <row r="367">
          <cell r="E367" t="str">
            <v>HGC-Lib-2450269</v>
          </cell>
          <cell r="F367" t="str">
            <v>D24060651</v>
          </cell>
          <cell r="G367">
            <v>9</v>
          </cell>
          <cell r="H367" t="str">
            <v>宏基因组</v>
          </cell>
          <cell r="I367" t="str">
            <v>WWH</v>
          </cell>
          <cell r="J367">
            <v>12.1</v>
          </cell>
          <cell r="N367" t="e">
            <v>#DIV/0!</v>
          </cell>
        </row>
        <row r="368">
          <cell r="E368" t="str">
            <v>HGC-Lib-2450270</v>
          </cell>
          <cell r="F368" t="str">
            <v>D24060652</v>
          </cell>
          <cell r="G368">
            <v>9</v>
          </cell>
          <cell r="H368" t="str">
            <v>宏基因组</v>
          </cell>
          <cell r="I368" t="str">
            <v>WWH</v>
          </cell>
          <cell r="J368">
            <v>10.7</v>
          </cell>
          <cell r="N368" t="e">
            <v>#DIV/0!</v>
          </cell>
        </row>
        <row r="369">
          <cell r="E369" t="str">
            <v>HGC-Lib-2450271</v>
          </cell>
          <cell r="F369" t="str">
            <v>D24060653</v>
          </cell>
          <cell r="G369">
            <v>9</v>
          </cell>
          <cell r="H369" t="str">
            <v>宏基因组</v>
          </cell>
          <cell r="I369" t="str">
            <v>WWH</v>
          </cell>
          <cell r="J369">
            <v>4.58</v>
          </cell>
          <cell r="N369" t="e">
            <v>#DIV/0!</v>
          </cell>
        </row>
        <row r="370">
          <cell r="E370" t="str">
            <v>HGC-Lib-2450272</v>
          </cell>
          <cell r="F370" t="str">
            <v>D24060590</v>
          </cell>
          <cell r="G370">
            <v>18</v>
          </cell>
          <cell r="H370" t="str">
            <v>宏基因组</v>
          </cell>
          <cell r="I370" t="str">
            <v>WWH</v>
          </cell>
          <cell r="J370">
            <v>11.5</v>
          </cell>
          <cell r="N370" t="e">
            <v>#DIV/0!</v>
          </cell>
        </row>
        <row r="371">
          <cell r="E371" t="str">
            <v>HGC-Lib-2450273</v>
          </cell>
          <cell r="F371" t="str">
            <v>D24060591</v>
          </cell>
          <cell r="G371">
            <v>18</v>
          </cell>
          <cell r="H371" t="str">
            <v>宏基因组</v>
          </cell>
          <cell r="I371" t="str">
            <v>WWH</v>
          </cell>
          <cell r="J371">
            <v>12.3</v>
          </cell>
          <cell r="N371" t="e">
            <v>#DIV/0!</v>
          </cell>
        </row>
        <row r="372">
          <cell r="E372" t="str">
            <v>HGC-Lib-2450274</v>
          </cell>
          <cell r="F372" t="str">
            <v>D24060592</v>
          </cell>
          <cell r="G372">
            <v>18</v>
          </cell>
          <cell r="H372" t="str">
            <v>宏基因组</v>
          </cell>
          <cell r="I372" t="str">
            <v>WWH</v>
          </cell>
          <cell r="J372">
            <v>16.7</v>
          </cell>
          <cell r="N372" t="e">
            <v>#DIV/0!</v>
          </cell>
        </row>
        <row r="373">
          <cell r="E373" t="str">
            <v>HGC-Lib-2450275</v>
          </cell>
          <cell r="F373" t="str">
            <v>D24060593</v>
          </cell>
          <cell r="G373">
            <v>18</v>
          </cell>
          <cell r="H373" t="str">
            <v>宏基因组</v>
          </cell>
          <cell r="I373" t="str">
            <v>WWH</v>
          </cell>
          <cell r="J373">
            <v>17.2</v>
          </cell>
          <cell r="N373" t="e">
            <v>#DIV/0!</v>
          </cell>
        </row>
        <row r="374">
          <cell r="E374" t="str">
            <v>HGC-Lib-2450276</v>
          </cell>
          <cell r="F374" t="str">
            <v>D24060594</v>
          </cell>
          <cell r="G374">
            <v>18</v>
          </cell>
          <cell r="H374" t="str">
            <v>宏基因组</v>
          </cell>
          <cell r="I374" t="str">
            <v>WWH</v>
          </cell>
          <cell r="J374">
            <v>6.78</v>
          </cell>
          <cell r="N374" t="e">
            <v>#DIV/0!</v>
          </cell>
        </row>
        <row r="375">
          <cell r="E375" t="str">
            <v>HGC-Lib-2450277</v>
          </cell>
          <cell r="F375" t="str">
            <v>D24060595</v>
          </cell>
          <cell r="G375">
            <v>18</v>
          </cell>
          <cell r="H375" t="str">
            <v>宏基因组</v>
          </cell>
          <cell r="I375" t="str">
            <v>WWH</v>
          </cell>
          <cell r="J375">
            <v>13.5</v>
          </cell>
          <cell r="N375" t="e">
            <v>#DIV/0!</v>
          </cell>
        </row>
        <row r="376">
          <cell r="E376" t="str">
            <v>HGC-Lib-2450278</v>
          </cell>
          <cell r="F376" t="str">
            <v>D24060415</v>
          </cell>
          <cell r="G376">
            <v>14</v>
          </cell>
          <cell r="H376" t="str">
            <v>宏基因组</v>
          </cell>
          <cell r="I376" t="str">
            <v>ZZ</v>
          </cell>
          <cell r="J376">
            <v>9.52</v>
          </cell>
          <cell r="N376" t="e">
            <v>#DIV/0!</v>
          </cell>
        </row>
        <row r="377">
          <cell r="E377" t="str">
            <v>HGC-Lib-2450279</v>
          </cell>
          <cell r="F377" t="str">
            <v>D24060416</v>
          </cell>
          <cell r="G377">
            <v>14</v>
          </cell>
          <cell r="H377" t="str">
            <v>宏基因组</v>
          </cell>
          <cell r="I377" t="str">
            <v>ZZ</v>
          </cell>
          <cell r="J377">
            <v>10.9</v>
          </cell>
          <cell r="N377" t="e">
            <v>#DIV/0!</v>
          </cell>
        </row>
        <row r="378">
          <cell r="E378" t="str">
            <v>HGC-Lib-2450280</v>
          </cell>
          <cell r="F378" t="str">
            <v>D24060417</v>
          </cell>
          <cell r="G378">
            <v>14</v>
          </cell>
          <cell r="H378" t="str">
            <v>宏基因组</v>
          </cell>
          <cell r="I378" t="str">
            <v>ZZ</v>
          </cell>
          <cell r="J378">
            <v>14.9</v>
          </cell>
          <cell r="N378" t="e">
            <v>#DIV/0!</v>
          </cell>
        </row>
        <row r="379">
          <cell r="E379" t="str">
            <v>HGC-Lib-2450281</v>
          </cell>
          <cell r="F379" t="str">
            <v>D24060418</v>
          </cell>
          <cell r="G379">
            <v>14</v>
          </cell>
          <cell r="H379" t="str">
            <v>宏基因组</v>
          </cell>
          <cell r="I379" t="str">
            <v>ZZ</v>
          </cell>
          <cell r="J379">
            <v>10.7</v>
          </cell>
          <cell r="N379" t="e">
            <v>#DIV/0!</v>
          </cell>
        </row>
        <row r="380">
          <cell r="E380" t="str">
            <v>HGC-Lib-2450282</v>
          </cell>
          <cell r="F380" t="str">
            <v>D24060419</v>
          </cell>
          <cell r="G380">
            <v>14</v>
          </cell>
          <cell r="H380" t="str">
            <v>宏基因组</v>
          </cell>
          <cell r="I380" t="str">
            <v>ZZ</v>
          </cell>
          <cell r="J380">
            <v>12.4</v>
          </cell>
          <cell r="N380" t="e">
            <v>#DIV/0!</v>
          </cell>
        </row>
        <row r="381">
          <cell r="E381" t="str">
            <v>HGC-Lib-2450283</v>
          </cell>
          <cell r="F381" t="str">
            <v>D24060420</v>
          </cell>
          <cell r="G381">
            <v>14</v>
          </cell>
          <cell r="H381" t="str">
            <v>宏基因组</v>
          </cell>
          <cell r="I381" t="str">
            <v>ZZ</v>
          </cell>
          <cell r="J381">
            <v>11.6</v>
          </cell>
          <cell r="N381" t="e">
            <v>#DIV/0!</v>
          </cell>
        </row>
        <row r="382">
          <cell r="E382" t="str">
            <v>HGC-Lib-2450284</v>
          </cell>
          <cell r="F382" t="str">
            <v>D24060421</v>
          </cell>
          <cell r="G382">
            <v>14</v>
          </cell>
          <cell r="H382" t="str">
            <v>宏基因组</v>
          </cell>
          <cell r="I382" t="str">
            <v>ZZ</v>
          </cell>
          <cell r="J382">
            <v>11.1</v>
          </cell>
          <cell r="N382" t="e">
            <v>#DIV/0!</v>
          </cell>
        </row>
        <row r="383">
          <cell r="E383" t="str">
            <v>HGC-Lib-2450285</v>
          </cell>
          <cell r="F383" t="str">
            <v>D24060422</v>
          </cell>
          <cell r="G383">
            <v>14</v>
          </cell>
          <cell r="H383" t="str">
            <v>宏基因组</v>
          </cell>
          <cell r="I383" t="str">
            <v>ZZ</v>
          </cell>
          <cell r="J383">
            <v>11.3</v>
          </cell>
          <cell r="N383" t="e">
            <v>#DIV/0!</v>
          </cell>
        </row>
        <row r="384">
          <cell r="E384" t="str">
            <v>HGC-Lib-2450286</v>
          </cell>
          <cell r="F384" t="str">
            <v>D24060423</v>
          </cell>
          <cell r="G384">
            <v>14</v>
          </cell>
          <cell r="H384" t="str">
            <v>宏基因组</v>
          </cell>
          <cell r="I384" t="str">
            <v>ZZ</v>
          </cell>
          <cell r="J384">
            <v>11.5</v>
          </cell>
          <cell r="N384" t="e">
            <v>#DIV/0!</v>
          </cell>
        </row>
        <row r="385">
          <cell r="E385" t="str">
            <v>HGC-Lib-2450287</v>
          </cell>
          <cell r="F385" t="str">
            <v>D24060424</v>
          </cell>
          <cell r="G385">
            <v>14</v>
          </cell>
          <cell r="H385" t="str">
            <v>宏基因组</v>
          </cell>
          <cell r="I385" t="str">
            <v>ZZ</v>
          </cell>
          <cell r="J385">
            <v>12.8</v>
          </cell>
          <cell r="N385" t="e">
            <v>#DIV/0!</v>
          </cell>
        </row>
        <row r="386">
          <cell r="E386" t="str">
            <v>HGC-Lib-2450288</v>
          </cell>
          <cell r="F386" t="str">
            <v>D24060425</v>
          </cell>
          <cell r="G386">
            <v>14</v>
          </cell>
          <cell r="H386" t="str">
            <v>宏基因组</v>
          </cell>
          <cell r="I386" t="str">
            <v>ZZ</v>
          </cell>
          <cell r="J386">
            <v>11.8</v>
          </cell>
          <cell r="N386" t="e">
            <v>#DIV/0!</v>
          </cell>
        </row>
        <row r="387">
          <cell r="E387" t="str">
            <v>HGC-Lib-2450289</v>
          </cell>
          <cell r="F387" t="str">
            <v>D24060426</v>
          </cell>
          <cell r="G387">
            <v>14</v>
          </cell>
          <cell r="H387" t="str">
            <v>宏基因组</v>
          </cell>
          <cell r="I387" t="str">
            <v>ZZ</v>
          </cell>
          <cell r="J387">
            <v>12.4</v>
          </cell>
          <cell r="N387" t="e">
            <v>#DIV/0!</v>
          </cell>
        </row>
        <row r="388">
          <cell r="E388" t="str">
            <v>HGC-Lib-2450290</v>
          </cell>
          <cell r="F388" t="str">
            <v>D24060427</v>
          </cell>
          <cell r="G388">
            <v>14</v>
          </cell>
          <cell r="H388" t="str">
            <v>宏基因组</v>
          </cell>
          <cell r="I388" t="str">
            <v>ZZ</v>
          </cell>
          <cell r="J388">
            <v>11.1</v>
          </cell>
          <cell r="N388" t="e">
            <v>#DIV/0!</v>
          </cell>
        </row>
        <row r="389">
          <cell r="E389" t="str">
            <v>HGC-Lib-2450291</v>
          </cell>
          <cell r="F389" t="str">
            <v>D24060428</v>
          </cell>
          <cell r="G389">
            <v>14</v>
          </cell>
          <cell r="H389" t="str">
            <v>宏基因组</v>
          </cell>
          <cell r="I389" t="str">
            <v>ZZ</v>
          </cell>
          <cell r="J389">
            <v>11.5</v>
          </cell>
          <cell r="N389" t="e">
            <v>#DIV/0!</v>
          </cell>
        </row>
        <row r="390">
          <cell r="E390" t="str">
            <v>HGC-Lib-2450292</v>
          </cell>
          <cell r="F390" t="str">
            <v>D24060429</v>
          </cell>
          <cell r="G390">
            <v>14</v>
          </cell>
          <cell r="H390" t="str">
            <v>宏基因组</v>
          </cell>
          <cell r="I390" t="str">
            <v>ZZ</v>
          </cell>
          <cell r="J390">
            <v>13.4</v>
          </cell>
          <cell r="N390" t="e">
            <v>#DIV/0!</v>
          </cell>
        </row>
        <row r="391">
          <cell r="E391" t="str">
            <v>HGC-Lib-2450293</v>
          </cell>
          <cell r="F391" t="str">
            <v>D24060430</v>
          </cell>
          <cell r="G391">
            <v>14</v>
          </cell>
          <cell r="H391" t="str">
            <v>宏基因组</v>
          </cell>
          <cell r="I391" t="str">
            <v>ZZ</v>
          </cell>
          <cell r="J391">
            <v>9.08</v>
          </cell>
          <cell r="N391" t="e">
            <v>#DIV/0!</v>
          </cell>
        </row>
        <row r="392">
          <cell r="E392" t="str">
            <v>HGC-Lib-2450294</v>
          </cell>
          <cell r="F392" t="str">
            <v>D24060431</v>
          </cell>
          <cell r="G392">
            <v>14</v>
          </cell>
          <cell r="H392" t="str">
            <v>宏基因组</v>
          </cell>
          <cell r="I392" t="str">
            <v>ZZ</v>
          </cell>
          <cell r="J392">
            <v>10.9</v>
          </cell>
          <cell r="N392" t="e">
            <v>#DIV/0!</v>
          </cell>
        </row>
        <row r="393">
          <cell r="E393" t="str">
            <v>HGC-Lib-2450295</v>
          </cell>
          <cell r="F393" t="str">
            <v>D24060432</v>
          </cell>
          <cell r="G393">
            <v>14</v>
          </cell>
          <cell r="H393" t="str">
            <v>宏基因组</v>
          </cell>
          <cell r="I393" t="str">
            <v>ZZ</v>
          </cell>
          <cell r="J393">
            <v>10</v>
          </cell>
          <cell r="N393" t="e">
            <v>#DIV/0!</v>
          </cell>
        </row>
        <row r="394">
          <cell r="E394" t="str">
            <v>HGC-Lib-2450296</v>
          </cell>
          <cell r="F394" t="str">
            <v>D24060433</v>
          </cell>
          <cell r="G394">
            <v>14</v>
          </cell>
          <cell r="H394" t="str">
            <v>宏基因组</v>
          </cell>
          <cell r="I394" t="str">
            <v>ZZ</v>
          </cell>
          <cell r="J394">
            <v>9.84</v>
          </cell>
          <cell r="N394" t="e">
            <v>#DIV/0!</v>
          </cell>
        </row>
        <row r="395">
          <cell r="E395" t="str">
            <v>HGC-Lib-2450297</v>
          </cell>
          <cell r="F395" t="str">
            <v>D24060434</v>
          </cell>
          <cell r="G395">
            <v>14</v>
          </cell>
          <cell r="H395" t="str">
            <v>宏基因组</v>
          </cell>
          <cell r="I395" t="str">
            <v>ZZ</v>
          </cell>
          <cell r="J395">
            <v>12.5</v>
          </cell>
          <cell r="N395" t="e">
            <v>#DIV/0!</v>
          </cell>
        </row>
        <row r="396">
          <cell r="E396" t="str">
            <v>HGC-Lib-2450298</v>
          </cell>
          <cell r="F396" t="str">
            <v>D24060435</v>
          </cell>
          <cell r="G396">
            <v>14</v>
          </cell>
          <cell r="H396" t="str">
            <v>宏基因组</v>
          </cell>
          <cell r="I396" t="str">
            <v>ZZ</v>
          </cell>
          <cell r="J396">
            <v>11.3</v>
          </cell>
          <cell r="N396" t="e">
            <v>#DIV/0!</v>
          </cell>
        </row>
        <row r="397">
          <cell r="E397" t="str">
            <v>HGC-Lib-2450299</v>
          </cell>
          <cell r="F397" t="str">
            <v>D24060436</v>
          </cell>
          <cell r="G397">
            <v>14</v>
          </cell>
          <cell r="H397" t="str">
            <v>宏基因组</v>
          </cell>
          <cell r="I397" t="str">
            <v>ZZ</v>
          </cell>
          <cell r="J397">
            <v>13.2</v>
          </cell>
          <cell r="N397" t="e">
            <v>#DIV/0!</v>
          </cell>
        </row>
        <row r="398">
          <cell r="E398" t="str">
            <v>HGC-Lib-2450300</v>
          </cell>
          <cell r="F398" t="str">
            <v>D24060437</v>
          </cell>
          <cell r="G398">
            <v>14</v>
          </cell>
          <cell r="H398" t="str">
            <v>宏基因组</v>
          </cell>
          <cell r="I398" t="str">
            <v>ZZ</v>
          </cell>
          <cell r="J398">
            <v>11.9</v>
          </cell>
          <cell r="N398" t="e">
            <v>#DIV/0!</v>
          </cell>
        </row>
        <row r="399">
          <cell r="E399" t="str">
            <v>HGC-Lib-2450301</v>
          </cell>
          <cell r="F399" t="str">
            <v>D24060438</v>
          </cell>
          <cell r="G399">
            <v>14</v>
          </cell>
          <cell r="H399" t="str">
            <v>宏基因组</v>
          </cell>
          <cell r="I399" t="str">
            <v>ZZ</v>
          </cell>
          <cell r="J399">
            <v>10.8</v>
          </cell>
          <cell r="N399" t="e">
            <v>#DIV/0!</v>
          </cell>
        </row>
        <row r="400">
          <cell r="E400" t="str">
            <v>HGC-Lib-2450302</v>
          </cell>
          <cell r="F400" t="str">
            <v>D24060439</v>
          </cell>
          <cell r="G400">
            <v>14</v>
          </cell>
          <cell r="H400" t="str">
            <v>宏基因组</v>
          </cell>
          <cell r="I400" t="str">
            <v>ZZ</v>
          </cell>
          <cell r="J400">
            <v>10.4</v>
          </cell>
          <cell r="N400" t="e">
            <v>#DIV/0!</v>
          </cell>
        </row>
        <row r="401">
          <cell r="E401" t="str">
            <v>HGC-Lib-2450303</v>
          </cell>
          <cell r="F401" t="str">
            <v>D24060440</v>
          </cell>
          <cell r="G401">
            <v>14</v>
          </cell>
          <cell r="H401" t="str">
            <v>宏基因组</v>
          </cell>
          <cell r="I401" t="str">
            <v>ZZ</v>
          </cell>
          <cell r="J401">
            <v>10.1</v>
          </cell>
          <cell r="N401" t="e">
            <v>#DIV/0!</v>
          </cell>
        </row>
        <row r="402">
          <cell r="E402" t="str">
            <v>HGC-Lib-2450304</v>
          </cell>
          <cell r="F402" t="str">
            <v>D24060441</v>
          </cell>
          <cell r="G402">
            <v>14</v>
          </cell>
          <cell r="H402" t="str">
            <v>宏基因组</v>
          </cell>
          <cell r="I402" t="str">
            <v>ZZ</v>
          </cell>
          <cell r="J402">
            <v>9.3800000000000008</v>
          </cell>
          <cell r="N402" t="e">
            <v>#DIV/0!</v>
          </cell>
        </row>
        <row r="403">
          <cell r="E403" t="str">
            <v>HGC-Lib-2450305</v>
          </cell>
          <cell r="F403" t="str">
            <v>D24060442</v>
          </cell>
          <cell r="G403">
            <v>14</v>
          </cell>
          <cell r="H403" t="str">
            <v>宏基因组</v>
          </cell>
          <cell r="I403" t="str">
            <v>ZZ</v>
          </cell>
          <cell r="J403">
            <v>11.2</v>
          </cell>
          <cell r="N403" t="e">
            <v>#DIV/0!</v>
          </cell>
        </row>
        <row r="404">
          <cell r="E404" t="str">
            <v>HGC-Lib-2450306</v>
          </cell>
          <cell r="F404" t="str">
            <v>D24060443</v>
          </cell>
          <cell r="G404">
            <v>14</v>
          </cell>
          <cell r="H404" t="str">
            <v>宏基因组</v>
          </cell>
          <cell r="I404" t="str">
            <v>ZZ</v>
          </cell>
          <cell r="J404">
            <v>10</v>
          </cell>
          <cell r="N404" t="e">
            <v>#DIV/0!</v>
          </cell>
        </row>
        <row r="405">
          <cell r="E405" t="str">
            <v>HGC-Lib-2450307</v>
          </cell>
          <cell r="F405" t="str">
            <v>D24060444</v>
          </cell>
          <cell r="G405">
            <v>14</v>
          </cell>
          <cell r="H405" t="str">
            <v>宏基因组</v>
          </cell>
          <cell r="I405" t="str">
            <v>ZZ</v>
          </cell>
          <cell r="J405">
            <v>11.4</v>
          </cell>
          <cell r="N405" t="e">
            <v>#DIV/0!</v>
          </cell>
        </row>
        <row r="406">
          <cell r="E406" t="str">
            <v>HGC-Lib-2450308</v>
          </cell>
          <cell r="F406" t="str">
            <v>D24060445</v>
          </cell>
          <cell r="G406">
            <v>14</v>
          </cell>
          <cell r="H406" t="str">
            <v>宏基因组</v>
          </cell>
          <cell r="I406" t="str">
            <v>ZZ</v>
          </cell>
          <cell r="J406">
            <v>9.2799999999999994</v>
          </cell>
          <cell r="N406" t="e">
            <v>#DIV/0!</v>
          </cell>
        </row>
        <row r="407">
          <cell r="E407" t="str">
            <v>HGC-Lib-2450309</v>
          </cell>
          <cell r="F407" t="str">
            <v>D24060446</v>
          </cell>
          <cell r="G407">
            <v>14</v>
          </cell>
          <cell r="H407" t="str">
            <v>宏基因组</v>
          </cell>
          <cell r="I407" t="str">
            <v>ZZ</v>
          </cell>
          <cell r="J407">
            <v>12.9</v>
          </cell>
          <cell r="N407" t="e">
            <v>#DIV/0!</v>
          </cell>
        </row>
        <row r="408">
          <cell r="E408" t="str">
            <v>HGC-Lib-2450310</v>
          </cell>
          <cell r="F408" t="str">
            <v>D24060447</v>
          </cell>
          <cell r="G408">
            <v>14</v>
          </cell>
          <cell r="H408" t="str">
            <v>宏基因组</v>
          </cell>
          <cell r="I408" t="str">
            <v>ZZ</v>
          </cell>
          <cell r="J408">
            <v>8</v>
          </cell>
          <cell r="N408" t="e">
            <v>#DIV/0!</v>
          </cell>
        </row>
        <row r="409">
          <cell r="E409" t="str">
            <v>HGC-Lib-2450311</v>
          </cell>
          <cell r="F409" t="str">
            <v>D24060448</v>
          </cell>
          <cell r="G409">
            <v>14</v>
          </cell>
          <cell r="H409" t="str">
            <v>宏基因组</v>
          </cell>
          <cell r="I409" t="str">
            <v>ZZ</v>
          </cell>
          <cell r="J409">
            <v>7.6</v>
          </cell>
          <cell r="N409" t="e">
            <v>#DIV/0!</v>
          </cell>
        </row>
        <row r="410">
          <cell r="E410" t="str">
            <v>HGC-Lib-2450312</v>
          </cell>
          <cell r="F410" t="str">
            <v>D24060449</v>
          </cell>
          <cell r="G410">
            <v>14</v>
          </cell>
          <cell r="H410" t="str">
            <v>宏基因组</v>
          </cell>
          <cell r="I410" t="str">
            <v>ZZ</v>
          </cell>
          <cell r="J410">
            <v>7.78</v>
          </cell>
          <cell r="N410" t="e">
            <v>#DIV/0!</v>
          </cell>
        </row>
        <row r="411">
          <cell r="E411" t="str">
            <v>HGC-Lib-2450313</v>
          </cell>
          <cell r="F411" t="str">
            <v>D24060450</v>
          </cell>
          <cell r="G411">
            <v>14</v>
          </cell>
          <cell r="H411" t="str">
            <v>宏基因组</v>
          </cell>
          <cell r="I411" t="str">
            <v>ZZ</v>
          </cell>
          <cell r="J411">
            <v>9.18</v>
          </cell>
          <cell r="N411" t="e">
            <v>#DIV/0!</v>
          </cell>
        </row>
        <row r="412">
          <cell r="E412" t="str">
            <v>HGC-Lib-2450314</v>
          </cell>
          <cell r="F412" t="str">
            <v>D24060451</v>
          </cell>
          <cell r="G412">
            <v>14</v>
          </cell>
          <cell r="H412" t="str">
            <v>宏基因组</v>
          </cell>
          <cell r="I412" t="str">
            <v>ZZ</v>
          </cell>
          <cell r="J412">
            <v>11.2</v>
          </cell>
          <cell r="N412" t="e">
            <v>#DIV/0!</v>
          </cell>
        </row>
        <row r="413">
          <cell r="E413" t="str">
            <v>HGC-Lib-2450315</v>
          </cell>
          <cell r="F413" t="str">
            <v>D24060452</v>
          </cell>
          <cell r="G413">
            <v>14</v>
          </cell>
          <cell r="H413" t="str">
            <v>宏基因组</v>
          </cell>
          <cell r="I413" t="str">
            <v>ZZ</v>
          </cell>
          <cell r="J413">
            <v>11</v>
          </cell>
          <cell r="N413" t="e">
            <v>#DIV/0!</v>
          </cell>
        </row>
        <row r="414">
          <cell r="E414" t="str">
            <v>HGC-Lib-2450316</v>
          </cell>
          <cell r="F414" t="str">
            <v>D24060453</v>
          </cell>
          <cell r="G414">
            <v>14</v>
          </cell>
          <cell r="H414" t="str">
            <v>宏基因组</v>
          </cell>
          <cell r="I414" t="str">
            <v>ZZ</v>
          </cell>
          <cell r="J414">
            <v>10.1</v>
          </cell>
          <cell r="N414" t="e">
            <v>#DIV/0!</v>
          </cell>
        </row>
        <row r="415">
          <cell r="E415" t="str">
            <v>HGC-Lib-2450317</v>
          </cell>
          <cell r="F415" t="str">
            <v>D24060454</v>
          </cell>
          <cell r="G415">
            <v>14</v>
          </cell>
          <cell r="H415" t="str">
            <v>宏基因组</v>
          </cell>
          <cell r="I415" t="str">
            <v>ZZ</v>
          </cell>
          <cell r="J415">
            <v>10.8</v>
          </cell>
          <cell r="N415" t="e">
            <v>#DIV/0!</v>
          </cell>
        </row>
        <row r="416">
          <cell r="E416" t="str">
            <v>HGC-Lib-2450318</v>
          </cell>
          <cell r="F416" t="str">
            <v>D24060455</v>
          </cell>
          <cell r="G416">
            <v>14</v>
          </cell>
          <cell r="H416" t="str">
            <v>宏基因组</v>
          </cell>
          <cell r="I416" t="str">
            <v>ZZ</v>
          </cell>
          <cell r="J416">
            <v>8.8000000000000007</v>
          </cell>
          <cell r="N416" t="e">
            <v>#DIV/0!</v>
          </cell>
        </row>
        <row r="417">
          <cell r="E417" t="str">
            <v>HGC-Lib-2450319</v>
          </cell>
          <cell r="F417" t="str">
            <v>D24060456</v>
          </cell>
          <cell r="G417">
            <v>14</v>
          </cell>
          <cell r="H417" t="str">
            <v>宏基因组</v>
          </cell>
          <cell r="I417" t="str">
            <v>ZZ</v>
          </cell>
          <cell r="J417">
            <v>7.96</v>
          </cell>
          <cell r="N417" t="e">
            <v>#DIV/0!</v>
          </cell>
        </row>
        <row r="418">
          <cell r="E418" t="str">
            <v>HGC-Lib-2450320</v>
          </cell>
          <cell r="F418" t="str">
            <v>D24060457</v>
          </cell>
          <cell r="G418">
            <v>14</v>
          </cell>
          <cell r="H418" t="str">
            <v>宏基因组</v>
          </cell>
          <cell r="I418" t="str">
            <v>ZZ</v>
          </cell>
          <cell r="J418">
            <v>6.42</v>
          </cell>
          <cell r="N418" t="e">
            <v>#DIV/0!</v>
          </cell>
        </row>
        <row r="419">
          <cell r="E419" t="str">
            <v>HGC-Lib-2450321</v>
          </cell>
          <cell r="F419" t="str">
            <v>D24060458</v>
          </cell>
          <cell r="G419">
            <v>14</v>
          </cell>
          <cell r="H419" t="str">
            <v>宏基因组</v>
          </cell>
          <cell r="I419" t="str">
            <v>ZZ</v>
          </cell>
          <cell r="J419">
            <v>8.1199999999999992</v>
          </cell>
          <cell r="N419" t="e">
            <v>#DIV/0!</v>
          </cell>
        </row>
        <row r="420">
          <cell r="E420" t="str">
            <v>HGC-Lib-2450322</v>
          </cell>
          <cell r="F420" t="str">
            <v>D24060459</v>
          </cell>
          <cell r="G420">
            <v>14</v>
          </cell>
          <cell r="H420" t="str">
            <v>宏基因组</v>
          </cell>
          <cell r="I420" t="str">
            <v>ZZ</v>
          </cell>
          <cell r="J420">
            <v>10.3</v>
          </cell>
          <cell r="N420" t="e">
            <v>#DIV/0!</v>
          </cell>
        </row>
        <row r="421">
          <cell r="E421" t="str">
            <v>HGC-Lib-2450323</v>
          </cell>
          <cell r="F421" t="str">
            <v>D24060460</v>
          </cell>
          <cell r="G421">
            <v>14</v>
          </cell>
          <cell r="H421" t="str">
            <v>宏基因组</v>
          </cell>
          <cell r="I421" t="str">
            <v>ZZ</v>
          </cell>
          <cell r="J421">
            <v>9.52</v>
          </cell>
          <cell r="N421" t="e">
            <v>#DIV/0!</v>
          </cell>
        </row>
        <row r="422">
          <cell r="E422" t="str">
            <v>HGC-Lib-2450324</v>
          </cell>
          <cell r="F422" t="str">
            <v>D24060461</v>
          </cell>
          <cell r="G422">
            <v>14</v>
          </cell>
          <cell r="H422" t="str">
            <v>宏基因组</v>
          </cell>
          <cell r="I422" t="str">
            <v>ZZ</v>
          </cell>
          <cell r="J422">
            <v>9.16</v>
          </cell>
          <cell r="N422" t="e">
            <v>#DIV/0!</v>
          </cell>
        </row>
        <row r="423">
          <cell r="E423" t="str">
            <v>HGC-Lib-2450325</v>
          </cell>
          <cell r="F423" t="str">
            <v>D24060462</v>
          </cell>
          <cell r="G423">
            <v>14</v>
          </cell>
          <cell r="H423" t="str">
            <v>宏基因组</v>
          </cell>
          <cell r="I423" t="str">
            <v>ZZ</v>
          </cell>
          <cell r="J423">
            <v>7.94</v>
          </cell>
          <cell r="N423" t="e">
            <v>#DIV/0!</v>
          </cell>
        </row>
        <row r="424">
          <cell r="E424" t="str">
            <v>HGC-Lib-2450326</v>
          </cell>
          <cell r="F424" t="str">
            <v>D24060463</v>
          </cell>
          <cell r="G424">
            <v>14</v>
          </cell>
          <cell r="H424" t="str">
            <v>宏基因组</v>
          </cell>
          <cell r="I424" t="str">
            <v>ZZ</v>
          </cell>
          <cell r="J424">
            <v>9.6999999999999993</v>
          </cell>
          <cell r="N424" t="e">
            <v>#DIV/0!</v>
          </cell>
        </row>
        <row r="425">
          <cell r="E425" t="str">
            <v>HGC-Lib-2450327</v>
          </cell>
          <cell r="F425" t="str">
            <v>D24060464</v>
          </cell>
          <cell r="G425">
            <v>14</v>
          </cell>
          <cell r="H425" t="str">
            <v>宏基因组</v>
          </cell>
          <cell r="I425" t="str">
            <v>ZZ</v>
          </cell>
          <cell r="J425">
            <v>9.8800000000000008</v>
          </cell>
          <cell r="N425" t="e">
            <v>#DIV/0!</v>
          </cell>
        </row>
        <row r="426">
          <cell r="E426" t="str">
            <v>HGC-Lib-2450328</v>
          </cell>
          <cell r="F426" t="str">
            <v>D24060465</v>
          </cell>
          <cell r="G426">
            <v>14</v>
          </cell>
          <cell r="H426" t="str">
            <v>宏基因组</v>
          </cell>
          <cell r="I426" t="str">
            <v>ZZ</v>
          </cell>
          <cell r="J426">
            <v>13.5</v>
          </cell>
          <cell r="N426" t="e">
            <v>#DIV/0!</v>
          </cell>
        </row>
        <row r="427">
          <cell r="E427" t="str">
            <v>HGC-Lib-2450329</v>
          </cell>
          <cell r="F427" t="str">
            <v>D24060466</v>
          </cell>
          <cell r="G427">
            <v>14</v>
          </cell>
          <cell r="H427" t="str">
            <v>宏基因组</v>
          </cell>
          <cell r="I427" t="str">
            <v>ZZ</v>
          </cell>
          <cell r="J427">
            <v>13.6</v>
          </cell>
          <cell r="N427" t="e">
            <v>#DIV/0!</v>
          </cell>
        </row>
        <row r="428">
          <cell r="E428" t="str">
            <v>HGC-Lib-2450330</v>
          </cell>
          <cell r="F428" t="str">
            <v>D24060467</v>
          </cell>
          <cell r="G428">
            <v>14</v>
          </cell>
          <cell r="H428" t="str">
            <v>宏基因组</v>
          </cell>
          <cell r="I428" t="str">
            <v>ZZ</v>
          </cell>
          <cell r="J428">
            <v>13</v>
          </cell>
          <cell r="N428" t="e">
            <v>#DIV/0!</v>
          </cell>
        </row>
        <row r="429">
          <cell r="E429" t="str">
            <v>HGC-Lib-2450331</v>
          </cell>
          <cell r="F429" t="str">
            <v>D24060468</v>
          </cell>
          <cell r="G429">
            <v>14</v>
          </cell>
          <cell r="H429" t="str">
            <v>宏基因组</v>
          </cell>
          <cell r="I429" t="str">
            <v>ZZ</v>
          </cell>
          <cell r="J429">
            <v>15.2</v>
          </cell>
          <cell r="N429" t="e">
            <v>#DIV/0!</v>
          </cell>
        </row>
        <row r="430">
          <cell r="E430" t="str">
            <v>HGC-Lib-2450332</v>
          </cell>
          <cell r="F430" t="str">
            <v>D24060469</v>
          </cell>
          <cell r="G430">
            <v>14</v>
          </cell>
          <cell r="H430" t="str">
            <v>宏基因组</v>
          </cell>
          <cell r="I430" t="str">
            <v>ZZ</v>
          </cell>
          <cell r="J430">
            <v>12.8</v>
          </cell>
          <cell r="N430" t="e">
            <v>#DIV/0!</v>
          </cell>
        </row>
        <row r="431">
          <cell r="E431" t="str">
            <v>HGC-Lib-2450333</v>
          </cell>
          <cell r="F431" t="str">
            <v>D24060470</v>
          </cell>
          <cell r="G431">
            <v>14</v>
          </cell>
          <cell r="H431" t="str">
            <v>宏基因组</v>
          </cell>
          <cell r="I431" t="str">
            <v>ZZ</v>
          </cell>
          <cell r="J431">
            <v>13.8</v>
          </cell>
          <cell r="N431" t="e">
            <v>#DIV/0!</v>
          </cell>
        </row>
        <row r="432">
          <cell r="E432" t="str">
            <v>HGC-Lib-2450334</v>
          </cell>
          <cell r="F432" t="str">
            <v>D24060471</v>
          </cell>
          <cell r="G432">
            <v>14</v>
          </cell>
          <cell r="H432" t="str">
            <v>宏基因组</v>
          </cell>
          <cell r="I432" t="str">
            <v>ZZ</v>
          </cell>
          <cell r="J432">
            <v>9.16</v>
          </cell>
          <cell r="N432" t="e">
            <v>#DIV/0!</v>
          </cell>
        </row>
        <row r="433">
          <cell r="E433" t="str">
            <v>HGC-Lib-2450335</v>
          </cell>
          <cell r="F433" t="str">
            <v>D24060472</v>
          </cell>
          <cell r="G433">
            <v>14</v>
          </cell>
          <cell r="H433" t="str">
            <v>宏基因组</v>
          </cell>
          <cell r="I433" t="str">
            <v>ZZ</v>
          </cell>
          <cell r="J433">
            <v>10.8</v>
          </cell>
          <cell r="N433" t="e">
            <v>#DIV/0!</v>
          </cell>
        </row>
        <row r="434">
          <cell r="E434" t="str">
            <v>HGC-Lib-2450336</v>
          </cell>
          <cell r="F434" t="str">
            <v>D24060473</v>
          </cell>
          <cell r="G434">
            <v>14</v>
          </cell>
          <cell r="H434" t="str">
            <v>宏基因组</v>
          </cell>
          <cell r="I434" t="str">
            <v>ZZ</v>
          </cell>
          <cell r="J434">
            <v>14.4</v>
          </cell>
          <cell r="N434" t="e">
            <v>#DIV/0!</v>
          </cell>
        </row>
        <row r="435">
          <cell r="E435" t="str">
            <v>HGC-Lib-2450337</v>
          </cell>
          <cell r="F435" t="str">
            <v>D24060474</v>
          </cell>
          <cell r="G435">
            <v>14</v>
          </cell>
          <cell r="H435" t="str">
            <v>宏基因组</v>
          </cell>
          <cell r="I435" t="str">
            <v>ZZ</v>
          </cell>
          <cell r="J435">
            <v>12.9</v>
          </cell>
          <cell r="N435" t="e">
            <v>#DIV/0!</v>
          </cell>
        </row>
        <row r="436">
          <cell r="E436" t="str">
            <v>HGC-Lib-2450338</v>
          </cell>
          <cell r="F436" t="str">
            <v>D24060475</v>
          </cell>
          <cell r="G436">
            <v>14</v>
          </cell>
          <cell r="H436" t="str">
            <v>宏基因组</v>
          </cell>
          <cell r="I436" t="str">
            <v>ZZ</v>
          </cell>
          <cell r="J436">
            <v>8.92</v>
          </cell>
          <cell r="N436" t="e">
            <v>#DIV/0!</v>
          </cell>
        </row>
        <row r="437">
          <cell r="E437" t="str">
            <v>HGC-Lib-2450339</v>
          </cell>
          <cell r="F437" t="str">
            <v>D24060476</v>
          </cell>
          <cell r="G437">
            <v>14</v>
          </cell>
          <cell r="H437" t="str">
            <v>宏基因组</v>
          </cell>
          <cell r="I437" t="str">
            <v>ZZ</v>
          </cell>
          <cell r="J437">
            <v>7.86</v>
          </cell>
          <cell r="N437" t="e">
            <v>#DIV/0!</v>
          </cell>
        </row>
        <row r="438">
          <cell r="E438" t="str">
            <v>HGC-Lib-2450340</v>
          </cell>
          <cell r="F438" t="str">
            <v>D24060477</v>
          </cell>
          <cell r="G438">
            <v>14</v>
          </cell>
          <cell r="H438" t="str">
            <v>宏基因组</v>
          </cell>
          <cell r="I438" t="str">
            <v>ZZ</v>
          </cell>
          <cell r="J438">
            <v>11.9</v>
          </cell>
          <cell r="N438" t="e">
            <v>#DIV/0!</v>
          </cell>
        </row>
        <row r="439">
          <cell r="E439" t="str">
            <v>HGC-Lib-2450341</v>
          </cell>
          <cell r="F439" t="str">
            <v>D24060478</v>
          </cell>
          <cell r="G439">
            <v>14</v>
          </cell>
          <cell r="H439" t="str">
            <v>宏基因组</v>
          </cell>
          <cell r="I439" t="str">
            <v>ZZ</v>
          </cell>
          <cell r="J439">
            <v>10.1</v>
          </cell>
          <cell r="N439" t="e">
            <v>#DIV/0!</v>
          </cell>
        </row>
        <row r="440">
          <cell r="E440" t="str">
            <v>HGC-Lib-2450342</v>
          </cell>
          <cell r="F440" t="str">
            <v>D24060479</v>
          </cell>
          <cell r="G440">
            <v>14</v>
          </cell>
          <cell r="H440" t="str">
            <v>宏基因组</v>
          </cell>
          <cell r="I440" t="str">
            <v>ZZ</v>
          </cell>
          <cell r="J440">
            <v>4.24</v>
          </cell>
          <cell r="N440" t="e">
            <v>#DIV/0!</v>
          </cell>
        </row>
        <row r="441">
          <cell r="E441" t="str">
            <v>HGC-Lib-2450343</v>
          </cell>
          <cell r="F441" t="str">
            <v>D24060480</v>
          </cell>
          <cell r="G441">
            <v>14</v>
          </cell>
          <cell r="H441" t="str">
            <v>宏基因组</v>
          </cell>
          <cell r="I441" t="str">
            <v>ZZ</v>
          </cell>
          <cell r="J441">
            <v>6.28</v>
          </cell>
          <cell r="N441" t="e">
            <v>#DIV/0!</v>
          </cell>
        </row>
        <row r="442">
          <cell r="E442" t="str">
            <v>HGC-Lib-2450344</v>
          </cell>
          <cell r="F442" t="str">
            <v>D24060481</v>
          </cell>
          <cell r="G442">
            <v>14</v>
          </cell>
          <cell r="H442" t="str">
            <v>宏基因组</v>
          </cell>
          <cell r="I442" t="str">
            <v>ZZ</v>
          </cell>
          <cell r="J442">
            <v>9.26</v>
          </cell>
          <cell r="N442" t="e">
            <v>#DIV/0!</v>
          </cell>
        </row>
        <row r="443">
          <cell r="E443" t="str">
            <v>HGC-Lib-2450345</v>
          </cell>
          <cell r="F443" t="str">
            <v>D24060482</v>
          </cell>
          <cell r="G443">
            <v>14</v>
          </cell>
          <cell r="H443" t="str">
            <v>宏基因组</v>
          </cell>
          <cell r="I443" t="str">
            <v>ZZ</v>
          </cell>
          <cell r="J443">
            <v>12.5</v>
          </cell>
          <cell r="N443" t="e">
            <v>#DIV/0!</v>
          </cell>
        </row>
        <row r="444">
          <cell r="E444" t="str">
            <v>HGC-Lib-2450346</v>
          </cell>
          <cell r="F444" t="str">
            <v>D24060483</v>
          </cell>
          <cell r="G444">
            <v>14</v>
          </cell>
          <cell r="H444" t="str">
            <v>宏基因组</v>
          </cell>
          <cell r="I444" t="str">
            <v>ZZ</v>
          </cell>
          <cell r="J444">
            <v>11.4</v>
          </cell>
          <cell r="N444" t="e">
            <v>#DIV/0!</v>
          </cell>
        </row>
        <row r="445">
          <cell r="E445" t="str">
            <v>HGC-Lib-2450347</v>
          </cell>
          <cell r="F445" t="str">
            <v>D24060484</v>
          </cell>
          <cell r="G445">
            <v>14</v>
          </cell>
          <cell r="H445" t="str">
            <v>宏基因组</v>
          </cell>
          <cell r="I445" t="str">
            <v>ZZ</v>
          </cell>
          <cell r="J445">
            <v>12.5</v>
          </cell>
          <cell r="N445" t="e">
            <v>#DIV/0!</v>
          </cell>
        </row>
        <row r="446">
          <cell r="E446" t="str">
            <v>HGC-Lib-2450348</v>
          </cell>
          <cell r="F446" t="str">
            <v>D24060485</v>
          </cell>
          <cell r="G446">
            <v>14</v>
          </cell>
          <cell r="H446" t="str">
            <v>宏基因组</v>
          </cell>
          <cell r="I446" t="str">
            <v>ZZ</v>
          </cell>
          <cell r="J446">
            <v>10.6</v>
          </cell>
          <cell r="N446" t="e">
            <v>#DIV/0!</v>
          </cell>
        </row>
        <row r="447">
          <cell r="E447" t="str">
            <v>HGC-Lib-2450349</v>
          </cell>
          <cell r="F447" t="str">
            <v>D24060486</v>
          </cell>
          <cell r="G447">
            <v>14</v>
          </cell>
          <cell r="H447" t="str">
            <v>宏基因组</v>
          </cell>
          <cell r="I447" t="str">
            <v>ZZ</v>
          </cell>
          <cell r="J447">
            <v>11.4</v>
          </cell>
          <cell r="N447" t="e">
            <v>#DIV/0!</v>
          </cell>
        </row>
        <row r="448">
          <cell r="E448" t="str">
            <v>HGC-Lib-2450350</v>
          </cell>
          <cell r="F448" t="str">
            <v>D24060487</v>
          </cell>
          <cell r="G448">
            <v>14</v>
          </cell>
          <cell r="H448" t="str">
            <v>宏基因组</v>
          </cell>
          <cell r="I448" t="str">
            <v>ZZ</v>
          </cell>
          <cell r="J448">
            <v>7.66</v>
          </cell>
          <cell r="N448" t="e">
            <v>#DIV/0!</v>
          </cell>
        </row>
        <row r="449">
          <cell r="E449" t="str">
            <v>HGC-Lib-2450351</v>
          </cell>
          <cell r="F449" t="str">
            <v>D24060488</v>
          </cell>
          <cell r="G449">
            <v>14</v>
          </cell>
          <cell r="H449" t="str">
            <v>宏基因组</v>
          </cell>
          <cell r="I449" t="str">
            <v>ZZ</v>
          </cell>
          <cell r="J449">
            <v>9.08</v>
          </cell>
          <cell r="N449" t="e">
            <v>#DIV/0!</v>
          </cell>
        </row>
        <row r="450">
          <cell r="E450" t="str">
            <v>HGC-Lib-2450352</v>
          </cell>
          <cell r="F450" t="str">
            <v>D24060489</v>
          </cell>
          <cell r="G450">
            <v>14</v>
          </cell>
          <cell r="H450" t="str">
            <v>宏基因组</v>
          </cell>
          <cell r="I450" t="str">
            <v>ZZ</v>
          </cell>
          <cell r="J450">
            <v>6.54</v>
          </cell>
          <cell r="N450" t="e">
            <v>#DIV/0!</v>
          </cell>
        </row>
        <row r="451">
          <cell r="E451" t="str">
            <v>HGC-Lib-2450353</v>
          </cell>
          <cell r="F451" t="str">
            <v>D24060490</v>
          </cell>
          <cell r="G451">
            <v>14</v>
          </cell>
          <cell r="H451" t="str">
            <v>宏基因组</v>
          </cell>
          <cell r="I451" t="str">
            <v>ZZ</v>
          </cell>
          <cell r="J451">
            <v>11.4</v>
          </cell>
          <cell r="N451" t="e">
            <v>#DIV/0!</v>
          </cell>
        </row>
        <row r="452">
          <cell r="E452" t="str">
            <v>HGC-Lib-2450354</v>
          </cell>
          <cell r="F452" t="str">
            <v>D24060491</v>
          </cell>
          <cell r="G452">
            <v>14</v>
          </cell>
          <cell r="H452" t="str">
            <v>宏基因组</v>
          </cell>
          <cell r="I452" t="str">
            <v>ZZ</v>
          </cell>
          <cell r="J452">
            <v>9.6999999999999993</v>
          </cell>
          <cell r="N452" t="e">
            <v>#DIV/0!</v>
          </cell>
        </row>
        <row r="453">
          <cell r="E453" t="str">
            <v>HGC-Lib-2450355</v>
          </cell>
          <cell r="F453" t="str">
            <v>D24060492</v>
          </cell>
          <cell r="G453">
            <v>14</v>
          </cell>
          <cell r="H453" t="str">
            <v>宏基因组</v>
          </cell>
          <cell r="I453" t="str">
            <v>ZZ</v>
          </cell>
          <cell r="J453">
            <v>12.2</v>
          </cell>
          <cell r="N453" t="e">
            <v>#DIV/0!</v>
          </cell>
        </row>
        <row r="454">
          <cell r="E454" t="str">
            <v>HGC-Lib-2450356</v>
          </cell>
          <cell r="F454" t="str">
            <v>D24060493</v>
          </cell>
          <cell r="G454">
            <v>14</v>
          </cell>
          <cell r="H454" t="str">
            <v>宏基因组</v>
          </cell>
          <cell r="I454" t="str">
            <v>ZZ</v>
          </cell>
          <cell r="J454">
            <v>10.7</v>
          </cell>
          <cell r="N454" t="e">
            <v>#DIV/0!</v>
          </cell>
        </row>
        <row r="455">
          <cell r="E455" t="str">
            <v>HGC-Lib-2450357</v>
          </cell>
          <cell r="F455" t="str">
            <v>D24060494</v>
          </cell>
          <cell r="G455">
            <v>14</v>
          </cell>
          <cell r="H455" t="str">
            <v>宏基因组</v>
          </cell>
          <cell r="I455" t="str">
            <v>ZZ</v>
          </cell>
          <cell r="J455">
            <v>10.1</v>
          </cell>
          <cell r="N455" t="e">
            <v>#DIV/0!</v>
          </cell>
        </row>
        <row r="456">
          <cell r="E456" t="str">
            <v>HGC-Lib-2450358</v>
          </cell>
          <cell r="F456" t="str">
            <v>D24060495</v>
          </cell>
          <cell r="G456">
            <v>14</v>
          </cell>
          <cell r="H456" t="str">
            <v>宏基因组</v>
          </cell>
          <cell r="I456" t="str">
            <v>ZZ</v>
          </cell>
          <cell r="J456">
            <v>11.7</v>
          </cell>
          <cell r="N456" t="e">
            <v>#DIV/0!</v>
          </cell>
        </row>
        <row r="457">
          <cell r="E457" t="str">
            <v>HGC-Lib-2450359</v>
          </cell>
          <cell r="F457" t="str">
            <v>D24060496</v>
          </cell>
          <cell r="G457">
            <v>14</v>
          </cell>
          <cell r="H457" t="str">
            <v>宏基因组</v>
          </cell>
          <cell r="I457" t="str">
            <v>ZZ</v>
          </cell>
          <cell r="J457">
            <v>9.7200000000000006</v>
          </cell>
          <cell r="N457" t="e">
            <v>#DIV/0!</v>
          </cell>
        </row>
        <row r="458">
          <cell r="E458" t="str">
            <v>HGC-Lib-2450360</v>
          </cell>
          <cell r="F458" t="str">
            <v>D24060497</v>
          </cell>
          <cell r="G458">
            <v>14</v>
          </cell>
          <cell r="H458" t="str">
            <v>宏基因组</v>
          </cell>
          <cell r="I458" t="str">
            <v>ZZ</v>
          </cell>
          <cell r="J458">
            <v>13.9</v>
          </cell>
          <cell r="N458" t="e">
            <v>#DIV/0!</v>
          </cell>
        </row>
        <row r="459">
          <cell r="E459" t="str">
            <v>HGC-Lib-2450361</v>
          </cell>
          <cell r="F459" t="str">
            <v>D24060498</v>
          </cell>
          <cell r="G459">
            <v>14</v>
          </cell>
          <cell r="H459" t="str">
            <v>宏基因组</v>
          </cell>
          <cell r="I459" t="str">
            <v>ZZ</v>
          </cell>
          <cell r="J459">
            <v>10.4</v>
          </cell>
          <cell r="N459" t="e">
            <v>#DIV/0!</v>
          </cell>
        </row>
        <row r="460">
          <cell r="E460" t="str">
            <v>HGC-Lib-2450362</v>
          </cell>
          <cell r="F460" t="str">
            <v>D24060499</v>
          </cell>
          <cell r="G460">
            <v>14</v>
          </cell>
          <cell r="H460" t="str">
            <v>宏基因组</v>
          </cell>
          <cell r="I460" t="str">
            <v>ZZ</v>
          </cell>
          <cell r="J460">
            <v>12.8</v>
          </cell>
          <cell r="N460" t="e">
            <v>#DIV/0!</v>
          </cell>
        </row>
        <row r="461">
          <cell r="E461" t="str">
            <v>HGC-Lib-2450363</v>
          </cell>
          <cell r="F461" t="str">
            <v>D24060500</v>
          </cell>
          <cell r="G461">
            <v>14</v>
          </cell>
          <cell r="H461" t="str">
            <v>宏基因组</v>
          </cell>
          <cell r="I461" t="str">
            <v>ZZ</v>
          </cell>
          <cell r="J461">
            <v>13.2</v>
          </cell>
          <cell r="N461" t="e">
            <v>#DIV/0!</v>
          </cell>
        </row>
        <row r="462">
          <cell r="E462" t="str">
            <v>HGC-Lib-2450364</v>
          </cell>
          <cell r="F462" t="str">
            <v>D24060501</v>
          </cell>
          <cell r="G462">
            <v>14</v>
          </cell>
          <cell r="H462" t="str">
            <v>宏基因组</v>
          </cell>
          <cell r="I462" t="str">
            <v>ZZ</v>
          </cell>
          <cell r="J462">
            <v>13.1</v>
          </cell>
          <cell r="N462" t="e">
            <v>#DIV/0!</v>
          </cell>
        </row>
        <row r="463">
          <cell r="E463" t="str">
            <v>HGC-Lib-2450365</v>
          </cell>
          <cell r="F463" t="str">
            <v>D24060502</v>
          </cell>
          <cell r="G463">
            <v>14</v>
          </cell>
          <cell r="H463" t="str">
            <v>宏基因组</v>
          </cell>
          <cell r="I463" t="str">
            <v>ZZ</v>
          </cell>
          <cell r="J463">
            <v>9.56</v>
          </cell>
          <cell r="N463" t="e">
            <v>#DIV/0!</v>
          </cell>
        </row>
        <row r="464">
          <cell r="E464" t="str">
            <v>HGC-Lib-2450366</v>
          </cell>
          <cell r="F464" t="str">
            <v>D24060503</v>
          </cell>
          <cell r="G464">
            <v>14</v>
          </cell>
          <cell r="H464" t="str">
            <v>宏基因组</v>
          </cell>
          <cell r="I464" t="str">
            <v>ZZ</v>
          </cell>
          <cell r="J464">
            <v>12</v>
          </cell>
          <cell r="N464" t="e">
            <v>#DIV/0!</v>
          </cell>
        </row>
        <row r="465">
          <cell r="E465" t="str">
            <v>HGC-Lib-2450367</v>
          </cell>
          <cell r="F465" t="str">
            <v>D24060504</v>
          </cell>
          <cell r="G465">
            <v>14</v>
          </cell>
          <cell r="H465" t="str">
            <v>宏基因组</v>
          </cell>
          <cell r="I465" t="str">
            <v>ZZ</v>
          </cell>
          <cell r="J465">
            <v>8.9600000000000009</v>
          </cell>
          <cell r="N465" t="e">
            <v>#DIV/0!</v>
          </cell>
        </row>
        <row r="466">
          <cell r="E466" t="str">
            <v>HGC-Lib-2450368</v>
          </cell>
          <cell r="F466" t="str">
            <v>D24060505</v>
          </cell>
          <cell r="G466">
            <v>14</v>
          </cell>
          <cell r="H466" t="str">
            <v>宏基因组</v>
          </cell>
          <cell r="I466" t="str">
            <v>ZZ</v>
          </cell>
          <cell r="J466">
            <v>13.8</v>
          </cell>
          <cell r="N466" t="e">
            <v>#DIV/0!</v>
          </cell>
        </row>
        <row r="467">
          <cell r="E467" t="str">
            <v>HGC-Lib-2450369</v>
          </cell>
          <cell r="F467" t="str">
            <v>D24060506</v>
          </cell>
          <cell r="G467">
            <v>14</v>
          </cell>
          <cell r="H467" t="str">
            <v>宏基因组</v>
          </cell>
          <cell r="I467" t="str">
            <v>ZZ</v>
          </cell>
          <cell r="J467">
            <v>12.5</v>
          </cell>
          <cell r="N467" t="e">
            <v>#DIV/0!</v>
          </cell>
        </row>
        <row r="468">
          <cell r="E468" t="str">
            <v>HGC-Lib-2450370</v>
          </cell>
          <cell r="F468" t="str">
            <v>D24060507</v>
          </cell>
          <cell r="G468">
            <v>14</v>
          </cell>
          <cell r="H468" t="str">
            <v>宏基因组</v>
          </cell>
          <cell r="I468" t="str">
            <v>ZZ</v>
          </cell>
          <cell r="J468">
            <v>10.4</v>
          </cell>
          <cell r="N468" t="e">
            <v>#DIV/0!</v>
          </cell>
        </row>
        <row r="469">
          <cell r="E469" t="str">
            <v>HGC-Lib-2450371</v>
          </cell>
          <cell r="F469" t="str">
            <v>D24060508</v>
          </cell>
          <cell r="G469">
            <v>14</v>
          </cell>
          <cell r="H469" t="str">
            <v>宏基因组</v>
          </cell>
          <cell r="I469" t="str">
            <v>ZZ</v>
          </cell>
          <cell r="J469">
            <v>13.3</v>
          </cell>
          <cell r="N469" t="e">
            <v>#DIV/0!</v>
          </cell>
        </row>
        <row r="470">
          <cell r="E470" t="str">
            <v>HGC-Lib-2450372</v>
          </cell>
          <cell r="F470" t="str">
            <v>D24060509</v>
          </cell>
          <cell r="G470">
            <v>14</v>
          </cell>
          <cell r="H470" t="str">
            <v>宏基因组</v>
          </cell>
          <cell r="I470" t="str">
            <v>ZZ</v>
          </cell>
          <cell r="J470">
            <v>14.6</v>
          </cell>
          <cell r="N470" t="e">
            <v>#DIV/0!</v>
          </cell>
        </row>
        <row r="471">
          <cell r="E471" t="str">
            <v>HGC-Lib-2450373</v>
          </cell>
          <cell r="F471" t="str">
            <v>D24060510</v>
          </cell>
          <cell r="G471">
            <v>14</v>
          </cell>
          <cell r="H471" t="str">
            <v>宏基因组</v>
          </cell>
          <cell r="I471" t="str">
            <v>ZZ</v>
          </cell>
          <cell r="J471">
            <v>13.6</v>
          </cell>
          <cell r="N471" t="e">
            <v>#DIV/0!</v>
          </cell>
        </row>
        <row r="472">
          <cell r="E472" t="str">
            <v>HGC-Lib-2450374</v>
          </cell>
          <cell r="F472" t="str">
            <v>D24060543</v>
          </cell>
          <cell r="G472">
            <v>7</v>
          </cell>
          <cell r="H472" t="str">
            <v>全基因组甲基化(BS)</v>
          </cell>
          <cell r="I472" t="str">
            <v>YHT</v>
          </cell>
          <cell r="J472">
            <v>67.8</v>
          </cell>
          <cell r="N472" t="e">
            <v>#DIV/0!</v>
          </cell>
        </row>
        <row r="473">
          <cell r="E473" t="str">
            <v>HGC-Lib-2450375</v>
          </cell>
          <cell r="F473" t="str">
            <v>D24060544</v>
          </cell>
          <cell r="G473">
            <v>7</v>
          </cell>
          <cell r="H473" t="str">
            <v>全基因组甲基化(BS)</v>
          </cell>
          <cell r="I473" t="str">
            <v>YHT</v>
          </cell>
          <cell r="J473">
            <v>68</v>
          </cell>
          <cell r="N473" t="e">
            <v>#DIV/0!</v>
          </cell>
        </row>
        <row r="474">
          <cell r="E474" t="str">
            <v>HGC-Lib-2450376</v>
          </cell>
          <cell r="F474" t="str">
            <v>D24060545</v>
          </cell>
          <cell r="G474">
            <v>7</v>
          </cell>
          <cell r="H474" t="str">
            <v>全基因组甲基化(BS)</v>
          </cell>
          <cell r="I474" t="str">
            <v>YHT</v>
          </cell>
          <cell r="J474">
            <v>61.4</v>
          </cell>
          <cell r="N474" t="e">
            <v>#DIV/0!</v>
          </cell>
        </row>
        <row r="475">
          <cell r="E475" t="str">
            <v>HGC-Lib-2450377</v>
          </cell>
          <cell r="F475" t="str">
            <v>D24060546</v>
          </cell>
          <cell r="G475">
            <v>7</v>
          </cell>
          <cell r="H475" t="str">
            <v>全基因组甲基化(BS)</v>
          </cell>
          <cell r="I475" t="str">
            <v>YHT</v>
          </cell>
          <cell r="J475">
            <v>60.8</v>
          </cell>
          <cell r="N475" t="e">
            <v>#DIV/0!</v>
          </cell>
        </row>
        <row r="476">
          <cell r="E476" t="str">
            <v>HGC-Lib-2450378</v>
          </cell>
          <cell r="F476" t="str">
            <v>D24060547</v>
          </cell>
          <cell r="G476">
            <v>7</v>
          </cell>
          <cell r="H476" t="str">
            <v>全基因组甲基化(BS)</v>
          </cell>
          <cell r="I476" t="str">
            <v>YHT</v>
          </cell>
          <cell r="J476">
            <v>47</v>
          </cell>
          <cell r="N476" t="e">
            <v>#DIV/0!</v>
          </cell>
        </row>
        <row r="477">
          <cell r="E477" t="str">
            <v>HGC-Lib-2450379</v>
          </cell>
          <cell r="F477" t="str">
            <v>D24060548</v>
          </cell>
          <cell r="G477">
            <v>7</v>
          </cell>
          <cell r="H477" t="str">
            <v>全基因组甲基化(BS)</v>
          </cell>
          <cell r="I477" t="str">
            <v>YHT</v>
          </cell>
          <cell r="J477">
            <v>34.200000000000003</v>
          </cell>
          <cell r="N477" t="e">
            <v>#DIV/0!</v>
          </cell>
        </row>
        <row r="478">
          <cell r="E478" t="str">
            <v>HGC-Lib-2450380</v>
          </cell>
          <cell r="F478" t="str">
            <v>D24060053</v>
          </cell>
          <cell r="G478">
            <v>19</v>
          </cell>
          <cell r="H478" t="str">
            <v>全基因组甲基化(BS)</v>
          </cell>
          <cell r="I478" t="str">
            <v>YHT</v>
          </cell>
          <cell r="J478">
            <v>53.4</v>
          </cell>
          <cell r="N478" t="e">
            <v>#DIV/0!</v>
          </cell>
        </row>
        <row r="479">
          <cell r="E479" t="str">
            <v>HGC-Lib-2450381</v>
          </cell>
          <cell r="F479" t="str">
            <v>D24060054</v>
          </cell>
          <cell r="G479">
            <v>19</v>
          </cell>
          <cell r="H479" t="str">
            <v>全基因组甲基化(BS)</v>
          </cell>
          <cell r="I479" t="str">
            <v>YHT</v>
          </cell>
          <cell r="J479">
            <v>20</v>
          </cell>
          <cell r="N479" t="e">
            <v>#DIV/0!</v>
          </cell>
        </row>
        <row r="480">
          <cell r="E480" t="str">
            <v>HGC-Lib-2450382</v>
          </cell>
          <cell r="F480" t="str">
            <v>D24060055</v>
          </cell>
          <cell r="G480">
            <v>19</v>
          </cell>
          <cell r="H480" t="str">
            <v>全基因组甲基化(BS)</v>
          </cell>
          <cell r="I480" t="str">
            <v>YHT</v>
          </cell>
          <cell r="J480">
            <v>20.2</v>
          </cell>
          <cell r="N480" t="e">
            <v>#DIV/0!</v>
          </cell>
        </row>
        <row r="481">
          <cell r="E481" t="str">
            <v>HGC-Lib-2450383</v>
          </cell>
          <cell r="F481" t="str">
            <v>D24060056</v>
          </cell>
          <cell r="G481">
            <v>19</v>
          </cell>
          <cell r="H481" t="str">
            <v>全基因组甲基化(BS)</v>
          </cell>
          <cell r="I481" t="str">
            <v>YHT</v>
          </cell>
          <cell r="J481">
            <v>42.8</v>
          </cell>
          <cell r="N481" t="e">
            <v>#DIV/0!</v>
          </cell>
        </row>
        <row r="482">
          <cell r="E482" t="str">
            <v>HGC-Lib-2450384</v>
          </cell>
          <cell r="F482" t="str">
            <v>D24060057</v>
          </cell>
          <cell r="G482">
            <v>19</v>
          </cell>
          <cell r="H482" t="str">
            <v>全基因组甲基化(BS)</v>
          </cell>
          <cell r="I482" t="str">
            <v>YHT</v>
          </cell>
          <cell r="J482">
            <v>22.8</v>
          </cell>
          <cell r="N482" t="e">
            <v>#DIV/0!</v>
          </cell>
        </row>
        <row r="483">
          <cell r="E483" t="str">
            <v>HGC-Lib-2450385</v>
          </cell>
          <cell r="F483" t="str">
            <v>D24060058</v>
          </cell>
          <cell r="G483">
            <v>19</v>
          </cell>
          <cell r="H483" t="str">
            <v>全基因组甲基化(BS)</v>
          </cell>
          <cell r="I483" t="str">
            <v>YHT</v>
          </cell>
          <cell r="J483">
            <v>26.4</v>
          </cell>
          <cell r="N483" t="e">
            <v>#DIV/0!</v>
          </cell>
        </row>
        <row r="484">
          <cell r="E484" t="str">
            <v>HGC-Lib-2450386</v>
          </cell>
          <cell r="F484" t="str">
            <v>D24050599</v>
          </cell>
          <cell r="G484">
            <v>5</v>
          </cell>
          <cell r="H484" t="str">
            <v>全基因组甲基化(BS)</v>
          </cell>
          <cell r="I484" t="str">
            <v>YHT</v>
          </cell>
          <cell r="J484">
            <v>39.4</v>
          </cell>
          <cell r="N484" t="e">
            <v>#DIV/0!</v>
          </cell>
        </row>
        <row r="485">
          <cell r="E485" t="str">
            <v>HGC-Lib-2450387</v>
          </cell>
          <cell r="F485" t="str">
            <v>D24050600</v>
          </cell>
          <cell r="G485">
            <v>5</v>
          </cell>
          <cell r="H485" t="str">
            <v>全基因组甲基化(BS)</v>
          </cell>
          <cell r="I485" t="str">
            <v>YHT</v>
          </cell>
          <cell r="J485">
            <v>38.200000000000003</v>
          </cell>
          <cell r="N485" t="e">
            <v>#DIV/0!</v>
          </cell>
        </row>
        <row r="486">
          <cell r="E486" t="str">
            <v>HGC-Lib-2450388</v>
          </cell>
          <cell r="F486" t="str">
            <v>D24050601</v>
          </cell>
          <cell r="G486">
            <v>5</v>
          </cell>
          <cell r="H486" t="str">
            <v>全基因组甲基化(BS)</v>
          </cell>
          <cell r="I486" t="str">
            <v>YHT</v>
          </cell>
          <cell r="J486">
            <v>71.599999999999994</v>
          </cell>
          <cell r="N486" t="e">
            <v>#DIV/0!</v>
          </cell>
        </row>
        <row r="487">
          <cell r="E487" t="str">
            <v>HGC-Lib-2450389</v>
          </cell>
          <cell r="F487" t="str">
            <v>D24050602</v>
          </cell>
          <cell r="G487">
            <v>5</v>
          </cell>
          <cell r="H487" t="str">
            <v>全基因组甲基化(BS)</v>
          </cell>
          <cell r="I487" t="str">
            <v>XCL</v>
          </cell>
          <cell r="J487">
            <v>68.400000000000006</v>
          </cell>
          <cell r="N487" t="e">
            <v>#DIV/0!</v>
          </cell>
        </row>
        <row r="488">
          <cell r="E488" t="str">
            <v>HGC-Lib-2450390</v>
          </cell>
          <cell r="F488" t="str">
            <v>D24050603</v>
          </cell>
          <cell r="G488">
            <v>5</v>
          </cell>
          <cell r="H488" t="str">
            <v>全基因组甲基化(BS)</v>
          </cell>
          <cell r="I488" t="str">
            <v>XCL</v>
          </cell>
          <cell r="J488">
            <v>61</v>
          </cell>
          <cell r="N488" t="e">
            <v>#DIV/0!</v>
          </cell>
        </row>
        <row r="489">
          <cell r="E489" t="str">
            <v>HGC-Lib-2450391</v>
          </cell>
          <cell r="F489" t="str">
            <v>D24050604</v>
          </cell>
          <cell r="G489">
            <v>5</v>
          </cell>
          <cell r="H489" t="str">
            <v>全基因组甲基化(BS)</v>
          </cell>
          <cell r="I489" t="str">
            <v>XCL</v>
          </cell>
          <cell r="J489">
            <v>32.700000000000003</v>
          </cell>
          <cell r="N489" t="e">
            <v>#DIV/0!</v>
          </cell>
        </row>
        <row r="490">
          <cell r="E490" t="str">
            <v>HGC-POOL-2450392</v>
          </cell>
          <cell r="F490" t="str">
            <v>D24060564-HUN</v>
          </cell>
          <cell r="G490">
            <v>60</v>
          </cell>
          <cell r="H490" t="str">
            <v>外显子</v>
          </cell>
          <cell r="I490" t="str">
            <v>XCL</v>
          </cell>
          <cell r="J490">
            <v>21.4</v>
          </cell>
          <cell r="N490" t="e">
            <v>#DIV/0!</v>
          </cell>
        </row>
        <row r="491">
          <cell r="E491" t="str">
            <v>HGC-POOL-2450393</v>
          </cell>
          <cell r="F491" t="str">
            <v>D24060570-HUN</v>
          </cell>
          <cell r="G491">
            <v>60</v>
          </cell>
          <cell r="H491" t="str">
            <v>外显子</v>
          </cell>
          <cell r="I491" t="str">
            <v>XCL</v>
          </cell>
          <cell r="J491">
            <v>22.2</v>
          </cell>
          <cell r="N491" t="e">
            <v>#DIV/0!</v>
          </cell>
        </row>
        <row r="492">
          <cell r="E492" t="str">
            <v>HGC-POOL-2450394</v>
          </cell>
          <cell r="F492" t="str">
            <v>D24060576-HUN</v>
          </cell>
          <cell r="G492">
            <v>60</v>
          </cell>
          <cell r="H492" t="str">
            <v>外显子</v>
          </cell>
          <cell r="I492" t="str">
            <v>XCL</v>
          </cell>
          <cell r="J492">
            <v>22.4</v>
          </cell>
          <cell r="N492" t="e">
            <v>#DIV/0!</v>
          </cell>
        </row>
        <row r="493">
          <cell r="E493" t="str">
            <v>HGC-POOL-2450395</v>
          </cell>
          <cell r="F493" t="str">
            <v>D24060582-HUN</v>
          </cell>
          <cell r="G493">
            <v>60</v>
          </cell>
          <cell r="H493" t="str">
            <v>外显子</v>
          </cell>
          <cell r="I493" t="str">
            <v>XCL</v>
          </cell>
          <cell r="J493">
            <v>23.4</v>
          </cell>
          <cell r="N493" t="e">
            <v>#DIV/0!</v>
          </cell>
        </row>
        <row r="494">
          <cell r="E494" t="str">
            <v>HGC-POOL-2450396</v>
          </cell>
          <cell r="F494" t="str">
            <v>D24040620-2</v>
          </cell>
          <cell r="G494">
            <v>4</v>
          </cell>
          <cell r="H494" t="str">
            <v>有参GBS</v>
          </cell>
          <cell r="I494" t="str">
            <v>XCL</v>
          </cell>
          <cell r="J494">
            <v>23.3</v>
          </cell>
          <cell r="N494" t="e">
            <v>#DIV/0!</v>
          </cell>
        </row>
        <row r="495">
          <cell r="E495" t="str">
            <v>HGC-Lib-2450397</v>
          </cell>
          <cell r="F495">
            <v>1</v>
          </cell>
          <cell r="G495">
            <v>6</v>
          </cell>
          <cell r="H495" t="str">
            <v>ATAC-Seq文库</v>
          </cell>
          <cell r="I495" t="str">
            <v>XCL</v>
          </cell>
          <cell r="J495">
            <v>11.7</v>
          </cell>
          <cell r="K495">
            <v>377</v>
          </cell>
          <cell r="L495" t="str">
            <v>GZQ</v>
          </cell>
          <cell r="N495">
            <v>47.745358090185697</v>
          </cell>
        </row>
        <row r="496">
          <cell r="E496" t="str">
            <v>HGC-Lib-2450398</v>
          </cell>
          <cell r="F496">
            <v>2</v>
          </cell>
          <cell r="G496">
            <v>6</v>
          </cell>
          <cell r="H496" t="str">
            <v>ATAC-Seq文库</v>
          </cell>
          <cell r="I496" t="str">
            <v>XCL</v>
          </cell>
          <cell r="J496">
            <v>4.2</v>
          </cell>
          <cell r="K496">
            <v>432</v>
          </cell>
          <cell r="L496" t="str">
            <v>GZQ</v>
          </cell>
          <cell r="N496">
            <v>14.957264957265</v>
          </cell>
        </row>
        <row r="497">
          <cell r="E497" t="str">
            <v>HGC-Lib-2450399</v>
          </cell>
          <cell r="F497">
            <v>3</v>
          </cell>
          <cell r="G497">
            <v>6</v>
          </cell>
          <cell r="H497" t="str">
            <v>ATAC-Seq文库</v>
          </cell>
          <cell r="I497" t="str">
            <v>XCL</v>
          </cell>
          <cell r="J497">
            <v>3.52</v>
          </cell>
          <cell r="K497">
            <v>471</v>
          </cell>
          <cell r="L497" t="str">
            <v>GZQ</v>
          </cell>
          <cell r="N497">
            <v>11.497631879797501</v>
          </cell>
        </row>
        <row r="498">
          <cell r="E498" t="str">
            <v>HGC-Lib-2450400</v>
          </cell>
          <cell r="F498">
            <v>4</v>
          </cell>
          <cell r="G498">
            <v>6</v>
          </cell>
          <cell r="H498" t="str">
            <v>ATAC-Seq文库</v>
          </cell>
          <cell r="I498" t="str">
            <v>XCL</v>
          </cell>
          <cell r="J498">
            <v>4.3</v>
          </cell>
          <cell r="K498">
            <v>438</v>
          </cell>
          <cell r="L498" t="str">
            <v>GZQ</v>
          </cell>
          <cell r="N498">
            <v>15.103617843343899</v>
          </cell>
        </row>
        <row r="499">
          <cell r="E499" t="str">
            <v>HGC-Lib-2450401</v>
          </cell>
          <cell r="F499">
            <v>5</v>
          </cell>
          <cell r="G499">
            <v>6</v>
          </cell>
          <cell r="H499" t="str">
            <v>ATAC-Seq文库</v>
          </cell>
          <cell r="I499" t="str">
            <v>XCL</v>
          </cell>
          <cell r="J499">
            <v>6.56</v>
          </cell>
          <cell r="K499">
            <v>408</v>
          </cell>
          <cell r="L499" t="str">
            <v>GZQ</v>
          </cell>
          <cell r="N499">
            <v>24.736048265459999</v>
          </cell>
        </row>
        <row r="500">
          <cell r="E500" t="str">
            <v>HGC-Lib-2450402</v>
          </cell>
          <cell r="F500">
            <v>6</v>
          </cell>
          <cell r="G500">
            <v>6</v>
          </cell>
          <cell r="H500" t="str">
            <v>ATAC-Seq文库</v>
          </cell>
          <cell r="I500" t="str">
            <v>XCL</v>
          </cell>
          <cell r="J500">
            <v>12.2</v>
          </cell>
          <cell r="K500">
            <v>361</v>
          </cell>
          <cell r="L500" t="str">
            <v>GZQ</v>
          </cell>
          <cell r="N500">
            <v>51.992329000639202</v>
          </cell>
        </row>
        <row r="501">
          <cell r="E501" t="str">
            <v>HGC-POOL-2450403</v>
          </cell>
          <cell r="F501" t="str">
            <v>A498RE_mix</v>
          </cell>
          <cell r="G501">
            <v>6</v>
          </cell>
          <cell r="H501" t="str">
            <v>cut&amp;tag文库</v>
          </cell>
          <cell r="I501" t="str">
            <v>XCL</v>
          </cell>
          <cell r="J501">
            <v>1.81</v>
          </cell>
          <cell r="K501">
            <v>387</v>
          </cell>
          <cell r="L501" t="str">
            <v>GZQ</v>
          </cell>
          <cell r="N501">
            <v>7.19538859073743</v>
          </cell>
        </row>
        <row r="502">
          <cell r="E502" t="str">
            <v>HGC-Lib-2450407</v>
          </cell>
          <cell r="F502" t="str">
            <v>KE2400021</v>
          </cell>
          <cell r="G502">
            <v>12</v>
          </cell>
          <cell r="H502" t="str">
            <v>宏基因组文库</v>
          </cell>
          <cell r="I502" t="str">
            <v>XCL</v>
          </cell>
          <cell r="J502">
            <v>3.66</v>
          </cell>
          <cell r="K502">
            <v>569</v>
          </cell>
          <cell r="L502" t="str">
            <v>GZQ</v>
          </cell>
          <cell r="N502">
            <v>9.8959037447613891</v>
          </cell>
        </row>
        <row r="503">
          <cell r="E503" t="str">
            <v>HGC-Lib-2450408</v>
          </cell>
          <cell r="F503" t="str">
            <v>KE2400022</v>
          </cell>
          <cell r="G503">
            <v>12</v>
          </cell>
          <cell r="H503" t="str">
            <v>宏基因组文库</v>
          </cell>
          <cell r="I503" t="str">
            <v>XCL</v>
          </cell>
          <cell r="J503">
            <v>23</v>
          </cell>
          <cell r="K503">
            <v>481</v>
          </cell>
          <cell r="L503" t="str">
            <v>XCL</v>
          </cell>
          <cell r="N503">
            <v>73.564688949304298</v>
          </cell>
        </row>
        <row r="504">
          <cell r="E504" t="str">
            <v>HGC-Lib-2450409</v>
          </cell>
          <cell r="F504" t="str">
            <v>KE2400023</v>
          </cell>
          <cell r="G504">
            <v>12</v>
          </cell>
          <cell r="H504" t="str">
            <v>宏基因组文库</v>
          </cell>
          <cell r="I504" t="str">
            <v>XCL</v>
          </cell>
          <cell r="J504">
            <v>26.2</v>
          </cell>
          <cell r="K504">
            <v>479</v>
          </cell>
          <cell r="L504" t="str">
            <v>XCL</v>
          </cell>
          <cell r="N504">
            <v>84.149670788501695</v>
          </cell>
        </row>
        <row r="505">
          <cell r="E505" t="str">
            <v>HGC-Lib-2450410</v>
          </cell>
          <cell r="F505" t="str">
            <v>KE2400024</v>
          </cell>
          <cell r="G505">
            <v>12</v>
          </cell>
          <cell r="H505" t="str">
            <v>宏基因组文库</v>
          </cell>
          <cell r="I505" t="str">
            <v>XCL</v>
          </cell>
          <cell r="J505">
            <v>8.48</v>
          </cell>
          <cell r="K505">
            <v>477</v>
          </cell>
          <cell r="L505" t="str">
            <v>GZQ</v>
          </cell>
          <cell r="N505">
            <v>27.350427350427399</v>
          </cell>
        </row>
        <row r="506">
          <cell r="E506" t="str">
            <v>HGC-Lib-2450411</v>
          </cell>
          <cell r="F506" t="str">
            <v>KE2400025</v>
          </cell>
          <cell r="G506">
            <v>12</v>
          </cell>
          <cell r="H506" t="str">
            <v>宏基因组文库</v>
          </cell>
          <cell r="I506" t="str">
            <v>XCL</v>
          </cell>
          <cell r="J506">
            <v>18.8</v>
          </cell>
          <cell r="K506">
            <v>528</v>
          </cell>
          <cell r="L506" t="str">
            <v>XCL</v>
          </cell>
          <cell r="N506">
            <v>54.778554778554799</v>
          </cell>
        </row>
        <row r="507">
          <cell r="E507" t="str">
            <v>HGC-Lib-2450412</v>
          </cell>
          <cell r="F507" t="str">
            <v>KE2400026</v>
          </cell>
          <cell r="G507">
            <v>12</v>
          </cell>
          <cell r="H507" t="str">
            <v>宏基因组文库</v>
          </cell>
          <cell r="I507" t="str">
            <v>XCL</v>
          </cell>
          <cell r="J507">
            <v>10.1</v>
          </cell>
          <cell r="K507">
            <v>472</v>
          </cell>
          <cell r="L507" t="str">
            <v>XCL</v>
          </cell>
          <cell r="N507">
            <v>32.920469361147298</v>
          </cell>
        </row>
        <row r="508">
          <cell r="E508" t="str">
            <v>HGC-Lib-2450413</v>
          </cell>
          <cell r="F508" t="str">
            <v>KE2400027</v>
          </cell>
          <cell r="G508">
            <v>12</v>
          </cell>
          <cell r="H508" t="str">
            <v>宏基因组文库</v>
          </cell>
          <cell r="I508" t="str">
            <v>XCL</v>
          </cell>
          <cell r="J508">
            <v>0.94199999999999995</v>
          </cell>
          <cell r="K508">
            <v>549</v>
          </cell>
          <cell r="L508" t="str">
            <v>GZQ</v>
          </cell>
          <cell r="N508">
            <v>2.6397646069777201</v>
          </cell>
        </row>
        <row r="509">
          <cell r="E509" t="str">
            <v>HGC-Lib-2450414</v>
          </cell>
          <cell r="F509" t="str">
            <v>KE2400028</v>
          </cell>
          <cell r="G509">
            <v>12</v>
          </cell>
          <cell r="H509" t="str">
            <v>宏基因组文库</v>
          </cell>
          <cell r="I509" t="str">
            <v>XCL</v>
          </cell>
          <cell r="J509">
            <v>6</v>
          </cell>
          <cell r="K509">
            <v>549</v>
          </cell>
          <cell r="L509" t="str">
            <v>GZQ</v>
          </cell>
          <cell r="N509">
            <v>16.813787305590601</v>
          </cell>
        </row>
        <row r="510">
          <cell r="E510" t="str">
            <v>HGC-Lib-2450415</v>
          </cell>
          <cell r="F510" t="str">
            <v>KE2400029</v>
          </cell>
          <cell r="G510">
            <v>12</v>
          </cell>
          <cell r="H510" t="str">
            <v>宏基因组文库</v>
          </cell>
          <cell r="I510" t="str">
            <v>XCL</v>
          </cell>
          <cell r="J510">
            <v>13.7</v>
          </cell>
          <cell r="K510">
            <v>510</v>
          </cell>
          <cell r="L510" t="str">
            <v>XCL</v>
          </cell>
          <cell r="N510">
            <v>41.327300150829601</v>
          </cell>
        </row>
        <row r="511">
          <cell r="E511" t="str">
            <v>HGC-Lib-2450416</v>
          </cell>
          <cell r="F511" t="str">
            <v>KE2400030</v>
          </cell>
          <cell r="G511">
            <v>12</v>
          </cell>
          <cell r="H511" t="str">
            <v>宏基因组文库</v>
          </cell>
          <cell r="I511" t="str">
            <v>XCL</v>
          </cell>
          <cell r="J511">
            <v>8.94</v>
          </cell>
          <cell r="K511">
            <v>482</v>
          </cell>
          <cell r="L511" t="str">
            <v>GZQ</v>
          </cell>
          <cell r="N511">
            <v>28.534950526651802</v>
          </cell>
        </row>
        <row r="512">
          <cell r="E512" t="str">
            <v>HGC-Lib-2450417</v>
          </cell>
          <cell r="F512" t="str">
            <v>KE2400031</v>
          </cell>
          <cell r="G512">
            <v>12</v>
          </cell>
          <cell r="H512" t="str">
            <v>宏基因组文库</v>
          </cell>
          <cell r="I512" t="str">
            <v>XCL</v>
          </cell>
          <cell r="J512">
            <v>2.6</v>
          </cell>
          <cell r="K512">
            <v>502</v>
          </cell>
          <cell r="L512" t="str">
            <v>GZQ</v>
          </cell>
          <cell r="N512">
            <v>7.9681274900398398</v>
          </cell>
        </row>
        <row r="513">
          <cell r="E513" t="str">
            <v>HGC-Lib-2450418</v>
          </cell>
          <cell r="F513" t="str">
            <v>KE2400032</v>
          </cell>
          <cell r="G513">
            <v>12</v>
          </cell>
          <cell r="H513" t="str">
            <v>宏基因组文库</v>
          </cell>
          <cell r="I513" t="str">
            <v>XCL</v>
          </cell>
          <cell r="J513">
            <v>13.7</v>
          </cell>
          <cell r="K513">
            <v>515</v>
          </cell>
          <cell r="L513" t="str">
            <v>XCL</v>
          </cell>
          <cell r="N513">
            <v>40.926064227035098</v>
          </cell>
        </row>
        <row r="514">
          <cell r="E514" t="str">
            <v>HGC-Lib-2450419</v>
          </cell>
          <cell r="F514" t="str">
            <v>KE2400037</v>
          </cell>
          <cell r="G514">
            <v>12</v>
          </cell>
          <cell r="H514" t="str">
            <v>宏基因组文库</v>
          </cell>
          <cell r="I514" t="str">
            <v>XCL</v>
          </cell>
          <cell r="J514">
            <v>6.24</v>
          </cell>
          <cell r="K514">
            <v>587</v>
          </cell>
          <cell r="L514" t="str">
            <v>GZQ</v>
          </cell>
          <cell r="N514">
            <v>16.354344122657601</v>
          </cell>
        </row>
        <row r="515">
          <cell r="E515" t="str">
            <v>HGC-Lib-2450420</v>
          </cell>
          <cell r="F515" t="str">
            <v>KE2400020</v>
          </cell>
          <cell r="G515">
            <v>12</v>
          </cell>
          <cell r="H515" t="str">
            <v>宏基因组文库</v>
          </cell>
          <cell r="I515" t="str">
            <v>XCL</v>
          </cell>
          <cell r="J515">
            <v>22.2</v>
          </cell>
          <cell r="K515">
            <v>461</v>
          </cell>
          <cell r="L515" t="str">
            <v>XCL</v>
          </cell>
          <cell r="N515">
            <v>74.086434173202093</v>
          </cell>
        </row>
        <row r="516">
          <cell r="E516" t="str">
            <v>HGC-Lib-2450421</v>
          </cell>
          <cell r="F516" t="str">
            <v>KE2400059</v>
          </cell>
          <cell r="G516">
            <v>12</v>
          </cell>
          <cell r="H516" t="str">
            <v>宏基因组文库</v>
          </cell>
          <cell r="I516" t="str">
            <v>XCL</v>
          </cell>
          <cell r="J516">
            <v>9.06</v>
          </cell>
          <cell r="K516">
            <v>545</v>
          </cell>
          <cell r="L516" t="str">
            <v>GZQ</v>
          </cell>
          <cell r="N516">
            <v>25.575158786168</v>
          </cell>
        </row>
        <row r="517">
          <cell r="E517" t="str">
            <v>HGC-Lib-2450422</v>
          </cell>
          <cell r="F517" t="str">
            <v>KE2400056</v>
          </cell>
          <cell r="G517">
            <v>12</v>
          </cell>
          <cell r="H517" t="str">
            <v>宏基因组文库</v>
          </cell>
          <cell r="I517" t="str">
            <v>XCL</v>
          </cell>
          <cell r="J517">
            <v>27.2</v>
          </cell>
          <cell r="K517">
            <v>462</v>
          </cell>
          <cell r="L517" t="str">
            <v>XCL</v>
          </cell>
          <cell r="N517">
            <v>90.576090576090607</v>
          </cell>
        </row>
        <row r="518">
          <cell r="E518" t="str">
            <v>HGC-Lib-2450423</v>
          </cell>
          <cell r="F518" t="str">
            <v>KE2400060</v>
          </cell>
          <cell r="G518">
            <v>12</v>
          </cell>
          <cell r="H518" t="str">
            <v>宏基因组文库</v>
          </cell>
          <cell r="I518" t="str">
            <v>XCL</v>
          </cell>
          <cell r="J518">
            <v>3.46</v>
          </cell>
          <cell r="K518">
            <v>561</v>
          </cell>
          <cell r="L518" t="str">
            <v>GZQ</v>
          </cell>
          <cell r="N518">
            <v>9.4885506650212506</v>
          </cell>
        </row>
        <row r="519">
          <cell r="E519" t="str">
            <v>HGC-Lib-2450424</v>
          </cell>
          <cell r="F519" t="str">
            <v>KE2400070</v>
          </cell>
          <cell r="G519">
            <v>12</v>
          </cell>
          <cell r="H519" t="str">
            <v>宏基因组文库</v>
          </cell>
          <cell r="I519" t="str">
            <v>XCL</v>
          </cell>
          <cell r="J519">
            <v>3.44</v>
          </cell>
          <cell r="K519">
            <v>568</v>
          </cell>
          <cell r="L519" t="str">
            <v>GZQ</v>
          </cell>
          <cell r="N519">
            <v>9.3174431202600196</v>
          </cell>
        </row>
        <row r="520">
          <cell r="E520" t="str">
            <v>HGC-Lib-2450425</v>
          </cell>
          <cell r="F520" t="str">
            <v>KE2400089</v>
          </cell>
          <cell r="G520">
            <v>12</v>
          </cell>
          <cell r="H520" t="str">
            <v>宏基因组文库</v>
          </cell>
          <cell r="I520" t="str">
            <v>XCL</v>
          </cell>
          <cell r="J520">
            <v>15.7</v>
          </cell>
          <cell r="K520">
            <v>510</v>
          </cell>
          <cell r="L520" t="str">
            <v>XCL</v>
          </cell>
          <cell r="N520">
            <v>47.360482654600297</v>
          </cell>
        </row>
        <row r="521">
          <cell r="E521" t="str">
            <v>HGC-Lib-2450426</v>
          </cell>
          <cell r="F521" t="str">
            <v>KE2400090</v>
          </cell>
          <cell r="G521">
            <v>12</v>
          </cell>
          <cell r="H521" t="str">
            <v>宏基因组文库</v>
          </cell>
          <cell r="I521" t="str">
            <v>XCL</v>
          </cell>
          <cell r="J521" t="str">
            <v>/</v>
          </cell>
          <cell r="K521" t="str">
            <v>/</v>
          </cell>
          <cell r="L521" t="str">
            <v>GZQ</v>
          </cell>
          <cell r="N521" t="e">
            <v>#VALUE!</v>
          </cell>
        </row>
        <row r="522">
          <cell r="E522" t="str">
            <v>HGC-Lib-2450427</v>
          </cell>
          <cell r="F522" t="str">
            <v>KE2400092</v>
          </cell>
          <cell r="G522">
            <v>12</v>
          </cell>
          <cell r="H522" t="str">
            <v>宏基因组文库</v>
          </cell>
          <cell r="I522" t="str">
            <v>XCL</v>
          </cell>
          <cell r="J522">
            <v>5.2</v>
          </cell>
          <cell r="K522">
            <v>497</v>
          </cell>
          <cell r="L522" t="str">
            <v>GZQ</v>
          </cell>
          <cell r="N522">
            <v>16.096579476861201</v>
          </cell>
        </row>
        <row r="523">
          <cell r="E523" t="str">
            <v>HGC-Lib-2450428</v>
          </cell>
          <cell r="F523" t="str">
            <v>KE2400095</v>
          </cell>
          <cell r="G523">
            <v>12</v>
          </cell>
          <cell r="H523" t="str">
            <v>宏基因组文库</v>
          </cell>
          <cell r="I523" t="str">
            <v>XCL</v>
          </cell>
          <cell r="J523">
            <v>12.2</v>
          </cell>
          <cell r="K523">
            <v>505</v>
          </cell>
          <cell r="L523" t="str">
            <v>XCL</v>
          </cell>
          <cell r="N523">
            <v>37.166793602437203</v>
          </cell>
        </row>
        <row r="524">
          <cell r="E524" t="str">
            <v>HGC-Lib-2450429</v>
          </cell>
          <cell r="F524" t="str">
            <v>KE2400096</v>
          </cell>
          <cell r="G524">
            <v>12</v>
          </cell>
          <cell r="H524" t="str">
            <v>宏基因组文库</v>
          </cell>
          <cell r="I524" t="str">
            <v>XCL</v>
          </cell>
          <cell r="J524">
            <v>61.4</v>
          </cell>
          <cell r="K524">
            <v>502</v>
          </cell>
          <cell r="L524" t="str">
            <v>XCL</v>
          </cell>
          <cell r="N524">
            <v>188.17039534170999</v>
          </cell>
        </row>
        <row r="525">
          <cell r="E525" t="str">
            <v>HGC-Lib-2450430</v>
          </cell>
          <cell r="F525" t="str">
            <v>KE2400097</v>
          </cell>
          <cell r="G525">
            <v>12</v>
          </cell>
          <cell r="H525" t="str">
            <v>宏基因组文库</v>
          </cell>
          <cell r="I525" t="str">
            <v>XCL</v>
          </cell>
          <cell r="J525">
            <v>9.8000000000000007</v>
          </cell>
          <cell r="K525">
            <v>542</v>
          </cell>
          <cell r="L525" t="str">
            <v>GZQ</v>
          </cell>
          <cell r="N525">
            <v>27.8172012489356</v>
          </cell>
        </row>
        <row r="526">
          <cell r="E526" t="str">
            <v>HGC-Lib-2450431</v>
          </cell>
          <cell r="F526" t="str">
            <v>KE2400078</v>
          </cell>
          <cell r="G526">
            <v>12</v>
          </cell>
          <cell r="H526" t="str">
            <v>宏基因组文库</v>
          </cell>
          <cell r="I526" t="str">
            <v>XCL</v>
          </cell>
          <cell r="J526">
            <v>10.3</v>
          </cell>
          <cell r="K526">
            <v>480</v>
          </cell>
          <cell r="L526" t="str">
            <v>XCL</v>
          </cell>
          <cell r="N526">
            <v>33.012820512820497</v>
          </cell>
        </row>
        <row r="527">
          <cell r="E527" t="str">
            <v>HGC-Lib-2450432</v>
          </cell>
          <cell r="F527" t="str">
            <v>KE2400038</v>
          </cell>
          <cell r="G527">
            <v>12</v>
          </cell>
          <cell r="H527" t="str">
            <v>宏基因组文库</v>
          </cell>
          <cell r="I527" t="str">
            <v>XCL</v>
          </cell>
          <cell r="J527">
            <v>13.9</v>
          </cell>
          <cell r="K527">
            <v>552</v>
          </cell>
          <cell r="L527" t="str">
            <v>XCL</v>
          </cell>
          <cell r="N527">
            <v>38.740245261984398</v>
          </cell>
        </row>
        <row r="528">
          <cell r="E528" t="str">
            <v>HGC-Lib-2450433</v>
          </cell>
          <cell r="F528" t="str">
            <v>KE2400055</v>
          </cell>
          <cell r="G528">
            <v>12</v>
          </cell>
          <cell r="H528" t="str">
            <v>宏基因组文库</v>
          </cell>
          <cell r="I528" t="str">
            <v>XCL</v>
          </cell>
          <cell r="J528">
            <v>15.3</v>
          </cell>
          <cell r="K528">
            <v>509</v>
          </cell>
          <cell r="L528" t="str">
            <v>XCL</v>
          </cell>
          <cell r="N528">
            <v>46.244521686564902</v>
          </cell>
        </row>
        <row r="529">
          <cell r="E529" t="str">
            <v>HGC-Lib-2450434</v>
          </cell>
          <cell r="F529" t="str">
            <v>KE2400057</v>
          </cell>
          <cell r="G529">
            <v>12</v>
          </cell>
          <cell r="H529" t="str">
            <v>宏基因组文库</v>
          </cell>
          <cell r="I529" t="str">
            <v>XCL</v>
          </cell>
          <cell r="J529">
            <v>19.8</v>
          </cell>
          <cell r="K529">
            <v>485</v>
          </cell>
          <cell r="L529" t="str">
            <v>XCL</v>
          </cell>
          <cell r="N529">
            <v>62.807295796986502</v>
          </cell>
        </row>
        <row r="530">
          <cell r="E530" t="str">
            <v>HGC-Lib-2450435</v>
          </cell>
          <cell r="F530" t="str">
            <v>KE2400098</v>
          </cell>
          <cell r="G530">
            <v>12</v>
          </cell>
          <cell r="H530" t="str">
            <v>宏基因组文库</v>
          </cell>
          <cell r="I530" t="str">
            <v>XCL</v>
          </cell>
          <cell r="J530">
            <v>4.6399999999999997</v>
          </cell>
          <cell r="K530">
            <v>540</v>
          </cell>
          <cell r="L530" t="str">
            <v>GZQ</v>
          </cell>
          <cell r="N530">
            <v>13.2193732193732</v>
          </cell>
        </row>
        <row r="531">
          <cell r="E531" t="str">
            <v>HGC-Lib-2450436</v>
          </cell>
          <cell r="F531" t="str">
            <v>KE2400099</v>
          </cell>
          <cell r="G531">
            <v>12</v>
          </cell>
          <cell r="H531" t="str">
            <v>宏基因组文库</v>
          </cell>
          <cell r="I531" t="str">
            <v>XCL</v>
          </cell>
          <cell r="J531">
            <v>2.08</v>
          </cell>
          <cell r="K531">
            <v>595</v>
          </cell>
          <cell r="L531" t="str">
            <v>GZQ</v>
          </cell>
          <cell r="N531">
            <v>5.3781512605042003</v>
          </cell>
        </row>
        <row r="532">
          <cell r="E532" t="str">
            <v>HGC-Lib-2450437</v>
          </cell>
          <cell r="F532" t="str">
            <v>KE2400104</v>
          </cell>
          <cell r="G532">
            <v>12</v>
          </cell>
          <cell r="H532" t="str">
            <v>宏基因组文库</v>
          </cell>
          <cell r="I532" t="str">
            <v>XCL</v>
          </cell>
          <cell r="J532">
            <v>6.4</v>
          </cell>
          <cell r="K532">
            <v>582</v>
          </cell>
          <cell r="L532" t="str">
            <v>GZQ</v>
          </cell>
          <cell r="N532">
            <v>16.917790113666399</v>
          </cell>
        </row>
        <row r="533">
          <cell r="E533" t="str">
            <v>HGC-Lib-2450438</v>
          </cell>
          <cell r="F533" t="str">
            <v>KE2400105</v>
          </cell>
          <cell r="G533">
            <v>12</v>
          </cell>
          <cell r="H533" t="str">
            <v>宏基因组文库</v>
          </cell>
          <cell r="I533" t="str">
            <v>XCL</v>
          </cell>
          <cell r="J533">
            <v>11.5</v>
          </cell>
          <cell r="K533">
            <v>327</v>
          </cell>
          <cell r="L533" t="str">
            <v>XCL</v>
          </cell>
          <cell r="N533">
            <v>54.104916490237599</v>
          </cell>
        </row>
        <row r="534">
          <cell r="E534" t="str">
            <v>HGC-Lib-2450439</v>
          </cell>
          <cell r="F534" t="str">
            <v>KE2400106</v>
          </cell>
          <cell r="G534">
            <v>12</v>
          </cell>
          <cell r="H534" t="str">
            <v>宏基因组文库</v>
          </cell>
          <cell r="I534" t="str">
            <v>XCL</v>
          </cell>
          <cell r="J534">
            <v>2.34</v>
          </cell>
          <cell r="K534">
            <v>555</v>
          </cell>
          <cell r="L534" t="str">
            <v>GZQ</v>
          </cell>
          <cell r="N534">
            <v>6.4864864864864904</v>
          </cell>
        </row>
        <row r="535">
          <cell r="E535" t="str">
            <v>HGC-Lib-2450440</v>
          </cell>
          <cell r="F535" t="str">
            <v>KE2400066</v>
          </cell>
          <cell r="G535">
            <v>12</v>
          </cell>
          <cell r="H535" t="str">
            <v>宏基因组文库</v>
          </cell>
          <cell r="I535" t="str">
            <v>WH</v>
          </cell>
          <cell r="J535">
            <v>22</v>
          </cell>
          <cell r="K535">
            <v>313</v>
          </cell>
          <cell r="L535" t="str">
            <v>XCL</v>
          </cell>
          <cell r="N535">
            <v>108.134676824773</v>
          </cell>
        </row>
        <row r="536">
          <cell r="E536" t="str">
            <v>HGC-Lib-2450441</v>
          </cell>
          <cell r="F536" t="str">
            <v>KE2400061</v>
          </cell>
          <cell r="G536">
            <v>12</v>
          </cell>
          <cell r="H536" t="str">
            <v>宏基因组文库</v>
          </cell>
          <cell r="I536" t="str">
            <v>WH</v>
          </cell>
          <cell r="J536">
            <v>0.14399999999999999</v>
          </cell>
          <cell r="K536">
            <v>322</v>
          </cell>
          <cell r="L536" t="str">
            <v>GZQ</v>
          </cell>
          <cell r="N536">
            <v>0.68800764452938401</v>
          </cell>
        </row>
        <row r="537">
          <cell r="E537" t="str">
            <v>HGC-Lib-2450442</v>
          </cell>
          <cell r="F537" t="str">
            <v>KE2400069</v>
          </cell>
          <cell r="G537">
            <v>12</v>
          </cell>
          <cell r="H537" t="str">
            <v>宏基因组文库</v>
          </cell>
          <cell r="I537" t="str">
            <v>WH</v>
          </cell>
          <cell r="J537">
            <v>31.8</v>
          </cell>
          <cell r="K537">
            <v>334</v>
          </cell>
          <cell r="L537" t="str">
            <v>XCL</v>
          </cell>
          <cell r="N537">
            <v>146.476278212805</v>
          </cell>
        </row>
        <row r="538">
          <cell r="E538" t="str">
            <v>HGC-Lib-2450443</v>
          </cell>
          <cell r="F538" t="str">
            <v>KE2400107</v>
          </cell>
          <cell r="G538">
            <v>12</v>
          </cell>
          <cell r="H538" t="str">
            <v>宏基因组文库</v>
          </cell>
          <cell r="I538" t="str">
            <v>WH</v>
          </cell>
          <cell r="J538">
            <v>2.14</v>
          </cell>
          <cell r="K538">
            <v>284</v>
          </cell>
          <cell r="L538" t="str">
            <v>GZQ</v>
          </cell>
          <cell r="N538">
            <v>11.592632719393301</v>
          </cell>
        </row>
        <row r="539">
          <cell r="E539" t="str">
            <v>HGC-Lib-2450444</v>
          </cell>
          <cell r="F539" t="str">
            <v>KE2400108</v>
          </cell>
          <cell r="G539">
            <v>12</v>
          </cell>
          <cell r="H539" t="str">
            <v>宏基因组文库</v>
          </cell>
          <cell r="I539" t="str">
            <v>WH</v>
          </cell>
          <cell r="J539">
            <v>12.2</v>
          </cell>
          <cell r="K539">
            <v>534</v>
          </cell>
          <cell r="L539" t="str">
            <v>XCL</v>
          </cell>
          <cell r="N539">
            <v>35.148372227023899</v>
          </cell>
        </row>
        <row r="540">
          <cell r="E540" t="str">
            <v>HGC-Lib-2450445</v>
          </cell>
          <cell r="F540" t="str">
            <v>KE2400109</v>
          </cell>
          <cell r="G540">
            <v>12</v>
          </cell>
          <cell r="H540" t="str">
            <v>宏基因组文库</v>
          </cell>
          <cell r="I540" t="str">
            <v>WH</v>
          </cell>
          <cell r="J540">
            <v>18.100000000000001</v>
          </cell>
          <cell r="K540">
            <v>519</v>
          </cell>
          <cell r="L540" t="str">
            <v>XCL</v>
          </cell>
          <cell r="N540">
            <v>53.6534756187935</v>
          </cell>
        </row>
        <row r="541">
          <cell r="E541" t="str">
            <v>HGC-Lib-2450446</v>
          </cell>
          <cell r="F541" t="str">
            <v>KE2400110</v>
          </cell>
          <cell r="G541">
            <v>12</v>
          </cell>
          <cell r="H541" t="str">
            <v>宏基因组文库</v>
          </cell>
          <cell r="I541" t="str">
            <v>WH</v>
          </cell>
          <cell r="J541">
            <v>6.82</v>
          </cell>
          <cell r="K541">
            <v>515</v>
          </cell>
          <cell r="L541" t="str">
            <v>GZQ</v>
          </cell>
          <cell r="N541">
            <v>20.373412994772199</v>
          </cell>
        </row>
        <row r="542">
          <cell r="E542" t="str">
            <v>HGC-Lib-2450447</v>
          </cell>
          <cell r="F542" t="str">
            <v>KE2400111</v>
          </cell>
          <cell r="G542">
            <v>12</v>
          </cell>
          <cell r="H542" t="str">
            <v>宏基因组文库</v>
          </cell>
          <cell r="I542" t="str">
            <v>WH</v>
          </cell>
          <cell r="J542">
            <v>2.58</v>
          </cell>
          <cell r="K542">
            <v>518</v>
          </cell>
          <cell r="L542" t="str">
            <v>GZQ</v>
          </cell>
          <cell r="N542">
            <v>7.6626076626076598</v>
          </cell>
        </row>
        <row r="543">
          <cell r="E543" t="str">
            <v>HGC-Lib-2450448</v>
          </cell>
          <cell r="F543" t="str">
            <v>KE2400120</v>
          </cell>
          <cell r="G543">
            <v>12</v>
          </cell>
          <cell r="H543" t="str">
            <v>宏基因组文库</v>
          </cell>
          <cell r="I543" t="str">
            <v>WH</v>
          </cell>
          <cell r="J543">
            <v>24.6</v>
          </cell>
          <cell r="K543">
            <v>520</v>
          </cell>
          <cell r="L543" t="str">
            <v>XCL</v>
          </cell>
          <cell r="N543">
            <v>72.781065088757401</v>
          </cell>
        </row>
        <row r="544">
          <cell r="E544" t="str">
            <v>HGC-Lib-2450449</v>
          </cell>
          <cell r="F544" t="str">
            <v>KE2400122</v>
          </cell>
          <cell r="G544">
            <v>12</v>
          </cell>
          <cell r="H544" t="str">
            <v>宏基因组文库</v>
          </cell>
          <cell r="I544" t="str">
            <v>WH</v>
          </cell>
          <cell r="J544">
            <v>7.42</v>
          </cell>
          <cell r="K544">
            <v>501</v>
          </cell>
          <cell r="L544" t="str">
            <v>GZQ</v>
          </cell>
          <cell r="N544">
            <v>22.785198833102999</v>
          </cell>
        </row>
        <row r="545">
          <cell r="E545" t="str">
            <v>HGC-Lib-2450450</v>
          </cell>
          <cell r="F545" t="str">
            <v>KE2400123</v>
          </cell>
          <cell r="G545">
            <v>12</v>
          </cell>
          <cell r="H545" t="str">
            <v>宏基因组文库</v>
          </cell>
          <cell r="I545" t="str">
            <v>WH</v>
          </cell>
          <cell r="J545">
            <v>2.1800000000000002</v>
          </cell>
          <cell r="K545">
            <v>526</v>
          </cell>
          <cell r="L545" t="str">
            <v>GZQ</v>
          </cell>
          <cell r="N545">
            <v>6.3761333723310898</v>
          </cell>
        </row>
        <row r="546">
          <cell r="E546" t="str">
            <v>HGC-Lib-2450451</v>
          </cell>
          <cell r="F546" t="str">
            <v>KE2400124</v>
          </cell>
          <cell r="G546">
            <v>12</v>
          </cell>
          <cell r="H546" t="str">
            <v>宏基因组文库</v>
          </cell>
          <cell r="I546" t="str">
            <v>WH</v>
          </cell>
          <cell r="J546">
            <v>19.3</v>
          </cell>
          <cell r="K546">
            <v>436</v>
          </cell>
          <cell r="L546" t="str">
            <v>XCL</v>
          </cell>
          <cell r="N546">
            <v>68.101623147494706</v>
          </cell>
        </row>
        <row r="547">
          <cell r="E547" t="str">
            <v>HGC-Lib-2450452</v>
          </cell>
          <cell r="F547" t="str">
            <v>KE2400125</v>
          </cell>
          <cell r="G547">
            <v>12</v>
          </cell>
          <cell r="H547" t="str">
            <v>宏基因组文库</v>
          </cell>
          <cell r="I547" t="str">
            <v>WH</v>
          </cell>
          <cell r="J547">
            <v>16.600000000000001</v>
          </cell>
          <cell r="K547">
            <v>476</v>
          </cell>
          <cell r="L547" t="str">
            <v>XCL</v>
          </cell>
          <cell r="N547">
            <v>53.652230122818402</v>
          </cell>
        </row>
        <row r="548">
          <cell r="E548" t="str">
            <v>HGC-Lib-2450453</v>
          </cell>
          <cell r="F548" t="str">
            <v>KE2400126</v>
          </cell>
          <cell r="G548">
            <v>12</v>
          </cell>
          <cell r="H548" t="str">
            <v>宏基因组文库</v>
          </cell>
          <cell r="I548" t="str">
            <v>WH</v>
          </cell>
          <cell r="J548">
            <v>11.3</v>
          </cell>
          <cell r="K548">
            <v>532</v>
          </cell>
          <cell r="L548" t="str">
            <v>XCL</v>
          </cell>
          <cell r="N548">
            <v>32.6778484673222</v>
          </cell>
        </row>
        <row r="549">
          <cell r="E549" t="str">
            <v>HGC-Lib-2450454</v>
          </cell>
          <cell r="F549" t="str">
            <v>KE2400127</v>
          </cell>
          <cell r="G549">
            <v>12</v>
          </cell>
          <cell r="H549" t="str">
            <v>宏基因组文库</v>
          </cell>
          <cell r="I549" t="str">
            <v>WH</v>
          </cell>
          <cell r="J549">
            <v>8.4</v>
          </cell>
          <cell r="K549">
            <v>533</v>
          </cell>
          <cell r="L549" t="str">
            <v>GZQ</v>
          </cell>
          <cell r="N549">
            <v>24.245922932602099</v>
          </cell>
        </row>
        <row r="550">
          <cell r="E550" t="str">
            <v>HGC-Lib-2450455</v>
          </cell>
          <cell r="F550" t="str">
            <v>KE2400128</v>
          </cell>
          <cell r="G550">
            <v>12</v>
          </cell>
          <cell r="H550" t="str">
            <v>宏基因组文库</v>
          </cell>
          <cell r="I550" t="str">
            <v>WH</v>
          </cell>
          <cell r="J550">
            <v>14.9</v>
          </cell>
          <cell r="K550">
            <v>502</v>
          </cell>
          <cell r="L550" t="str">
            <v>XCL</v>
          </cell>
          <cell r="N550">
            <v>45.663499846766797</v>
          </cell>
        </row>
        <row r="551">
          <cell r="E551" t="str">
            <v>HGC-Lib-2450456</v>
          </cell>
          <cell r="F551" t="str">
            <v>KE2400129</v>
          </cell>
          <cell r="G551">
            <v>12</v>
          </cell>
          <cell r="H551" t="str">
            <v>宏基因组文库</v>
          </cell>
          <cell r="I551" t="str">
            <v>WH</v>
          </cell>
          <cell r="J551">
            <v>13</v>
          </cell>
          <cell r="K551">
            <v>525</v>
          </cell>
          <cell r="L551" t="str">
            <v>XCL</v>
          </cell>
          <cell r="N551">
            <v>38.095238095238102</v>
          </cell>
        </row>
        <row r="552">
          <cell r="E552" t="str">
            <v>HGC-Lib-2450457</v>
          </cell>
          <cell r="F552" t="str">
            <v>KE2400141</v>
          </cell>
          <cell r="G552">
            <v>12</v>
          </cell>
          <cell r="H552" t="str">
            <v>宏基因组文库</v>
          </cell>
          <cell r="I552" t="str">
            <v>WH</v>
          </cell>
          <cell r="J552">
            <v>3.96</v>
          </cell>
          <cell r="K552">
            <v>563</v>
          </cell>
          <cell r="L552" t="str">
            <v>GZQ</v>
          </cell>
          <cell r="N552">
            <v>10.8211504303867</v>
          </cell>
        </row>
        <row r="553">
          <cell r="E553" t="str">
            <v>HGC-Lib-2450458</v>
          </cell>
          <cell r="F553" t="str">
            <v>KE2400142</v>
          </cell>
          <cell r="G553">
            <v>12</v>
          </cell>
          <cell r="H553" t="str">
            <v>宏基因组文库</v>
          </cell>
          <cell r="I553" t="str">
            <v>WH</v>
          </cell>
          <cell r="J553">
            <v>8.14</v>
          </cell>
          <cell r="K553">
            <v>533</v>
          </cell>
          <cell r="L553" t="str">
            <v>GZQ</v>
          </cell>
          <cell r="N553">
            <v>23.495453889450101</v>
          </cell>
        </row>
        <row r="554">
          <cell r="E554" t="str">
            <v>HGC-Lib-2450459</v>
          </cell>
          <cell r="F554" t="str">
            <v>KE2400143</v>
          </cell>
          <cell r="G554">
            <v>12</v>
          </cell>
          <cell r="H554" t="str">
            <v>宏基因组文库</v>
          </cell>
          <cell r="I554" t="str">
            <v>WH</v>
          </cell>
          <cell r="J554">
            <v>21.2</v>
          </cell>
          <cell r="K554">
            <v>508</v>
          </cell>
          <cell r="L554" t="str">
            <v>XCL</v>
          </cell>
          <cell r="N554">
            <v>64.203513022410604</v>
          </cell>
        </row>
        <row r="555">
          <cell r="E555" t="str">
            <v>HGC-Lib-2450460</v>
          </cell>
          <cell r="F555" t="str">
            <v>KE2400144</v>
          </cell>
          <cell r="G555">
            <v>12</v>
          </cell>
          <cell r="H555" t="str">
            <v>宏基因组文库</v>
          </cell>
          <cell r="I555" t="str">
            <v>WH</v>
          </cell>
          <cell r="J555">
            <v>3.24</v>
          </cell>
          <cell r="K555">
            <v>531</v>
          </cell>
          <cell r="L555" t="str">
            <v>GZQ</v>
          </cell>
          <cell r="N555">
            <v>9.3872229465449806</v>
          </cell>
        </row>
        <row r="556">
          <cell r="E556" t="str">
            <v>HGC-Lib-2450461</v>
          </cell>
          <cell r="F556" t="str">
            <v>KE2400145</v>
          </cell>
          <cell r="G556">
            <v>12</v>
          </cell>
          <cell r="H556" t="str">
            <v>宏基因组文库</v>
          </cell>
          <cell r="I556" t="str">
            <v>WH</v>
          </cell>
          <cell r="J556">
            <v>10.199999999999999</v>
          </cell>
          <cell r="K556">
            <v>584</v>
          </cell>
          <cell r="L556" t="str">
            <v>XCL</v>
          </cell>
          <cell r="N556">
            <v>26.8703898840885</v>
          </cell>
        </row>
        <row r="557">
          <cell r="E557" t="str">
            <v>HGC-Lib-2450462</v>
          </cell>
          <cell r="F557" t="str">
            <v>KE2400146</v>
          </cell>
          <cell r="G557">
            <v>12</v>
          </cell>
          <cell r="H557" t="str">
            <v>宏基因组文库</v>
          </cell>
          <cell r="I557" t="str">
            <v>WH</v>
          </cell>
          <cell r="J557">
            <v>2.68</v>
          </cell>
          <cell r="K557">
            <v>520</v>
          </cell>
          <cell r="L557" t="str">
            <v>GZQ</v>
          </cell>
          <cell r="N557">
            <v>7.9289940828402399</v>
          </cell>
        </row>
        <row r="558">
          <cell r="E558" t="str">
            <v>HGC-Lib-2450463</v>
          </cell>
          <cell r="F558" t="str">
            <v>KE2400147</v>
          </cell>
          <cell r="G558">
            <v>12</v>
          </cell>
          <cell r="H558" t="str">
            <v>宏基因组文库</v>
          </cell>
          <cell r="I558" t="str">
            <v>WH</v>
          </cell>
          <cell r="J558">
            <v>22.8</v>
          </cell>
          <cell r="K558">
            <v>486</v>
          </cell>
          <cell r="L558" t="str">
            <v>XCL</v>
          </cell>
          <cell r="N558">
            <v>72.1747388414055</v>
          </cell>
        </row>
        <row r="559">
          <cell r="E559" t="str">
            <v>HGC-Lib-2450464</v>
          </cell>
          <cell r="F559" t="str">
            <v>KE2400155</v>
          </cell>
          <cell r="G559">
            <v>12</v>
          </cell>
          <cell r="H559" t="str">
            <v>宏基因组文库</v>
          </cell>
          <cell r="I559" t="str">
            <v>WH</v>
          </cell>
          <cell r="J559">
            <v>2.42</v>
          </cell>
          <cell r="K559">
            <v>332</v>
          </cell>
          <cell r="L559" t="str">
            <v>GZQ</v>
          </cell>
          <cell r="N559">
            <v>11.214087117701601</v>
          </cell>
        </row>
        <row r="560">
          <cell r="E560" t="str">
            <v>HGC-Lib-2450465</v>
          </cell>
          <cell r="F560" t="str">
            <v>KE2400168</v>
          </cell>
          <cell r="G560">
            <v>12</v>
          </cell>
          <cell r="H560" t="str">
            <v>宏基因组文库</v>
          </cell>
          <cell r="I560" t="str">
            <v>WH</v>
          </cell>
          <cell r="J560">
            <v>34.4</v>
          </cell>
          <cell r="K560">
            <v>450</v>
          </cell>
          <cell r="L560" t="str">
            <v>XCL</v>
          </cell>
          <cell r="N560">
            <v>117.606837606838</v>
          </cell>
        </row>
        <row r="561">
          <cell r="E561" t="str">
            <v>HGC-Lib-2450466</v>
          </cell>
          <cell r="F561" t="str">
            <v>KE2400169</v>
          </cell>
          <cell r="G561">
            <v>12</v>
          </cell>
          <cell r="H561" t="str">
            <v>宏基因组文库</v>
          </cell>
          <cell r="I561" t="str">
            <v>WH</v>
          </cell>
          <cell r="J561">
            <v>9.1199999999999992</v>
          </cell>
          <cell r="K561">
            <v>475</v>
          </cell>
          <cell r="L561" t="str">
            <v>GZQ</v>
          </cell>
          <cell r="N561">
            <v>29.538461538461501</v>
          </cell>
        </row>
        <row r="562">
          <cell r="E562" t="str">
            <v>HGC-Lib-2450467</v>
          </cell>
          <cell r="F562" t="str">
            <v>KE2400170</v>
          </cell>
          <cell r="G562">
            <v>12</v>
          </cell>
          <cell r="H562" t="str">
            <v>宏基因组文库</v>
          </cell>
          <cell r="I562" t="str">
            <v>WH</v>
          </cell>
          <cell r="J562">
            <v>24.8</v>
          </cell>
          <cell r="K562">
            <v>485</v>
          </cell>
          <cell r="L562" t="str">
            <v>XCL</v>
          </cell>
          <cell r="N562">
            <v>78.667724028548804</v>
          </cell>
        </row>
        <row r="563">
          <cell r="E563" t="str">
            <v>HGC-Lib-2450468</v>
          </cell>
          <cell r="F563" t="str">
            <v>KE2400171</v>
          </cell>
          <cell r="G563">
            <v>12</v>
          </cell>
          <cell r="H563" t="str">
            <v>宏基因组文库</v>
          </cell>
          <cell r="I563" t="str">
            <v>WH</v>
          </cell>
          <cell r="J563">
            <v>14.2</v>
          </cell>
          <cell r="K563">
            <v>552</v>
          </cell>
          <cell r="L563" t="str">
            <v>XCL</v>
          </cell>
          <cell r="N563">
            <v>39.5763656633222</v>
          </cell>
        </row>
        <row r="564">
          <cell r="E564" t="str">
            <v>HGC-Lib-2450469</v>
          </cell>
          <cell r="F564" t="str">
            <v>KE2400172</v>
          </cell>
          <cell r="G564">
            <v>12</v>
          </cell>
          <cell r="H564" t="str">
            <v>宏基因组文库</v>
          </cell>
          <cell r="I564" t="str">
            <v>WH</v>
          </cell>
          <cell r="J564">
            <v>9.68</v>
          </cell>
          <cell r="K564">
            <v>577</v>
          </cell>
          <cell r="L564" t="str">
            <v>GZQ</v>
          </cell>
          <cell r="N564">
            <v>25.809892014398098</v>
          </cell>
        </row>
        <row r="565">
          <cell r="E565" t="str">
            <v>HGC-Lib-2450470</v>
          </cell>
          <cell r="F565" t="str">
            <v>KE2400173</v>
          </cell>
          <cell r="G565">
            <v>12</v>
          </cell>
          <cell r="H565" t="str">
            <v>宏基因组文库</v>
          </cell>
          <cell r="I565" t="str">
            <v>WH</v>
          </cell>
          <cell r="J565">
            <v>3.3</v>
          </cell>
          <cell r="K565">
            <v>532</v>
          </cell>
          <cell r="L565" t="str">
            <v>GZQ</v>
          </cell>
          <cell r="N565">
            <v>9.5430884904569098</v>
          </cell>
        </row>
        <row r="566">
          <cell r="E566" t="str">
            <v>HGC-Lib-2450471</v>
          </cell>
          <cell r="F566" t="str">
            <v>KE2400174</v>
          </cell>
          <cell r="G566">
            <v>12</v>
          </cell>
          <cell r="H566" t="str">
            <v>宏基因组文库</v>
          </cell>
          <cell r="I566" t="str">
            <v>WH</v>
          </cell>
          <cell r="J566">
            <v>5.0199999999999996</v>
          </cell>
          <cell r="K566">
            <v>547</v>
          </cell>
          <cell r="L566" t="str">
            <v>GZQ</v>
          </cell>
          <cell r="N566">
            <v>14.1189706089158</v>
          </cell>
        </row>
        <row r="567">
          <cell r="E567" t="str">
            <v>HGC-Lib-2450472</v>
          </cell>
          <cell r="F567" t="str">
            <v>KE2400175</v>
          </cell>
          <cell r="G567">
            <v>12</v>
          </cell>
          <cell r="H567" t="str">
            <v>宏基因组文库</v>
          </cell>
          <cell r="I567" t="str">
            <v>WH</v>
          </cell>
          <cell r="J567">
            <v>16.2</v>
          </cell>
          <cell r="K567">
            <v>502</v>
          </cell>
          <cell r="L567" t="str">
            <v>XCL</v>
          </cell>
          <cell r="N567">
            <v>49.6475635917867</v>
          </cell>
        </row>
        <row r="568">
          <cell r="E568" t="str">
            <v>HGC-Lib-2450473</v>
          </cell>
          <cell r="F568" t="str">
            <v>KE2400199</v>
          </cell>
          <cell r="G568">
            <v>12</v>
          </cell>
          <cell r="H568" t="str">
            <v>宏基因组文库</v>
          </cell>
          <cell r="I568" t="str">
            <v>WH</v>
          </cell>
          <cell r="J568">
            <v>20.6</v>
          </cell>
          <cell r="K568">
            <v>513</v>
          </cell>
          <cell r="L568" t="str">
            <v>XCL</v>
          </cell>
          <cell r="N568">
            <v>61.778377567851301</v>
          </cell>
        </row>
        <row r="569">
          <cell r="E569" t="str">
            <v>HGC-Lib-2450474</v>
          </cell>
          <cell r="F569" t="str">
            <v>KE2400200</v>
          </cell>
          <cell r="G569">
            <v>12</v>
          </cell>
          <cell r="H569" t="str">
            <v>宏基因组文库</v>
          </cell>
          <cell r="I569" t="str">
            <v>WH</v>
          </cell>
          <cell r="J569">
            <v>4.9400000000000004</v>
          </cell>
          <cell r="K569">
            <v>668</v>
          </cell>
          <cell r="L569" t="str">
            <v>GZQ</v>
          </cell>
          <cell r="N569">
            <v>11.377245508982</v>
          </cell>
        </row>
        <row r="570">
          <cell r="E570" t="str">
            <v>HGC-Lib-2450475</v>
          </cell>
          <cell r="F570" t="str">
            <v>KE2400201</v>
          </cell>
          <cell r="G570">
            <v>12</v>
          </cell>
          <cell r="H570" t="str">
            <v>宏基因组文库</v>
          </cell>
          <cell r="I570" t="str">
            <v>WH</v>
          </cell>
          <cell r="J570">
            <v>28</v>
          </cell>
          <cell r="K570">
            <v>319</v>
          </cell>
          <cell r="L570" t="str">
            <v>XCL</v>
          </cell>
          <cell r="N570">
            <v>135.03737641668701</v>
          </cell>
        </row>
        <row r="571">
          <cell r="E571" t="str">
            <v>HGC-Lib-2450476</v>
          </cell>
          <cell r="F571" t="str">
            <v>KE2400202</v>
          </cell>
          <cell r="G571">
            <v>12</v>
          </cell>
          <cell r="H571" t="str">
            <v>宏基因组文库</v>
          </cell>
          <cell r="I571" t="str">
            <v>WH</v>
          </cell>
          <cell r="J571">
            <v>7.74</v>
          </cell>
          <cell r="K571">
            <v>538</v>
          </cell>
          <cell r="L571" t="str">
            <v>GZQ</v>
          </cell>
          <cell r="N571">
            <v>22.133257077494999</v>
          </cell>
        </row>
        <row r="572">
          <cell r="E572" t="str">
            <v>HGC-Lib-2450477</v>
          </cell>
          <cell r="F572" t="str">
            <v>KE2400218</v>
          </cell>
          <cell r="G572">
            <v>12</v>
          </cell>
          <cell r="H572" t="str">
            <v>宏基因组文库</v>
          </cell>
          <cell r="I572" t="str">
            <v>WH</v>
          </cell>
          <cell r="J572">
            <v>17.3</v>
          </cell>
          <cell r="K572">
            <v>504</v>
          </cell>
          <cell r="L572" t="str">
            <v>XCL</v>
          </cell>
          <cell r="N572">
            <v>52.808302808302798</v>
          </cell>
        </row>
        <row r="573">
          <cell r="E573" t="str">
            <v>HGC-Lib-2450478</v>
          </cell>
          <cell r="F573" t="str">
            <v>KE2400225</v>
          </cell>
          <cell r="G573">
            <v>12</v>
          </cell>
          <cell r="H573" t="str">
            <v>宏基因组文库</v>
          </cell>
          <cell r="I573" t="str">
            <v>WH</v>
          </cell>
          <cell r="J573">
            <v>9.4600000000000009</v>
          </cell>
          <cell r="K573">
            <v>537</v>
          </cell>
          <cell r="L573" t="str">
            <v>GZQ</v>
          </cell>
          <cell r="N573">
            <v>27.102134364704199</v>
          </cell>
        </row>
        <row r="574">
          <cell r="E574" t="str">
            <v>HGC-Lib-2450479</v>
          </cell>
          <cell r="F574" t="str">
            <v>KE2400226</v>
          </cell>
          <cell r="G574">
            <v>12</v>
          </cell>
          <cell r="H574" t="str">
            <v>宏基因组文库</v>
          </cell>
          <cell r="I574" t="str">
            <v>WH</v>
          </cell>
          <cell r="J574">
            <v>9.9600000000000009</v>
          </cell>
          <cell r="K574">
            <v>512</v>
          </cell>
          <cell r="L574" t="str">
            <v>GZQ</v>
          </cell>
          <cell r="N574">
            <v>29.927884615384599</v>
          </cell>
        </row>
        <row r="575">
          <cell r="E575" t="str">
            <v>HGC-Lib-2450480</v>
          </cell>
          <cell r="F575" t="str">
            <v>KE2400228</v>
          </cell>
          <cell r="G575">
            <v>12</v>
          </cell>
          <cell r="H575" t="str">
            <v>宏基因组文库</v>
          </cell>
          <cell r="I575" t="str">
            <v>WH</v>
          </cell>
          <cell r="J575">
            <v>2.52</v>
          </cell>
          <cell r="K575">
            <v>530</v>
          </cell>
          <cell r="L575" t="str">
            <v>GZQ</v>
          </cell>
          <cell r="N575">
            <v>7.3149492017416602</v>
          </cell>
        </row>
        <row r="576">
          <cell r="E576" t="str">
            <v>HGC-Lib-2450481</v>
          </cell>
          <cell r="F576" t="str">
            <v>KE2400229</v>
          </cell>
          <cell r="G576">
            <v>12</v>
          </cell>
          <cell r="H576" t="str">
            <v>宏基因组文库</v>
          </cell>
          <cell r="I576" t="str">
            <v>WH</v>
          </cell>
          <cell r="J576">
            <v>4.34</v>
          </cell>
          <cell r="K576">
            <v>542</v>
          </cell>
          <cell r="L576" t="str">
            <v>GZQ</v>
          </cell>
          <cell r="N576">
            <v>12.319046267385801</v>
          </cell>
        </row>
        <row r="577">
          <cell r="E577" t="str">
            <v>HGC-Lib-2450482</v>
          </cell>
          <cell r="F577" t="str">
            <v>KE2400232</v>
          </cell>
          <cell r="G577">
            <v>12</v>
          </cell>
          <cell r="H577" t="str">
            <v>宏基因组文库</v>
          </cell>
          <cell r="I577" t="str">
            <v>WH</v>
          </cell>
          <cell r="J577">
            <v>3.42</v>
          </cell>
          <cell r="K577">
            <v>579</v>
          </cell>
          <cell r="L577" t="str">
            <v>GZQ</v>
          </cell>
          <cell r="N577">
            <v>9.0872857712235895</v>
          </cell>
        </row>
        <row r="578">
          <cell r="E578" t="str">
            <v>HGC-Lib-2450483</v>
          </cell>
          <cell r="F578" t="str">
            <v>KE2400233</v>
          </cell>
          <cell r="G578">
            <v>12</v>
          </cell>
          <cell r="H578" t="str">
            <v>宏基因组文库</v>
          </cell>
          <cell r="I578" t="str">
            <v>WH</v>
          </cell>
          <cell r="J578">
            <v>14</v>
          </cell>
          <cell r="K578">
            <v>531</v>
          </cell>
          <cell r="L578" t="str">
            <v>XCL</v>
          </cell>
          <cell r="N578">
            <v>40.562074460379499</v>
          </cell>
        </row>
        <row r="579">
          <cell r="E579" t="str">
            <v>HGC-Lib-2450484</v>
          </cell>
          <cell r="F579" t="str">
            <v>KE2400240</v>
          </cell>
          <cell r="G579">
            <v>12</v>
          </cell>
          <cell r="H579" t="str">
            <v>宏基因组文库</v>
          </cell>
          <cell r="I579" t="str">
            <v>WH</v>
          </cell>
          <cell r="J579">
            <v>19.100000000000001</v>
          </cell>
          <cell r="K579">
            <v>512</v>
          </cell>
          <cell r="L579" t="str">
            <v>XCL</v>
          </cell>
          <cell r="N579">
            <v>57.391826923076898</v>
          </cell>
        </row>
        <row r="580">
          <cell r="E580" t="str">
            <v>HGC-Lib-2450485</v>
          </cell>
          <cell r="F580" t="str">
            <v>KE2400245</v>
          </cell>
          <cell r="G580">
            <v>12</v>
          </cell>
          <cell r="H580" t="str">
            <v>宏基因组文库</v>
          </cell>
          <cell r="I580" t="str">
            <v>WH</v>
          </cell>
          <cell r="J580">
            <v>0.77600000000000002</v>
          </cell>
          <cell r="K580">
            <v>574</v>
          </cell>
          <cell r="L580" t="str">
            <v>GZQ</v>
          </cell>
          <cell r="N580">
            <v>2.0798713481640299</v>
          </cell>
        </row>
        <row r="581">
          <cell r="E581" t="str">
            <v>HGC-Lib-2450486</v>
          </cell>
          <cell r="F581" t="str">
            <v>KE2400246</v>
          </cell>
          <cell r="G581">
            <v>12</v>
          </cell>
          <cell r="H581" t="str">
            <v>宏基因组文库</v>
          </cell>
          <cell r="I581" t="str">
            <v>WH</v>
          </cell>
          <cell r="J581">
            <v>1</v>
          </cell>
          <cell r="K581">
            <v>566</v>
          </cell>
          <cell r="L581" t="str">
            <v>GZQ</v>
          </cell>
          <cell r="N581">
            <v>2.7181299266104899</v>
          </cell>
        </row>
        <row r="582">
          <cell r="E582" t="str">
            <v>HGC-Lib-2450487</v>
          </cell>
          <cell r="F582" t="str">
            <v>KE2400247</v>
          </cell>
          <cell r="G582">
            <v>12</v>
          </cell>
          <cell r="H582" t="str">
            <v>宏基因组文库</v>
          </cell>
          <cell r="I582" t="str">
            <v>WH</v>
          </cell>
          <cell r="J582">
            <v>6.04</v>
          </cell>
          <cell r="K582">
            <v>534</v>
          </cell>
          <cell r="L582" t="str">
            <v>GZQ</v>
          </cell>
          <cell r="N582">
            <v>17.401325266493799</v>
          </cell>
        </row>
        <row r="583">
          <cell r="E583" t="str">
            <v>HGC-Lib-2450488</v>
          </cell>
          <cell r="F583" t="str">
            <v>KE2400251</v>
          </cell>
          <cell r="G583">
            <v>12</v>
          </cell>
          <cell r="H583" t="str">
            <v>宏基因组文库</v>
          </cell>
          <cell r="I583" t="str">
            <v>GZQ</v>
          </cell>
          <cell r="J583">
            <v>3.98</v>
          </cell>
          <cell r="K583">
            <v>478</v>
          </cell>
          <cell r="L583" t="str">
            <v>GZQ</v>
          </cell>
          <cell r="N583">
            <v>12.809784357901499</v>
          </cell>
        </row>
        <row r="584">
          <cell r="E584" t="str">
            <v>HGC-Lib-2450489</v>
          </cell>
          <cell r="F584" t="str">
            <v>KE2400252</v>
          </cell>
          <cell r="G584">
            <v>12</v>
          </cell>
          <cell r="H584" t="str">
            <v>宏基因组文库</v>
          </cell>
          <cell r="I584" t="str">
            <v>GZQ</v>
          </cell>
          <cell r="J584">
            <v>32.200000000000003</v>
          </cell>
          <cell r="K584">
            <v>368</v>
          </cell>
          <cell r="L584" t="str">
            <v>XCL</v>
          </cell>
          <cell r="N584">
            <v>134.61538461538501</v>
          </cell>
        </row>
        <row r="585">
          <cell r="E585" t="str">
            <v>HGC-Lib-2450490</v>
          </cell>
          <cell r="F585" t="str">
            <v>KE2400254</v>
          </cell>
          <cell r="G585">
            <v>12</v>
          </cell>
          <cell r="H585" t="str">
            <v>宏基因组文库</v>
          </cell>
          <cell r="I585" t="str">
            <v>GZQ</v>
          </cell>
          <cell r="J585">
            <v>13.8</v>
          </cell>
          <cell r="K585">
            <v>548</v>
          </cell>
          <cell r="L585" t="str">
            <v>XCL</v>
          </cell>
          <cell r="N585">
            <v>38.742279618192001</v>
          </cell>
        </row>
        <row r="586">
          <cell r="E586" t="str">
            <v>HGC-Lib-2450491</v>
          </cell>
          <cell r="F586" t="str">
            <v>KE2400255</v>
          </cell>
          <cell r="G586">
            <v>12</v>
          </cell>
          <cell r="H586" t="str">
            <v>宏基因组文库</v>
          </cell>
          <cell r="I586" t="str">
            <v>GZQ</v>
          </cell>
          <cell r="J586">
            <v>1.1299999999999999</v>
          </cell>
          <cell r="K586">
            <v>642</v>
          </cell>
          <cell r="L586" t="str">
            <v>GZQ</v>
          </cell>
          <cell r="N586">
            <v>2.70788401629523</v>
          </cell>
        </row>
        <row r="587">
          <cell r="E587" t="str">
            <v>HGC-Lib-2450492</v>
          </cell>
          <cell r="F587" t="str">
            <v>KE2400256</v>
          </cell>
          <cell r="G587">
            <v>12</v>
          </cell>
          <cell r="H587" t="str">
            <v>宏基因组文库</v>
          </cell>
          <cell r="I587" t="str">
            <v>GZQ</v>
          </cell>
          <cell r="J587">
            <v>1.41</v>
          </cell>
          <cell r="K587">
            <v>563</v>
          </cell>
          <cell r="L587" t="str">
            <v>GZQ</v>
          </cell>
          <cell r="N587">
            <v>3.85298538051646</v>
          </cell>
        </row>
        <row r="588">
          <cell r="E588" t="str">
            <v>HGC-Lib-2450493</v>
          </cell>
          <cell r="F588" t="str">
            <v>KE2400257</v>
          </cell>
          <cell r="G588">
            <v>12</v>
          </cell>
          <cell r="H588" t="str">
            <v>宏基因组文库</v>
          </cell>
          <cell r="I588" t="str">
            <v>GZQ</v>
          </cell>
          <cell r="J588">
            <v>6.64</v>
          </cell>
          <cell r="K588">
            <v>333</v>
          </cell>
          <cell r="L588" t="str">
            <v>GZQ</v>
          </cell>
          <cell r="N588">
            <v>30.676830676830701</v>
          </cell>
        </row>
        <row r="589">
          <cell r="E589" t="str">
            <v>HGC-Lib-2450494</v>
          </cell>
          <cell r="F589" t="str">
            <v>KE2400258</v>
          </cell>
          <cell r="G589">
            <v>12</v>
          </cell>
          <cell r="H589" t="str">
            <v>宏基因组文库</v>
          </cell>
          <cell r="I589" t="str">
            <v>GZQ</v>
          </cell>
          <cell r="J589">
            <v>7.54</v>
          </cell>
          <cell r="K589">
            <v>530</v>
          </cell>
          <cell r="L589" t="str">
            <v>GZQ</v>
          </cell>
          <cell r="N589">
            <v>21.8867924528302</v>
          </cell>
        </row>
        <row r="590">
          <cell r="E590" t="str">
            <v>HGC-Lib-2450495</v>
          </cell>
          <cell r="F590" t="str">
            <v>KE2400259</v>
          </cell>
          <cell r="G590">
            <v>12</v>
          </cell>
          <cell r="H590" t="str">
            <v>宏基因组文库</v>
          </cell>
          <cell r="I590" t="str">
            <v>GZQ</v>
          </cell>
          <cell r="J590">
            <v>2.46</v>
          </cell>
          <cell r="K590">
            <v>542</v>
          </cell>
          <cell r="L590" t="str">
            <v>GZQ</v>
          </cell>
          <cell r="N590">
            <v>6.9826852114675004</v>
          </cell>
        </row>
        <row r="591">
          <cell r="E591" t="str">
            <v>HGC-Lib-2450496</v>
          </cell>
          <cell r="F591" t="str">
            <v>KE2400260</v>
          </cell>
          <cell r="G591">
            <v>12</v>
          </cell>
          <cell r="H591" t="str">
            <v>宏基因组文库</v>
          </cell>
          <cell r="I591" t="str">
            <v>GZQ</v>
          </cell>
          <cell r="J591">
            <v>3.98</v>
          </cell>
          <cell r="K591">
            <v>401</v>
          </cell>
          <cell r="L591" t="str">
            <v>GZQ</v>
          </cell>
          <cell r="N591">
            <v>15.2695185114138</v>
          </cell>
        </row>
        <row r="592">
          <cell r="E592" t="str">
            <v>HGC-Lib-2450497</v>
          </cell>
          <cell r="F592" t="str">
            <v>KE2400261</v>
          </cell>
          <cell r="G592">
            <v>12</v>
          </cell>
          <cell r="H592" t="str">
            <v>宏基因组文库</v>
          </cell>
          <cell r="I592" t="str">
            <v>GZQ</v>
          </cell>
          <cell r="J592">
            <v>2.2999999999999998</v>
          </cell>
          <cell r="K592">
            <v>573</v>
          </cell>
          <cell r="L592" t="str">
            <v>GZQ</v>
          </cell>
          <cell r="N592">
            <v>6.1753255470533004</v>
          </cell>
        </row>
        <row r="593">
          <cell r="E593" t="str">
            <v>HGC-Lib-2450498</v>
          </cell>
          <cell r="F593" t="str">
            <v>KE2400262</v>
          </cell>
          <cell r="G593">
            <v>12</v>
          </cell>
          <cell r="H593" t="str">
            <v>宏基因组文库</v>
          </cell>
          <cell r="I593" t="str">
            <v>GZQ</v>
          </cell>
          <cell r="J593">
            <v>2.2799999999999998</v>
          </cell>
          <cell r="K593">
            <v>557</v>
          </cell>
          <cell r="L593" t="str">
            <v>GZQ</v>
          </cell>
          <cell r="N593">
            <v>6.2974727247617697</v>
          </cell>
        </row>
        <row r="594">
          <cell r="E594" t="str">
            <v>HGC-Lib-2450499</v>
          </cell>
          <cell r="F594" t="str">
            <v>KE2400263</v>
          </cell>
          <cell r="G594">
            <v>12</v>
          </cell>
          <cell r="H594" t="str">
            <v>宏基因组文库</v>
          </cell>
          <cell r="I594" t="str">
            <v>GZQ</v>
          </cell>
          <cell r="J594">
            <v>2.82</v>
          </cell>
          <cell r="K594">
            <v>548</v>
          </cell>
          <cell r="L594" t="str">
            <v>GZQ</v>
          </cell>
          <cell r="N594">
            <v>7.9169006176305396</v>
          </cell>
        </row>
        <row r="595">
          <cell r="E595" t="str">
            <v>HGC-Lib-2450500</v>
          </cell>
          <cell r="F595" t="str">
            <v>KE2400264</v>
          </cell>
          <cell r="G595">
            <v>12</v>
          </cell>
          <cell r="H595" t="str">
            <v>宏基因组文库</v>
          </cell>
          <cell r="I595" t="str">
            <v>GZQ</v>
          </cell>
          <cell r="J595">
            <v>0.16200000000000001</v>
          </cell>
          <cell r="K595">
            <v>291</v>
          </cell>
          <cell r="L595" t="str">
            <v>GZQ</v>
          </cell>
          <cell r="N595">
            <v>0.85646312450436202</v>
          </cell>
        </row>
        <row r="596">
          <cell r="E596" t="str">
            <v>HGC-Lib-2450501</v>
          </cell>
          <cell r="F596" t="str">
            <v>KE2400265</v>
          </cell>
          <cell r="G596">
            <v>12</v>
          </cell>
          <cell r="H596" t="str">
            <v>宏基因组文库</v>
          </cell>
          <cell r="I596" t="str">
            <v>GZQ</v>
          </cell>
          <cell r="J596">
            <v>5.34</v>
          </cell>
          <cell r="K596">
            <v>523</v>
          </cell>
          <cell r="L596" t="str">
            <v>GZQ</v>
          </cell>
          <cell r="N596">
            <v>15.7081923812325</v>
          </cell>
        </row>
        <row r="597">
          <cell r="E597" t="str">
            <v>HGC-Lib-2450502</v>
          </cell>
          <cell r="F597" t="str">
            <v>KE2400266</v>
          </cell>
          <cell r="G597">
            <v>12</v>
          </cell>
          <cell r="H597" t="str">
            <v>宏基因组文库</v>
          </cell>
          <cell r="I597" t="str">
            <v>GZQ</v>
          </cell>
          <cell r="J597">
            <v>19.600000000000001</v>
          </cell>
          <cell r="K597">
            <v>562</v>
          </cell>
          <cell r="L597" t="str">
            <v>XCL</v>
          </cell>
          <cell r="N597">
            <v>53.654530522857897</v>
          </cell>
        </row>
        <row r="598">
          <cell r="E598" t="str">
            <v>HGC-Lib-2450503</v>
          </cell>
          <cell r="F598" t="str">
            <v>KE2400275</v>
          </cell>
          <cell r="G598">
            <v>12</v>
          </cell>
          <cell r="H598" t="str">
            <v>宏基因组文库</v>
          </cell>
          <cell r="I598" t="str">
            <v>GZQ</v>
          </cell>
          <cell r="J598">
            <v>2.82</v>
          </cell>
          <cell r="K598">
            <v>602</v>
          </cell>
          <cell r="L598" t="str">
            <v>GZQ</v>
          </cell>
          <cell r="N598">
            <v>7.20674674163046</v>
          </cell>
        </row>
        <row r="599">
          <cell r="E599" t="str">
            <v>HGC-Lib-2450504</v>
          </cell>
          <cell r="F599" t="str">
            <v>KE2400269</v>
          </cell>
          <cell r="G599">
            <v>12</v>
          </cell>
          <cell r="H599" t="str">
            <v>宏基因组文库</v>
          </cell>
          <cell r="I599" t="str">
            <v>GZQ</v>
          </cell>
          <cell r="J599">
            <v>6.08</v>
          </cell>
          <cell r="K599">
            <v>587</v>
          </cell>
          <cell r="L599" t="str">
            <v>GZQ</v>
          </cell>
          <cell r="N599">
            <v>15.9350019656664</v>
          </cell>
        </row>
        <row r="600">
          <cell r="E600" t="str">
            <v>HGC-Lib-2450505</v>
          </cell>
          <cell r="F600" t="str">
            <v>KE2400270</v>
          </cell>
          <cell r="G600">
            <v>12</v>
          </cell>
          <cell r="H600" t="str">
            <v>宏基因组文库</v>
          </cell>
          <cell r="I600" t="str">
            <v>GZQ</v>
          </cell>
          <cell r="J600">
            <v>5.78</v>
          </cell>
          <cell r="K600">
            <v>513</v>
          </cell>
          <cell r="L600" t="str">
            <v>GZQ</v>
          </cell>
          <cell r="N600">
            <v>17.333933123406801</v>
          </cell>
        </row>
        <row r="601">
          <cell r="E601" t="str">
            <v>HGC-Lib-2450506</v>
          </cell>
          <cell r="F601" t="str">
            <v>KE2400272</v>
          </cell>
          <cell r="G601">
            <v>12</v>
          </cell>
          <cell r="H601" t="str">
            <v>宏基因组文库</v>
          </cell>
          <cell r="I601" t="str">
            <v>GZQ</v>
          </cell>
          <cell r="J601">
            <v>11.9</v>
          </cell>
          <cell r="K601">
            <v>527</v>
          </cell>
          <cell r="L601" t="str">
            <v>XCL</v>
          </cell>
          <cell r="N601">
            <v>34.739454094292803</v>
          </cell>
        </row>
        <row r="602">
          <cell r="E602" t="str">
            <v>HGC-Lib-2450507</v>
          </cell>
          <cell r="F602" t="str">
            <v>KE2400273</v>
          </cell>
          <cell r="G602">
            <v>12</v>
          </cell>
          <cell r="H602" t="str">
            <v>宏基因组文库</v>
          </cell>
          <cell r="I602" t="str">
            <v>GZQ</v>
          </cell>
          <cell r="J602">
            <v>35.6</v>
          </cell>
          <cell r="K602">
            <v>531</v>
          </cell>
          <cell r="L602" t="str">
            <v>XCL</v>
          </cell>
          <cell r="N602">
            <v>103.143560770679</v>
          </cell>
        </row>
        <row r="603">
          <cell r="E603" t="str">
            <v>HGC-Lib-2450508</v>
          </cell>
          <cell r="F603" t="str">
            <v>KE2400276</v>
          </cell>
          <cell r="G603">
            <v>12</v>
          </cell>
          <cell r="H603" t="str">
            <v>宏基因组文库</v>
          </cell>
          <cell r="I603" t="str">
            <v>GZQ</v>
          </cell>
          <cell r="J603">
            <v>8.2200000000000006</v>
          </cell>
          <cell r="K603">
            <v>466</v>
          </cell>
          <cell r="L603" t="str">
            <v>GZQ</v>
          </cell>
          <cell r="N603">
            <v>27.137669197754999</v>
          </cell>
        </row>
        <row r="604">
          <cell r="E604" t="str">
            <v>HGC-Lib-2450509</v>
          </cell>
          <cell r="F604" t="str">
            <v>KE2400278</v>
          </cell>
          <cell r="G604">
            <v>12</v>
          </cell>
          <cell r="H604" t="str">
            <v>宏基因组文库</v>
          </cell>
          <cell r="I604" t="str">
            <v>GZQ</v>
          </cell>
          <cell r="J604">
            <v>8.14</v>
          </cell>
          <cell r="K604">
            <v>505</v>
          </cell>
          <cell r="L604" t="str">
            <v>GZQ</v>
          </cell>
          <cell r="N604">
            <v>24.798172124904799</v>
          </cell>
        </row>
        <row r="605">
          <cell r="E605" t="str">
            <v>HGC-Lib-2450510</v>
          </cell>
          <cell r="F605" t="str">
            <v>KE2400279</v>
          </cell>
          <cell r="G605">
            <v>12</v>
          </cell>
          <cell r="H605" t="str">
            <v>宏基因组文库</v>
          </cell>
          <cell r="I605" t="str">
            <v>GZQ</v>
          </cell>
          <cell r="J605">
            <v>19.3</v>
          </cell>
          <cell r="K605">
            <v>517</v>
          </cell>
          <cell r="L605" t="str">
            <v>XCL</v>
          </cell>
          <cell r="N605">
            <v>57.431929772355303</v>
          </cell>
        </row>
        <row r="606">
          <cell r="E606" t="str">
            <v>HGC-Lib-2450511</v>
          </cell>
          <cell r="F606" t="str">
            <v>KE2400280</v>
          </cell>
          <cell r="G606">
            <v>12</v>
          </cell>
          <cell r="H606" t="str">
            <v>宏基因组文库</v>
          </cell>
          <cell r="I606" t="str">
            <v>GZQ</v>
          </cell>
          <cell r="J606">
            <v>2.36</v>
          </cell>
          <cell r="K606">
            <v>594</v>
          </cell>
          <cell r="L606" t="str">
            <v>GZQ</v>
          </cell>
          <cell r="N606">
            <v>6.1124061124061102</v>
          </cell>
        </row>
        <row r="607">
          <cell r="E607" t="str">
            <v>HGC-Lib-2450512</v>
          </cell>
          <cell r="F607" t="str">
            <v>KE2400271</v>
          </cell>
          <cell r="G607">
            <v>12</v>
          </cell>
          <cell r="H607" t="str">
            <v>宏基因组文库</v>
          </cell>
          <cell r="I607" t="str">
            <v>GZQ</v>
          </cell>
          <cell r="J607">
            <v>1.1000000000000001</v>
          </cell>
          <cell r="K607">
            <v>530</v>
          </cell>
          <cell r="L607" t="str">
            <v>GZQ</v>
          </cell>
          <cell r="N607">
            <v>3.1930333817126302</v>
          </cell>
        </row>
        <row r="608">
          <cell r="E608" t="str">
            <v>HGC-Lib-2450513</v>
          </cell>
          <cell r="F608" t="str">
            <v>KE2400267</v>
          </cell>
          <cell r="G608">
            <v>12</v>
          </cell>
          <cell r="H608" t="str">
            <v>宏基因组文库</v>
          </cell>
          <cell r="I608" t="str">
            <v>GZQ</v>
          </cell>
          <cell r="J608">
            <v>26</v>
          </cell>
          <cell r="K608">
            <v>512</v>
          </cell>
          <cell r="L608" t="str">
            <v>XCL</v>
          </cell>
          <cell r="N608">
            <v>78.125</v>
          </cell>
        </row>
        <row r="609">
          <cell r="E609" t="str">
            <v>HGC-Lib-2450514</v>
          </cell>
          <cell r="F609" t="str">
            <v>KE2400268</v>
          </cell>
          <cell r="G609">
            <v>12</v>
          </cell>
          <cell r="H609" t="str">
            <v>宏基因组文库</v>
          </cell>
          <cell r="I609" t="str">
            <v>GZQ</v>
          </cell>
          <cell r="J609">
            <v>5.18</v>
          </cell>
          <cell r="K609">
            <v>613</v>
          </cell>
          <cell r="L609" t="str">
            <v>GZQ</v>
          </cell>
          <cell r="N609">
            <v>13.000376458777801</v>
          </cell>
        </row>
        <row r="610">
          <cell r="E610" t="str">
            <v>HGC-Lib-2450515</v>
          </cell>
          <cell r="F610" t="str">
            <v>KE2400274</v>
          </cell>
          <cell r="G610">
            <v>12</v>
          </cell>
          <cell r="H610" t="str">
            <v>宏基因组文库</v>
          </cell>
          <cell r="I610" t="str">
            <v>GZQ</v>
          </cell>
          <cell r="J610">
            <v>4.4400000000000004</v>
          </cell>
          <cell r="K610">
            <v>571</v>
          </cell>
          <cell r="L610" t="str">
            <v>GZQ</v>
          </cell>
          <cell r="N610">
            <v>11.962818267546799</v>
          </cell>
        </row>
        <row r="611">
          <cell r="E611" t="str">
            <v>HGC-Lib-2450516</v>
          </cell>
          <cell r="F611" t="str">
            <v>KE2400277</v>
          </cell>
          <cell r="G611">
            <v>12</v>
          </cell>
          <cell r="H611" t="str">
            <v>宏基因组文库</v>
          </cell>
          <cell r="I611" t="str">
            <v>GZQ</v>
          </cell>
          <cell r="J611">
            <v>20</v>
          </cell>
          <cell r="K611">
            <v>446</v>
          </cell>
          <cell r="L611" t="str">
            <v>XCL</v>
          </cell>
          <cell r="N611">
            <v>68.989306657468106</v>
          </cell>
        </row>
        <row r="612">
          <cell r="E612" t="str">
            <v>HGC-Lib-2450517</v>
          </cell>
          <cell r="F612" t="str">
            <v>WT_Naive_IgG_CR_2</v>
          </cell>
          <cell r="G612">
            <v>8</v>
          </cell>
          <cell r="H612" t="str">
            <v>CUT&amp;RUN文库</v>
          </cell>
          <cell r="I612" t="str">
            <v>GZQ</v>
          </cell>
          <cell r="J612">
            <v>22.2</v>
          </cell>
          <cell r="K612">
            <v>408</v>
          </cell>
          <cell r="L612" t="str">
            <v>XCL</v>
          </cell>
          <cell r="N612">
            <v>83.710407239819006</v>
          </cell>
        </row>
        <row r="613">
          <cell r="E613" t="str">
            <v>HGC-Lib-2450518</v>
          </cell>
          <cell r="F613" t="str">
            <v>WT_Naive_FOXP1_CR_2</v>
          </cell>
          <cell r="G613">
            <v>8</v>
          </cell>
          <cell r="H613" t="str">
            <v>CUT&amp;RUN文库</v>
          </cell>
          <cell r="I613" t="str">
            <v>GZQ</v>
          </cell>
          <cell r="J613">
            <v>23.6</v>
          </cell>
          <cell r="K613">
            <v>411</v>
          </cell>
          <cell r="L613" t="str">
            <v>XCL</v>
          </cell>
          <cell r="N613">
            <v>88.339883960321899</v>
          </cell>
        </row>
        <row r="614">
          <cell r="E614" t="str">
            <v>HGC-Lib-2450519</v>
          </cell>
          <cell r="F614" t="str">
            <v>WT_Mem_FOXP1_CR_2</v>
          </cell>
          <cell r="G614">
            <v>8</v>
          </cell>
          <cell r="H614" t="str">
            <v>CUT&amp;RUN文库</v>
          </cell>
          <cell r="I614" t="str">
            <v>GZQ</v>
          </cell>
          <cell r="J614">
            <v>21.4</v>
          </cell>
          <cell r="K614">
            <v>412</v>
          </cell>
          <cell r="L614" t="str">
            <v>XCL</v>
          </cell>
          <cell r="N614">
            <v>79.910380881254696</v>
          </cell>
        </row>
        <row r="615">
          <cell r="E615" t="str">
            <v>HGC-Lib-2450520</v>
          </cell>
          <cell r="F615" t="str">
            <v>WT_D8_FOXP1_CR</v>
          </cell>
          <cell r="G615">
            <v>8</v>
          </cell>
          <cell r="H615" t="str">
            <v>CUT&amp;RUN文库</v>
          </cell>
          <cell r="I615" t="str">
            <v>GZQ</v>
          </cell>
          <cell r="J615">
            <v>20.399999999999999</v>
          </cell>
          <cell r="K615">
            <v>403</v>
          </cell>
          <cell r="L615" t="str">
            <v>XCL</v>
          </cell>
          <cell r="N615">
            <v>77.877457530062998</v>
          </cell>
        </row>
        <row r="616">
          <cell r="E616" t="str">
            <v>HGC-Lib-2450521</v>
          </cell>
          <cell r="F616" t="str">
            <v>KO_SLEC_H3K4me3_CT1</v>
          </cell>
          <cell r="G616">
            <v>8</v>
          </cell>
          <cell r="H616" t="str">
            <v>cut&amp;tag文库</v>
          </cell>
          <cell r="I616" t="str">
            <v>GZQ</v>
          </cell>
          <cell r="J616">
            <v>3.86</v>
          </cell>
          <cell r="K616">
            <v>374</v>
          </cell>
          <cell r="L616" t="str">
            <v>GZQ</v>
          </cell>
          <cell r="N616">
            <v>15.878239407651201</v>
          </cell>
        </row>
        <row r="617">
          <cell r="E617" t="str">
            <v>HGC-Lib-2450522</v>
          </cell>
          <cell r="F617" t="str">
            <v>KO_SLEC_H3K27ac_CT1</v>
          </cell>
          <cell r="G617">
            <v>8</v>
          </cell>
          <cell r="H617" t="str">
            <v>cut&amp;tag文库</v>
          </cell>
          <cell r="I617" t="str">
            <v>GZQ</v>
          </cell>
          <cell r="J617">
            <v>1.2</v>
          </cell>
          <cell r="K617">
            <v>393</v>
          </cell>
          <cell r="L617" t="str">
            <v>GZQ</v>
          </cell>
          <cell r="N617">
            <v>4.6975924838520298</v>
          </cell>
        </row>
        <row r="618">
          <cell r="E618" t="str">
            <v>HGC-Lib-2450523</v>
          </cell>
          <cell r="F618" t="str">
            <v>KO_SLEC_H3K27me3_CT1</v>
          </cell>
          <cell r="G618">
            <v>8</v>
          </cell>
          <cell r="H618" t="str">
            <v>cut&amp;tag文库</v>
          </cell>
          <cell r="I618" t="str">
            <v>GZQ</v>
          </cell>
          <cell r="J618">
            <v>4.58</v>
          </cell>
          <cell r="K618">
            <v>376</v>
          </cell>
          <cell r="L618" t="str">
            <v>GZQ</v>
          </cell>
          <cell r="N618">
            <v>18.739770867430401</v>
          </cell>
        </row>
        <row r="619">
          <cell r="E619" t="str">
            <v>HGC-Lib-2450524</v>
          </cell>
          <cell r="F619" t="str">
            <v>WT_SLEC_H3K4me3_CT1</v>
          </cell>
          <cell r="G619">
            <v>8</v>
          </cell>
          <cell r="H619" t="str">
            <v>cut&amp;tag文库</v>
          </cell>
          <cell r="I619" t="str">
            <v>GZQ</v>
          </cell>
          <cell r="J619">
            <v>4.08</v>
          </cell>
          <cell r="K619">
            <v>364</v>
          </cell>
          <cell r="L619" t="str">
            <v>GZQ</v>
          </cell>
          <cell r="N619">
            <v>17.244294167371098</v>
          </cell>
        </row>
        <row r="620">
          <cell r="E620" t="str">
            <v>HGC-Lib-2450525</v>
          </cell>
          <cell r="F620" t="str">
            <v>WT_SLEC_H3K27ac_CT1</v>
          </cell>
          <cell r="G620">
            <v>8</v>
          </cell>
          <cell r="H620" t="str">
            <v>cut&amp;tag文库</v>
          </cell>
          <cell r="I620" t="str">
            <v>GZQ</v>
          </cell>
          <cell r="J620">
            <v>0.50600000000000001</v>
          </cell>
          <cell r="K620">
            <v>367</v>
          </cell>
          <cell r="L620" t="str">
            <v>GZQ</v>
          </cell>
          <cell r="N620">
            <v>2.12114860616223</v>
          </cell>
        </row>
        <row r="621">
          <cell r="E621" t="str">
            <v>HGC-Lib-2450526</v>
          </cell>
          <cell r="F621" t="str">
            <v>WT_SLEC_H3K27me3_CT1</v>
          </cell>
          <cell r="G621">
            <v>8</v>
          </cell>
          <cell r="H621" t="str">
            <v>cut&amp;tag文库</v>
          </cell>
          <cell r="I621" t="str">
            <v>GZQ</v>
          </cell>
          <cell r="J621">
            <v>1.57</v>
          </cell>
          <cell r="K621">
            <v>367</v>
          </cell>
          <cell r="L621" t="str">
            <v>GZQ</v>
          </cell>
          <cell r="N621">
            <v>6.5814294697128499</v>
          </cell>
        </row>
        <row r="622">
          <cell r="E622" t="str">
            <v>HGC-Lib-2450527</v>
          </cell>
          <cell r="F622" t="str">
            <v>KO_TEM_H3K4me3_CT1</v>
          </cell>
          <cell r="G622">
            <v>8</v>
          </cell>
          <cell r="H622" t="str">
            <v>cut&amp;tag文库</v>
          </cell>
          <cell r="I622" t="str">
            <v>GZQ</v>
          </cell>
          <cell r="J622">
            <v>1.1499999999999999</v>
          </cell>
          <cell r="K622">
            <v>397</v>
          </cell>
          <cell r="L622" t="str">
            <v>YHT</v>
          </cell>
          <cell r="N622">
            <v>4.4565006781631498</v>
          </cell>
        </row>
        <row r="623">
          <cell r="E623" t="str">
            <v>HGC-Lib-2450528</v>
          </cell>
          <cell r="F623" t="str">
            <v>KO_TEM_H3K27ac_CT1</v>
          </cell>
          <cell r="G623">
            <v>8</v>
          </cell>
          <cell r="H623" t="str">
            <v>cut&amp;tag文库</v>
          </cell>
          <cell r="I623" t="str">
            <v>GZQ</v>
          </cell>
          <cell r="J623" t="str">
            <v>/</v>
          </cell>
          <cell r="K623" t="str">
            <v>/</v>
          </cell>
          <cell r="L623" t="str">
            <v>YHT</v>
          </cell>
          <cell r="N623" t="e">
            <v>#VALUE!</v>
          </cell>
        </row>
        <row r="624">
          <cell r="E624" t="str">
            <v>HGC-Lib-2450529</v>
          </cell>
          <cell r="F624" t="str">
            <v>KO_TEM_H3K27me3_CT1</v>
          </cell>
          <cell r="G624">
            <v>8</v>
          </cell>
          <cell r="H624" t="str">
            <v>cut&amp;tag文库</v>
          </cell>
          <cell r="I624" t="str">
            <v>GZQ</v>
          </cell>
          <cell r="J624">
            <v>2.38</v>
          </cell>
          <cell r="K624">
            <v>331</v>
          </cell>
          <cell r="L624" t="str">
            <v>YHT</v>
          </cell>
          <cell r="N624">
            <v>11.062049732744599</v>
          </cell>
        </row>
        <row r="625">
          <cell r="E625" t="str">
            <v>HGC-Lib-2450530</v>
          </cell>
          <cell r="F625" t="str">
            <v>WT_TEM_H3K4me3_CT1</v>
          </cell>
          <cell r="G625">
            <v>8</v>
          </cell>
          <cell r="H625" t="str">
            <v>cut&amp;tag文库</v>
          </cell>
          <cell r="I625" t="str">
            <v>GZQ</v>
          </cell>
          <cell r="J625" t="str">
            <v>/</v>
          </cell>
          <cell r="K625" t="str">
            <v>/</v>
          </cell>
          <cell r="L625" t="str">
            <v>YHT</v>
          </cell>
          <cell r="N625" t="e">
            <v>#VALUE!</v>
          </cell>
        </row>
        <row r="626">
          <cell r="E626" t="str">
            <v>HGC-Lib-2450531</v>
          </cell>
          <cell r="F626" t="str">
            <v>WT_TEM_H3K27ac_CT1</v>
          </cell>
          <cell r="G626">
            <v>8</v>
          </cell>
          <cell r="H626" t="str">
            <v>cut&amp;tag文库</v>
          </cell>
          <cell r="I626" t="str">
            <v>GZQ</v>
          </cell>
          <cell r="J626" t="str">
            <v>/</v>
          </cell>
          <cell r="K626" t="str">
            <v>/</v>
          </cell>
          <cell r="L626" t="str">
            <v>YHT</v>
          </cell>
          <cell r="N626" t="e">
            <v>#VALUE!</v>
          </cell>
        </row>
        <row r="627">
          <cell r="E627" t="str">
            <v>HGC-Lib-2450532</v>
          </cell>
          <cell r="F627" t="str">
            <v>WT_TEM_H3K27me3_CT1</v>
          </cell>
          <cell r="G627">
            <v>8</v>
          </cell>
          <cell r="H627" t="str">
            <v>cut&amp;tag文库</v>
          </cell>
          <cell r="I627" t="str">
            <v>GZQ</v>
          </cell>
          <cell r="J627">
            <v>0.54600000000000004</v>
          </cell>
          <cell r="K627">
            <v>359</v>
          </cell>
          <cell r="L627" t="str">
            <v>YHT</v>
          </cell>
          <cell r="N627">
            <v>2.3398328690807801</v>
          </cell>
        </row>
        <row r="628">
          <cell r="E628" t="str">
            <v>HGC-Lib-2450533</v>
          </cell>
          <cell r="F628" t="str">
            <v>KO_TCM_H3K4me3_CT1</v>
          </cell>
          <cell r="G628">
            <v>8</v>
          </cell>
          <cell r="H628" t="str">
            <v>cut&amp;tag文库</v>
          </cell>
          <cell r="I628" t="str">
            <v>GZQ</v>
          </cell>
          <cell r="J628">
            <v>5.7</v>
          </cell>
          <cell r="K628">
            <v>353</v>
          </cell>
          <cell r="L628" t="str">
            <v>YHT</v>
          </cell>
          <cell r="N628">
            <v>24.842013510568801</v>
          </cell>
        </row>
        <row r="629">
          <cell r="E629" t="str">
            <v>HGC-Lib-2450534</v>
          </cell>
          <cell r="F629" t="str">
            <v>KO_TCM_H3K27ac_CT1</v>
          </cell>
          <cell r="G629">
            <v>8</v>
          </cell>
          <cell r="H629" t="str">
            <v>cut&amp;tag文库</v>
          </cell>
          <cell r="I629" t="str">
            <v>GZQ</v>
          </cell>
          <cell r="J629">
            <v>0.19800000000000001</v>
          </cell>
          <cell r="K629">
            <v>386</v>
          </cell>
          <cell r="L629" t="str">
            <v>YHT</v>
          </cell>
          <cell r="N629">
            <v>0.78915902750099698</v>
          </cell>
        </row>
        <row r="630">
          <cell r="E630" t="str">
            <v>HGC-Lib-2450535</v>
          </cell>
          <cell r="F630" t="str">
            <v>KO_TCM_H3K27me3_CT1</v>
          </cell>
          <cell r="G630">
            <v>8</v>
          </cell>
          <cell r="H630" t="str">
            <v>cut&amp;tag文库</v>
          </cell>
          <cell r="I630" t="str">
            <v>GZQ</v>
          </cell>
          <cell r="J630">
            <v>14.2</v>
          </cell>
          <cell r="K630">
            <v>384</v>
          </cell>
          <cell r="L630" t="str">
            <v>YHT</v>
          </cell>
          <cell r="N630">
            <v>56.8910256410256</v>
          </cell>
        </row>
        <row r="631">
          <cell r="E631" t="str">
            <v>HGC-Lib-2450536</v>
          </cell>
          <cell r="F631" t="str">
            <v>WT_TCM_H3K4me3_CT1</v>
          </cell>
          <cell r="G631">
            <v>8</v>
          </cell>
          <cell r="H631" t="str">
            <v>cut&amp;tag文库</v>
          </cell>
          <cell r="I631" t="str">
            <v>WWH</v>
          </cell>
          <cell r="J631">
            <v>0.98399999999999999</v>
          </cell>
          <cell r="K631">
            <v>360</v>
          </cell>
          <cell r="L631" t="str">
            <v>YHT</v>
          </cell>
          <cell r="N631">
            <v>4.2051282051282</v>
          </cell>
        </row>
        <row r="632">
          <cell r="E632" t="str">
            <v>HGC-Lib-2450537</v>
          </cell>
          <cell r="F632" t="str">
            <v>WT_TCM_H3K27ac_CT1</v>
          </cell>
          <cell r="G632">
            <v>8</v>
          </cell>
          <cell r="H632" t="str">
            <v>cut&amp;tag文库</v>
          </cell>
          <cell r="I632" t="str">
            <v>WWH</v>
          </cell>
          <cell r="J632">
            <v>0.68400000000000005</v>
          </cell>
          <cell r="K632">
            <v>352</v>
          </cell>
          <cell r="L632" t="str">
            <v>YHT</v>
          </cell>
          <cell r="N632">
            <v>2.98951048951049</v>
          </cell>
        </row>
        <row r="633">
          <cell r="E633" t="str">
            <v>HGC-Lib-2450538</v>
          </cell>
          <cell r="F633" t="str">
            <v>WT_TCM_H3K27me3_CT1</v>
          </cell>
          <cell r="G633">
            <v>8</v>
          </cell>
          <cell r="H633" t="str">
            <v>cut&amp;tag文库</v>
          </cell>
          <cell r="I633" t="str">
            <v>WWH</v>
          </cell>
          <cell r="J633">
            <v>0.92200000000000004</v>
          </cell>
          <cell r="K633">
            <v>373</v>
          </cell>
          <cell r="L633" t="str">
            <v>YHT</v>
          </cell>
          <cell r="N633">
            <v>3.8028459476180698</v>
          </cell>
        </row>
        <row r="634">
          <cell r="E634" t="str">
            <v>HGC-Lib-2450547</v>
          </cell>
          <cell r="F634" t="str">
            <v>Bcl6</v>
          </cell>
          <cell r="G634">
            <v>8</v>
          </cell>
          <cell r="H634" t="str">
            <v>cut&amp;tag文库</v>
          </cell>
          <cell r="I634" t="str">
            <v>WWH</v>
          </cell>
          <cell r="J634">
            <v>0.36599999999999999</v>
          </cell>
          <cell r="K634">
            <v>270</v>
          </cell>
          <cell r="L634" t="str">
            <v>YHT</v>
          </cell>
          <cell r="N634">
            <v>2.0854700854700901</v>
          </cell>
        </row>
        <row r="635">
          <cell r="E635" t="str">
            <v>HGC-Lib-2450548</v>
          </cell>
          <cell r="F635" t="str">
            <v>IgG</v>
          </cell>
          <cell r="G635">
            <v>8</v>
          </cell>
          <cell r="H635" t="str">
            <v>cut&amp;tag文库</v>
          </cell>
          <cell r="I635" t="str">
            <v>WWH</v>
          </cell>
          <cell r="J635">
            <v>2.4</v>
          </cell>
          <cell r="K635">
            <v>302</v>
          </cell>
          <cell r="L635" t="str">
            <v>YHT</v>
          </cell>
          <cell r="N635">
            <v>12.2261844116149</v>
          </cell>
        </row>
        <row r="636">
          <cell r="E636" t="str">
            <v>HGC-Lib-2450549</v>
          </cell>
          <cell r="F636" t="str">
            <v>HWD0628-1</v>
          </cell>
          <cell r="G636">
            <v>22</v>
          </cell>
          <cell r="H636" t="str">
            <v>CNV文库</v>
          </cell>
          <cell r="I636" t="str">
            <v>WWH</v>
          </cell>
          <cell r="J636">
            <v>6.02</v>
          </cell>
          <cell r="K636">
            <v>507</v>
          </cell>
          <cell r="L636" t="str">
            <v>YHT</v>
          </cell>
          <cell r="N636">
            <v>18.267334243665601</v>
          </cell>
        </row>
        <row r="637">
          <cell r="E637" t="str">
            <v>HGC-Lib-2450550</v>
          </cell>
          <cell r="F637" t="str">
            <v>HWD0628-2</v>
          </cell>
          <cell r="G637">
            <v>22</v>
          </cell>
          <cell r="H637" t="str">
            <v>CNV文库</v>
          </cell>
          <cell r="I637" t="str">
            <v>WWH</v>
          </cell>
          <cell r="J637">
            <v>4.3</v>
          </cell>
          <cell r="K637">
            <v>489</v>
          </cell>
          <cell r="L637" t="str">
            <v>YHT</v>
          </cell>
          <cell r="N637">
            <v>13.5283938964921</v>
          </cell>
        </row>
        <row r="638">
          <cell r="E638" t="str">
            <v>HGC-Lib-2450551</v>
          </cell>
          <cell r="F638" t="str">
            <v>HWD0628-3</v>
          </cell>
          <cell r="G638">
            <v>22</v>
          </cell>
          <cell r="H638" t="str">
            <v>CNV文库</v>
          </cell>
          <cell r="I638" t="str">
            <v>WWH</v>
          </cell>
          <cell r="J638">
            <v>9.42</v>
          </cell>
          <cell r="K638">
            <v>490</v>
          </cell>
          <cell r="L638" t="str">
            <v>YHT</v>
          </cell>
          <cell r="N638">
            <v>29.576138147566699</v>
          </cell>
        </row>
        <row r="639">
          <cell r="E639" t="str">
            <v>HGC-Lib-2450552</v>
          </cell>
          <cell r="F639" t="str">
            <v>HWD0628-4</v>
          </cell>
          <cell r="G639">
            <v>22</v>
          </cell>
          <cell r="H639" t="str">
            <v>CNV文库</v>
          </cell>
          <cell r="I639" t="str">
            <v>WWH</v>
          </cell>
          <cell r="J639">
            <v>7.4</v>
          </cell>
          <cell r="K639">
            <v>489</v>
          </cell>
          <cell r="L639" t="str">
            <v>YHT</v>
          </cell>
          <cell r="N639">
            <v>23.281422054428202</v>
          </cell>
        </row>
        <row r="640">
          <cell r="E640" t="str">
            <v>HGC-POOL-2450553</v>
          </cell>
          <cell r="F640">
            <v>1</v>
          </cell>
          <cell r="G640">
            <v>12</v>
          </cell>
          <cell r="H640" t="str">
            <v>免疫组库</v>
          </cell>
          <cell r="I640" t="str">
            <v>WWH</v>
          </cell>
          <cell r="J640">
            <v>12.6</v>
          </cell>
          <cell r="K640">
            <v>338</v>
          </cell>
          <cell r="L640" t="str">
            <v>XCL</v>
          </cell>
          <cell r="N640">
            <v>57.350933090578103</v>
          </cell>
        </row>
        <row r="641">
          <cell r="E641" t="str">
            <v>HGC-POOL-2450554</v>
          </cell>
          <cell r="F641">
            <v>2</v>
          </cell>
          <cell r="G641">
            <v>18</v>
          </cell>
          <cell r="H641" t="str">
            <v>免疫组库</v>
          </cell>
          <cell r="I641" t="str">
            <v>WWH</v>
          </cell>
          <cell r="J641">
            <v>13.2</v>
          </cell>
          <cell r="K641">
            <v>336</v>
          </cell>
          <cell r="L641" t="str">
            <v>XCL</v>
          </cell>
          <cell r="N641">
            <v>60.439560439560402</v>
          </cell>
        </row>
        <row r="642">
          <cell r="E642" t="str">
            <v>HGC-POOL-2450555</v>
          </cell>
          <cell r="F642">
            <v>3</v>
          </cell>
          <cell r="G642">
            <v>18</v>
          </cell>
          <cell r="H642" t="str">
            <v>免疫组库</v>
          </cell>
          <cell r="I642" t="str">
            <v>WWH</v>
          </cell>
          <cell r="J642">
            <v>20.2</v>
          </cell>
          <cell r="K642">
            <v>338</v>
          </cell>
          <cell r="L642" t="str">
            <v>XCL</v>
          </cell>
          <cell r="N642">
            <v>91.9435593991807</v>
          </cell>
        </row>
        <row r="643">
          <cell r="E643" t="str">
            <v>HGC-POOL-2450556</v>
          </cell>
          <cell r="F643">
            <v>4</v>
          </cell>
          <cell r="G643">
            <v>18</v>
          </cell>
          <cell r="H643" t="str">
            <v>免疫组库</v>
          </cell>
          <cell r="I643" t="str">
            <v>WWH</v>
          </cell>
          <cell r="J643">
            <v>8.82</v>
          </cell>
          <cell r="K643">
            <v>349</v>
          </cell>
          <cell r="L643" t="str">
            <v>YHT</v>
          </cell>
          <cell r="N643">
            <v>38.8803173903461</v>
          </cell>
        </row>
        <row r="644">
          <cell r="E644" t="str">
            <v>HGC-POOL-2450557</v>
          </cell>
          <cell r="F644">
            <v>5</v>
          </cell>
          <cell r="G644">
            <v>18</v>
          </cell>
          <cell r="H644" t="str">
            <v>免疫组库</v>
          </cell>
          <cell r="I644" t="str">
            <v>WWH</v>
          </cell>
          <cell r="J644">
            <v>8.24</v>
          </cell>
          <cell r="K644">
            <v>347</v>
          </cell>
          <cell r="L644" t="str">
            <v>YHT</v>
          </cell>
          <cell r="N644">
            <v>36.532919530037702</v>
          </cell>
        </row>
        <row r="645">
          <cell r="E645" t="str">
            <v>HGC-POOL-2450558</v>
          </cell>
          <cell r="F645">
            <v>6</v>
          </cell>
          <cell r="G645">
            <v>18</v>
          </cell>
          <cell r="H645" t="str">
            <v>免疫组库</v>
          </cell>
          <cell r="I645" t="str">
            <v>WWH</v>
          </cell>
          <cell r="J645">
            <v>10.9</v>
          </cell>
          <cell r="K645">
            <v>339</v>
          </cell>
          <cell r="L645" t="str">
            <v>XCL</v>
          </cell>
          <cell r="N645">
            <v>49.466757431359198</v>
          </cell>
        </row>
        <row r="646">
          <cell r="E646" t="str">
            <v>HGC-POOL-2450559</v>
          </cell>
          <cell r="F646">
            <v>7</v>
          </cell>
          <cell r="G646">
            <v>18</v>
          </cell>
          <cell r="H646" t="str">
            <v>免疫组库</v>
          </cell>
          <cell r="I646" t="str">
            <v>WWH</v>
          </cell>
          <cell r="J646">
            <v>10.8</v>
          </cell>
          <cell r="K646">
            <v>332</v>
          </cell>
          <cell r="L646" t="str">
            <v>XCL</v>
          </cell>
          <cell r="N646">
            <v>50.046339202965697</v>
          </cell>
        </row>
        <row r="647">
          <cell r="E647" t="str">
            <v>HGC-POOL-2450560</v>
          </cell>
          <cell r="F647">
            <v>8</v>
          </cell>
          <cell r="G647">
            <v>18</v>
          </cell>
          <cell r="H647" t="str">
            <v>免疫组库</v>
          </cell>
          <cell r="I647" t="str">
            <v>WWH</v>
          </cell>
          <cell r="J647">
            <v>23.4</v>
          </cell>
          <cell r="K647">
            <v>342</v>
          </cell>
          <cell r="L647" t="str">
            <v>XCL</v>
          </cell>
          <cell r="N647">
            <v>105.26315789473701</v>
          </cell>
        </row>
        <row r="648">
          <cell r="E648" t="str">
            <v>HGC-POOL-2450561</v>
          </cell>
          <cell r="F648">
            <v>9</v>
          </cell>
          <cell r="G648">
            <v>24</v>
          </cell>
          <cell r="H648" t="str">
            <v>免疫组库</v>
          </cell>
          <cell r="I648" t="str">
            <v>WWH</v>
          </cell>
          <cell r="J648">
            <v>30.4</v>
          </cell>
          <cell r="K648">
            <v>335</v>
          </cell>
          <cell r="L648" t="str">
            <v>XCL</v>
          </cell>
          <cell r="N648">
            <v>139.60964408725599</v>
          </cell>
        </row>
        <row r="649">
          <cell r="E649" t="str">
            <v>HGC-POOL-2450562</v>
          </cell>
          <cell r="F649">
            <v>10</v>
          </cell>
          <cell r="G649">
            <v>12</v>
          </cell>
          <cell r="H649" t="str">
            <v>免疫组库</v>
          </cell>
          <cell r="I649" t="str">
            <v>WWH</v>
          </cell>
          <cell r="J649">
            <v>5.22</v>
          </cell>
          <cell r="K649">
            <v>342</v>
          </cell>
          <cell r="L649" t="str">
            <v>YHT</v>
          </cell>
          <cell r="N649">
            <v>23.4817813765182</v>
          </cell>
        </row>
        <row r="650">
          <cell r="E650" t="str">
            <v>HGC-POOL-2450563</v>
          </cell>
          <cell r="F650">
            <v>11</v>
          </cell>
          <cell r="G650">
            <v>12</v>
          </cell>
          <cell r="H650" t="str">
            <v>免疫组库</v>
          </cell>
          <cell r="I650" t="str">
            <v>WWH</v>
          </cell>
          <cell r="J650">
            <v>5.62</v>
          </cell>
          <cell r="K650">
            <v>336</v>
          </cell>
          <cell r="L650" t="str">
            <v>YHT</v>
          </cell>
          <cell r="N650">
            <v>25.732600732600702</v>
          </cell>
        </row>
        <row r="651">
          <cell r="E651" t="str">
            <v>HGC-POOL-2450564</v>
          </cell>
          <cell r="F651">
            <v>12</v>
          </cell>
          <cell r="G651">
            <v>12</v>
          </cell>
          <cell r="H651" t="str">
            <v>免疫组库</v>
          </cell>
          <cell r="I651" t="str">
            <v>WWH</v>
          </cell>
          <cell r="J651">
            <v>2.14</v>
          </cell>
          <cell r="K651">
            <v>338</v>
          </cell>
          <cell r="L651" t="str">
            <v>YHT</v>
          </cell>
          <cell r="N651">
            <v>9.7405553026854808</v>
          </cell>
        </row>
        <row r="652">
          <cell r="E652" t="str">
            <v>HGC-POOL-2450565</v>
          </cell>
          <cell r="F652" t="str">
            <v>293T-lib</v>
          </cell>
          <cell r="G652">
            <v>2</v>
          </cell>
          <cell r="H652" t="str">
            <v>PCR产物文库</v>
          </cell>
          <cell r="I652" t="str">
            <v>WWH</v>
          </cell>
          <cell r="J652">
            <v>67.2</v>
          </cell>
          <cell r="K652">
            <v>727</v>
          </cell>
          <cell r="L652" t="str">
            <v>XCL</v>
          </cell>
          <cell r="N652">
            <v>142.20717384403801</v>
          </cell>
        </row>
        <row r="653">
          <cell r="E653" t="str">
            <v>HGC-Lib-2450566</v>
          </cell>
          <cell r="F653" t="str">
            <v>LD240515O-2187</v>
          </cell>
          <cell r="G653">
            <v>30</v>
          </cell>
          <cell r="H653" t="str">
            <v>DNA宏基因组文库</v>
          </cell>
          <cell r="I653" t="str">
            <v>WWH</v>
          </cell>
          <cell r="J653">
            <v>34</v>
          </cell>
          <cell r="N653" t="e">
            <v>#DIV/0!</v>
          </cell>
        </row>
        <row r="654">
          <cell r="E654" t="str">
            <v>HGC-Lib-2450567</v>
          </cell>
          <cell r="F654" t="str">
            <v>LD240613O-2024A</v>
          </cell>
          <cell r="G654">
            <v>6</v>
          </cell>
          <cell r="H654" t="str">
            <v>DNA宏基因组文库</v>
          </cell>
          <cell r="I654" t="str">
            <v>WWH</v>
          </cell>
          <cell r="J654">
            <v>43.8</v>
          </cell>
          <cell r="N654" t="e">
            <v>#DIV/0!</v>
          </cell>
        </row>
        <row r="655">
          <cell r="E655" t="str">
            <v>HGC-Lib-2450568</v>
          </cell>
          <cell r="F655" t="str">
            <v>LD240613O-2025A</v>
          </cell>
          <cell r="G655">
            <v>6</v>
          </cell>
          <cell r="H655" t="str">
            <v>DNA宏基因组文库</v>
          </cell>
          <cell r="I655" t="str">
            <v>WWH</v>
          </cell>
          <cell r="J655">
            <v>116</v>
          </cell>
          <cell r="N655" t="e">
            <v>#DIV/0!</v>
          </cell>
        </row>
        <row r="656">
          <cell r="E656" t="str">
            <v>HGC-Lib-2450569</v>
          </cell>
          <cell r="F656" t="str">
            <v>LD240613O-2026A</v>
          </cell>
          <cell r="G656">
            <v>6</v>
          </cell>
          <cell r="H656" t="str">
            <v>DNA宏基因组文库</v>
          </cell>
          <cell r="I656" t="str">
            <v>WWH</v>
          </cell>
          <cell r="J656">
            <v>17.8</v>
          </cell>
          <cell r="N656" t="e">
            <v>#DIV/0!</v>
          </cell>
        </row>
        <row r="657">
          <cell r="E657" t="str">
            <v>HGC-Lib-2450570</v>
          </cell>
          <cell r="F657" t="str">
            <v>LD240613O-2027A</v>
          </cell>
          <cell r="G657">
            <v>6</v>
          </cell>
          <cell r="H657" t="str">
            <v>DNA宏基因组文库</v>
          </cell>
          <cell r="I657" t="str">
            <v>WWH</v>
          </cell>
          <cell r="J657">
            <v>59.4</v>
          </cell>
          <cell r="N657" t="e">
            <v>#DIV/0!</v>
          </cell>
        </row>
        <row r="658">
          <cell r="E658" t="str">
            <v>HGC-Lib-2450571</v>
          </cell>
          <cell r="F658" t="str">
            <v>LD240613O-2028A</v>
          </cell>
          <cell r="G658">
            <v>6</v>
          </cell>
          <cell r="H658" t="str">
            <v>DNA宏基因组文库</v>
          </cell>
          <cell r="I658" t="str">
            <v>WWH</v>
          </cell>
          <cell r="J658">
            <v>51</v>
          </cell>
          <cell r="N658" t="e">
            <v>#DIV/0!</v>
          </cell>
        </row>
        <row r="659">
          <cell r="E659" t="str">
            <v>HGC-Lib-2450572</v>
          </cell>
          <cell r="F659" t="str">
            <v>LD240613O-2029A</v>
          </cell>
          <cell r="G659">
            <v>6</v>
          </cell>
          <cell r="H659" t="str">
            <v>DNA宏基因组文库</v>
          </cell>
          <cell r="I659" t="str">
            <v>WWH</v>
          </cell>
          <cell r="J659">
            <v>12.4</v>
          </cell>
          <cell r="N659" t="e">
            <v>#DIV/0!</v>
          </cell>
        </row>
        <row r="660">
          <cell r="E660" t="str">
            <v>HGC-Lib-2450573</v>
          </cell>
          <cell r="F660" t="str">
            <v>LD240613O-2030A</v>
          </cell>
          <cell r="G660">
            <v>6</v>
          </cell>
          <cell r="H660" t="str">
            <v>DNA宏基因组文库</v>
          </cell>
          <cell r="I660" t="str">
            <v>WWH</v>
          </cell>
          <cell r="J660">
            <v>34.200000000000003</v>
          </cell>
          <cell r="N660" t="e">
            <v>#DIV/0!</v>
          </cell>
        </row>
        <row r="661">
          <cell r="E661" t="str">
            <v>HGC-Lib-2450574</v>
          </cell>
          <cell r="F661" t="str">
            <v>LD240613O-2031A</v>
          </cell>
          <cell r="G661">
            <v>6</v>
          </cell>
          <cell r="H661" t="str">
            <v>DNA宏基因组文库</v>
          </cell>
          <cell r="I661" t="str">
            <v>WWH</v>
          </cell>
          <cell r="J661">
            <v>62.8</v>
          </cell>
          <cell r="N661" t="e">
            <v>#DIV/0!</v>
          </cell>
        </row>
        <row r="662">
          <cell r="E662" t="str">
            <v>HGC-Lib-2450575</v>
          </cell>
          <cell r="F662" t="str">
            <v>LD240613O-2032A</v>
          </cell>
          <cell r="G662">
            <v>10</v>
          </cell>
          <cell r="H662" t="str">
            <v>DNA宏基因组文库</v>
          </cell>
          <cell r="I662" t="str">
            <v>WWH</v>
          </cell>
          <cell r="J662">
            <v>31.4</v>
          </cell>
          <cell r="N662" t="e">
            <v>#DIV/0!</v>
          </cell>
        </row>
        <row r="663">
          <cell r="E663" t="str">
            <v>HGC-Lib-2450576</v>
          </cell>
          <cell r="F663" t="str">
            <v>LD240613O-2033A</v>
          </cell>
          <cell r="G663">
            <v>10</v>
          </cell>
          <cell r="H663" t="str">
            <v>DNA宏基因组文库</v>
          </cell>
          <cell r="I663" t="str">
            <v>WWH</v>
          </cell>
          <cell r="J663">
            <v>46.8</v>
          </cell>
          <cell r="N663" t="e">
            <v>#DIV/0!</v>
          </cell>
        </row>
        <row r="664">
          <cell r="E664" t="str">
            <v>HGC-Lib-2450577</v>
          </cell>
          <cell r="F664" t="str">
            <v>LD240613O-2034A</v>
          </cell>
          <cell r="G664">
            <v>10</v>
          </cell>
          <cell r="H664" t="str">
            <v>DNA宏基因组文库</v>
          </cell>
          <cell r="I664" t="str">
            <v>WWH</v>
          </cell>
          <cell r="J664">
            <v>58.6</v>
          </cell>
          <cell r="N664" t="e">
            <v>#DIV/0!</v>
          </cell>
        </row>
        <row r="665">
          <cell r="E665" t="str">
            <v>HGC-Lib-2450578</v>
          </cell>
          <cell r="F665" t="str">
            <v>LD240613O-2035A</v>
          </cell>
          <cell r="G665">
            <v>10</v>
          </cell>
          <cell r="H665" t="str">
            <v>DNA宏基因组文库</v>
          </cell>
          <cell r="I665" t="str">
            <v>WWH</v>
          </cell>
          <cell r="J665">
            <v>51.8</v>
          </cell>
          <cell r="N665" t="e">
            <v>#DIV/0!</v>
          </cell>
        </row>
        <row r="666">
          <cell r="E666" t="str">
            <v>HGC-Lib-2450579</v>
          </cell>
          <cell r="F666" t="str">
            <v>LD240613O-2036A</v>
          </cell>
          <cell r="G666">
            <v>10</v>
          </cell>
          <cell r="H666" t="str">
            <v>DNA宏基因组文库</v>
          </cell>
          <cell r="I666" t="str">
            <v>WWH</v>
          </cell>
          <cell r="J666">
            <v>56.2</v>
          </cell>
          <cell r="N666" t="e">
            <v>#DIV/0!</v>
          </cell>
        </row>
        <row r="667">
          <cell r="E667" t="str">
            <v>HGC-Lib-2450580</v>
          </cell>
          <cell r="F667" t="str">
            <v>LD240613O-2037A</v>
          </cell>
          <cell r="G667">
            <v>10</v>
          </cell>
          <cell r="H667" t="str">
            <v>DNA宏基因组文库</v>
          </cell>
          <cell r="I667" t="str">
            <v>WWH</v>
          </cell>
          <cell r="J667">
            <v>91</v>
          </cell>
          <cell r="N667" t="e">
            <v>#DIV/0!</v>
          </cell>
        </row>
        <row r="668">
          <cell r="E668" t="str">
            <v>HGC-Lib-2450581</v>
          </cell>
          <cell r="F668" t="str">
            <v>LD240611O-4152A</v>
          </cell>
          <cell r="G668">
            <v>10</v>
          </cell>
          <cell r="H668" t="str">
            <v>DNA病毒组文库</v>
          </cell>
          <cell r="I668" t="str">
            <v>WWH</v>
          </cell>
          <cell r="J668">
            <v>51.6</v>
          </cell>
          <cell r="N668" t="e">
            <v>#DIV/0!</v>
          </cell>
        </row>
        <row r="669">
          <cell r="E669" t="str">
            <v>HGC-Lib-2450582</v>
          </cell>
          <cell r="F669" t="str">
            <v>LD240611O-4153A</v>
          </cell>
          <cell r="G669">
            <v>10</v>
          </cell>
          <cell r="H669" t="str">
            <v>DNA病毒组文库</v>
          </cell>
          <cell r="I669" t="str">
            <v>WWH</v>
          </cell>
          <cell r="J669">
            <v>57</v>
          </cell>
          <cell r="N669" t="e">
            <v>#DIV/0!</v>
          </cell>
        </row>
        <row r="670">
          <cell r="E670" t="str">
            <v>HGC-Lib-2450583</v>
          </cell>
          <cell r="F670" t="str">
            <v>LD240612O-3793A</v>
          </cell>
          <cell r="G670">
            <v>10</v>
          </cell>
          <cell r="H670" t="str">
            <v>DNA宏基因组文库</v>
          </cell>
          <cell r="I670" t="str">
            <v>WWH</v>
          </cell>
          <cell r="J670">
            <v>41.2</v>
          </cell>
          <cell r="N670" t="e">
            <v>#DIV/0!</v>
          </cell>
        </row>
        <row r="671">
          <cell r="E671" t="str">
            <v>HGC-Lib-2450584</v>
          </cell>
          <cell r="F671" t="str">
            <v>LD240612O-3794A</v>
          </cell>
          <cell r="G671">
            <v>10</v>
          </cell>
          <cell r="H671" t="str">
            <v>DNA宏基因组文库</v>
          </cell>
          <cell r="I671" t="str">
            <v>WWH</v>
          </cell>
          <cell r="J671">
            <v>52</v>
          </cell>
          <cell r="N671" t="e">
            <v>#DIV/0!</v>
          </cell>
        </row>
        <row r="672">
          <cell r="E672" t="str">
            <v>HGC-Lib-2450585</v>
          </cell>
          <cell r="F672" t="str">
            <v>LD240612O-3795A</v>
          </cell>
          <cell r="G672">
            <v>10</v>
          </cell>
          <cell r="H672" t="str">
            <v>DNA宏基因组文库</v>
          </cell>
          <cell r="I672" t="str">
            <v>WWH</v>
          </cell>
          <cell r="J672">
            <v>3.38</v>
          </cell>
          <cell r="N672" t="e">
            <v>#DIV/0!</v>
          </cell>
        </row>
        <row r="673">
          <cell r="E673" t="str">
            <v>HGC-Lib-2450586</v>
          </cell>
          <cell r="F673" t="str">
            <v>LD240612O-3796A</v>
          </cell>
          <cell r="G673">
            <v>10</v>
          </cell>
          <cell r="H673" t="str">
            <v>DNA宏基因组文库</v>
          </cell>
          <cell r="I673" t="str">
            <v>WWH</v>
          </cell>
          <cell r="J673">
            <v>1.86</v>
          </cell>
          <cell r="N673" t="e">
            <v>#DIV/0!</v>
          </cell>
        </row>
        <row r="674">
          <cell r="E674" t="str">
            <v>HGC-Lib-2450587</v>
          </cell>
          <cell r="F674" t="str">
            <v>LD240612O-3797A</v>
          </cell>
          <cell r="G674">
            <v>10</v>
          </cell>
          <cell r="H674" t="str">
            <v>DNA宏基因组文库</v>
          </cell>
          <cell r="I674" t="str">
            <v>WWH</v>
          </cell>
          <cell r="J674">
            <v>4.5</v>
          </cell>
          <cell r="N674" t="e">
            <v>#DIV/0!</v>
          </cell>
        </row>
        <row r="675">
          <cell r="E675" t="str">
            <v>HGC-Lib-2450588</v>
          </cell>
          <cell r="F675" t="str">
            <v>LD240612O-3798A</v>
          </cell>
          <cell r="G675">
            <v>10</v>
          </cell>
          <cell r="H675" t="str">
            <v>DNA宏基因组文库</v>
          </cell>
          <cell r="I675" t="str">
            <v>WWH</v>
          </cell>
          <cell r="J675">
            <v>37.200000000000003</v>
          </cell>
          <cell r="N675" t="e">
            <v>#DIV/0!</v>
          </cell>
        </row>
        <row r="676">
          <cell r="E676" t="str">
            <v>HGC-Lib-2450589</v>
          </cell>
          <cell r="F676" t="str">
            <v>LD240612O-3799A</v>
          </cell>
          <cell r="G676">
            <v>10</v>
          </cell>
          <cell r="H676" t="str">
            <v>DNA宏基因组文库</v>
          </cell>
          <cell r="I676" t="str">
            <v>WWH</v>
          </cell>
          <cell r="J676">
            <v>49.2</v>
          </cell>
          <cell r="N676" t="e">
            <v>#DIV/0!</v>
          </cell>
        </row>
        <row r="677">
          <cell r="E677" t="str">
            <v>HGC-Lib-2450590</v>
          </cell>
          <cell r="F677" t="str">
            <v>LD240612O-3800A</v>
          </cell>
          <cell r="G677">
            <v>10</v>
          </cell>
          <cell r="H677" t="str">
            <v>DNA宏基因组文库</v>
          </cell>
          <cell r="I677" t="str">
            <v>WWH</v>
          </cell>
          <cell r="J677">
            <v>29.6</v>
          </cell>
          <cell r="N677" t="e">
            <v>#DIV/0!</v>
          </cell>
        </row>
        <row r="678">
          <cell r="E678" t="str">
            <v>HGC-Lib-2450591</v>
          </cell>
          <cell r="F678" t="str">
            <v>LD240513O-4089A</v>
          </cell>
          <cell r="G678">
            <v>20</v>
          </cell>
          <cell r="H678" t="str">
            <v>DNA宏基因组文库</v>
          </cell>
          <cell r="I678" t="str">
            <v>WWH</v>
          </cell>
          <cell r="J678">
            <v>28.4</v>
          </cell>
          <cell r="N678" t="e">
            <v>#DIV/0!</v>
          </cell>
        </row>
        <row r="679">
          <cell r="E679" t="str">
            <v>HGC-Lib-2450592</v>
          </cell>
          <cell r="F679" t="str">
            <v>LD240510O-3318A</v>
          </cell>
          <cell r="G679">
            <v>20</v>
          </cell>
          <cell r="H679" t="str">
            <v>DNA宏基因组文库</v>
          </cell>
          <cell r="I679" t="str">
            <v>ZZ</v>
          </cell>
          <cell r="J679">
            <v>59.8</v>
          </cell>
          <cell r="N679" t="e">
            <v>#DIV/0!</v>
          </cell>
        </row>
        <row r="680">
          <cell r="E680" t="str">
            <v>HGC-Lib-2450593</v>
          </cell>
          <cell r="F680" t="str">
            <v>LD240510O-3319A</v>
          </cell>
          <cell r="G680">
            <v>20</v>
          </cell>
          <cell r="H680" t="str">
            <v>DNA宏基因组文库</v>
          </cell>
          <cell r="I680" t="str">
            <v>ZZ</v>
          </cell>
          <cell r="J680">
            <v>77.8</v>
          </cell>
          <cell r="N680" t="e">
            <v>#DIV/0!</v>
          </cell>
        </row>
        <row r="681">
          <cell r="E681" t="str">
            <v>HGC-Lib-2450594</v>
          </cell>
          <cell r="F681" t="str">
            <v>LD240510O-3320A</v>
          </cell>
          <cell r="G681">
            <v>20</v>
          </cell>
          <cell r="H681" t="str">
            <v>DNA宏基因组文库</v>
          </cell>
          <cell r="I681" t="str">
            <v>ZZ</v>
          </cell>
          <cell r="J681">
            <v>74.599999999999994</v>
          </cell>
          <cell r="N681" t="e">
            <v>#DIV/0!</v>
          </cell>
        </row>
        <row r="682">
          <cell r="E682" t="str">
            <v>HGC-Lib-2450595</v>
          </cell>
          <cell r="F682" t="str">
            <v>LD240510O-3321A</v>
          </cell>
          <cell r="G682">
            <v>20</v>
          </cell>
          <cell r="H682" t="str">
            <v>DNA宏基因组文库</v>
          </cell>
          <cell r="I682" t="str">
            <v>ZZ</v>
          </cell>
          <cell r="J682">
            <v>66.400000000000006</v>
          </cell>
          <cell r="N682" t="e">
            <v>#DIV/0!</v>
          </cell>
        </row>
        <row r="683">
          <cell r="E683" t="str">
            <v>HGC-Lib-2450596</v>
          </cell>
          <cell r="F683" t="str">
            <v>LD240510O-3322A</v>
          </cell>
          <cell r="G683">
            <v>20</v>
          </cell>
          <cell r="H683" t="str">
            <v>DNA宏基因组文库</v>
          </cell>
          <cell r="I683" t="str">
            <v>ZZ</v>
          </cell>
          <cell r="J683">
            <v>67.2</v>
          </cell>
          <cell r="N683" t="e">
            <v>#DIV/0!</v>
          </cell>
        </row>
        <row r="684">
          <cell r="E684" t="str">
            <v>HGC-Lib-2450597</v>
          </cell>
          <cell r="F684" t="str">
            <v>LD240510O-3323A</v>
          </cell>
          <cell r="G684">
            <v>20</v>
          </cell>
          <cell r="H684" t="str">
            <v>DNA宏基因组文库</v>
          </cell>
          <cell r="I684" t="str">
            <v>ZZ</v>
          </cell>
          <cell r="J684">
            <v>77.8</v>
          </cell>
          <cell r="N684" t="e">
            <v>#DIV/0!</v>
          </cell>
        </row>
        <row r="685">
          <cell r="E685" t="str">
            <v>HGC-Lib-2450598</v>
          </cell>
          <cell r="F685" t="str">
            <v>LD240510O-3324A</v>
          </cell>
          <cell r="G685">
            <v>20</v>
          </cell>
          <cell r="H685" t="str">
            <v>DNA宏基因组文库</v>
          </cell>
          <cell r="I685" t="str">
            <v>ZZ</v>
          </cell>
          <cell r="J685">
            <v>64</v>
          </cell>
          <cell r="N685" t="e">
            <v>#DIV/0!</v>
          </cell>
        </row>
        <row r="686">
          <cell r="E686" t="str">
            <v>HGC-Lib-2450599</v>
          </cell>
          <cell r="F686" t="str">
            <v>LD240510O-3325A</v>
          </cell>
          <cell r="G686">
            <v>20</v>
          </cell>
          <cell r="H686" t="str">
            <v>DNA宏基因组文库</v>
          </cell>
          <cell r="I686" t="str">
            <v>ZZ</v>
          </cell>
          <cell r="J686">
            <v>74.599999999999994</v>
          </cell>
          <cell r="N686" t="e">
            <v>#DIV/0!</v>
          </cell>
        </row>
        <row r="687">
          <cell r="E687" t="str">
            <v>HGC-Lib-2450600</v>
          </cell>
          <cell r="F687" t="str">
            <v>LD240510O-3326A</v>
          </cell>
          <cell r="G687">
            <v>20</v>
          </cell>
          <cell r="H687" t="str">
            <v>DNA宏基因组文库</v>
          </cell>
          <cell r="I687" t="str">
            <v>ZZ</v>
          </cell>
          <cell r="J687">
            <v>82</v>
          </cell>
          <cell r="N687" t="e">
            <v>#DIV/0!</v>
          </cell>
        </row>
        <row r="688">
          <cell r="E688" t="str">
            <v>HGC-Lib-2450601</v>
          </cell>
          <cell r="F688" t="str">
            <v>LD240513O-4090A</v>
          </cell>
          <cell r="G688">
            <v>20</v>
          </cell>
          <cell r="H688" t="str">
            <v>DNA宏基因组文库</v>
          </cell>
          <cell r="I688" t="str">
            <v>ZZ</v>
          </cell>
          <cell r="J688">
            <v>37.200000000000003</v>
          </cell>
          <cell r="N688" t="e">
            <v>#DIV/0!</v>
          </cell>
        </row>
        <row r="689">
          <cell r="E689" t="str">
            <v>HGC-Lib-2450602</v>
          </cell>
          <cell r="F689" t="str">
            <v>LD240513O-4091A</v>
          </cell>
          <cell r="G689">
            <v>20</v>
          </cell>
          <cell r="H689" t="str">
            <v>DNA宏基因组文库</v>
          </cell>
          <cell r="I689" t="str">
            <v>ZZ</v>
          </cell>
          <cell r="J689">
            <v>50.8</v>
          </cell>
          <cell r="N689" t="e">
            <v>#DIV/0!</v>
          </cell>
        </row>
        <row r="690">
          <cell r="E690" t="str">
            <v>HGC-Lib-2450603</v>
          </cell>
          <cell r="F690" t="str">
            <v>LD240513O-4092A</v>
          </cell>
          <cell r="G690">
            <v>20</v>
          </cell>
          <cell r="H690" t="str">
            <v>DNA宏基因组文库</v>
          </cell>
          <cell r="I690" t="str">
            <v>ZZ</v>
          </cell>
          <cell r="J690">
            <v>43.4</v>
          </cell>
          <cell r="N690" t="e">
            <v>#DIV/0!</v>
          </cell>
        </row>
        <row r="691">
          <cell r="E691" t="str">
            <v>HGC-Lib-2450604</v>
          </cell>
          <cell r="F691" t="str">
            <v>LD240513O-4093A</v>
          </cell>
          <cell r="G691">
            <v>20</v>
          </cell>
          <cell r="H691" t="str">
            <v>DNA宏基因组文库</v>
          </cell>
          <cell r="I691" t="str">
            <v>ZZ</v>
          </cell>
          <cell r="J691">
            <v>74.8</v>
          </cell>
          <cell r="N691" t="e">
            <v>#DIV/0!</v>
          </cell>
        </row>
        <row r="692">
          <cell r="E692" t="str">
            <v>HGC-Lib-2450605</v>
          </cell>
          <cell r="F692" t="str">
            <v>LD240513O-4094A</v>
          </cell>
          <cell r="G692">
            <v>20</v>
          </cell>
          <cell r="H692" t="str">
            <v>DNA宏基因组文库</v>
          </cell>
          <cell r="I692" t="str">
            <v>ZZ</v>
          </cell>
          <cell r="J692">
            <v>84.8</v>
          </cell>
          <cell r="N692" t="e">
            <v>#DIV/0!</v>
          </cell>
        </row>
        <row r="693">
          <cell r="E693" t="str">
            <v>HGC-Lib-2450606</v>
          </cell>
          <cell r="F693" t="str">
            <v>LD240616O-0120A</v>
          </cell>
          <cell r="G693">
            <v>30</v>
          </cell>
          <cell r="H693" t="str">
            <v>DNA病毒组文库</v>
          </cell>
          <cell r="I693" t="str">
            <v>ZZ</v>
          </cell>
          <cell r="J693">
            <v>85</v>
          </cell>
          <cell r="N693" t="e">
            <v>#DIV/0!</v>
          </cell>
        </row>
        <row r="694">
          <cell r="E694" t="str">
            <v>HGC-Lib-2450607</v>
          </cell>
          <cell r="F694" t="str">
            <v>LD240616O-0121A</v>
          </cell>
          <cell r="G694">
            <v>30</v>
          </cell>
          <cell r="H694" t="str">
            <v>DNA病毒组文库</v>
          </cell>
          <cell r="I694" t="str">
            <v>ZZ</v>
          </cell>
          <cell r="J694">
            <v>78.8</v>
          </cell>
          <cell r="N694" t="e">
            <v>#DIV/0!</v>
          </cell>
        </row>
        <row r="695">
          <cell r="E695" t="str">
            <v>HGC-Lib-2450608</v>
          </cell>
          <cell r="F695" t="str">
            <v>LD240616O-0122A</v>
          </cell>
          <cell r="G695">
            <v>30</v>
          </cell>
          <cell r="H695" t="str">
            <v>DNA病毒组文库</v>
          </cell>
          <cell r="I695" t="str">
            <v>ZZ</v>
          </cell>
          <cell r="J695">
            <v>73.2</v>
          </cell>
          <cell r="N695" t="e">
            <v>#DIV/0!</v>
          </cell>
        </row>
        <row r="696">
          <cell r="E696" t="str">
            <v>HGC-Lib-2450609</v>
          </cell>
          <cell r="F696" t="str">
            <v>LD240616O-0123A</v>
          </cell>
          <cell r="G696">
            <v>30</v>
          </cell>
          <cell r="H696" t="str">
            <v>DNA病毒组文库</v>
          </cell>
          <cell r="I696" t="str">
            <v>ZZ</v>
          </cell>
          <cell r="J696">
            <v>87.6</v>
          </cell>
          <cell r="N696" t="e">
            <v>#DIV/0!</v>
          </cell>
        </row>
        <row r="697">
          <cell r="E697" t="str">
            <v>HGC-Lib-2450610</v>
          </cell>
          <cell r="F697" t="str">
            <v>LD240616O-0124A</v>
          </cell>
          <cell r="G697">
            <v>30</v>
          </cell>
          <cell r="H697" t="str">
            <v>DNA病毒组文库</v>
          </cell>
          <cell r="I697" t="str">
            <v>ZZ</v>
          </cell>
          <cell r="J697">
            <v>55.8</v>
          </cell>
          <cell r="N697" t="e">
            <v>#DIV/0!</v>
          </cell>
        </row>
        <row r="698">
          <cell r="E698" t="str">
            <v>HGC-Lib-2450611</v>
          </cell>
          <cell r="F698" t="str">
            <v>LD240616O-0125A</v>
          </cell>
          <cell r="G698">
            <v>30</v>
          </cell>
          <cell r="H698" t="str">
            <v>DNA病毒组文库</v>
          </cell>
          <cell r="I698" t="str">
            <v>ZZ</v>
          </cell>
          <cell r="J698">
            <v>71.8</v>
          </cell>
          <cell r="N698" t="e">
            <v>#DIV/0!</v>
          </cell>
        </row>
        <row r="699">
          <cell r="E699" t="str">
            <v>HGC-Lib-2450612</v>
          </cell>
          <cell r="F699" t="str">
            <v>LD240616O-0126A</v>
          </cell>
          <cell r="G699">
            <v>30</v>
          </cell>
          <cell r="H699" t="str">
            <v>DNA病毒组文库</v>
          </cell>
          <cell r="I699" t="str">
            <v>ZZ</v>
          </cell>
          <cell r="J699">
            <v>79.2</v>
          </cell>
          <cell r="N699" t="e">
            <v>#DIV/0!</v>
          </cell>
        </row>
        <row r="700">
          <cell r="E700" t="str">
            <v>HGC-Lib-2450613</v>
          </cell>
          <cell r="F700" t="str">
            <v>LD240616O-0127A</v>
          </cell>
          <cell r="G700">
            <v>30</v>
          </cell>
          <cell r="H700" t="str">
            <v>DNA病毒组文库</v>
          </cell>
          <cell r="I700" t="str">
            <v>ZZ</v>
          </cell>
          <cell r="J700">
            <v>80</v>
          </cell>
          <cell r="N700" t="e">
            <v>#DIV/0!</v>
          </cell>
        </row>
        <row r="701">
          <cell r="E701" t="str">
            <v>HGC-Lib-2450614</v>
          </cell>
          <cell r="F701" t="str">
            <v>LD240616O-0128A</v>
          </cell>
          <cell r="G701">
            <v>30</v>
          </cell>
          <cell r="H701" t="str">
            <v>DNA病毒组文库</v>
          </cell>
          <cell r="I701" t="str">
            <v>ZZ</v>
          </cell>
          <cell r="J701">
            <v>73</v>
          </cell>
          <cell r="N701" t="e">
            <v>#DIV/0!</v>
          </cell>
        </row>
        <row r="702">
          <cell r="E702" t="str">
            <v>HGC-Lib-2450615</v>
          </cell>
          <cell r="F702" t="str">
            <v>LD240616O-0129A</v>
          </cell>
          <cell r="G702">
            <v>30</v>
          </cell>
          <cell r="H702" t="str">
            <v>DNA病毒组文库</v>
          </cell>
          <cell r="I702" t="str">
            <v>ZZ</v>
          </cell>
          <cell r="J702">
            <v>76.599999999999994</v>
          </cell>
          <cell r="N702" t="e">
            <v>#DIV/0!</v>
          </cell>
        </row>
        <row r="703">
          <cell r="E703" t="str">
            <v>HGC-Lib-2450616</v>
          </cell>
          <cell r="F703" t="str">
            <v>LD240616O-0130A</v>
          </cell>
          <cell r="G703">
            <v>30</v>
          </cell>
          <cell r="H703" t="str">
            <v>DNA病毒组文库</v>
          </cell>
          <cell r="I703" t="str">
            <v>ZZ</v>
          </cell>
          <cell r="J703">
            <v>71.2</v>
          </cell>
          <cell r="N703" t="e">
            <v>#DIV/0!</v>
          </cell>
        </row>
        <row r="704">
          <cell r="E704" t="str">
            <v>HGC-Lib-2450617</v>
          </cell>
          <cell r="F704" t="str">
            <v>LD240616O-0131A</v>
          </cell>
          <cell r="G704">
            <v>30</v>
          </cell>
          <cell r="H704" t="str">
            <v>DNA病毒组文库</v>
          </cell>
          <cell r="I704" t="str">
            <v>ZZ</v>
          </cell>
          <cell r="J704">
            <v>57.6</v>
          </cell>
          <cell r="N704" t="e">
            <v>#DIV/0!</v>
          </cell>
        </row>
        <row r="705">
          <cell r="E705" t="str">
            <v>HGC-Lib-2450618</v>
          </cell>
          <cell r="F705" t="str">
            <v>LD240616O-0132A</v>
          </cell>
          <cell r="G705">
            <v>30</v>
          </cell>
          <cell r="H705" t="str">
            <v>DNA病毒组文库</v>
          </cell>
          <cell r="I705" t="str">
            <v>ZZ</v>
          </cell>
          <cell r="J705">
            <v>47.2</v>
          </cell>
          <cell r="N705" t="e">
            <v>#DIV/0!</v>
          </cell>
        </row>
        <row r="706">
          <cell r="E706" t="str">
            <v>HGC-Lib-2450619</v>
          </cell>
          <cell r="F706" t="str">
            <v>LD240616O-0133A</v>
          </cell>
          <cell r="G706">
            <v>30</v>
          </cell>
          <cell r="H706" t="str">
            <v>DNA病毒组文库</v>
          </cell>
          <cell r="I706" t="str">
            <v>ZZ</v>
          </cell>
          <cell r="J706">
            <v>75.2</v>
          </cell>
          <cell r="N706" t="e">
            <v>#DIV/0!</v>
          </cell>
        </row>
        <row r="707">
          <cell r="E707" t="str">
            <v>HGC-Lib-2450620</v>
          </cell>
          <cell r="F707" t="str">
            <v>LD240616O-0134A</v>
          </cell>
          <cell r="G707">
            <v>30</v>
          </cell>
          <cell r="H707" t="str">
            <v>DNA病毒组文库</v>
          </cell>
          <cell r="I707" t="str">
            <v>ZZ</v>
          </cell>
          <cell r="J707">
            <v>44.2</v>
          </cell>
          <cell r="N707" t="e">
            <v>#DIV/0!</v>
          </cell>
        </row>
        <row r="708">
          <cell r="E708" t="str">
            <v>HGC-Lib-2450621</v>
          </cell>
          <cell r="F708" t="str">
            <v>LD240616O-0135A</v>
          </cell>
          <cell r="G708">
            <v>30</v>
          </cell>
          <cell r="H708" t="str">
            <v>DNA病毒组文库</v>
          </cell>
          <cell r="I708" t="str">
            <v>ZZ</v>
          </cell>
          <cell r="J708">
            <v>75.2</v>
          </cell>
          <cell r="N708" t="e">
            <v>#DIV/0!</v>
          </cell>
        </row>
        <row r="709">
          <cell r="E709" t="str">
            <v>HGC-Lib-2450622</v>
          </cell>
          <cell r="F709" t="str">
            <v>LD240621D-0070A</v>
          </cell>
          <cell r="G709">
            <v>6</v>
          </cell>
          <cell r="H709" t="str">
            <v>DNA宏基因组文库</v>
          </cell>
          <cell r="I709" t="str">
            <v>ZZ</v>
          </cell>
          <cell r="J709">
            <v>45.8</v>
          </cell>
          <cell r="N709" t="e">
            <v>#DIV/0!</v>
          </cell>
        </row>
        <row r="710">
          <cell r="E710" t="str">
            <v>HGC-Lib-2450623</v>
          </cell>
          <cell r="F710" t="str">
            <v>LD240621D-0071A</v>
          </cell>
          <cell r="G710">
            <v>6</v>
          </cell>
          <cell r="H710" t="str">
            <v>DNA宏基因组文库</v>
          </cell>
          <cell r="I710" t="str">
            <v>ZZ</v>
          </cell>
          <cell r="J710">
            <v>62.6</v>
          </cell>
          <cell r="N710" t="e">
            <v>#DIV/0!</v>
          </cell>
        </row>
        <row r="711">
          <cell r="E711" t="str">
            <v>HGC-Lib-2450624</v>
          </cell>
          <cell r="F711" t="str">
            <v>LD240621D-0072A</v>
          </cell>
          <cell r="G711">
            <v>6</v>
          </cell>
          <cell r="H711" t="str">
            <v>DNA宏基因组文库</v>
          </cell>
          <cell r="I711" t="str">
            <v>ZZ</v>
          </cell>
          <cell r="J711">
            <v>61.2</v>
          </cell>
          <cell r="N711" t="e">
            <v>#DIV/0!</v>
          </cell>
        </row>
        <row r="712">
          <cell r="E712" t="str">
            <v>HGC-Lib-2450625</v>
          </cell>
          <cell r="F712" t="str">
            <v>LD240621D-0073A</v>
          </cell>
          <cell r="G712">
            <v>6</v>
          </cell>
          <cell r="H712" t="str">
            <v>DNA宏基因组文库</v>
          </cell>
          <cell r="I712" t="str">
            <v>ZZ</v>
          </cell>
          <cell r="J712">
            <v>64.2</v>
          </cell>
          <cell r="N712" t="e">
            <v>#DIV/0!</v>
          </cell>
        </row>
        <row r="713">
          <cell r="E713" t="str">
            <v>HGC-Lib-2450626</v>
          </cell>
          <cell r="F713" t="str">
            <v>LD240621D-0074A</v>
          </cell>
          <cell r="G713">
            <v>6</v>
          </cell>
          <cell r="H713" t="str">
            <v>DNA宏基因组文库</v>
          </cell>
          <cell r="I713" t="str">
            <v>ZZ</v>
          </cell>
          <cell r="J713">
            <v>64.8</v>
          </cell>
          <cell r="N713" t="e">
            <v>#DIV/0!</v>
          </cell>
        </row>
        <row r="714">
          <cell r="E714" t="str">
            <v>HGC-Lib-2450627</v>
          </cell>
          <cell r="F714" t="str">
            <v>LD240621D-0075A</v>
          </cell>
          <cell r="G714">
            <v>6</v>
          </cell>
          <cell r="H714" t="str">
            <v>DNA宏基因组文库</v>
          </cell>
          <cell r="I714" t="str">
            <v>ZZ</v>
          </cell>
          <cell r="J714">
            <v>50.6</v>
          </cell>
          <cell r="N714" t="e">
            <v>#DIV/0!</v>
          </cell>
        </row>
        <row r="715">
          <cell r="E715" t="str">
            <v>HGC-Lib-2450628</v>
          </cell>
          <cell r="F715" t="str">
            <v>LD240621D-0076A</v>
          </cell>
          <cell r="G715">
            <v>6</v>
          </cell>
          <cell r="H715" t="str">
            <v>DNA宏基因组文库</v>
          </cell>
          <cell r="I715" t="str">
            <v>ZZ</v>
          </cell>
          <cell r="J715">
            <v>67.8</v>
          </cell>
          <cell r="N715" t="e">
            <v>#DIV/0!</v>
          </cell>
        </row>
        <row r="716">
          <cell r="E716" t="str">
            <v>HGC-Lib-2450629</v>
          </cell>
          <cell r="F716" t="str">
            <v>LD240621D-0077A</v>
          </cell>
          <cell r="G716">
            <v>6</v>
          </cell>
          <cell r="H716" t="str">
            <v>DNA宏基因组文库</v>
          </cell>
          <cell r="I716" t="str">
            <v>ZZ</v>
          </cell>
          <cell r="J716">
            <v>70.599999999999994</v>
          </cell>
          <cell r="N716" t="e">
            <v>#DIV/0!</v>
          </cell>
        </row>
        <row r="717">
          <cell r="E717" t="str">
            <v>HGC-Lib-2450630</v>
          </cell>
          <cell r="F717" t="str">
            <v>LD240621D-0078A</v>
          </cell>
          <cell r="G717">
            <v>6</v>
          </cell>
          <cell r="H717" t="str">
            <v>DNA宏基因组文库</v>
          </cell>
          <cell r="I717" t="str">
            <v>ZZ</v>
          </cell>
          <cell r="J717">
            <v>58</v>
          </cell>
          <cell r="N717" t="e">
            <v>#DIV/0!</v>
          </cell>
        </row>
        <row r="718">
          <cell r="E718" t="str">
            <v>HGC-Lib-2450631</v>
          </cell>
          <cell r="F718" t="str">
            <v>LD240621D-0079A</v>
          </cell>
          <cell r="G718">
            <v>6</v>
          </cell>
          <cell r="H718" t="str">
            <v>DNA宏基因组文库</v>
          </cell>
          <cell r="I718" t="str">
            <v>ZZ</v>
          </cell>
          <cell r="J718">
            <v>68.2</v>
          </cell>
          <cell r="N718" t="e">
            <v>#DIV/0!</v>
          </cell>
        </row>
        <row r="719">
          <cell r="E719" t="str">
            <v>HGC-Lib-2450632</v>
          </cell>
          <cell r="F719" t="str">
            <v>LD240621D-0080A</v>
          </cell>
          <cell r="G719">
            <v>10</v>
          </cell>
          <cell r="H719" t="str">
            <v>DNA宏基因组文库</v>
          </cell>
          <cell r="I719" t="str">
            <v>ZZ</v>
          </cell>
          <cell r="J719">
            <v>37</v>
          </cell>
          <cell r="N719" t="e">
            <v>#DIV/0!</v>
          </cell>
        </row>
        <row r="720">
          <cell r="E720" t="str">
            <v>HGC-Lib-2450633</v>
          </cell>
          <cell r="F720" t="str">
            <v>LD240612O-4083B</v>
          </cell>
          <cell r="G720">
            <v>10</v>
          </cell>
          <cell r="H720" t="str">
            <v>DNA宏基因组文库</v>
          </cell>
          <cell r="I720" t="str">
            <v>ZZ</v>
          </cell>
          <cell r="J720">
            <v>54</v>
          </cell>
          <cell r="N720" t="e">
            <v>#DIV/0!</v>
          </cell>
        </row>
        <row r="721">
          <cell r="E721" t="str">
            <v>HGC-Lib-2450634</v>
          </cell>
          <cell r="F721" t="str">
            <v>LD240612O-4084B</v>
          </cell>
          <cell r="G721">
            <v>10</v>
          </cell>
          <cell r="H721" t="str">
            <v>DNA宏基因组文库</v>
          </cell>
          <cell r="I721" t="str">
            <v>ZZ</v>
          </cell>
          <cell r="J721">
            <v>38.6</v>
          </cell>
          <cell r="N721" t="e">
            <v>#DIV/0!</v>
          </cell>
        </row>
        <row r="722">
          <cell r="E722" t="str">
            <v>HGC-Lib-2450635</v>
          </cell>
          <cell r="F722" t="str">
            <v>LD240612O-4085B</v>
          </cell>
          <cell r="G722">
            <v>10</v>
          </cell>
          <cell r="H722" t="str">
            <v>DNA宏基因组文库</v>
          </cell>
          <cell r="I722" t="str">
            <v>ZZ</v>
          </cell>
          <cell r="J722">
            <v>29.6</v>
          </cell>
          <cell r="N722" t="e">
            <v>#DIV/0!</v>
          </cell>
        </row>
        <row r="723">
          <cell r="E723" t="str">
            <v>HGC-Lib-2450636</v>
          </cell>
          <cell r="F723" t="str">
            <v>LD240612O-4086B</v>
          </cell>
          <cell r="G723">
            <v>10</v>
          </cell>
          <cell r="H723" t="str">
            <v>DNA宏基因组文库</v>
          </cell>
          <cell r="I723" t="str">
            <v>ZZ</v>
          </cell>
          <cell r="J723">
            <v>120</v>
          </cell>
          <cell r="N723" t="e">
            <v>#DIV/0!</v>
          </cell>
        </row>
        <row r="724">
          <cell r="E724" t="str">
            <v>HGC-Lib-2450637</v>
          </cell>
          <cell r="F724" t="str">
            <v>LR240521O-1785B</v>
          </cell>
          <cell r="G724">
            <v>5</v>
          </cell>
          <cell r="H724" t="str">
            <v>宏转录组文库</v>
          </cell>
          <cell r="I724" t="str">
            <v>ZZ</v>
          </cell>
          <cell r="J724">
            <v>11.4</v>
          </cell>
          <cell r="N724" t="e">
            <v>#DIV/0!</v>
          </cell>
        </row>
        <row r="725">
          <cell r="E725" t="str">
            <v>HGC-Lib-2450638</v>
          </cell>
          <cell r="F725" t="str">
            <v>LD240510O-3335A</v>
          </cell>
          <cell r="G725">
            <v>20</v>
          </cell>
          <cell r="H725" t="str">
            <v>宏转录组文库</v>
          </cell>
          <cell r="I725" t="str">
            <v>ZZ</v>
          </cell>
          <cell r="J725">
            <v>51.4</v>
          </cell>
          <cell r="N725" t="e">
            <v>#DIV/0!</v>
          </cell>
        </row>
        <row r="726">
          <cell r="E726" t="str">
            <v>HGC-Lib-2450639</v>
          </cell>
          <cell r="F726" t="str">
            <v>LD240510O-3336A</v>
          </cell>
          <cell r="G726">
            <v>20</v>
          </cell>
          <cell r="H726" t="str">
            <v>宏转录组文库</v>
          </cell>
          <cell r="I726" t="str">
            <v>ZZ</v>
          </cell>
          <cell r="J726">
            <v>80.2</v>
          </cell>
          <cell r="N726" t="e">
            <v>#DIV/0!</v>
          </cell>
        </row>
        <row r="727">
          <cell r="E727" t="str">
            <v>HGC-Lib-2450640</v>
          </cell>
          <cell r="F727" t="str">
            <v>LD240510O-3337A</v>
          </cell>
          <cell r="G727">
            <v>20</v>
          </cell>
          <cell r="H727" t="str">
            <v>宏转录组文库</v>
          </cell>
          <cell r="I727" t="str">
            <v>TY</v>
          </cell>
          <cell r="J727">
            <v>62</v>
          </cell>
          <cell r="N727" t="e">
            <v>#DIV/0!</v>
          </cell>
        </row>
        <row r="728">
          <cell r="E728" t="str">
            <v>HGC-Lib-2450641</v>
          </cell>
          <cell r="F728" t="str">
            <v>LD240510O-3338A</v>
          </cell>
          <cell r="G728">
            <v>20</v>
          </cell>
          <cell r="H728" t="str">
            <v>宏转录组文库</v>
          </cell>
          <cell r="I728" t="str">
            <v>TY</v>
          </cell>
          <cell r="J728">
            <v>40</v>
          </cell>
          <cell r="N728" t="e">
            <v>#DIV/0!</v>
          </cell>
        </row>
        <row r="729">
          <cell r="E729" t="str">
            <v>HGC-Lib-2450642</v>
          </cell>
          <cell r="F729" t="str">
            <v>LD240510O-3339A</v>
          </cell>
          <cell r="G729">
            <v>20</v>
          </cell>
          <cell r="H729" t="str">
            <v>宏转录组文库</v>
          </cell>
          <cell r="I729" t="str">
            <v>TY</v>
          </cell>
          <cell r="J729">
            <v>74</v>
          </cell>
          <cell r="N729" t="e">
            <v>#DIV/0!</v>
          </cell>
        </row>
        <row r="730">
          <cell r="E730" t="str">
            <v>HGC-Lib-2450643</v>
          </cell>
          <cell r="F730" t="str">
            <v>LD240510O-3340A</v>
          </cell>
          <cell r="G730">
            <v>20</v>
          </cell>
          <cell r="H730" t="str">
            <v>宏转录组文库</v>
          </cell>
          <cell r="I730" t="str">
            <v>TY</v>
          </cell>
          <cell r="J730">
            <v>68.2</v>
          </cell>
          <cell r="N730" t="e">
            <v>#DIV/0!</v>
          </cell>
        </row>
        <row r="731">
          <cell r="E731" t="str">
            <v>HGC-Lib-2450644</v>
          </cell>
          <cell r="F731" t="str">
            <v>LD240510O-3341A</v>
          </cell>
          <cell r="G731">
            <v>20</v>
          </cell>
          <cell r="H731" t="str">
            <v>宏转录组文库</v>
          </cell>
          <cell r="I731" t="str">
            <v>TY</v>
          </cell>
          <cell r="J731">
            <v>62.4</v>
          </cell>
          <cell r="N731" t="e">
            <v>#DIV/0!</v>
          </cell>
        </row>
        <row r="732">
          <cell r="E732" t="str">
            <v>HGC-Lib-2450645</v>
          </cell>
          <cell r="F732" t="str">
            <v>LD240510O-3342A</v>
          </cell>
          <cell r="G732">
            <v>20</v>
          </cell>
          <cell r="H732" t="str">
            <v>宏转录组文库</v>
          </cell>
          <cell r="I732" t="str">
            <v>TY</v>
          </cell>
          <cell r="J732">
            <v>64.2</v>
          </cell>
          <cell r="N732" t="e">
            <v>#DIV/0!</v>
          </cell>
        </row>
        <row r="733">
          <cell r="E733" t="str">
            <v>HGC-Lib-2450646</v>
          </cell>
          <cell r="F733" t="str">
            <v>LD240513O-4104A</v>
          </cell>
          <cell r="G733">
            <v>20</v>
          </cell>
          <cell r="H733" t="str">
            <v>宏转录组文库</v>
          </cell>
          <cell r="I733" t="str">
            <v>TY</v>
          </cell>
          <cell r="J733">
            <v>61</v>
          </cell>
          <cell r="N733" t="e">
            <v>#DIV/0!</v>
          </cell>
        </row>
        <row r="734">
          <cell r="E734" t="str">
            <v>HGC-Lib-2450647</v>
          </cell>
          <cell r="F734" t="str">
            <v>LD240513O-4105A</v>
          </cell>
          <cell r="G734">
            <v>20</v>
          </cell>
          <cell r="H734" t="str">
            <v>宏转录组文库</v>
          </cell>
          <cell r="I734" t="str">
            <v>TY</v>
          </cell>
          <cell r="J734">
            <v>62</v>
          </cell>
          <cell r="N734" t="e">
            <v>#DIV/0!</v>
          </cell>
        </row>
        <row r="735">
          <cell r="E735" t="str">
            <v>HGC-Lib-2450648</v>
          </cell>
          <cell r="F735" t="str">
            <v>LD240513O-4106A</v>
          </cell>
          <cell r="G735">
            <v>20</v>
          </cell>
          <cell r="H735" t="str">
            <v>宏转录组文库</v>
          </cell>
          <cell r="I735" t="str">
            <v>TY</v>
          </cell>
          <cell r="J735">
            <v>62.6</v>
          </cell>
          <cell r="N735" t="e">
            <v>#DIV/0!</v>
          </cell>
        </row>
        <row r="736">
          <cell r="E736" t="str">
            <v>HGC-Lib-2450649</v>
          </cell>
          <cell r="F736" t="str">
            <v>LD240513O-4107A</v>
          </cell>
          <cell r="G736">
            <v>20</v>
          </cell>
          <cell r="H736" t="str">
            <v>宏转录组文库</v>
          </cell>
          <cell r="I736" t="str">
            <v>TY</v>
          </cell>
          <cell r="J736">
            <v>56.2</v>
          </cell>
          <cell r="N736" t="e">
            <v>#DIV/0!</v>
          </cell>
        </row>
        <row r="737">
          <cell r="E737" t="str">
            <v>HGC-Lib-2450650</v>
          </cell>
          <cell r="F737" t="str">
            <v>LD240513O-4108A</v>
          </cell>
          <cell r="G737">
            <v>20</v>
          </cell>
          <cell r="H737" t="str">
            <v>宏转录组文库</v>
          </cell>
          <cell r="I737" t="str">
            <v>TY</v>
          </cell>
          <cell r="J737">
            <v>58.6</v>
          </cell>
          <cell r="N737" t="e">
            <v>#DIV/0!</v>
          </cell>
        </row>
        <row r="738">
          <cell r="E738" t="str">
            <v>HGC-Lib-2450651</v>
          </cell>
          <cell r="F738" t="str">
            <v>LD240513O-4109A</v>
          </cell>
          <cell r="G738">
            <v>20</v>
          </cell>
          <cell r="H738" t="str">
            <v>宏转录组文库</v>
          </cell>
          <cell r="I738" t="str">
            <v>TY</v>
          </cell>
          <cell r="J738">
            <v>28.6</v>
          </cell>
          <cell r="N738" t="e">
            <v>#DIV/0!</v>
          </cell>
        </row>
        <row r="739">
          <cell r="E739" t="str">
            <v>HGC-Lib-2450652</v>
          </cell>
          <cell r="F739" t="str">
            <v>LR240606O-1606A</v>
          </cell>
          <cell r="G739">
            <v>10</v>
          </cell>
          <cell r="H739" t="str">
            <v>宏转录组文库</v>
          </cell>
          <cell r="I739" t="str">
            <v>TY</v>
          </cell>
          <cell r="J739">
            <v>26</v>
          </cell>
          <cell r="N739" t="e">
            <v>#DIV/0!</v>
          </cell>
        </row>
        <row r="740">
          <cell r="E740" t="str">
            <v>HGC-Lib-2450653</v>
          </cell>
          <cell r="F740" t="str">
            <v>LR240606O-1607A</v>
          </cell>
          <cell r="G740">
            <v>10</v>
          </cell>
          <cell r="H740" t="str">
            <v>宏转录组文库</v>
          </cell>
          <cell r="I740" t="str">
            <v>TY</v>
          </cell>
          <cell r="J740">
            <v>4.24</v>
          </cell>
          <cell r="N740" t="e">
            <v>#DIV/0!</v>
          </cell>
        </row>
        <row r="741">
          <cell r="E741" t="str">
            <v>HGC-Lib-2450654</v>
          </cell>
          <cell r="F741" t="str">
            <v>LR240606O-1608A</v>
          </cell>
          <cell r="G741">
            <v>10</v>
          </cell>
          <cell r="H741" t="str">
            <v>宏转录组文库</v>
          </cell>
          <cell r="I741" t="str">
            <v>TY</v>
          </cell>
          <cell r="J741">
            <v>8.32</v>
          </cell>
          <cell r="N741" t="e">
            <v>#DIV/0!</v>
          </cell>
        </row>
        <row r="742">
          <cell r="E742" t="str">
            <v>HGC-Lib-2450655</v>
          </cell>
          <cell r="F742" t="str">
            <v>LR240606O-1609A</v>
          </cell>
          <cell r="G742">
            <v>10</v>
          </cell>
          <cell r="H742" t="str">
            <v>宏转录组文库</v>
          </cell>
          <cell r="I742" t="str">
            <v>TY</v>
          </cell>
          <cell r="J742">
            <v>4.5999999999999996</v>
          </cell>
          <cell r="N742" t="e">
            <v>#DIV/0!</v>
          </cell>
        </row>
        <row r="743">
          <cell r="E743" t="str">
            <v>HGC-Lib-2450656</v>
          </cell>
          <cell r="F743" t="str">
            <v>LR240606O-1610A</v>
          </cell>
          <cell r="G743">
            <v>10</v>
          </cell>
          <cell r="H743" t="str">
            <v>宏转录组文库</v>
          </cell>
          <cell r="I743" t="str">
            <v>TY</v>
          </cell>
          <cell r="J743">
            <v>3.32</v>
          </cell>
          <cell r="N743" t="e">
            <v>#DIV/0!</v>
          </cell>
        </row>
        <row r="744">
          <cell r="E744" t="str">
            <v>HGC-Lib-2450657</v>
          </cell>
          <cell r="F744" t="str">
            <v>LR240606O-1611A</v>
          </cell>
          <cell r="G744">
            <v>10</v>
          </cell>
          <cell r="H744" t="str">
            <v>宏转录组文库</v>
          </cell>
          <cell r="I744" t="str">
            <v>TY</v>
          </cell>
          <cell r="J744">
            <v>5.44</v>
          </cell>
          <cell r="N744" t="e">
            <v>#DIV/0!</v>
          </cell>
        </row>
        <row r="745">
          <cell r="E745" t="str">
            <v>HGC-Lib-2450658</v>
          </cell>
          <cell r="F745" t="str">
            <v>LR240606O-1612A</v>
          </cell>
          <cell r="G745">
            <v>10</v>
          </cell>
          <cell r="H745" t="str">
            <v>宏转录组文库</v>
          </cell>
          <cell r="I745" t="str">
            <v>TY</v>
          </cell>
          <cell r="J745">
            <v>18.7</v>
          </cell>
          <cell r="N745" t="e">
            <v>#DIV/0!</v>
          </cell>
        </row>
        <row r="746">
          <cell r="E746" t="str">
            <v>HGC-Lib-2450659</v>
          </cell>
          <cell r="F746" t="str">
            <v>LR240606O-1613A</v>
          </cell>
          <cell r="G746">
            <v>10</v>
          </cell>
          <cell r="H746" t="str">
            <v>宏转录组文库</v>
          </cell>
          <cell r="I746" t="str">
            <v>TY</v>
          </cell>
          <cell r="J746">
            <v>69.599999999999994</v>
          </cell>
          <cell r="N746" t="e">
            <v>#DIV/0!</v>
          </cell>
        </row>
        <row r="747">
          <cell r="E747" t="str">
            <v>HGC-Lib-2450660</v>
          </cell>
          <cell r="F747" t="str">
            <v>LR240616O-0073A</v>
          </cell>
          <cell r="G747">
            <v>10</v>
          </cell>
          <cell r="H747" t="str">
            <v>宏转录组文库</v>
          </cell>
          <cell r="I747" t="str">
            <v>TY</v>
          </cell>
          <cell r="J747">
            <v>53.4</v>
          </cell>
          <cell r="N747" t="e">
            <v>#DIV/0!</v>
          </cell>
        </row>
        <row r="748">
          <cell r="E748" t="str">
            <v>HGC-Lib-2450661</v>
          </cell>
          <cell r="F748" t="str">
            <v>LR240616O-0074A</v>
          </cell>
          <cell r="G748">
            <v>10</v>
          </cell>
          <cell r="H748" t="str">
            <v>宏转录组文库</v>
          </cell>
          <cell r="I748" t="str">
            <v>TY</v>
          </cell>
          <cell r="J748">
            <v>49.4</v>
          </cell>
          <cell r="N748" t="e">
            <v>#DIV/0!</v>
          </cell>
        </row>
        <row r="749">
          <cell r="E749" t="str">
            <v>HGC-Lib-2450662</v>
          </cell>
          <cell r="F749" t="str">
            <v>LR240617O-2720A</v>
          </cell>
          <cell r="G749">
            <v>30</v>
          </cell>
          <cell r="H749" t="str">
            <v>宏转录组文库</v>
          </cell>
          <cell r="I749" t="str">
            <v>TY</v>
          </cell>
          <cell r="J749">
            <v>3.56</v>
          </cell>
          <cell r="N749" t="e">
            <v>#DIV/0!</v>
          </cell>
        </row>
        <row r="750">
          <cell r="E750" t="str">
            <v>HGC-Lib-2450663</v>
          </cell>
          <cell r="F750" t="str">
            <v>LR240617O-2721A</v>
          </cell>
          <cell r="G750">
            <v>30</v>
          </cell>
          <cell r="H750" t="str">
            <v>宏转录组文库</v>
          </cell>
          <cell r="I750" t="str">
            <v>TY</v>
          </cell>
          <cell r="J750">
            <v>15.7</v>
          </cell>
          <cell r="N750" t="e">
            <v>#DIV/0!</v>
          </cell>
        </row>
        <row r="751">
          <cell r="E751" t="str">
            <v>HGC-Lib-2450664</v>
          </cell>
          <cell r="F751" t="str">
            <v>LR240617O-2722A</v>
          </cell>
          <cell r="G751">
            <v>30</v>
          </cell>
          <cell r="H751" t="str">
            <v>宏转录组文库</v>
          </cell>
          <cell r="I751" t="str">
            <v>TY</v>
          </cell>
          <cell r="J751">
            <v>8.7200000000000006</v>
          </cell>
          <cell r="N751" t="e">
            <v>#DIV/0!</v>
          </cell>
        </row>
        <row r="752">
          <cell r="E752" t="str">
            <v>HGC-Lib-2450665</v>
          </cell>
          <cell r="F752" t="str">
            <v>LR240617O-2723A</v>
          </cell>
          <cell r="G752">
            <v>30</v>
          </cell>
          <cell r="H752" t="str">
            <v>宏转录组文库</v>
          </cell>
          <cell r="I752" t="str">
            <v>TY</v>
          </cell>
          <cell r="J752">
            <v>2.1</v>
          </cell>
          <cell r="N752" t="e">
            <v>#DIV/0!</v>
          </cell>
        </row>
        <row r="753">
          <cell r="E753" t="str">
            <v>HGC-Lib-2450666</v>
          </cell>
          <cell r="F753" t="str">
            <v>LR240617O-2724A</v>
          </cell>
          <cell r="G753">
            <v>30</v>
          </cell>
          <cell r="H753" t="str">
            <v>宏转录组文库</v>
          </cell>
          <cell r="I753" t="str">
            <v>TY</v>
          </cell>
          <cell r="J753">
            <v>5.4</v>
          </cell>
          <cell r="N753" t="e">
            <v>#DIV/0!</v>
          </cell>
        </row>
        <row r="754">
          <cell r="E754" t="str">
            <v>HGC-Lib-2450667</v>
          </cell>
          <cell r="F754" t="str">
            <v>LR240617O-2725A</v>
          </cell>
          <cell r="G754">
            <v>30</v>
          </cell>
          <cell r="H754" t="str">
            <v>宏转录组文库</v>
          </cell>
          <cell r="I754" t="str">
            <v>TY</v>
          </cell>
          <cell r="J754">
            <v>3.88</v>
          </cell>
          <cell r="N754" t="e">
            <v>#DIV/0!</v>
          </cell>
        </row>
        <row r="755">
          <cell r="E755" t="str">
            <v>HGC-Lib-2450668</v>
          </cell>
          <cell r="F755" t="str">
            <v>QYZ-N</v>
          </cell>
          <cell r="G755">
            <v>110</v>
          </cell>
          <cell r="H755" t="str">
            <v>10× 3'单细胞</v>
          </cell>
          <cell r="I755" t="str">
            <v>TY</v>
          </cell>
          <cell r="J755">
            <v>18.100000000000001</v>
          </cell>
          <cell r="K755">
            <v>579</v>
          </cell>
          <cell r="L755" t="str">
            <v>XCL</v>
          </cell>
          <cell r="N755">
            <v>48.093529958814898</v>
          </cell>
        </row>
        <row r="756">
          <cell r="E756" t="str">
            <v>HGC-Lib-2450669</v>
          </cell>
          <cell r="F756" t="str">
            <v>QYZ-Ca</v>
          </cell>
          <cell r="G756">
            <v>110</v>
          </cell>
          <cell r="H756" t="str">
            <v>10× 3'单细胞</v>
          </cell>
          <cell r="I756" t="str">
            <v>TY</v>
          </cell>
          <cell r="J756">
            <v>24</v>
          </cell>
          <cell r="K756">
            <v>567</v>
          </cell>
          <cell r="L756" t="str">
            <v>XCL</v>
          </cell>
          <cell r="N756">
            <v>65.120065120065107</v>
          </cell>
        </row>
        <row r="757">
          <cell r="E757" t="str">
            <v>HGC-Lib-2450670</v>
          </cell>
          <cell r="F757" t="str">
            <v>Ca-240606</v>
          </cell>
          <cell r="G757">
            <v>110</v>
          </cell>
          <cell r="H757" t="str">
            <v>10× 3'单细胞</v>
          </cell>
          <cell r="I757" t="str">
            <v>TY</v>
          </cell>
          <cell r="J757">
            <v>25.4</v>
          </cell>
          <cell r="K757">
            <v>568</v>
          </cell>
          <cell r="L757" t="str">
            <v>XCL</v>
          </cell>
          <cell r="N757">
            <v>68.797399783315299</v>
          </cell>
        </row>
        <row r="758">
          <cell r="E758" t="str">
            <v>HGC-Lib-2450671</v>
          </cell>
          <cell r="F758" t="str">
            <v>LHM-Ca</v>
          </cell>
          <cell r="G758">
            <v>110</v>
          </cell>
          <cell r="H758" t="str">
            <v>10× 3'单细胞</v>
          </cell>
          <cell r="I758" t="str">
            <v>TY</v>
          </cell>
          <cell r="J758">
            <v>21.8</v>
          </cell>
          <cell r="K758">
            <v>542</v>
          </cell>
          <cell r="L758" t="str">
            <v>XCL</v>
          </cell>
          <cell r="N758">
            <v>61.879080329264802</v>
          </cell>
        </row>
        <row r="759">
          <cell r="E759" t="str">
            <v>HGC-Lib-2450672</v>
          </cell>
          <cell r="F759" t="str">
            <v>RRJ-Ca</v>
          </cell>
          <cell r="G759">
            <v>110</v>
          </cell>
          <cell r="H759" t="str">
            <v>10× 3'单细胞</v>
          </cell>
          <cell r="I759" t="str">
            <v>TY</v>
          </cell>
          <cell r="J759">
            <v>22.4</v>
          </cell>
          <cell r="K759">
            <v>586</v>
          </cell>
          <cell r="L759" t="str">
            <v>XCL</v>
          </cell>
          <cell r="N759">
            <v>58.808086111840403</v>
          </cell>
        </row>
        <row r="760">
          <cell r="E760" t="str">
            <v>HGC-Lib-2450673</v>
          </cell>
          <cell r="F760" t="str">
            <v>PF-240617</v>
          </cell>
          <cell r="G760">
            <v>110</v>
          </cell>
          <cell r="H760" t="str">
            <v>10× 3'单细胞</v>
          </cell>
          <cell r="I760" t="str">
            <v>TY</v>
          </cell>
          <cell r="J760">
            <v>39</v>
          </cell>
          <cell r="K760">
            <v>541</v>
          </cell>
          <cell r="L760" t="str">
            <v>XCL</v>
          </cell>
          <cell r="N760">
            <v>110.90573012938999</v>
          </cell>
        </row>
        <row r="761">
          <cell r="E761" t="str">
            <v>HGC-Lib-2450674</v>
          </cell>
          <cell r="F761" t="str">
            <v>ZXT-240617P1C</v>
          </cell>
          <cell r="G761">
            <v>120</v>
          </cell>
          <cell r="H761" t="str">
            <v>10× 3'单细胞</v>
          </cell>
          <cell r="I761" t="str">
            <v>TY</v>
          </cell>
          <cell r="J761">
            <v>32.200000000000003</v>
          </cell>
          <cell r="K761">
            <v>526</v>
          </cell>
          <cell r="L761" t="str">
            <v>XCL</v>
          </cell>
          <cell r="N761">
            <v>94.179584673881294</v>
          </cell>
        </row>
        <row r="762">
          <cell r="E762" t="str">
            <v>HGC-Lib-2450675</v>
          </cell>
          <cell r="F762" t="str">
            <v>ZXT-240617P1LY</v>
          </cell>
          <cell r="G762">
            <v>70</v>
          </cell>
          <cell r="H762" t="str">
            <v>10× 3'单细胞</v>
          </cell>
          <cell r="I762" t="str">
            <v>TY</v>
          </cell>
          <cell r="J762">
            <v>14.6</v>
          </cell>
          <cell r="K762">
            <v>521</v>
          </cell>
          <cell r="L762" t="str">
            <v>XCL</v>
          </cell>
          <cell r="N762">
            <v>43.112357891628498</v>
          </cell>
        </row>
        <row r="763">
          <cell r="E763" t="str">
            <v>HGC-Lib-2450676</v>
          </cell>
          <cell r="F763" t="str">
            <v>WJY-240617P2C</v>
          </cell>
          <cell r="G763">
            <v>110</v>
          </cell>
          <cell r="H763" t="str">
            <v>10× 3'单细胞</v>
          </cell>
          <cell r="I763" t="str">
            <v>TY</v>
          </cell>
          <cell r="J763">
            <v>41.4</v>
          </cell>
          <cell r="K763">
            <v>557</v>
          </cell>
          <cell r="L763" t="str">
            <v>XCL</v>
          </cell>
          <cell r="N763">
            <v>114.348846844359</v>
          </cell>
        </row>
        <row r="764">
          <cell r="E764" t="str">
            <v>HGC-Lib-2450677</v>
          </cell>
          <cell r="F764" t="str">
            <v>PCN2</v>
          </cell>
          <cell r="G764">
            <v>110</v>
          </cell>
          <cell r="H764" t="str">
            <v>10× 3'单细胞</v>
          </cell>
          <cell r="I764" t="str">
            <v>TY</v>
          </cell>
          <cell r="J764">
            <v>40</v>
          </cell>
          <cell r="K764">
            <v>543</v>
          </cell>
          <cell r="L764" t="str">
            <v>XCL</v>
          </cell>
          <cell r="N764">
            <v>113.330500070832</v>
          </cell>
        </row>
        <row r="765">
          <cell r="E765" t="str">
            <v>HGC-Lib-2450678</v>
          </cell>
          <cell r="F765" t="str">
            <v>HF-1</v>
          </cell>
          <cell r="G765">
            <v>110</v>
          </cell>
          <cell r="H765" t="str">
            <v>10× 3'单细胞</v>
          </cell>
          <cell r="I765" t="str">
            <v>TY</v>
          </cell>
          <cell r="J765">
            <v>28.8</v>
          </cell>
          <cell r="K765">
            <v>526</v>
          </cell>
          <cell r="L765" t="str">
            <v>XCL</v>
          </cell>
          <cell r="N765">
            <v>84.235156478502503</v>
          </cell>
        </row>
        <row r="766">
          <cell r="E766" t="str">
            <v>HGC-Lib-2450679</v>
          </cell>
          <cell r="F766" t="str">
            <v>HF-2</v>
          </cell>
          <cell r="G766">
            <v>110</v>
          </cell>
          <cell r="H766" t="str">
            <v>10× 3'单细胞</v>
          </cell>
          <cell r="I766" t="str">
            <v>TY</v>
          </cell>
          <cell r="J766">
            <v>21</v>
          </cell>
          <cell r="K766">
            <v>561</v>
          </cell>
          <cell r="L766" t="str">
            <v>XCL</v>
          </cell>
          <cell r="N766">
            <v>57.589469354175201</v>
          </cell>
        </row>
        <row r="767">
          <cell r="E767" t="str">
            <v>HGC-Lib-2450680</v>
          </cell>
          <cell r="F767" t="str">
            <v>HF-3</v>
          </cell>
          <cell r="G767">
            <v>110</v>
          </cell>
          <cell r="H767" t="str">
            <v>10× 3'单细胞</v>
          </cell>
          <cell r="I767" t="str">
            <v>TY</v>
          </cell>
          <cell r="J767">
            <v>27.6</v>
          </cell>
          <cell r="K767">
            <v>541</v>
          </cell>
          <cell r="L767" t="str">
            <v>XCL</v>
          </cell>
          <cell r="N767">
            <v>78.487132091568299</v>
          </cell>
        </row>
        <row r="768">
          <cell r="E768" t="str">
            <v>HGC-Lib-2450681</v>
          </cell>
          <cell r="F768" t="str">
            <v>WT-1</v>
          </cell>
          <cell r="G768">
            <v>110</v>
          </cell>
          <cell r="H768" t="str">
            <v>10× 3'单细胞</v>
          </cell>
          <cell r="I768" t="str">
            <v>TY</v>
          </cell>
          <cell r="J768">
            <v>30.6</v>
          </cell>
          <cell r="K768">
            <v>550</v>
          </cell>
          <cell r="L768" t="str">
            <v>XCL</v>
          </cell>
          <cell r="N768">
            <v>85.5944055944056</v>
          </cell>
        </row>
        <row r="769">
          <cell r="E769" t="str">
            <v>HGC-Lib-2450682</v>
          </cell>
          <cell r="F769" t="str">
            <v>WT-2</v>
          </cell>
          <cell r="G769">
            <v>110</v>
          </cell>
          <cell r="H769" t="str">
            <v>10× 3'单细胞</v>
          </cell>
          <cell r="I769" t="str">
            <v>TY</v>
          </cell>
          <cell r="J769">
            <v>27</v>
          </cell>
          <cell r="K769">
            <v>556</v>
          </cell>
          <cell r="L769" t="str">
            <v>XCL</v>
          </cell>
          <cell r="N769">
            <v>74.709463198671799</v>
          </cell>
        </row>
        <row r="770">
          <cell r="E770" t="str">
            <v>HGC-Lib-2450683</v>
          </cell>
          <cell r="F770" t="str">
            <v>WT-3</v>
          </cell>
          <cell r="G770">
            <v>110</v>
          </cell>
          <cell r="H770" t="str">
            <v>10× 3'单细胞</v>
          </cell>
          <cell r="I770" t="str">
            <v>TY</v>
          </cell>
          <cell r="J770">
            <v>24.4</v>
          </cell>
          <cell r="K770">
            <v>551</v>
          </cell>
          <cell r="L770" t="str">
            <v>XCL</v>
          </cell>
          <cell r="N770">
            <v>68.127879380148002</v>
          </cell>
        </row>
        <row r="771">
          <cell r="E771" t="str">
            <v>HGC-Lib-2450684</v>
          </cell>
          <cell r="F771" t="str">
            <v>DYH-PF-TCR</v>
          </cell>
          <cell r="G771">
            <v>60</v>
          </cell>
          <cell r="H771" t="str">
            <v>10× 3'单细胞</v>
          </cell>
          <cell r="I771" t="str">
            <v>TY</v>
          </cell>
          <cell r="J771">
            <v>72</v>
          </cell>
          <cell r="K771">
            <v>643</v>
          </cell>
          <cell r="L771" t="str">
            <v>XCL</v>
          </cell>
          <cell r="N771">
            <v>172.269410216533</v>
          </cell>
        </row>
        <row r="772">
          <cell r="E772" t="str">
            <v>HGC-Lib-2450685</v>
          </cell>
          <cell r="F772" t="str">
            <v>DTH-PBMC-TCR</v>
          </cell>
          <cell r="G772">
            <v>60</v>
          </cell>
          <cell r="H772" t="str">
            <v>10× 3'单细胞</v>
          </cell>
          <cell r="I772" t="str">
            <v>TY</v>
          </cell>
          <cell r="J772">
            <v>62</v>
          </cell>
          <cell r="K772">
            <v>594</v>
          </cell>
          <cell r="L772" t="str">
            <v>XCL</v>
          </cell>
          <cell r="N772">
            <v>160.58016058016099</v>
          </cell>
        </row>
        <row r="773">
          <cell r="E773" t="str">
            <v>HGC-Lib-2450686</v>
          </cell>
          <cell r="F773" t="str">
            <v>OPC-99-T-TCR</v>
          </cell>
          <cell r="G773">
            <v>80</v>
          </cell>
          <cell r="H773" t="str">
            <v>10× 3'单细胞</v>
          </cell>
          <cell r="I773" t="str">
            <v>TY</v>
          </cell>
          <cell r="J773">
            <v>59.4</v>
          </cell>
          <cell r="K773">
            <v>591</v>
          </cell>
          <cell r="L773" t="str">
            <v>XCL</v>
          </cell>
          <cell r="N773">
            <v>154.62709878953501</v>
          </cell>
        </row>
        <row r="774">
          <cell r="E774" t="str">
            <v>HGC-Lib-2450687</v>
          </cell>
          <cell r="F774" t="str">
            <v>DYH-PF-BCR</v>
          </cell>
          <cell r="G774">
            <v>10</v>
          </cell>
          <cell r="H774" t="str">
            <v>10x 5'单细胞</v>
          </cell>
          <cell r="I774" t="str">
            <v>TY</v>
          </cell>
          <cell r="J774">
            <v>28.4</v>
          </cell>
          <cell r="K774">
            <v>633</v>
          </cell>
          <cell r="L774" t="str">
            <v>XCL</v>
          </cell>
          <cell r="N774">
            <v>69.024182768258598</v>
          </cell>
        </row>
        <row r="775">
          <cell r="E775" t="str">
            <v>HGC-Lib-2450688</v>
          </cell>
          <cell r="F775" t="str">
            <v>DTH-PBMC-BCR</v>
          </cell>
          <cell r="G775">
            <v>10</v>
          </cell>
          <cell r="H775" t="str">
            <v>10x 5'单细胞</v>
          </cell>
          <cell r="I775" t="str">
            <v>GZQ</v>
          </cell>
          <cell r="J775">
            <v>21.8</v>
          </cell>
          <cell r="K775">
            <v>603</v>
          </cell>
          <cell r="L775" t="str">
            <v>XCL</v>
          </cell>
          <cell r="N775">
            <v>55.619339201428801</v>
          </cell>
        </row>
        <row r="776">
          <cell r="E776" t="str">
            <v>HGC-Lib-2450689</v>
          </cell>
          <cell r="F776" t="str">
            <v>B7-240604</v>
          </cell>
          <cell r="G776">
            <v>10</v>
          </cell>
          <cell r="H776" t="str">
            <v>10x 5'单细胞</v>
          </cell>
          <cell r="I776" t="str">
            <v>GZQ</v>
          </cell>
          <cell r="J776">
            <v>35.200000000000003</v>
          </cell>
          <cell r="K776">
            <v>508</v>
          </cell>
          <cell r="L776" t="str">
            <v>XCL</v>
          </cell>
          <cell r="N776">
            <v>106.602059357965</v>
          </cell>
        </row>
        <row r="777">
          <cell r="E777" t="str">
            <v>HGC-Lib-2450690</v>
          </cell>
          <cell r="F777" t="str">
            <v>B8-240622</v>
          </cell>
          <cell r="G777">
            <v>10</v>
          </cell>
          <cell r="H777" t="str">
            <v>10x 5'单细胞</v>
          </cell>
          <cell r="I777" t="str">
            <v>GZQ</v>
          </cell>
          <cell r="J777">
            <v>24.8</v>
          </cell>
          <cell r="K777">
            <v>518</v>
          </cell>
          <cell r="L777" t="str">
            <v>XCL</v>
          </cell>
          <cell r="N777">
            <v>73.656073656073701</v>
          </cell>
        </row>
        <row r="778">
          <cell r="E778" t="str">
            <v>HGC-Lib-2450691</v>
          </cell>
          <cell r="F778" t="str">
            <v>ZQ20240607</v>
          </cell>
          <cell r="G778">
            <v>10</v>
          </cell>
          <cell r="H778" t="str">
            <v>10x 5'单细胞</v>
          </cell>
          <cell r="I778" t="str">
            <v>GZQ</v>
          </cell>
          <cell r="J778">
            <v>27.6</v>
          </cell>
          <cell r="K778">
            <v>507</v>
          </cell>
          <cell r="L778" t="str">
            <v>XCL</v>
          </cell>
          <cell r="N778">
            <v>83.7505689576696</v>
          </cell>
        </row>
        <row r="779">
          <cell r="E779" t="str">
            <v>HGC-Lib-2450695</v>
          </cell>
          <cell r="F779" t="str">
            <v>1-1</v>
          </cell>
          <cell r="G779">
            <v>10</v>
          </cell>
          <cell r="H779" t="str">
            <v>mRNA文库</v>
          </cell>
          <cell r="I779" t="str">
            <v>GZQ</v>
          </cell>
          <cell r="J779">
            <v>14.2</v>
          </cell>
          <cell r="K779">
            <v>372</v>
          </cell>
          <cell r="L779" t="str">
            <v>XCL</v>
          </cell>
          <cell r="N779">
            <v>58.726220016542598</v>
          </cell>
        </row>
        <row r="780">
          <cell r="E780" t="str">
            <v>HGC-Lib-2450696</v>
          </cell>
          <cell r="F780" t="str">
            <v>1-2</v>
          </cell>
          <cell r="G780">
            <v>10</v>
          </cell>
          <cell r="H780" t="str">
            <v>mRNA文库</v>
          </cell>
          <cell r="I780" t="str">
            <v>GZQ</v>
          </cell>
          <cell r="J780">
            <v>14.1</v>
          </cell>
          <cell r="K780">
            <v>352</v>
          </cell>
          <cell r="L780" t="str">
            <v>XCL</v>
          </cell>
          <cell r="N780">
            <v>61.625874125874098</v>
          </cell>
        </row>
        <row r="781">
          <cell r="E781" t="str">
            <v>HGC-Lib-2450697</v>
          </cell>
          <cell r="F781">
            <v>2</v>
          </cell>
          <cell r="G781">
            <v>10</v>
          </cell>
          <cell r="H781" t="str">
            <v>mRNA文库</v>
          </cell>
          <cell r="I781" t="str">
            <v>GZQ</v>
          </cell>
          <cell r="J781">
            <v>13.1</v>
          </cell>
          <cell r="K781">
            <v>320</v>
          </cell>
          <cell r="L781" t="str">
            <v>XCL</v>
          </cell>
          <cell r="N781">
            <v>62.980769230769198</v>
          </cell>
        </row>
        <row r="782">
          <cell r="E782" t="str">
            <v>HGC-Lib-2450698</v>
          </cell>
          <cell r="F782">
            <v>14</v>
          </cell>
          <cell r="G782">
            <v>10</v>
          </cell>
          <cell r="H782" t="str">
            <v>mRNA文库</v>
          </cell>
          <cell r="I782" t="str">
            <v>GZQ</v>
          </cell>
          <cell r="J782">
            <v>10.3</v>
          </cell>
          <cell r="K782">
            <v>338</v>
          </cell>
          <cell r="L782" t="str">
            <v>XCL</v>
          </cell>
          <cell r="N782">
            <v>46.882111970869403</v>
          </cell>
        </row>
        <row r="783">
          <cell r="E783" t="str">
            <v>HGC-Lib-2450699</v>
          </cell>
          <cell r="F783" t="str">
            <v>EBLEBVC240626082</v>
          </cell>
          <cell r="G783">
            <v>12</v>
          </cell>
          <cell r="H783" t="str">
            <v>其他碱基不平衡文库</v>
          </cell>
          <cell r="I783" t="str">
            <v>GZQ</v>
          </cell>
          <cell r="J783">
            <v>10.199999999999999</v>
          </cell>
          <cell r="N783" t="e">
            <v>#DIV/0!</v>
          </cell>
        </row>
        <row r="784">
          <cell r="E784" t="str">
            <v>HGC-Lib-2450700</v>
          </cell>
          <cell r="F784" t="str">
            <v>LEBVC240626082</v>
          </cell>
          <cell r="G784">
            <v>80</v>
          </cell>
          <cell r="H784" t="str">
            <v>singleron-3'转录组文库</v>
          </cell>
          <cell r="I784" t="str">
            <v>GZQ</v>
          </cell>
          <cell r="J784">
            <v>16.5</v>
          </cell>
          <cell r="N784" t="e">
            <v>#DIV/0!</v>
          </cell>
        </row>
        <row r="785">
          <cell r="E785" t="str">
            <v>HGC-Lib-2450701</v>
          </cell>
          <cell r="F785" t="str">
            <v>LPMC240626019</v>
          </cell>
          <cell r="G785">
            <v>80</v>
          </cell>
          <cell r="H785" t="str">
            <v>singleron-3'转录组文库</v>
          </cell>
          <cell r="I785" t="str">
            <v>GZQ</v>
          </cell>
          <cell r="J785">
            <v>19.100000000000001</v>
          </cell>
          <cell r="N785" t="e">
            <v>#DIV/0!</v>
          </cell>
        </row>
        <row r="786">
          <cell r="E786" t="str">
            <v>HGC-Lib-2450702</v>
          </cell>
          <cell r="F786" t="str">
            <v>LPMC240627011</v>
          </cell>
          <cell r="G786">
            <v>80</v>
          </cell>
          <cell r="H786" t="str">
            <v>singleron-3'转录组文库</v>
          </cell>
          <cell r="I786" t="str">
            <v>GZQ</v>
          </cell>
          <cell r="J786">
            <v>16.5</v>
          </cell>
          <cell r="N786" t="e">
            <v>#DIV/0!</v>
          </cell>
        </row>
        <row r="787">
          <cell r="E787" t="str">
            <v>HGC-Lib-2450703</v>
          </cell>
          <cell r="F787" t="str">
            <v>LPMC240627012</v>
          </cell>
          <cell r="G787">
            <v>80</v>
          </cell>
          <cell r="H787" t="str">
            <v>singleron-3'转录组文库</v>
          </cell>
          <cell r="I787" t="str">
            <v>GZQ</v>
          </cell>
          <cell r="J787">
            <v>11.9</v>
          </cell>
          <cell r="N787" t="e">
            <v>#DIV/0!</v>
          </cell>
        </row>
        <row r="788">
          <cell r="E788" t="str">
            <v>HGC-Lib-2450704</v>
          </cell>
          <cell r="F788" t="str">
            <v>LPMC240627013</v>
          </cell>
          <cell r="G788">
            <v>80</v>
          </cell>
          <cell r="H788" t="str">
            <v>singleron-3'转录组文库</v>
          </cell>
          <cell r="I788" t="str">
            <v>GZQ</v>
          </cell>
          <cell r="J788">
            <v>13.6</v>
          </cell>
          <cell r="N788" t="e">
            <v>#DIV/0!</v>
          </cell>
        </row>
        <row r="789">
          <cell r="E789" t="str">
            <v>HGC-Lib-2450705</v>
          </cell>
          <cell r="F789" t="str">
            <v>PMLPMC240626019</v>
          </cell>
          <cell r="G789">
            <v>12</v>
          </cell>
          <cell r="H789" t="str">
            <v>其他碱基不平衡文库</v>
          </cell>
          <cell r="I789" t="str">
            <v>GZQ</v>
          </cell>
          <cell r="J789">
            <v>82.4</v>
          </cell>
          <cell r="N789" t="e">
            <v>#DIV/0!</v>
          </cell>
        </row>
        <row r="790">
          <cell r="E790" t="str">
            <v>HGC-Lib-2450706</v>
          </cell>
          <cell r="F790" t="str">
            <v>PMLPMC240627011</v>
          </cell>
          <cell r="G790">
            <v>12</v>
          </cell>
          <cell r="H790" t="str">
            <v>其他碱基不平衡文库</v>
          </cell>
          <cell r="I790" t="str">
            <v>GZQ</v>
          </cell>
          <cell r="J790">
            <v>25.6</v>
          </cell>
          <cell r="N790" t="e">
            <v>#DIV/0!</v>
          </cell>
        </row>
        <row r="791">
          <cell r="E791" t="str">
            <v>HGC-Lib-2450707</v>
          </cell>
          <cell r="F791" t="str">
            <v>PMLPMC240627012</v>
          </cell>
          <cell r="G791">
            <v>12</v>
          </cell>
          <cell r="H791" t="str">
            <v>其他碱基不平衡文库</v>
          </cell>
          <cell r="I791" t="str">
            <v>GZQ</v>
          </cell>
          <cell r="J791">
            <v>11.2</v>
          </cell>
          <cell r="N791" t="e">
            <v>#DIV/0!</v>
          </cell>
        </row>
        <row r="792">
          <cell r="E792" t="str">
            <v>HGC-Lib-2450708</v>
          </cell>
          <cell r="F792" t="str">
            <v>PMLPMC240627013</v>
          </cell>
          <cell r="G792">
            <v>12</v>
          </cell>
          <cell r="H792" t="str">
            <v>其他碱基不平衡文库</v>
          </cell>
          <cell r="I792" t="str">
            <v>GZQ</v>
          </cell>
          <cell r="J792">
            <v>44.6</v>
          </cell>
          <cell r="N792" t="e">
            <v>#DIV/0!</v>
          </cell>
        </row>
        <row r="793">
          <cell r="E793" t="str">
            <v>HGC-Lib-2450709</v>
          </cell>
          <cell r="F793" t="str">
            <v>TCRLFTBHC240618003</v>
          </cell>
          <cell r="H793" t="str">
            <v>singleron-单细胞TCR文库</v>
          </cell>
          <cell r="I793" t="str">
            <v>GZQ</v>
          </cell>
          <cell r="J793">
            <v>24.4</v>
          </cell>
          <cell r="N793" t="e">
            <v>#DIV/0!</v>
          </cell>
        </row>
        <row r="794">
          <cell r="E794" t="str">
            <v>HGC-Lib-2450710</v>
          </cell>
          <cell r="F794" t="str">
            <v>BCRLFTBHC240618003</v>
          </cell>
          <cell r="H794" t="str">
            <v>singleron-单细胞BCR文库</v>
          </cell>
          <cell r="I794" t="str">
            <v>GZQ</v>
          </cell>
          <cell r="J794">
            <v>18.899999999999999</v>
          </cell>
          <cell r="N794" t="e">
            <v>#DIV/0!</v>
          </cell>
        </row>
        <row r="795">
          <cell r="E795" t="str">
            <v>HGC-Lib-2450404</v>
          </cell>
          <cell r="F795" t="str">
            <v>1-H3</v>
          </cell>
          <cell r="G795" t="str">
            <v>6G</v>
          </cell>
          <cell r="H795" t="str">
            <v>PCR产物文库</v>
          </cell>
          <cell r="I795" t="str">
            <v>WH</v>
          </cell>
          <cell r="J795">
            <v>12.3</v>
          </cell>
          <cell r="K795">
            <v>399</v>
          </cell>
          <cell r="L795" t="str">
            <v>WH</v>
          </cell>
          <cell r="N795">
            <v>47.4262579525737</v>
          </cell>
        </row>
        <row r="796">
          <cell r="E796" t="str">
            <v>HGC-Lib-2450405</v>
          </cell>
          <cell r="F796" t="str">
            <v>2-IgG</v>
          </cell>
          <cell r="G796" t="str">
            <v>6G</v>
          </cell>
          <cell r="H796" t="str">
            <v>PCR产物文库</v>
          </cell>
          <cell r="I796" t="str">
            <v>WH</v>
          </cell>
          <cell r="J796">
            <v>3.38</v>
          </cell>
          <cell r="K796">
            <v>347</v>
          </cell>
          <cell r="L796" t="str">
            <v>WH</v>
          </cell>
          <cell r="N796">
            <v>14.985590778098</v>
          </cell>
        </row>
        <row r="797">
          <cell r="E797" t="str">
            <v>HGC-Lib-2450406</v>
          </cell>
          <cell r="F797" t="str">
            <v>3-F50A</v>
          </cell>
          <cell r="G797" t="str">
            <v>6G</v>
          </cell>
          <cell r="H797" t="str">
            <v>PCR产物文库</v>
          </cell>
          <cell r="N797" t="e">
            <v>#DIV/0!</v>
          </cell>
        </row>
        <row r="798">
          <cell r="E798" t="str">
            <v>HGC-Lib-2450539</v>
          </cell>
          <cell r="F798" t="str">
            <v>WT_TDLN_P14_H3K9me3</v>
          </cell>
          <cell r="G798">
            <v>8</v>
          </cell>
          <cell r="H798" t="str">
            <v>cut&amp;tag文库</v>
          </cell>
          <cell r="I798" t="str">
            <v>XCL</v>
          </cell>
          <cell r="J798" t="str">
            <v>/</v>
          </cell>
          <cell r="K798">
            <v>424</v>
          </cell>
          <cell r="L798" t="str">
            <v>WH</v>
          </cell>
          <cell r="N798" t="e">
            <v>#VALUE!</v>
          </cell>
        </row>
        <row r="799">
          <cell r="E799" t="str">
            <v>HGC-Lib-2450540</v>
          </cell>
          <cell r="F799" t="str">
            <v>KO_TDLN_P14_H3K9me3</v>
          </cell>
          <cell r="G799">
            <v>8</v>
          </cell>
          <cell r="H799" t="str">
            <v>cut&amp;tag文库</v>
          </cell>
          <cell r="I799" t="str">
            <v>XCL</v>
          </cell>
          <cell r="J799">
            <v>0.496</v>
          </cell>
          <cell r="K799">
            <v>445</v>
          </cell>
          <cell r="L799" t="str">
            <v>WH</v>
          </cell>
          <cell r="N799">
            <v>1.7147796024200499</v>
          </cell>
        </row>
        <row r="800">
          <cell r="E800" t="str">
            <v>HGC-Lib-2450541</v>
          </cell>
          <cell r="F800" t="str">
            <v>WT_TIL_P14_H3K9me3</v>
          </cell>
          <cell r="G800">
            <v>8</v>
          </cell>
          <cell r="H800" t="str">
            <v>cut&amp;tag文库</v>
          </cell>
          <cell r="I800" t="str">
            <v>XCL</v>
          </cell>
          <cell r="J800">
            <v>0.434</v>
          </cell>
          <cell r="K800">
            <v>428</v>
          </cell>
          <cell r="L800" t="str">
            <v>WH</v>
          </cell>
          <cell r="N800">
            <v>1.56002875629044</v>
          </cell>
        </row>
        <row r="801">
          <cell r="E801" t="str">
            <v>HGC-Lib-2450542</v>
          </cell>
          <cell r="F801" t="str">
            <v>KO_TIL_P14_H3K9me3</v>
          </cell>
          <cell r="G801">
            <v>8</v>
          </cell>
          <cell r="H801" t="str">
            <v>cut&amp;tag文库</v>
          </cell>
          <cell r="I801" t="str">
            <v>XCL</v>
          </cell>
          <cell r="J801">
            <v>0.27800000000000002</v>
          </cell>
          <cell r="K801">
            <v>407</v>
          </cell>
          <cell r="L801" t="str">
            <v>WH</v>
          </cell>
          <cell r="N801">
            <v>1.05084105084105</v>
          </cell>
        </row>
        <row r="802">
          <cell r="E802" t="str">
            <v>HGC-Lib-2450543</v>
          </cell>
          <cell r="F802" t="str">
            <v>WT_TDLN_P14_H3K9ac</v>
          </cell>
          <cell r="G802">
            <v>8</v>
          </cell>
          <cell r="H802" t="str">
            <v>cut&amp;tag文库</v>
          </cell>
          <cell r="I802" t="str">
            <v>XCL</v>
          </cell>
          <cell r="J802">
            <v>0.79</v>
          </cell>
          <cell r="K802">
            <v>414</v>
          </cell>
          <cell r="L802" t="str">
            <v>WH</v>
          </cell>
          <cell r="N802">
            <v>2.9357116313638101</v>
          </cell>
        </row>
        <row r="803">
          <cell r="E803" t="str">
            <v>HGC-Lib-2450711</v>
          </cell>
          <cell r="F803" t="str">
            <v>KO ribo-seq lib</v>
          </cell>
          <cell r="G803">
            <v>5</v>
          </cell>
          <cell r="H803" t="str">
            <v>small RNA文库</v>
          </cell>
          <cell r="I803" t="str">
            <v>XCL</v>
          </cell>
          <cell r="J803">
            <v>0.874</v>
          </cell>
          <cell r="K803">
            <v>327</v>
          </cell>
          <cell r="L803" t="str">
            <v>WH</v>
          </cell>
          <cell r="N803">
            <v>4.11197365325806</v>
          </cell>
        </row>
        <row r="804">
          <cell r="E804" t="str">
            <v>HGC-Lib-2450712</v>
          </cell>
          <cell r="F804" t="str">
            <v>WT ribo-seq lib</v>
          </cell>
          <cell r="G804">
            <v>5</v>
          </cell>
          <cell r="H804" t="str">
            <v>small RNA文库</v>
          </cell>
          <cell r="I804" t="str">
            <v>XCL</v>
          </cell>
          <cell r="J804">
            <v>1.44</v>
          </cell>
          <cell r="K804">
            <v>298</v>
          </cell>
          <cell r="L804" t="str">
            <v>WH</v>
          </cell>
          <cell r="N804">
            <v>7.4341765616933397</v>
          </cell>
        </row>
        <row r="805">
          <cell r="E805" t="str">
            <v>HGC-POOL-2450713</v>
          </cell>
          <cell r="F805" t="str">
            <v>FU</v>
          </cell>
          <cell r="G805">
            <v>35</v>
          </cell>
          <cell r="H805" t="str">
            <v>10× 3'单细胞</v>
          </cell>
          <cell r="I805" t="str">
            <v>XCL</v>
          </cell>
          <cell r="J805">
            <v>1.25</v>
          </cell>
          <cell r="K805">
            <v>499</v>
          </cell>
          <cell r="L805" t="str">
            <v>WH</v>
          </cell>
          <cell r="N805">
            <v>3.8538615692924298</v>
          </cell>
        </row>
        <row r="806">
          <cell r="E806" t="str">
            <v>HGC-lib-2450720</v>
          </cell>
          <cell r="F806" t="str">
            <v>LZX8</v>
          </cell>
          <cell r="G806">
            <v>200</v>
          </cell>
          <cell r="H806" t="str">
            <v>10× 3'单细胞</v>
          </cell>
          <cell r="I806" t="str">
            <v>XCL</v>
          </cell>
          <cell r="J806">
            <v>11.2</v>
          </cell>
          <cell r="K806">
            <v>543</v>
          </cell>
          <cell r="L806" t="str">
            <v>XCL</v>
          </cell>
          <cell r="N806">
            <v>31.7325400198328</v>
          </cell>
        </row>
        <row r="807">
          <cell r="E807" t="str">
            <v>HGC-lib-2450721</v>
          </cell>
          <cell r="F807" t="str">
            <v>LY11</v>
          </cell>
          <cell r="G807">
            <v>200</v>
          </cell>
          <cell r="H807" t="str">
            <v>10x 5'单细胞</v>
          </cell>
          <cell r="I807" t="str">
            <v>XCL</v>
          </cell>
          <cell r="J807">
            <v>15.2</v>
          </cell>
          <cell r="K807">
            <v>511</v>
          </cell>
          <cell r="L807" t="str">
            <v>XCL</v>
          </cell>
          <cell r="N807">
            <v>45.762456721360799</v>
          </cell>
        </row>
        <row r="808">
          <cell r="E808" t="str">
            <v>HGC-lib-2450722</v>
          </cell>
          <cell r="F808" t="str">
            <v>LY12</v>
          </cell>
          <cell r="G808">
            <v>200</v>
          </cell>
          <cell r="H808" t="str">
            <v>10x 5'单细胞</v>
          </cell>
          <cell r="I808" t="str">
            <v>XCL</v>
          </cell>
          <cell r="J808">
            <v>34.799999999999997</v>
          </cell>
          <cell r="K808">
            <v>488</v>
          </cell>
          <cell r="L808" t="str">
            <v>XCL</v>
          </cell>
          <cell r="N808">
            <v>109.709962168979</v>
          </cell>
        </row>
        <row r="809">
          <cell r="E809" t="str">
            <v>HGC-lib-2450723</v>
          </cell>
          <cell r="F809" t="str">
            <v>scbarcode LZX8</v>
          </cell>
          <cell r="G809" t="str">
            <v>60G</v>
          </cell>
          <cell r="I809" t="str">
            <v>XCL</v>
          </cell>
          <cell r="J809">
            <v>12.3</v>
          </cell>
          <cell r="K809">
            <v>620</v>
          </cell>
          <cell r="L809" t="str">
            <v>XCL</v>
          </cell>
          <cell r="N809">
            <v>30.521091811414401</v>
          </cell>
        </row>
        <row r="810">
          <cell r="E810" t="str">
            <v>HGC-lib-2450724</v>
          </cell>
          <cell r="F810" t="str">
            <v>N_B_N4617-2V-10X5WT-Sto</v>
          </cell>
          <cell r="G810">
            <v>100</v>
          </cell>
          <cell r="H810" t="str">
            <v>10x 5'单细胞</v>
          </cell>
          <cell r="I810" t="str">
            <v>HZK</v>
          </cell>
          <cell r="J810">
            <v>69.400000000000006</v>
          </cell>
          <cell r="N810" t="e">
            <v>#DIV/0!</v>
          </cell>
        </row>
        <row r="811">
          <cell r="E811" t="str">
            <v>HGC-lib-2450725</v>
          </cell>
          <cell r="F811" t="str">
            <v>N_B_N4617-2W-10X5WT-Liver</v>
          </cell>
          <cell r="G811">
            <v>100</v>
          </cell>
          <cell r="H811" t="str">
            <v>10x 5'单细胞</v>
          </cell>
          <cell r="I811" t="str">
            <v>HZK</v>
          </cell>
          <cell r="J811">
            <v>33.200000000000003</v>
          </cell>
          <cell r="N811" t="e">
            <v>#DIV/0!</v>
          </cell>
        </row>
        <row r="812">
          <cell r="E812" t="str">
            <v>HGC-lib-2450726</v>
          </cell>
          <cell r="F812" t="str">
            <v>N_B_N4617-2X-10X5WT-Spleen</v>
          </cell>
          <cell r="G812">
            <v>100</v>
          </cell>
          <cell r="H812" t="str">
            <v>10x 5'单细胞</v>
          </cell>
          <cell r="I812" t="str">
            <v>HZK</v>
          </cell>
          <cell r="J812">
            <v>42.6</v>
          </cell>
          <cell r="N812" t="e">
            <v>#DIV/0!</v>
          </cell>
        </row>
        <row r="813">
          <cell r="E813" t="str">
            <v>HGC-lib-2450727</v>
          </cell>
          <cell r="F813" t="str">
            <v>N_B_N4617-2Y-10X5WT-Kidney</v>
          </cell>
          <cell r="G813">
            <v>100</v>
          </cell>
          <cell r="H813" t="str">
            <v>10x 5'单细胞</v>
          </cell>
          <cell r="I813" t="str">
            <v>HZK</v>
          </cell>
          <cell r="J813">
            <v>72.599999999999994</v>
          </cell>
          <cell r="N813" t="e">
            <v>#DIV/0!</v>
          </cell>
        </row>
        <row r="814">
          <cell r="E814" t="str">
            <v>HGC-lib-2450728</v>
          </cell>
          <cell r="F814" t="str">
            <v>N_B_N4617-2Z-10X5WT-SI</v>
          </cell>
          <cell r="G814">
            <v>100</v>
          </cell>
          <cell r="H814" t="str">
            <v>10x 5'单细胞</v>
          </cell>
          <cell r="I814" t="str">
            <v>HZK</v>
          </cell>
          <cell r="J814">
            <v>72</v>
          </cell>
          <cell r="N814" t="e">
            <v>#DIV/0!</v>
          </cell>
        </row>
        <row r="815">
          <cell r="E815" t="str">
            <v>HGC-lib-2450729</v>
          </cell>
          <cell r="F815" t="str">
            <v>N_B_N4617-30-10X5WT-CO</v>
          </cell>
          <cell r="G815">
            <v>100</v>
          </cell>
          <cell r="H815" t="str">
            <v>10x 5'单细胞</v>
          </cell>
          <cell r="I815" t="str">
            <v>HZK</v>
          </cell>
          <cell r="J815">
            <v>66</v>
          </cell>
          <cell r="N815" t="e">
            <v>#DIV/0!</v>
          </cell>
        </row>
        <row r="816">
          <cell r="E816" t="str">
            <v>HGC-lib-2450730</v>
          </cell>
          <cell r="F816" t="str">
            <v>N_B_N4617-31-10X5WT-Lung</v>
          </cell>
          <cell r="G816">
            <v>100</v>
          </cell>
          <cell r="H816" t="str">
            <v>10x 5'单细胞</v>
          </cell>
          <cell r="I816" t="str">
            <v>HZK</v>
          </cell>
          <cell r="J816">
            <v>59.4</v>
          </cell>
          <cell r="N816" t="e">
            <v>#DIV/0!</v>
          </cell>
        </row>
        <row r="817">
          <cell r="E817" t="str">
            <v>HGC-lib-2450731</v>
          </cell>
          <cell r="F817" t="str">
            <v>N_B_N4617-32-10X5WT-BM</v>
          </cell>
          <cell r="G817">
            <v>100</v>
          </cell>
          <cell r="H817" t="str">
            <v>10x 5'单细胞</v>
          </cell>
          <cell r="I817" t="str">
            <v>HZK</v>
          </cell>
          <cell r="J817">
            <v>92</v>
          </cell>
          <cell r="N817" t="e">
            <v>#DIV/0!</v>
          </cell>
        </row>
        <row r="818">
          <cell r="E818" t="str">
            <v>HGC-lib-2450732</v>
          </cell>
          <cell r="F818" t="str">
            <v>N_B_N4617-33-10X5WT-Pan</v>
          </cell>
          <cell r="G818">
            <v>100</v>
          </cell>
          <cell r="H818" t="str">
            <v>10x 5'单细胞</v>
          </cell>
          <cell r="I818" t="str">
            <v>HZK</v>
          </cell>
          <cell r="J818">
            <v>83.4</v>
          </cell>
          <cell r="N818" t="e">
            <v>#DIV/0!</v>
          </cell>
        </row>
        <row r="819">
          <cell r="E819" t="str">
            <v>HGC-lib-2450733</v>
          </cell>
          <cell r="F819" t="str">
            <v>N_B_N4617-34-10X5WT-Thy</v>
          </cell>
          <cell r="G819">
            <v>100</v>
          </cell>
          <cell r="H819" t="str">
            <v>10x 5'单细胞</v>
          </cell>
          <cell r="I819" t="str">
            <v>HZK</v>
          </cell>
          <cell r="J819">
            <v>66.2</v>
          </cell>
          <cell r="N819" t="e">
            <v>#DIV/0!</v>
          </cell>
        </row>
        <row r="820">
          <cell r="E820" t="str">
            <v>HGC-lib-2450734</v>
          </cell>
          <cell r="F820" t="str">
            <v>N_B_N4617-35-10X5WT-LN-1</v>
          </cell>
          <cell r="G820">
            <v>100</v>
          </cell>
          <cell r="H820" t="str">
            <v>10x 5'单细胞</v>
          </cell>
          <cell r="I820" t="str">
            <v>HZK</v>
          </cell>
          <cell r="J820">
            <v>52.6</v>
          </cell>
          <cell r="N820" t="e">
            <v>#DIV/0!</v>
          </cell>
        </row>
        <row r="821">
          <cell r="E821" t="str">
            <v>HGC-lib-2450735</v>
          </cell>
          <cell r="F821" t="str">
            <v>N_B_N4617-36-10X5WT-LN-2</v>
          </cell>
          <cell r="G821">
            <v>100</v>
          </cell>
          <cell r="H821" t="str">
            <v>10x 5'单细胞</v>
          </cell>
          <cell r="I821" t="str">
            <v>HZK</v>
          </cell>
          <cell r="J821">
            <v>59.8</v>
          </cell>
          <cell r="N821" t="e">
            <v>#DIV/0!</v>
          </cell>
        </row>
        <row r="822">
          <cell r="E822" t="str">
            <v>HGC-lib-2450736</v>
          </cell>
          <cell r="F822" t="str">
            <v>N_B_N4617-37-10X5WT-LN-3</v>
          </cell>
          <cell r="G822">
            <v>100</v>
          </cell>
          <cell r="H822" t="str">
            <v>10x 5'单细胞</v>
          </cell>
          <cell r="I822" t="str">
            <v>HZK</v>
          </cell>
          <cell r="J822">
            <v>45.4</v>
          </cell>
          <cell r="N822" t="e">
            <v>#DIV/0!</v>
          </cell>
        </row>
        <row r="823">
          <cell r="E823" t="str">
            <v>HGC-lib-2450737</v>
          </cell>
          <cell r="F823" t="str">
            <v>N_B_N4617-2V-10X5TCRWT-Sto-2</v>
          </cell>
          <cell r="G823">
            <v>10</v>
          </cell>
          <cell r="H823" t="str">
            <v>10X5TCR</v>
          </cell>
          <cell r="I823" t="str">
            <v>HZK</v>
          </cell>
          <cell r="J823">
            <v>52.8</v>
          </cell>
          <cell r="N823" t="e">
            <v>#DIV/0!</v>
          </cell>
        </row>
        <row r="824">
          <cell r="E824" t="str">
            <v>HGC-lib-2450738</v>
          </cell>
          <cell r="F824" t="str">
            <v>N_B_N4617-2W-10X5TCRWT-Liver-2</v>
          </cell>
          <cell r="G824">
            <v>10</v>
          </cell>
          <cell r="H824" t="str">
            <v>10X5TCR</v>
          </cell>
          <cell r="I824" t="str">
            <v>HZK</v>
          </cell>
          <cell r="J824">
            <v>49.2</v>
          </cell>
          <cell r="N824" t="e">
            <v>#DIV/0!</v>
          </cell>
        </row>
        <row r="825">
          <cell r="E825" t="str">
            <v>HGC-lib-2450739</v>
          </cell>
          <cell r="F825" t="str">
            <v>N_B_N4617-2X-10X5TCRWT-Spleen-2</v>
          </cell>
          <cell r="G825">
            <v>10</v>
          </cell>
          <cell r="H825" t="str">
            <v>10X5TCR</v>
          </cell>
          <cell r="I825" t="str">
            <v>HZK</v>
          </cell>
          <cell r="J825">
            <v>56.4</v>
          </cell>
          <cell r="N825" t="e">
            <v>#DIV/0!</v>
          </cell>
        </row>
        <row r="826">
          <cell r="E826" t="str">
            <v>HGC-lib-2450740</v>
          </cell>
          <cell r="F826" t="str">
            <v>N_B_N4617-2Y-10X5TCRWT-Kidney-2</v>
          </cell>
          <cell r="G826">
            <v>10</v>
          </cell>
          <cell r="H826" t="str">
            <v>10X5TCR</v>
          </cell>
          <cell r="I826" t="str">
            <v>HZK</v>
          </cell>
          <cell r="J826">
            <v>62.2</v>
          </cell>
          <cell r="N826" t="e">
            <v>#DIV/0!</v>
          </cell>
        </row>
        <row r="827">
          <cell r="E827" t="str">
            <v>HGC-lib-2450741</v>
          </cell>
          <cell r="F827" t="str">
            <v>N_B_N4617-2Z-10X5TCRWT-SI-2</v>
          </cell>
          <cell r="G827">
            <v>10</v>
          </cell>
          <cell r="H827" t="str">
            <v>10X5TCR</v>
          </cell>
          <cell r="I827" t="str">
            <v>HZK</v>
          </cell>
          <cell r="J827">
            <v>39.4</v>
          </cell>
          <cell r="N827" t="e">
            <v>#DIV/0!</v>
          </cell>
        </row>
        <row r="828">
          <cell r="E828" t="str">
            <v>HGC-lib-2450742</v>
          </cell>
          <cell r="F828" t="str">
            <v>N_B_N4617-30-10X5TCRWT-CO-2</v>
          </cell>
          <cell r="G828">
            <v>10</v>
          </cell>
          <cell r="H828" t="str">
            <v>10X5TCR</v>
          </cell>
          <cell r="I828" t="str">
            <v>HZK</v>
          </cell>
          <cell r="J828">
            <v>69.2</v>
          </cell>
          <cell r="N828" t="e">
            <v>#DIV/0!</v>
          </cell>
        </row>
        <row r="829">
          <cell r="E829" t="str">
            <v>HGC-lib-2450743</v>
          </cell>
          <cell r="F829" t="str">
            <v>N_B_N4617-31-10X5TCRWT-Lung-2</v>
          </cell>
          <cell r="G829">
            <v>10</v>
          </cell>
          <cell r="H829" t="str">
            <v>10X5TCR</v>
          </cell>
          <cell r="I829" t="str">
            <v>HZK</v>
          </cell>
          <cell r="J829">
            <v>40.4</v>
          </cell>
          <cell r="N829" t="e">
            <v>#DIV/0!</v>
          </cell>
        </row>
        <row r="830">
          <cell r="E830" t="str">
            <v>HGC-lib-2450744</v>
          </cell>
          <cell r="F830" t="str">
            <v>N_B_N4617-32-10X5TCRWT-BM-2</v>
          </cell>
          <cell r="G830">
            <v>10</v>
          </cell>
          <cell r="H830" t="str">
            <v>10X5TCR</v>
          </cell>
          <cell r="I830" t="str">
            <v>HZK</v>
          </cell>
          <cell r="J830">
            <v>57.8</v>
          </cell>
          <cell r="N830" t="e">
            <v>#DIV/0!</v>
          </cell>
        </row>
        <row r="831">
          <cell r="E831" t="str">
            <v>HGC-lib-2450745</v>
          </cell>
          <cell r="F831" t="str">
            <v>N_B_N4617-33-10X5TCRWT-Pan-2</v>
          </cell>
          <cell r="G831">
            <v>10</v>
          </cell>
          <cell r="H831" t="str">
            <v>10X5TCR</v>
          </cell>
          <cell r="I831" t="str">
            <v>HZK</v>
          </cell>
          <cell r="J831">
            <v>46.4</v>
          </cell>
          <cell r="N831" t="e">
            <v>#DIV/0!</v>
          </cell>
        </row>
        <row r="832">
          <cell r="E832" t="str">
            <v>HGC-lib-2450746</v>
          </cell>
          <cell r="F832" t="str">
            <v>N_B_N4617-34-10X5TCRWT-Thy-2</v>
          </cell>
          <cell r="G832">
            <v>10</v>
          </cell>
          <cell r="H832" t="str">
            <v>10X5TCR</v>
          </cell>
          <cell r="I832" t="str">
            <v>HZK</v>
          </cell>
          <cell r="J832">
            <v>88.2</v>
          </cell>
          <cell r="N832" t="e">
            <v>#DIV/0!</v>
          </cell>
        </row>
        <row r="833">
          <cell r="E833" t="str">
            <v>HGC-lib-2450747</v>
          </cell>
          <cell r="F833" t="str">
            <v>N_B_N4617-35-10X5TCRWT-LN-1-2</v>
          </cell>
          <cell r="G833">
            <v>10</v>
          </cell>
          <cell r="H833" t="str">
            <v>10X5TCR</v>
          </cell>
          <cell r="I833" t="str">
            <v>HZK</v>
          </cell>
          <cell r="J833">
            <v>65.599999999999994</v>
          </cell>
          <cell r="N833" t="e">
            <v>#DIV/0!</v>
          </cell>
        </row>
        <row r="834">
          <cell r="E834" t="str">
            <v>HGC-lib-2450748</v>
          </cell>
          <cell r="F834" t="str">
            <v>N_B_N4617-36-10X5TCRWT-LN-2-2</v>
          </cell>
          <cell r="G834">
            <v>10</v>
          </cell>
          <cell r="H834" t="str">
            <v>10X5TCR</v>
          </cell>
          <cell r="I834" t="str">
            <v>HZK</v>
          </cell>
          <cell r="J834">
            <v>62</v>
          </cell>
          <cell r="N834" t="e">
            <v>#DIV/0!</v>
          </cell>
        </row>
        <row r="835">
          <cell r="E835" t="str">
            <v>HGC-lib-2450749</v>
          </cell>
          <cell r="F835" t="str">
            <v>N_B_N4617-37-10X5TCRWT-LN-3-2</v>
          </cell>
          <cell r="G835">
            <v>10</v>
          </cell>
          <cell r="H835" t="str">
            <v>10X5TCR</v>
          </cell>
          <cell r="I835" t="str">
            <v>HZK</v>
          </cell>
          <cell r="J835">
            <v>62.2</v>
          </cell>
          <cell r="N835" t="e">
            <v>#DIV/0!</v>
          </cell>
        </row>
        <row r="836">
          <cell r="E836" t="str">
            <v>HGC-lib-2450750</v>
          </cell>
          <cell r="F836" t="str">
            <v>N_B_N4617-2V-10X5BCRWT-Sto-3</v>
          </cell>
          <cell r="G836">
            <v>10</v>
          </cell>
          <cell r="H836" t="str">
            <v>10X5BCR</v>
          </cell>
          <cell r="I836" t="str">
            <v>HZK</v>
          </cell>
          <cell r="J836">
            <v>30.8</v>
          </cell>
          <cell r="N836" t="e">
            <v>#DIV/0!</v>
          </cell>
        </row>
        <row r="837">
          <cell r="E837" t="str">
            <v>HGC-lib-2450751</v>
          </cell>
          <cell r="F837" t="str">
            <v>N_B_N4617-2W-10X5BCRWT-Liver-3</v>
          </cell>
          <cell r="G837">
            <v>10</v>
          </cell>
          <cell r="H837" t="str">
            <v>10X5BCR</v>
          </cell>
          <cell r="I837" t="str">
            <v>HZK</v>
          </cell>
          <cell r="J837">
            <v>16.2</v>
          </cell>
          <cell r="N837" t="e">
            <v>#DIV/0!</v>
          </cell>
        </row>
        <row r="838">
          <cell r="E838" t="str">
            <v>HGC-lib-2450752</v>
          </cell>
          <cell r="F838" t="str">
            <v>N_B_N4617-2X-10X5BCRWT-Spleen-3</v>
          </cell>
          <cell r="G838">
            <v>10</v>
          </cell>
          <cell r="H838" t="str">
            <v>10X5BCR</v>
          </cell>
          <cell r="I838" t="str">
            <v>HZK</v>
          </cell>
          <cell r="J838">
            <v>48</v>
          </cell>
          <cell r="N838" t="e">
            <v>#DIV/0!</v>
          </cell>
        </row>
        <row r="839">
          <cell r="E839" t="str">
            <v>HGC-lib-2450753</v>
          </cell>
          <cell r="F839" t="str">
            <v>N_B_N4617-2Y-10X5BCRWT-Kidney-3</v>
          </cell>
          <cell r="G839">
            <v>10</v>
          </cell>
          <cell r="H839" t="str">
            <v>10X5BCR</v>
          </cell>
          <cell r="I839" t="str">
            <v>HZK</v>
          </cell>
          <cell r="J839">
            <v>23.4</v>
          </cell>
          <cell r="N839" t="e">
            <v>#DIV/0!</v>
          </cell>
        </row>
        <row r="840">
          <cell r="E840" t="str">
            <v>HGC-lib-2450754</v>
          </cell>
          <cell r="F840" t="str">
            <v>N_B_N4617-2Z-10X5BCRWT-SI-3</v>
          </cell>
          <cell r="G840">
            <v>10</v>
          </cell>
          <cell r="H840" t="str">
            <v>10X5BCR</v>
          </cell>
          <cell r="I840" t="str">
            <v>HZK</v>
          </cell>
          <cell r="J840">
            <v>44.2</v>
          </cell>
          <cell r="N840" t="e">
            <v>#DIV/0!</v>
          </cell>
        </row>
        <row r="841">
          <cell r="E841" t="str">
            <v>HGC-lib-2450755</v>
          </cell>
          <cell r="F841" t="str">
            <v>N_B_N4617-30-10X5BCRWT-CO-3</v>
          </cell>
          <cell r="G841">
            <v>10</v>
          </cell>
          <cell r="H841" t="str">
            <v>10X5BCR</v>
          </cell>
          <cell r="I841" t="str">
            <v>HZK</v>
          </cell>
          <cell r="J841">
            <v>39.200000000000003</v>
          </cell>
          <cell r="N841" t="e">
            <v>#DIV/0!</v>
          </cell>
        </row>
        <row r="842">
          <cell r="E842" t="str">
            <v>HGC-lib-2450756</v>
          </cell>
          <cell r="F842" t="str">
            <v>N_B_N4617-31-10X5BCRWT-Lung-3</v>
          </cell>
          <cell r="G842">
            <v>10</v>
          </cell>
          <cell r="H842" t="str">
            <v>10X5BCR</v>
          </cell>
          <cell r="I842" t="str">
            <v>HZK</v>
          </cell>
          <cell r="J842">
            <v>34.799999999999997</v>
          </cell>
          <cell r="N842" t="e">
            <v>#DIV/0!</v>
          </cell>
        </row>
        <row r="843">
          <cell r="E843" t="str">
            <v>HGC-lib-2450757</v>
          </cell>
          <cell r="F843" t="str">
            <v>N_B_N4617-32-10X5BCRWT-BM-3</v>
          </cell>
          <cell r="G843">
            <v>10</v>
          </cell>
          <cell r="H843" t="str">
            <v>10X5BCR</v>
          </cell>
          <cell r="I843" t="str">
            <v>HZK</v>
          </cell>
          <cell r="J843">
            <v>32.4</v>
          </cell>
          <cell r="N843" t="e">
            <v>#DIV/0!</v>
          </cell>
        </row>
        <row r="844">
          <cell r="E844" t="str">
            <v>HGC-lib-2450758</v>
          </cell>
          <cell r="F844" t="str">
            <v>N_B_N4617-33-10X5BCRWT-Pan-3</v>
          </cell>
          <cell r="G844">
            <v>10</v>
          </cell>
          <cell r="H844" t="str">
            <v>10X5BCR</v>
          </cell>
          <cell r="I844" t="str">
            <v>HZK</v>
          </cell>
          <cell r="J844">
            <v>57.2</v>
          </cell>
          <cell r="N844" t="e">
            <v>#DIV/0!</v>
          </cell>
        </row>
        <row r="845">
          <cell r="E845" t="str">
            <v>HGC-lib-2450759</v>
          </cell>
          <cell r="F845" t="str">
            <v>N_B_N4617-34-10X5BCRWT-Thy-3</v>
          </cell>
          <cell r="G845">
            <v>10</v>
          </cell>
          <cell r="H845" t="str">
            <v>10X5BCR</v>
          </cell>
          <cell r="I845" t="str">
            <v>HZK</v>
          </cell>
          <cell r="J845">
            <v>27.6</v>
          </cell>
          <cell r="N845" t="e">
            <v>#DIV/0!</v>
          </cell>
        </row>
        <row r="846">
          <cell r="E846" t="str">
            <v>HGC-lib-2450760</v>
          </cell>
          <cell r="F846" t="str">
            <v>N_B_N4617-35-10X5BCRWT-LN-1-3</v>
          </cell>
          <cell r="G846">
            <v>10</v>
          </cell>
          <cell r="H846" t="str">
            <v>10X5BCR</v>
          </cell>
          <cell r="I846" t="str">
            <v>HZK</v>
          </cell>
          <cell r="J846">
            <v>35.6</v>
          </cell>
          <cell r="N846" t="e">
            <v>#DIV/0!</v>
          </cell>
        </row>
        <row r="847">
          <cell r="E847" t="str">
            <v>HGC-lib-2450761</v>
          </cell>
          <cell r="F847" t="str">
            <v>N_B_N4617-36-10X5BCRWT-LN-2-3</v>
          </cell>
          <cell r="G847">
            <v>10</v>
          </cell>
          <cell r="H847" t="str">
            <v>10X5BCR</v>
          </cell>
          <cell r="I847" t="str">
            <v>HZK</v>
          </cell>
          <cell r="J847">
            <v>39.799999999999997</v>
          </cell>
          <cell r="N847" t="e">
            <v>#DIV/0!</v>
          </cell>
        </row>
        <row r="848">
          <cell r="E848" t="str">
            <v>HGC-lib-2450762</v>
          </cell>
          <cell r="F848" t="str">
            <v>N_B_N4617-37-10X5BCRWT-LN-3-3</v>
          </cell>
          <cell r="G848">
            <v>10</v>
          </cell>
          <cell r="H848" t="str">
            <v>10X5BCR</v>
          </cell>
          <cell r="I848" t="str">
            <v>HZK</v>
          </cell>
          <cell r="J848">
            <v>32.4</v>
          </cell>
          <cell r="N848" t="e">
            <v>#DIV/0!</v>
          </cell>
        </row>
        <row r="849">
          <cell r="E849" t="str">
            <v>HGC-Lib-2450777</v>
          </cell>
          <cell r="F849" t="str">
            <v>A15E-0626</v>
          </cell>
          <cell r="G849">
            <v>15</v>
          </cell>
          <cell r="H849" t="str">
            <v>10× 3'单细胞</v>
          </cell>
          <cell r="I849" t="str">
            <v>HZK</v>
          </cell>
          <cell r="J849">
            <v>22.2</v>
          </cell>
          <cell r="K849">
            <v>459</v>
          </cell>
          <cell r="L849" t="str">
            <v>XCL</v>
          </cell>
          <cell r="N849">
            <v>74.409250879839107</v>
          </cell>
        </row>
        <row r="850">
          <cell r="E850" t="str">
            <v>HGC-Lib-2450778</v>
          </cell>
          <cell r="F850" t="str">
            <v>A20-0626</v>
          </cell>
          <cell r="G850">
            <v>15</v>
          </cell>
          <cell r="H850" t="str">
            <v>10× 3'单细胞</v>
          </cell>
          <cell r="I850" t="str">
            <v>HZK</v>
          </cell>
          <cell r="J850">
            <v>21</v>
          </cell>
          <cell r="K850">
            <v>481</v>
          </cell>
          <cell r="L850" t="str">
            <v>XCL</v>
          </cell>
          <cell r="N850">
            <v>67.167759475451803</v>
          </cell>
        </row>
        <row r="851">
          <cell r="E851" t="str">
            <v>HGC-Lib-2450779</v>
          </cell>
          <cell r="F851" t="str">
            <v>3-rPBMC-1-0627</v>
          </cell>
          <cell r="G851">
            <v>20</v>
          </cell>
          <cell r="H851" t="str">
            <v>10× 3'单细胞</v>
          </cell>
          <cell r="I851" t="str">
            <v>HZK</v>
          </cell>
          <cell r="J851">
            <v>22</v>
          </cell>
          <cell r="K851">
            <v>469</v>
          </cell>
          <cell r="L851" t="str">
            <v>XCL</v>
          </cell>
          <cell r="N851">
            <v>72.166639330818398</v>
          </cell>
        </row>
        <row r="852">
          <cell r="E852" t="str">
            <v>HGC-Lib-2450780</v>
          </cell>
          <cell r="F852" t="str">
            <v>3-rPBMC-2-0627</v>
          </cell>
          <cell r="G852">
            <v>20</v>
          </cell>
          <cell r="H852" t="str">
            <v>10× 3'单细胞</v>
          </cell>
          <cell r="I852" t="str">
            <v>HZK</v>
          </cell>
          <cell r="J852">
            <v>30.6</v>
          </cell>
          <cell r="K852">
            <v>464</v>
          </cell>
          <cell r="L852" t="str">
            <v>XCL</v>
          </cell>
          <cell r="N852">
            <v>101.45888594164499</v>
          </cell>
        </row>
        <row r="853">
          <cell r="E853" t="str">
            <v>HGC-Lib-2450781</v>
          </cell>
          <cell r="F853" t="str">
            <v>H-MCP-T-5-TL</v>
          </cell>
          <cell r="G853">
            <v>10</v>
          </cell>
          <cell r="H853" t="str">
            <v>10× 3'单细胞</v>
          </cell>
          <cell r="I853" t="str">
            <v>HZK</v>
          </cell>
          <cell r="J853">
            <v>26.8</v>
          </cell>
          <cell r="K853">
            <v>496</v>
          </cell>
          <cell r="L853" t="str">
            <v>XCL</v>
          </cell>
          <cell r="N853">
            <v>83.126550868486405</v>
          </cell>
        </row>
        <row r="854">
          <cell r="E854" t="str">
            <v>HGC-Lib-2450782</v>
          </cell>
          <cell r="F854" t="str">
            <v>H-MCP-N-5-TL</v>
          </cell>
          <cell r="G854">
            <v>10</v>
          </cell>
          <cell r="H854" t="str">
            <v>10× 3'单细胞</v>
          </cell>
          <cell r="I854" t="str">
            <v>HZK</v>
          </cell>
          <cell r="J854">
            <v>25</v>
          </cell>
          <cell r="K854">
            <v>487</v>
          </cell>
          <cell r="L854" t="str">
            <v>XCL</v>
          </cell>
          <cell r="N854">
            <v>78.976465013425994</v>
          </cell>
        </row>
        <row r="855">
          <cell r="E855" t="str">
            <v>HGC-Lib-2450783</v>
          </cell>
          <cell r="F855" t="str">
            <v>H-MCP-LB-5-TL</v>
          </cell>
          <cell r="G855">
            <v>10</v>
          </cell>
          <cell r="H855" t="str">
            <v>10× 3'单细胞</v>
          </cell>
          <cell r="I855" t="str">
            <v>HZK</v>
          </cell>
          <cell r="J855">
            <v>20.8</v>
          </cell>
          <cell r="K855">
            <v>464</v>
          </cell>
          <cell r="L855" t="str">
            <v>XCL</v>
          </cell>
          <cell r="N855">
            <v>68.965517241379303</v>
          </cell>
        </row>
        <row r="856">
          <cell r="E856" t="str">
            <v>HGC-Lib-2450784</v>
          </cell>
          <cell r="F856" t="str">
            <v>H-MCP-T-5-BL</v>
          </cell>
          <cell r="G856">
            <v>10</v>
          </cell>
          <cell r="H856" t="str">
            <v>10× 3'单细胞</v>
          </cell>
          <cell r="I856" t="str">
            <v>HZK</v>
          </cell>
          <cell r="J856">
            <v>17</v>
          </cell>
          <cell r="K856">
            <v>482</v>
          </cell>
          <cell r="L856" t="str">
            <v>XCL</v>
          </cell>
          <cell r="N856">
            <v>54.261091605489902</v>
          </cell>
        </row>
        <row r="857">
          <cell r="E857" t="str">
            <v>HGC-Lib-2450785</v>
          </cell>
          <cell r="F857" t="str">
            <v>H-MCP-N-5-BL</v>
          </cell>
          <cell r="G857">
            <v>10</v>
          </cell>
          <cell r="H857" t="str">
            <v>10× 3'单细胞</v>
          </cell>
          <cell r="I857" t="str">
            <v>HZK</v>
          </cell>
          <cell r="J857">
            <v>26.8</v>
          </cell>
          <cell r="K857">
            <v>494</v>
          </cell>
          <cell r="L857" t="str">
            <v>XCL</v>
          </cell>
          <cell r="N857">
            <v>83.463095608844597</v>
          </cell>
        </row>
        <row r="858">
          <cell r="E858" t="str">
            <v>HGC-Lib-2450786</v>
          </cell>
          <cell r="F858" t="str">
            <v>H-MCP-LB-5-BL</v>
          </cell>
          <cell r="G858">
            <v>10</v>
          </cell>
          <cell r="H858" t="str">
            <v>10× 3'单细胞</v>
          </cell>
          <cell r="I858" t="str">
            <v>WWH</v>
          </cell>
          <cell r="J858">
            <v>14.8</v>
          </cell>
          <cell r="K858">
            <v>424</v>
          </cell>
          <cell r="L858" t="str">
            <v>XCL</v>
          </cell>
          <cell r="N858">
            <v>53.701015965166903</v>
          </cell>
        </row>
        <row r="859">
          <cell r="E859" t="str">
            <v>HGC-Lib-2450787</v>
          </cell>
          <cell r="F859" t="str">
            <v>H-MCP-N</v>
          </cell>
          <cell r="G859">
            <v>20</v>
          </cell>
          <cell r="H859" t="str">
            <v>10× 3'单细胞</v>
          </cell>
          <cell r="I859" t="str">
            <v>WWH</v>
          </cell>
          <cell r="J859">
            <v>14.7</v>
          </cell>
          <cell r="K859">
            <v>474</v>
          </cell>
          <cell r="L859" t="str">
            <v>XCL</v>
          </cell>
          <cell r="N859">
            <v>47.711781888997102</v>
          </cell>
        </row>
        <row r="860">
          <cell r="E860" t="str">
            <v>HGC-Lib-2450788</v>
          </cell>
          <cell r="F860" t="str">
            <v>H-MCP-T-5</v>
          </cell>
          <cell r="G860">
            <v>20</v>
          </cell>
          <cell r="H860" t="str">
            <v>10× 3'单细胞</v>
          </cell>
          <cell r="I860" t="str">
            <v>WWH</v>
          </cell>
          <cell r="J860">
            <v>24.2</v>
          </cell>
          <cell r="K860">
            <v>457</v>
          </cell>
          <cell r="L860" t="str">
            <v>XCL</v>
          </cell>
          <cell r="N860">
            <v>81.467766369298104</v>
          </cell>
        </row>
        <row r="861">
          <cell r="E861" t="str">
            <v>HGC-Lib-2450789</v>
          </cell>
          <cell r="F861" t="str">
            <v>H-MCP-N-5</v>
          </cell>
          <cell r="G861">
            <v>20</v>
          </cell>
          <cell r="H861" t="str">
            <v>10× 3'单细胞</v>
          </cell>
          <cell r="I861" t="str">
            <v>WWH</v>
          </cell>
          <cell r="J861">
            <v>26.8</v>
          </cell>
          <cell r="K861">
            <v>466</v>
          </cell>
          <cell r="L861" t="str">
            <v>XCL</v>
          </cell>
          <cell r="N861">
            <v>88.478045559590598</v>
          </cell>
        </row>
        <row r="862">
          <cell r="E862" t="str">
            <v>HGC-Lib-2450790</v>
          </cell>
          <cell r="F862" t="str">
            <v>H-MCP-LB-5</v>
          </cell>
          <cell r="G862">
            <v>20</v>
          </cell>
          <cell r="H862" t="str">
            <v>10× 3'单细胞</v>
          </cell>
          <cell r="I862" t="str">
            <v>WWH</v>
          </cell>
          <cell r="J862">
            <v>24.2</v>
          </cell>
          <cell r="K862">
            <v>465</v>
          </cell>
          <cell r="L862" t="str">
            <v>XCL</v>
          </cell>
          <cell r="N862">
            <v>80.066170388751004</v>
          </cell>
        </row>
        <row r="863">
          <cell r="E863" t="str">
            <v>HGC-POOL-2450844</v>
          </cell>
          <cell r="F863" t="str">
            <v>OL27353-GW130077</v>
          </cell>
          <cell r="G863">
            <v>54</v>
          </cell>
          <cell r="H863" t="str">
            <v>Chip-Seq</v>
          </cell>
          <cell r="I863" t="str">
            <v>WWH</v>
          </cell>
          <cell r="J863">
            <v>0.89200000000000002</v>
          </cell>
          <cell r="K863">
            <v>512</v>
          </cell>
          <cell r="L863" t="str">
            <v>WH</v>
          </cell>
          <cell r="N863">
            <v>2.6802884615384599</v>
          </cell>
        </row>
        <row r="864">
          <cell r="E864" t="str">
            <v>HGC-Lib-2450845</v>
          </cell>
          <cell r="F864" t="str">
            <v>NGS0324037-1</v>
          </cell>
          <cell r="G864">
            <v>6</v>
          </cell>
          <cell r="H864" t="str">
            <v>mRNA文库</v>
          </cell>
          <cell r="I864" t="str">
            <v>WWH</v>
          </cell>
          <cell r="J864">
            <v>34.200000000000003</v>
          </cell>
          <cell r="N864" t="e">
            <v>#DIV/0!</v>
          </cell>
        </row>
        <row r="865">
          <cell r="E865" t="str">
            <v>HGC-Lib-2450846</v>
          </cell>
          <cell r="F865" t="str">
            <v>NGS0324037-2</v>
          </cell>
          <cell r="G865">
            <v>6</v>
          </cell>
          <cell r="H865" t="str">
            <v>mRNA文库</v>
          </cell>
          <cell r="I865" t="str">
            <v>WWH</v>
          </cell>
          <cell r="J865">
            <v>35.4</v>
          </cell>
          <cell r="N865" t="e">
            <v>#DIV/0!</v>
          </cell>
        </row>
        <row r="866">
          <cell r="E866" t="str">
            <v>HGC-Lib-2450847</v>
          </cell>
          <cell r="F866" t="str">
            <v>NGS0324037-3</v>
          </cell>
          <cell r="G866">
            <v>6</v>
          </cell>
          <cell r="H866" t="str">
            <v>mRNA文库</v>
          </cell>
          <cell r="I866" t="str">
            <v>WWH</v>
          </cell>
          <cell r="J866">
            <v>32.6</v>
          </cell>
          <cell r="N866" t="e">
            <v>#DIV/0!</v>
          </cell>
        </row>
        <row r="867">
          <cell r="E867" t="str">
            <v>HGC-Lib-2450848</v>
          </cell>
          <cell r="F867" t="str">
            <v>NGS0324037-4</v>
          </cell>
          <cell r="G867">
            <v>6</v>
          </cell>
          <cell r="H867" t="str">
            <v>mRNA文库</v>
          </cell>
          <cell r="I867" t="str">
            <v>WWH</v>
          </cell>
          <cell r="J867">
            <v>31.8</v>
          </cell>
          <cell r="N867" t="e">
            <v>#DIV/0!</v>
          </cell>
        </row>
        <row r="868">
          <cell r="E868" t="str">
            <v>HGC-Lib-2450849</v>
          </cell>
          <cell r="F868" t="str">
            <v>NGS0324037-5</v>
          </cell>
          <cell r="G868">
            <v>6</v>
          </cell>
          <cell r="H868" t="str">
            <v>mRNA文库</v>
          </cell>
          <cell r="I868" t="str">
            <v>WWH</v>
          </cell>
          <cell r="J868">
            <v>54.6</v>
          </cell>
          <cell r="N868" t="e">
            <v>#DIV/0!</v>
          </cell>
        </row>
        <row r="869">
          <cell r="E869" t="str">
            <v>HGC-Lib-2450850</v>
          </cell>
          <cell r="F869" t="str">
            <v>NGS0324037-6</v>
          </cell>
          <cell r="G869">
            <v>6</v>
          </cell>
          <cell r="H869" t="str">
            <v>mRNA文库</v>
          </cell>
          <cell r="I869" t="str">
            <v>WWH</v>
          </cell>
          <cell r="J869">
            <v>44.2</v>
          </cell>
          <cell r="N869" t="e">
            <v>#DIV/0!</v>
          </cell>
        </row>
        <row r="870">
          <cell r="E870" t="str">
            <v>HGC-Lib-2450851</v>
          </cell>
          <cell r="F870" t="str">
            <v>NGS0324037-7</v>
          </cell>
          <cell r="G870">
            <v>6</v>
          </cell>
          <cell r="H870" t="str">
            <v>mRNA文库</v>
          </cell>
          <cell r="I870" t="str">
            <v>WWH</v>
          </cell>
          <cell r="J870">
            <v>33</v>
          </cell>
          <cell r="N870" t="e">
            <v>#DIV/0!</v>
          </cell>
        </row>
        <row r="871">
          <cell r="E871" t="str">
            <v>HGC-Lib-2450852</v>
          </cell>
          <cell r="F871" t="str">
            <v>NGS0324037-8</v>
          </cell>
          <cell r="G871">
            <v>6</v>
          </cell>
          <cell r="H871" t="str">
            <v>mRNA文库</v>
          </cell>
          <cell r="I871" t="str">
            <v>WWH</v>
          </cell>
          <cell r="J871">
            <v>31.8</v>
          </cell>
          <cell r="N871" t="e">
            <v>#DIV/0!</v>
          </cell>
        </row>
        <row r="872">
          <cell r="E872" t="str">
            <v>HGC-Lib-2450853</v>
          </cell>
          <cell r="F872" t="str">
            <v>NGS0324037-9</v>
          </cell>
          <cell r="G872">
            <v>6</v>
          </cell>
          <cell r="H872" t="str">
            <v>mRNA文库</v>
          </cell>
          <cell r="I872" t="str">
            <v>WWH</v>
          </cell>
          <cell r="J872">
            <v>19.100000000000001</v>
          </cell>
          <cell r="N872" t="e">
            <v>#DIV/0!</v>
          </cell>
        </row>
        <row r="873">
          <cell r="E873" t="str">
            <v>HGC-Lib-2450854</v>
          </cell>
          <cell r="F873" t="str">
            <v>NGS0324037-10</v>
          </cell>
          <cell r="G873">
            <v>6</v>
          </cell>
          <cell r="H873" t="str">
            <v>mRNA文库</v>
          </cell>
          <cell r="I873" t="str">
            <v>WWH</v>
          </cell>
          <cell r="J873">
            <v>29.4</v>
          </cell>
          <cell r="N873" t="e">
            <v>#DIV/0!</v>
          </cell>
        </row>
        <row r="874">
          <cell r="E874" t="str">
            <v>HGC-Lib-2450855</v>
          </cell>
          <cell r="F874" t="str">
            <v>NGS0324037-11</v>
          </cell>
          <cell r="G874">
            <v>6</v>
          </cell>
          <cell r="H874" t="str">
            <v>mRNA文库</v>
          </cell>
          <cell r="I874" t="str">
            <v>WWH</v>
          </cell>
          <cell r="J874">
            <v>10.199999999999999</v>
          </cell>
          <cell r="N874" t="e">
            <v>#DIV/0!</v>
          </cell>
        </row>
        <row r="875">
          <cell r="E875" t="str">
            <v>HGC-Lib-2450856</v>
          </cell>
          <cell r="F875" t="str">
            <v>NGS0324037-12</v>
          </cell>
          <cell r="G875">
            <v>6</v>
          </cell>
          <cell r="H875" t="str">
            <v>mRNA文库</v>
          </cell>
          <cell r="I875" t="str">
            <v>WWH</v>
          </cell>
          <cell r="J875">
            <v>14.4</v>
          </cell>
          <cell r="N875" t="e">
            <v>#DIV/0!</v>
          </cell>
        </row>
        <row r="876">
          <cell r="E876" t="str">
            <v>HGC-Lib-2450857</v>
          </cell>
          <cell r="F876" t="str">
            <v>NGS0324037-13</v>
          </cell>
          <cell r="G876">
            <v>6</v>
          </cell>
          <cell r="H876" t="str">
            <v>mRNA文库</v>
          </cell>
          <cell r="I876" t="str">
            <v>WWH</v>
          </cell>
          <cell r="J876">
            <v>27</v>
          </cell>
          <cell r="N876" t="e">
            <v>#DIV/0!</v>
          </cell>
        </row>
        <row r="877">
          <cell r="E877" t="str">
            <v>HGC-Lib-2450858</v>
          </cell>
          <cell r="F877" t="str">
            <v>NGS0324037-14</v>
          </cell>
          <cell r="G877">
            <v>6</v>
          </cell>
          <cell r="H877" t="str">
            <v>mRNA文库</v>
          </cell>
          <cell r="I877" t="str">
            <v>WWH</v>
          </cell>
          <cell r="J877">
            <v>32</v>
          </cell>
          <cell r="N877" t="e">
            <v>#DIV/0!</v>
          </cell>
        </row>
        <row r="878">
          <cell r="E878" t="str">
            <v>HGC-Lib-2450859</v>
          </cell>
          <cell r="F878" t="str">
            <v>NGS0324037-15</v>
          </cell>
          <cell r="G878">
            <v>6</v>
          </cell>
          <cell r="H878" t="str">
            <v>mRNA文库</v>
          </cell>
          <cell r="I878" t="str">
            <v>WWH</v>
          </cell>
          <cell r="J878">
            <v>18.399999999999999</v>
          </cell>
          <cell r="N878" t="e">
            <v>#DIV/0!</v>
          </cell>
        </row>
        <row r="879">
          <cell r="E879" t="str">
            <v>HGC-Lib-2450860</v>
          </cell>
          <cell r="F879" t="str">
            <v>NGS0324037-16</v>
          </cell>
          <cell r="G879">
            <v>6</v>
          </cell>
          <cell r="H879" t="str">
            <v>mRNA文库</v>
          </cell>
          <cell r="I879" t="str">
            <v>WWH</v>
          </cell>
          <cell r="J879">
            <v>23.6</v>
          </cell>
          <cell r="N879" t="e">
            <v>#DIV/0!</v>
          </cell>
        </row>
        <row r="880">
          <cell r="E880" t="str">
            <v>HGC-Lib-2450861</v>
          </cell>
          <cell r="F880" t="str">
            <v>NGS0324037-17</v>
          </cell>
          <cell r="G880">
            <v>6</v>
          </cell>
          <cell r="H880" t="str">
            <v>mRNA文库</v>
          </cell>
          <cell r="I880" t="str">
            <v>WWH</v>
          </cell>
          <cell r="J880">
            <v>28</v>
          </cell>
          <cell r="N880" t="e">
            <v>#DIV/0!</v>
          </cell>
        </row>
        <row r="881">
          <cell r="E881" t="str">
            <v>HGC-Lib-2450862</v>
          </cell>
          <cell r="F881" t="str">
            <v>NGS0324037-18</v>
          </cell>
          <cell r="G881">
            <v>6</v>
          </cell>
          <cell r="H881" t="str">
            <v>mRNA文库</v>
          </cell>
          <cell r="I881" t="str">
            <v>WWH</v>
          </cell>
          <cell r="J881">
            <v>23</v>
          </cell>
          <cell r="N881" t="e">
            <v>#DIV/0!</v>
          </cell>
        </row>
        <row r="882">
          <cell r="E882" t="str">
            <v>HGC-Lib-2450863</v>
          </cell>
          <cell r="F882" t="str">
            <v>NGS0324037-19</v>
          </cell>
          <cell r="G882">
            <v>6</v>
          </cell>
          <cell r="H882" t="str">
            <v>mRNA文库</v>
          </cell>
          <cell r="I882" t="str">
            <v>WWH</v>
          </cell>
          <cell r="J882">
            <v>28.6</v>
          </cell>
          <cell r="N882" t="e">
            <v>#DIV/0!</v>
          </cell>
        </row>
        <row r="883">
          <cell r="E883" t="str">
            <v>HGC-Lib-2450864</v>
          </cell>
          <cell r="F883" t="str">
            <v>NGS0324037-20</v>
          </cell>
          <cell r="G883">
            <v>6</v>
          </cell>
          <cell r="H883" t="str">
            <v>mRNA文库</v>
          </cell>
          <cell r="I883" t="str">
            <v>WWH</v>
          </cell>
          <cell r="J883">
            <v>39.200000000000003</v>
          </cell>
          <cell r="N883" t="e">
            <v>#DIV/0!</v>
          </cell>
        </row>
        <row r="884">
          <cell r="E884" t="str">
            <v>HGC-Lib-2450865</v>
          </cell>
          <cell r="F884" t="str">
            <v>NGS0324037-21</v>
          </cell>
          <cell r="G884">
            <v>6</v>
          </cell>
          <cell r="H884" t="str">
            <v>mRNA文库</v>
          </cell>
          <cell r="I884" t="str">
            <v>WWH</v>
          </cell>
          <cell r="J884">
            <v>14</v>
          </cell>
          <cell r="N884" t="e">
            <v>#DIV/0!</v>
          </cell>
        </row>
        <row r="885">
          <cell r="E885" t="str">
            <v>HGC-Lib-2450866</v>
          </cell>
          <cell r="F885" t="str">
            <v>NGS0324037-22</v>
          </cell>
          <cell r="G885">
            <v>6</v>
          </cell>
          <cell r="H885" t="str">
            <v>mRNA文库</v>
          </cell>
          <cell r="I885" t="str">
            <v>WWH</v>
          </cell>
          <cell r="J885">
            <v>18</v>
          </cell>
          <cell r="N885" t="e">
            <v>#DIV/0!</v>
          </cell>
        </row>
        <row r="886">
          <cell r="E886" t="str">
            <v>HGC-Lib-2450867</v>
          </cell>
          <cell r="F886" t="str">
            <v>NGS0324037-23</v>
          </cell>
          <cell r="G886">
            <v>6</v>
          </cell>
          <cell r="H886" t="str">
            <v>mRNA文库</v>
          </cell>
          <cell r="I886" t="str">
            <v>WWH</v>
          </cell>
          <cell r="J886">
            <v>20</v>
          </cell>
          <cell r="N886" t="e">
            <v>#DIV/0!</v>
          </cell>
        </row>
        <row r="887">
          <cell r="E887" t="str">
            <v>HGC-Lib-2450868</v>
          </cell>
          <cell r="F887" t="str">
            <v>NGS0324037-24</v>
          </cell>
          <cell r="G887">
            <v>6</v>
          </cell>
          <cell r="H887" t="str">
            <v>mRNA文库</v>
          </cell>
          <cell r="I887" t="str">
            <v>WWH</v>
          </cell>
          <cell r="J887">
            <v>30</v>
          </cell>
          <cell r="N887" t="e">
            <v>#DIV/0!</v>
          </cell>
        </row>
        <row r="888">
          <cell r="E888" t="str">
            <v>HGC-Lib-2450869</v>
          </cell>
          <cell r="F888" t="str">
            <v>NGS0324037-25</v>
          </cell>
          <cell r="G888">
            <v>6</v>
          </cell>
          <cell r="H888" t="str">
            <v>mRNA文库</v>
          </cell>
          <cell r="I888" t="str">
            <v>WWH</v>
          </cell>
          <cell r="J888">
            <v>21.6</v>
          </cell>
          <cell r="N888" t="e">
            <v>#DIV/0!</v>
          </cell>
        </row>
        <row r="889">
          <cell r="E889" t="str">
            <v>HGC-Lib-2450870</v>
          </cell>
          <cell r="F889" t="str">
            <v>NGS0324037-26</v>
          </cell>
          <cell r="G889">
            <v>6</v>
          </cell>
          <cell r="H889" t="str">
            <v>mRNA文库</v>
          </cell>
          <cell r="I889" t="str">
            <v>WWH</v>
          </cell>
          <cell r="J889">
            <v>24.2</v>
          </cell>
          <cell r="N889" t="e">
            <v>#DIV/0!</v>
          </cell>
        </row>
        <row r="890">
          <cell r="E890" t="str">
            <v>HGC-Lib-2450871</v>
          </cell>
          <cell r="F890" t="str">
            <v>NGS0324037-27</v>
          </cell>
          <cell r="G890">
            <v>6</v>
          </cell>
          <cell r="H890" t="str">
            <v>mRNA文库</v>
          </cell>
          <cell r="I890" t="str">
            <v>WWH</v>
          </cell>
          <cell r="J890">
            <v>27.6</v>
          </cell>
          <cell r="N890" t="e">
            <v>#DIV/0!</v>
          </cell>
        </row>
        <row r="891">
          <cell r="E891" t="str">
            <v>HGC-Lib-2450872</v>
          </cell>
          <cell r="F891" t="str">
            <v>NGS0324037-28</v>
          </cell>
          <cell r="G891">
            <v>6</v>
          </cell>
          <cell r="H891" t="str">
            <v>mRNA文库</v>
          </cell>
          <cell r="I891" t="str">
            <v>WWH</v>
          </cell>
          <cell r="J891">
            <v>10.6</v>
          </cell>
          <cell r="N891" t="e">
            <v>#DIV/0!</v>
          </cell>
        </row>
        <row r="892">
          <cell r="E892" t="str">
            <v>HGC-Lib-2450873</v>
          </cell>
          <cell r="F892" t="str">
            <v>NGS0324037-29</v>
          </cell>
          <cell r="G892">
            <v>6</v>
          </cell>
          <cell r="H892" t="str">
            <v>mRNA文库</v>
          </cell>
          <cell r="I892" t="str">
            <v>WWH</v>
          </cell>
          <cell r="J892">
            <v>10.199999999999999</v>
          </cell>
          <cell r="N892" t="e">
            <v>#DIV/0!</v>
          </cell>
        </row>
        <row r="893">
          <cell r="E893" t="str">
            <v>HGC-Lib-2450874</v>
          </cell>
          <cell r="F893" t="str">
            <v>NGS0324038-1</v>
          </cell>
          <cell r="G893">
            <v>6</v>
          </cell>
          <cell r="H893" t="str">
            <v>mRNA文库</v>
          </cell>
          <cell r="I893" t="str">
            <v>WWH</v>
          </cell>
          <cell r="J893">
            <v>3.46</v>
          </cell>
          <cell r="N893" t="e">
            <v>#DIV/0!</v>
          </cell>
        </row>
        <row r="894">
          <cell r="E894" t="str">
            <v>HGC-Lib-2450875</v>
          </cell>
          <cell r="F894" t="str">
            <v>NGS0324038-2</v>
          </cell>
          <cell r="G894">
            <v>6</v>
          </cell>
          <cell r="H894" t="str">
            <v>mRNA文库</v>
          </cell>
          <cell r="I894" t="str">
            <v>WWH</v>
          </cell>
          <cell r="J894">
            <v>9.1199999999999992</v>
          </cell>
          <cell r="N894" t="e">
            <v>#DIV/0!</v>
          </cell>
        </row>
        <row r="895">
          <cell r="E895" t="str">
            <v>HGC-Lib-2450876</v>
          </cell>
          <cell r="F895" t="str">
            <v>NGS0324038-3</v>
          </cell>
          <cell r="G895">
            <v>6</v>
          </cell>
          <cell r="H895" t="str">
            <v>mRNA文库</v>
          </cell>
          <cell r="I895" t="str">
            <v>WWH</v>
          </cell>
          <cell r="J895">
            <v>6.48</v>
          </cell>
          <cell r="N895" t="e">
            <v>#DIV/0!</v>
          </cell>
        </row>
        <row r="896">
          <cell r="E896" t="str">
            <v>HGC-Lib-2450877</v>
          </cell>
          <cell r="F896" t="str">
            <v>NGS0324038-4</v>
          </cell>
          <cell r="G896">
            <v>6</v>
          </cell>
          <cell r="H896" t="str">
            <v>mRNA文库</v>
          </cell>
          <cell r="I896" t="str">
            <v>WWH</v>
          </cell>
          <cell r="J896">
            <v>8.44</v>
          </cell>
          <cell r="N896" t="e">
            <v>#DIV/0!</v>
          </cell>
        </row>
        <row r="897">
          <cell r="E897" t="str">
            <v>HGC-Lib-2450878</v>
          </cell>
          <cell r="F897" t="str">
            <v>NGS0324038-5</v>
          </cell>
          <cell r="G897">
            <v>6</v>
          </cell>
          <cell r="H897" t="str">
            <v>mRNA文库</v>
          </cell>
          <cell r="I897" t="str">
            <v>WWH</v>
          </cell>
          <cell r="J897">
            <v>13.1</v>
          </cell>
          <cell r="N897" t="e">
            <v>#DIV/0!</v>
          </cell>
        </row>
        <row r="898">
          <cell r="E898" t="str">
            <v>HGC-Lib-2450879</v>
          </cell>
          <cell r="F898" t="str">
            <v>NGS0324038-6</v>
          </cell>
          <cell r="G898">
            <v>6</v>
          </cell>
          <cell r="H898" t="str">
            <v>mRNA文库</v>
          </cell>
          <cell r="I898" t="str">
            <v>WWH</v>
          </cell>
          <cell r="J898">
            <v>7.1</v>
          </cell>
          <cell r="N898" t="e">
            <v>#DIV/0!</v>
          </cell>
        </row>
        <row r="899">
          <cell r="E899" t="str">
            <v>HGC-Lib-2450880</v>
          </cell>
          <cell r="F899" t="str">
            <v>NGS0324038-7</v>
          </cell>
          <cell r="G899">
            <v>6</v>
          </cell>
          <cell r="H899" t="str">
            <v>mRNA文库</v>
          </cell>
          <cell r="I899" t="str">
            <v>WWH</v>
          </cell>
          <cell r="J899">
            <v>12.5</v>
          </cell>
          <cell r="N899" t="e">
            <v>#DIV/0!</v>
          </cell>
        </row>
        <row r="900">
          <cell r="E900" t="str">
            <v>HGC-Lib-2450881</v>
          </cell>
          <cell r="F900" t="str">
            <v>NGS0324038-8</v>
          </cell>
          <cell r="G900">
            <v>6</v>
          </cell>
          <cell r="H900" t="str">
            <v>mRNA文库</v>
          </cell>
          <cell r="I900" t="str">
            <v>WWH</v>
          </cell>
          <cell r="J900">
            <v>12.3</v>
          </cell>
          <cell r="N900" t="e">
            <v>#DIV/0!</v>
          </cell>
        </row>
        <row r="901">
          <cell r="E901" t="str">
            <v>HGC-Lib-2450882</v>
          </cell>
          <cell r="F901" t="str">
            <v>NGS0324038-9</v>
          </cell>
          <cell r="G901">
            <v>6</v>
          </cell>
          <cell r="H901" t="str">
            <v>mRNA文库</v>
          </cell>
          <cell r="I901" t="str">
            <v>WWH</v>
          </cell>
          <cell r="J901">
            <v>13.4</v>
          </cell>
          <cell r="N901" t="e">
            <v>#DIV/0!</v>
          </cell>
        </row>
        <row r="902">
          <cell r="E902" t="str">
            <v>HGC-Lib-2450883</v>
          </cell>
          <cell r="F902" t="str">
            <v>NGS0324038-10</v>
          </cell>
          <cell r="G902">
            <v>6</v>
          </cell>
          <cell r="H902" t="str">
            <v>mRNA文库</v>
          </cell>
          <cell r="I902" t="str">
            <v>WWH</v>
          </cell>
          <cell r="J902">
            <v>9.76</v>
          </cell>
          <cell r="N902" t="e">
            <v>#DIV/0!</v>
          </cell>
        </row>
        <row r="903">
          <cell r="E903" t="str">
            <v>HGC-Lib-2450884</v>
          </cell>
          <cell r="F903" t="str">
            <v>NGS0324038-11</v>
          </cell>
          <cell r="G903">
            <v>6</v>
          </cell>
          <cell r="H903" t="str">
            <v>mRNA文库</v>
          </cell>
          <cell r="I903" t="str">
            <v>WWH</v>
          </cell>
          <cell r="J903">
            <v>11.8</v>
          </cell>
          <cell r="N903" t="e">
            <v>#DIV/0!</v>
          </cell>
        </row>
        <row r="904">
          <cell r="E904" t="str">
            <v>HGC-Lib-2450885</v>
          </cell>
          <cell r="F904" t="str">
            <v>NGS0324038-12</v>
          </cell>
          <cell r="G904">
            <v>6</v>
          </cell>
          <cell r="H904" t="str">
            <v>mRNA文库</v>
          </cell>
          <cell r="I904" t="str">
            <v>WWH</v>
          </cell>
          <cell r="J904">
            <v>15.9</v>
          </cell>
          <cell r="N904" t="e">
            <v>#DIV/0!</v>
          </cell>
        </row>
        <row r="905">
          <cell r="E905" t="str">
            <v>HGC-POOL-2450886</v>
          </cell>
          <cell r="F905" t="str">
            <v>AT98</v>
          </cell>
          <cell r="G905">
            <v>100</v>
          </cell>
          <cell r="H905" t="str">
            <v>10XATAC测序</v>
          </cell>
          <cell r="I905" t="str">
            <v>WWH</v>
          </cell>
          <cell r="J905">
            <v>43.6</v>
          </cell>
          <cell r="N905" t="e">
            <v>#DIV/0!</v>
          </cell>
        </row>
        <row r="906">
          <cell r="E906" t="str">
            <v>HGC-POOL-2450887</v>
          </cell>
          <cell r="F906" t="str">
            <v>AT99</v>
          </cell>
          <cell r="G906">
            <v>100</v>
          </cell>
          <cell r="H906" t="str">
            <v>10XATAC测序</v>
          </cell>
          <cell r="I906" t="str">
            <v>DY</v>
          </cell>
          <cell r="J906">
            <v>75</v>
          </cell>
          <cell r="N906" t="e">
            <v>#DIV/0!</v>
          </cell>
        </row>
        <row r="907">
          <cell r="E907" t="str">
            <v>HGC-POOL-2450888</v>
          </cell>
          <cell r="F907" t="str">
            <v>AT100</v>
          </cell>
          <cell r="G907">
            <v>100</v>
          </cell>
          <cell r="H907" t="str">
            <v>10XATAC测序</v>
          </cell>
          <cell r="I907" t="str">
            <v>DY</v>
          </cell>
          <cell r="J907">
            <v>47.4</v>
          </cell>
          <cell r="N907" t="e">
            <v>#DIV/0!</v>
          </cell>
        </row>
        <row r="908">
          <cell r="E908" t="str">
            <v>HGC-POOL-2450889</v>
          </cell>
          <cell r="F908" t="str">
            <v>AT101</v>
          </cell>
          <cell r="G908">
            <v>100</v>
          </cell>
          <cell r="H908" t="str">
            <v>10XATAC测序</v>
          </cell>
          <cell r="I908" t="str">
            <v>DY</v>
          </cell>
          <cell r="J908">
            <v>36.4</v>
          </cell>
          <cell r="N908" t="e">
            <v>#DIV/0!</v>
          </cell>
        </row>
        <row r="909">
          <cell r="E909" t="str">
            <v>HGC-POOL-2450890</v>
          </cell>
          <cell r="F909" t="str">
            <v>AT102</v>
          </cell>
          <cell r="G909">
            <v>100</v>
          </cell>
          <cell r="H909" t="str">
            <v>10XATAC测序</v>
          </cell>
          <cell r="I909" t="str">
            <v>DY</v>
          </cell>
          <cell r="J909">
            <v>16.100000000000001</v>
          </cell>
          <cell r="N909" t="e">
            <v>#DIV/0!</v>
          </cell>
        </row>
        <row r="910">
          <cell r="E910" t="str">
            <v>HGC-POOL-2450891</v>
          </cell>
          <cell r="F910" t="str">
            <v>AT103</v>
          </cell>
          <cell r="G910">
            <v>100</v>
          </cell>
          <cell r="H910" t="str">
            <v>10XATAC测序</v>
          </cell>
          <cell r="I910" t="str">
            <v>DY</v>
          </cell>
          <cell r="J910">
            <v>28</v>
          </cell>
          <cell r="N910" t="e">
            <v>#DIV/0!</v>
          </cell>
        </row>
        <row r="911">
          <cell r="E911" t="str">
            <v>HGC-POOL-2450892</v>
          </cell>
          <cell r="F911" t="str">
            <v>AT104</v>
          </cell>
          <cell r="G911">
            <v>100</v>
          </cell>
          <cell r="H911" t="str">
            <v>10XATAC测序</v>
          </cell>
          <cell r="I911" t="str">
            <v>DY</v>
          </cell>
          <cell r="J911">
            <v>44.6</v>
          </cell>
          <cell r="N911" t="e">
            <v>#DIV/0!</v>
          </cell>
        </row>
        <row r="912">
          <cell r="E912" t="str">
            <v>HGC-POOL-2450893</v>
          </cell>
          <cell r="F912" t="str">
            <v>AT105</v>
          </cell>
          <cell r="G912">
            <v>100</v>
          </cell>
          <cell r="H912" t="str">
            <v>10XATAC测序</v>
          </cell>
          <cell r="I912" t="str">
            <v>DY</v>
          </cell>
          <cell r="J912">
            <v>54.4</v>
          </cell>
          <cell r="N912" t="e">
            <v>#DIV/0!</v>
          </cell>
        </row>
        <row r="913">
          <cell r="E913" t="str">
            <v>HGC-Lib-2450898</v>
          </cell>
          <cell r="F913" t="str">
            <v>hitomcll278</v>
          </cell>
          <cell r="G913">
            <v>4</v>
          </cell>
          <cell r="H913" t="str">
            <v>PCR片段文库</v>
          </cell>
          <cell r="I913" t="str">
            <v>DY</v>
          </cell>
          <cell r="J913">
            <v>49.8</v>
          </cell>
          <cell r="K913">
            <v>574</v>
          </cell>
          <cell r="L913" t="str">
            <v>XCL</v>
          </cell>
          <cell r="N913">
            <v>133.47627981774301</v>
          </cell>
        </row>
        <row r="914">
          <cell r="E914" t="str">
            <v>HGC-POOL-2450899</v>
          </cell>
          <cell r="F914" t="str">
            <v>WK0629-1</v>
          </cell>
          <cell r="G914">
            <v>35</v>
          </cell>
          <cell r="H914" t="str">
            <v>WES/panel捕获文库</v>
          </cell>
          <cell r="I914" t="str">
            <v>DY</v>
          </cell>
          <cell r="J914">
            <v>1.95</v>
          </cell>
          <cell r="K914">
            <v>377</v>
          </cell>
          <cell r="L914" t="str">
            <v>WH</v>
          </cell>
          <cell r="N914">
            <v>7.9575596816976102</v>
          </cell>
        </row>
        <row r="915">
          <cell r="E915" t="str">
            <v>HGC-Lib-2450900</v>
          </cell>
          <cell r="F915" t="str">
            <v>F91</v>
          </cell>
          <cell r="G915">
            <v>1</v>
          </cell>
          <cell r="H915" t="str">
            <v>PCR产物文库</v>
          </cell>
          <cell r="I915" t="str">
            <v>DY</v>
          </cell>
          <cell r="J915">
            <v>28</v>
          </cell>
          <cell r="K915">
            <v>320</v>
          </cell>
          <cell r="L915" t="str">
            <v>XCL</v>
          </cell>
          <cell r="N915">
            <v>134.61538461538501</v>
          </cell>
        </row>
        <row r="916">
          <cell r="E916" t="str">
            <v>HGC-Lib-2450901</v>
          </cell>
          <cell r="F916" t="str">
            <v>G36</v>
          </cell>
          <cell r="G916">
            <v>1</v>
          </cell>
          <cell r="H916" t="str">
            <v>PCR产物文库</v>
          </cell>
          <cell r="I916" t="str">
            <v>DY</v>
          </cell>
          <cell r="J916">
            <v>23</v>
          </cell>
          <cell r="K916">
            <v>305</v>
          </cell>
          <cell r="L916" t="str">
            <v>XCL</v>
          </cell>
          <cell r="N916">
            <v>116.015132408575</v>
          </cell>
        </row>
        <row r="917">
          <cell r="E917" t="str">
            <v>HGC-Lib-2450902</v>
          </cell>
          <cell r="F917" t="str">
            <v>G21</v>
          </cell>
          <cell r="G917">
            <v>4</v>
          </cell>
          <cell r="H917" t="str">
            <v>PCR产物文库</v>
          </cell>
          <cell r="I917" t="str">
            <v>DY</v>
          </cell>
          <cell r="J917">
            <v>8.34</v>
          </cell>
          <cell r="K917">
            <v>312</v>
          </cell>
          <cell r="L917" t="str">
            <v>WH</v>
          </cell>
          <cell r="N917">
            <v>41.124260355029598</v>
          </cell>
        </row>
        <row r="918">
          <cell r="E918" t="str">
            <v>HGC-Lib-2450903</v>
          </cell>
          <cell r="F918" t="str">
            <v>G22</v>
          </cell>
          <cell r="G918">
            <v>4</v>
          </cell>
          <cell r="H918" t="str">
            <v>PCR产物文库</v>
          </cell>
          <cell r="I918" t="str">
            <v>DY</v>
          </cell>
          <cell r="J918">
            <v>15.1</v>
          </cell>
          <cell r="K918">
            <v>253</v>
          </cell>
          <cell r="L918" t="str">
            <v>XCL</v>
          </cell>
          <cell r="N918">
            <v>91.821222256004901</v>
          </cell>
        </row>
        <row r="919">
          <cell r="E919" t="str">
            <v>HGC-Lib-2450904</v>
          </cell>
          <cell r="F919" t="str">
            <v>G23</v>
          </cell>
          <cell r="G919">
            <v>4</v>
          </cell>
          <cell r="H919" t="str">
            <v>PCR产物文库</v>
          </cell>
          <cell r="I919" t="str">
            <v>DY</v>
          </cell>
          <cell r="J919">
            <v>8</v>
          </cell>
          <cell r="K919">
            <v>523</v>
          </cell>
          <cell r="L919" t="str">
            <v>WH</v>
          </cell>
          <cell r="N919">
            <v>23.5328724812472</v>
          </cell>
        </row>
        <row r="920">
          <cell r="E920" t="str">
            <v>HGC-Lib-2450905</v>
          </cell>
          <cell r="F920" t="str">
            <v>G24</v>
          </cell>
          <cell r="G920">
            <v>4</v>
          </cell>
          <cell r="H920" t="str">
            <v>PCR产物文库</v>
          </cell>
          <cell r="I920" t="str">
            <v>DY</v>
          </cell>
          <cell r="J920">
            <v>8</v>
          </cell>
          <cell r="K920">
            <v>516</v>
          </cell>
          <cell r="L920" t="str">
            <v>WH</v>
          </cell>
          <cell r="N920">
            <v>23.852116875372701</v>
          </cell>
        </row>
        <row r="921">
          <cell r="E921" t="str">
            <v>HGC-Lib-2450906</v>
          </cell>
          <cell r="F921" t="str">
            <v>G53</v>
          </cell>
          <cell r="G921">
            <v>4</v>
          </cell>
          <cell r="H921" t="str">
            <v>PCR产物文库</v>
          </cell>
          <cell r="I921" t="str">
            <v>DY</v>
          </cell>
          <cell r="J921">
            <v>11</v>
          </cell>
          <cell r="K921">
            <v>348</v>
          </cell>
          <cell r="L921" t="str">
            <v>XCL</v>
          </cell>
          <cell r="N921">
            <v>48.629531388152103</v>
          </cell>
        </row>
        <row r="922">
          <cell r="E922" t="str">
            <v>HGC-Lib-2450907</v>
          </cell>
          <cell r="F922" t="str">
            <v>G54</v>
          </cell>
          <cell r="G922">
            <v>4</v>
          </cell>
          <cell r="H922" t="str">
            <v>PCR产物文库</v>
          </cell>
          <cell r="I922" t="str">
            <v>DY</v>
          </cell>
          <cell r="J922">
            <v>24.6</v>
          </cell>
          <cell r="K922">
            <v>305</v>
          </cell>
          <cell r="L922" t="str">
            <v>XCL</v>
          </cell>
          <cell r="N922">
            <v>124.08575031525901</v>
          </cell>
        </row>
        <row r="923">
          <cell r="E923" t="str">
            <v>HGC-Lib-2450908</v>
          </cell>
          <cell r="F923" t="str">
            <v>G55</v>
          </cell>
          <cell r="G923">
            <v>1</v>
          </cell>
          <cell r="H923" t="str">
            <v>PCR产物文库</v>
          </cell>
          <cell r="I923" t="str">
            <v>DY</v>
          </cell>
          <cell r="J923">
            <v>18.7</v>
          </cell>
          <cell r="K923">
            <v>320</v>
          </cell>
          <cell r="L923" t="str">
            <v>XCL</v>
          </cell>
          <cell r="N923">
            <v>89.903846153846104</v>
          </cell>
        </row>
        <row r="924">
          <cell r="E924" t="str">
            <v>HGC-Lib-2450909</v>
          </cell>
          <cell r="F924" t="str">
            <v>G56</v>
          </cell>
          <cell r="G924">
            <v>1</v>
          </cell>
          <cell r="H924" t="str">
            <v>PCR产物文库</v>
          </cell>
          <cell r="I924" t="str">
            <v>DY</v>
          </cell>
          <cell r="J924">
            <v>23</v>
          </cell>
          <cell r="K924">
            <v>303</v>
          </cell>
          <cell r="L924" t="str">
            <v>XCL</v>
          </cell>
          <cell r="N924">
            <v>116.78090886011699</v>
          </cell>
        </row>
        <row r="925">
          <cell r="E925" t="str">
            <v>HGC-Lib-2450910</v>
          </cell>
          <cell r="F925" t="str">
            <v>G57</v>
          </cell>
          <cell r="G925">
            <v>1</v>
          </cell>
          <cell r="H925" t="str">
            <v>PCR产物文库</v>
          </cell>
          <cell r="I925" t="str">
            <v>DY</v>
          </cell>
          <cell r="J925">
            <v>20.2</v>
          </cell>
          <cell r="K925">
            <v>309</v>
          </cell>
          <cell r="L925" t="str">
            <v>XCL</v>
          </cell>
          <cell r="N925">
            <v>100.572566591984</v>
          </cell>
        </row>
        <row r="926">
          <cell r="E926" t="str">
            <v>HGC-Lib-2450911</v>
          </cell>
          <cell r="F926" t="str">
            <v>G58</v>
          </cell>
          <cell r="G926">
            <v>1</v>
          </cell>
          <cell r="H926" t="str">
            <v>PCR产物文库</v>
          </cell>
          <cell r="I926" t="str">
            <v>DY</v>
          </cell>
          <cell r="J926">
            <v>23.4</v>
          </cell>
          <cell r="K926">
            <v>302</v>
          </cell>
          <cell r="L926" t="str">
            <v>XCL</v>
          </cell>
          <cell r="N926">
            <v>119.205298013245</v>
          </cell>
        </row>
        <row r="927">
          <cell r="E927" t="str">
            <v>HGC-Lib-2450912</v>
          </cell>
          <cell r="F927" t="str">
            <v>G59</v>
          </cell>
          <cell r="G927">
            <v>4</v>
          </cell>
          <cell r="H927" t="str">
            <v>PCR产物文库</v>
          </cell>
          <cell r="I927" t="str">
            <v>DY</v>
          </cell>
          <cell r="J927">
            <v>24</v>
          </cell>
          <cell r="K927">
            <v>286</v>
          </cell>
          <cell r="L927" t="str">
            <v>XCL</v>
          </cell>
          <cell r="N927">
            <v>129.10166756320601</v>
          </cell>
        </row>
        <row r="928">
          <cell r="E928" t="str">
            <v>HGC-Lib-2450913</v>
          </cell>
          <cell r="F928" t="str">
            <v>G60</v>
          </cell>
          <cell r="G928">
            <v>4</v>
          </cell>
          <cell r="H928" t="str">
            <v>PCR产物文库</v>
          </cell>
          <cell r="I928" t="str">
            <v>DY</v>
          </cell>
          <cell r="J928">
            <v>22.4</v>
          </cell>
          <cell r="K928">
            <v>292</v>
          </cell>
          <cell r="L928" t="str">
            <v>XCL</v>
          </cell>
          <cell r="N928">
            <v>118.01896733403601</v>
          </cell>
        </row>
        <row r="929">
          <cell r="E929" t="str">
            <v>HGC-Lib-2450914</v>
          </cell>
          <cell r="F929" t="str">
            <v>G61</v>
          </cell>
          <cell r="G929">
            <v>4</v>
          </cell>
          <cell r="H929" t="str">
            <v>PCR产物文库</v>
          </cell>
          <cell r="I929" t="str">
            <v>DY</v>
          </cell>
          <cell r="J929">
            <v>8.82</v>
          </cell>
          <cell r="K929">
            <v>266</v>
          </cell>
          <cell r="L929" t="str">
            <v>WH</v>
          </cell>
          <cell r="N929">
            <v>51.012145748987898</v>
          </cell>
        </row>
        <row r="930">
          <cell r="E930" t="str">
            <v>HGC-Lib-2450915</v>
          </cell>
          <cell r="F930" t="str">
            <v>G62</v>
          </cell>
          <cell r="G930">
            <v>4</v>
          </cell>
          <cell r="H930" t="str">
            <v>PCR产物文库</v>
          </cell>
          <cell r="I930" t="str">
            <v>DY</v>
          </cell>
          <cell r="J930">
            <v>8.18</v>
          </cell>
          <cell r="K930">
            <v>263</v>
          </cell>
          <cell r="L930" t="str">
            <v>WH</v>
          </cell>
          <cell r="N930">
            <v>47.850248610704902</v>
          </cell>
        </row>
        <row r="931">
          <cell r="E931" t="str">
            <v>HGC-Lib-2450916</v>
          </cell>
          <cell r="F931" t="str">
            <v>G69</v>
          </cell>
          <cell r="G931">
            <v>4</v>
          </cell>
          <cell r="H931" t="str">
            <v>PCR产物文库</v>
          </cell>
          <cell r="I931" t="str">
            <v>DY</v>
          </cell>
          <cell r="J931">
            <v>19.3</v>
          </cell>
          <cell r="K931">
            <v>256</v>
          </cell>
          <cell r="L931" t="str">
            <v>XCL</v>
          </cell>
          <cell r="N931">
            <v>115.98557692307701</v>
          </cell>
        </row>
        <row r="932">
          <cell r="E932" t="str">
            <v>HGC-Lib-2450917</v>
          </cell>
          <cell r="F932" t="str">
            <v>G70</v>
          </cell>
          <cell r="G932">
            <v>4</v>
          </cell>
          <cell r="H932" t="str">
            <v>PCR产物文库</v>
          </cell>
          <cell r="I932" t="str">
            <v>DY</v>
          </cell>
          <cell r="J932">
            <v>18.600000000000001</v>
          </cell>
          <cell r="K932">
            <v>261</v>
          </cell>
          <cell r="L932" t="str">
            <v>XCL</v>
          </cell>
          <cell r="N932">
            <v>109.637488947834</v>
          </cell>
        </row>
        <row r="933">
          <cell r="E933" t="str">
            <v>HGC-Lib-2450918</v>
          </cell>
          <cell r="F933" t="str">
            <v>G71</v>
          </cell>
          <cell r="G933">
            <v>1</v>
          </cell>
          <cell r="H933" t="str">
            <v>PCR产物文库</v>
          </cell>
          <cell r="I933" t="str">
            <v>DY</v>
          </cell>
          <cell r="J933">
            <v>19.399999999999999</v>
          </cell>
          <cell r="K933">
            <v>496</v>
          </cell>
          <cell r="L933" t="str">
            <v>XCL</v>
          </cell>
          <cell r="N933">
            <v>60.1736972704715</v>
          </cell>
        </row>
        <row r="934">
          <cell r="E934" t="str">
            <v>HGC-Lib-2450919</v>
          </cell>
          <cell r="F934" t="str">
            <v>G72</v>
          </cell>
          <cell r="G934">
            <v>1</v>
          </cell>
          <cell r="H934" t="str">
            <v>PCR产物文库</v>
          </cell>
          <cell r="I934" t="str">
            <v>DY</v>
          </cell>
          <cell r="J934">
            <v>18</v>
          </cell>
          <cell r="K934">
            <v>501</v>
          </cell>
          <cell r="L934" t="str">
            <v>XCL</v>
          </cell>
          <cell r="N934">
            <v>55.274067250115202</v>
          </cell>
        </row>
        <row r="935">
          <cell r="E935" t="str">
            <v>HGC-Lib-2450920</v>
          </cell>
          <cell r="F935" t="str">
            <v>G73</v>
          </cell>
          <cell r="G935">
            <v>1</v>
          </cell>
          <cell r="H935" t="str">
            <v>PCR产物文库</v>
          </cell>
          <cell r="I935" t="str">
            <v>DY</v>
          </cell>
          <cell r="J935">
            <v>17.899999999999999</v>
          </cell>
          <cell r="K935">
            <v>293</v>
          </cell>
          <cell r="L935" t="str">
            <v>XCL</v>
          </cell>
          <cell r="N935">
            <v>93.987923339459201</v>
          </cell>
        </row>
        <row r="936">
          <cell r="E936" t="str">
            <v>HGC-Lib-2450921</v>
          </cell>
          <cell r="F936" t="str">
            <v>G74</v>
          </cell>
          <cell r="G936">
            <v>1</v>
          </cell>
          <cell r="H936" t="str">
            <v>PCR产物文库</v>
          </cell>
          <cell r="I936" t="str">
            <v>DY</v>
          </cell>
          <cell r="J936">
            <v>17.399999999999999</v>
          </cell>
          <cell r="K936">
            <v>274</v>
          </cell>
          <cell r="L936" t="str">
            <v>XCL</v>
          </cell>
          <cell r="N936">
            <v>97.697922515440794</v>
          </cell>
        </row>
        <row r="937">
          <cell r="E937" t="str">
            <v>HGC-Lib-2450922</v>
          </cell>
          <cell r="F937" t="str">
            <v>G75</v>
          </cell>
          <cell r="G937">
            <v>4</v>
          </cell>
          <cell r="H937" t="str">
            <v>PCR产物文库</v>
          </cell>
          <cell r="I937" t="str">
            <v>DY</v>
          </cell>
          <cell r="J937">
            <v>14.1</v>
          </cell>
          <cell r="K937">
            <v>731</v>
          </cell>
          <cell r="L937" t="str">
            <v>XCL</v>
          </cell>
          <cell r="N937">
            <v>29.674839524360699</v>
          </cell>
        </row>
        <row r="938">
          <cell r="E938" t="str">
            <v>HGC-Lib-2450923</v>
          </cell>
          <cell r="F938" t="str">
            <v>G76</v>
          </cell>
          <cell r="G938">
            <v>4</v>
          </cell>
          <cell r="H938" t="str">
            <v>PCR产物文库</v>
          </cell>
          <cell r="I938" t="str">
            <v>DY</v>
          </cell>
          <cell r="J938">
            <v>21.6</v>
          </cell>
          <cell r="K938">
            <v>262</v>
          </cell>
          <cell r="L938" t="str">
            <v>XCL</v>
          </cell>
          <cell r="N938">
            <v>126.83499706400499</v>
          </cell>
        </row>
        <row r="939">
          <cell r="E939" t="str">
            <v>HGC-Lib-2450924</v>
          </cell>
          <cell r="F939" t="str">
            <v>G77</v>
          </cell>
          <cell r="G939">
            <v>4</v>
          </cell>
          <cell r="H939" t="str">
            <v>PCR产物文库</v>
          </cell>
          <cell r="I939" t="str">
            <v>DY</v>
          </cell>
          <cell r="J939">
            <v>22.4</v>
          </cell>
          <cell r="K939">
            <v>298</v>
          </cell>
          <cell r="L939" t="str">
            <v>XCL</v>
          </cell>
          <cell r="N939">
            <v>115.64274651523</v>
          </cell>
        </row>
        <row r="940">
          <cell r="E940" t="str">
            <v>HGC-Lib-2450925</v>
          </cell>
          <cell r="F940" t="str">
            <v>G78</v>
          </cell>
          <cell r="G940">
            <v>4</v>
          </cell>
          <cell r="H940" t="str">
            <v>PCR产物文库</v>
          </cell>
          <cell r="I940" t="str">
            <v>DY</v>
          </cell>
          <cell r="J940">
            <v>18.100000000000001</v>
          </cell>
          <cell r="K940">
            <v>298</v>
          </cell>
          <cell r="L940" t="str">
            <v>XCL</v>
          </cell>
          <cell r="N940">
            <v>93.443469282395498</v>
          </cell>
        </row>
        <row r="941">
          <cell r="E941" t="str">
            <v>HGC-Lib-2450926</v>
          </cell>
          <cell r="F941">
            <v>200</v>
          </cell>
          <cell r="G941">
            <v>6</v>
          </cell>
          <cell r="H941" t="str">
            <v>ATAC-Seq文库</v>
          </cell>
          <cell r="I941" t="str">
            <v>DY</v>
          </cell>
          <cell r="J941">
            <v>73.8</v>
          </cell>
          <cell r="K941">
            <v>385</v>
          </cell>
          <cell r="L941" t="str">
            <v>XCL</v>
          </cell>
          <cell r="N941">
            <v>294.90509490509498</v>
          </cell>
        </row>
        <row r="942">
          <cell r="E942" t="str">
            <v>HGC-Lib-2450927</v>
          </cell>
          <cell r="F942">
            <v>400</v>
          </cell>
          <cell r="G942">
            <v>6</v>
          </cell>
          <cell r="H942" t="str">
            <v>ATAC-Seq文库</v>
          </cell>
          <cell r="I942" t="str">
            <v>DY</v>
          </cell>
          <cell r="J942">
            <v>33.200000000000003</v>
          </cell>
          <cell r="K942">
            <v>295</v>
          </cell>
          <cell r="L942" t="str">
            <v>XCL</v>
          </cell>
          <cell r="N942">
            <v>173.14211212516301</v>
          </cell>
        </row>
        <row r="943">
          <cell r="E943" t="str">
            <v>HGC-Lib-2450936</v>
          </cell>
          <cell r="F943" t="str">
            <v>UtoC-3</v>
          </cell>
          <cell r="G943">
            <v>2</v>
          </cell>
          <cell r="H943" t="str">
            <v>PCR片段文库</v>
          </cell>
          <cell r="I943" t="str">
            <v>DY</v>
          </cell>
          <cell r="J943">
            <v>41.6</v>
          </cell>
          <cell r="K943">
            <v>386</v>
          </cell>
          <cell r="L943" t="str">
            <v>XCL</v>
          </cell>
          <cell r="N943">
            <v>165.80310880829001</v>
          </cell>
        </row>
        <row r="944">
          <cell r="E944" t="str">
            <v>HGC-POOL-2450994</v>
          </cell>
          <cell r="F944" t="str">
            <v>DZY-240627-NAC3</v>
          </cell>
          <cell r="G944">
            <v>27</v>
          </cell>
          <cell r="H944" t="str">
            <v>Chip-Seq</v>
          </cell>
          <cell r="I944" t="str">
            <v>DY</v>
          </cell>
          <cell r="J944">
            <v>13.1</v>
          </cell>
          <cell r="K944">
            <v>401</v>
          </cell>
          <cell r="L944" t="str">
            <v>XCL</v>
          </cell>
          <cell r="N944">
            <v>50.258967964703601</v>
          </cell>
        </row>
        <row r="945">
          <cell r="E945" t="str">
            <v>HGC-POOL-2450995</v>
          </cell>
          <cell r="F945" t="str">
            <v>RNA-1</v>
          </cell>
          <cell r="G945">
            <v>140</v>
          </cell>
          <cell r="H945" t="str">
            <v>mRNA文库</v>
          </cell>
          <cell r="I945" t="str">
            <v>DY</v>
          </cell>
          <cell r="J945">
            <v>10.5</v>
          </cell>
          <cell r="K945">
            <v>339</v>
          </cell>
          <cell r="L945" t="str">
            <v>XCL</v>
          </cell>
          <cell r="N945">
            <v>47.651463580667098</v>
          </cell>
        </row>
        <row r="946">
          <cell r="E946" t="str">
            <v>HGC-Lib-2451019</v>
          </cell>
          <cell r="F946" t="str">
            <v>TCRLFTC240624053</v>
          </cell>
          <cell r="G946">
            <v>12</v>
          </cell>
          <cell r="H946" t="str">
            <v>singleron-单细胞TCR文库</v>
          </cell>
          <cell r="I946" t="str">
            <v>WH</v>
          </cell>
          <cell r="J946">
            <v>26.8</v>
          </cell>
          <cell r="N946" t="e">
            <v>#DIV/0!</v>
          </cell>
        </row>
        <row r="947">
          <cell r="E947" t="str">
            <v>HGC-Lib-2451020</v>
          </cell>
          <cell r="F947" t="str">
            <v>LC240625082</v>
          </cell>
          <cell r="G947">
            <v>100</v>
          </cell>
          <cell r="H947" t="str">
            <v>singleron-3'转录组文库</v>
          </cell>
          <cell r="I947" t="str">
            <v>WH</v>
          </cell>
          <cell r="J947">
            <v>19.100000000000001</v>
          </cell>
          <cell r="N947" t="e">
            <v>#DIV/0!</v>
          </cell>
        </row>
        <row r="948">
          <cell r="E948" t="str">
            <v>HGC-Lib-2451021</v>
          </cell>
          <cell r="F948" t="str">
            <v>LC240625081</v>
          </cell>
          <cell r="G948">
            <v>100</v>
          </cell>
          <cell r="H948" t="str">
            <v>singleron-3'转录组文库</v>
          </cell>
          <cell r="I948" t="str">
            <v>WH</v>
          </cell>
          <cell r="J948">
            <v>20.399999999999999</v>
          </cell>
          <cell r="N948" t="e">
            <v>#DIV/0!</v>
          </cell>
        </row>
        <row r="949">
          <cell r="E949" t="str">
            <v>HGC-Lib-2451022</v>
          </cell>
          <cell r="F949" t="str">
            <v>LC240626076</v>
          </cell>
          <cell r="G949">
            <v>100</v>
          </cell>
          <cell r="H949" t="str">
            <v>singleron-3'转录组文库</v>
          </cell>
          <cell r="I949" t="str">
            <v>WH</v>
          </cell>
          <cell r="J949">
            <v>17.2</v>
          </cell>
          <cell r="N949" t="e">
            <v>#DIV/0!</v>
          </cell>
        </row>
        <row r="950">
          <cell r="E950" t="str">
            <v>HGC-Lib-2451023</v>
          </cell>
          <cell r="F950" t="str">
            <v>LA240627068</v>
          </cell>
          <cell r="G950">
            <v>100</v>
          </cell>
          <cell r="H950" t="str">
            <v>singleron-3'转录组文库</v>
          </cell>
          <cell r="I950" t="str">
            <v>WH</v>
          </cell>
          <cell r="J950">
            <v>13.7</v>
          </cell>
          <cell r="N950" t="e">
            <v>#DIV/0!</v>
          </cell>
        </row>
        <row r="951">
          <cell r="E951" t="str">
            <v>HGC-Lib-2451024</v>
          </cell>
          <cell r="F951" t="str">
            <v>LC240626047</v>
          </cell>
          <cell r="G951">
            <v>100</v>
          </cell>
          <cell r="H951" t="str">
            <v>singleron-3'转录组文库</v>
          </cell>
          <cell r="I951" t="str">
            <v>WH</v>
          </cell>
          <cell r="J951">
            <v>19.3</v>
          </cell>
          <cell r="N951" t="e">
            <v>#DIV/0!</v>
          </cell>
        </row>
        <row r="952">
          <cell r="E952" t="str">
            <v>HGC-Lib-2451025</v>
          </cell>
          <cell r="F952" t="str">
            <v>LC240626046</v>
          </cell>
          <cell r="G952">
            <v>100</v>
          </cell>
          <cell r="H952" t="str">
            <v>singleron-3'转录组文库</v>
          </cell>
          <cell r="I952" t="str">
            <v>WH</v>
          </cell>
          <cell r="J952">
            <v>17.399999999999999</v>
          </cell>
          <cell r="N952" t="e">
            <v>#DIV/0!</v>
          </cell>
        </row>
        <row r="953">
          <cell r="E953" t="str">
            <v>HGC-Lib-2451026</v>
          </cell>
          <cell r="F953" t="str">
            <v>LA240627067</v>
          </cell>
          <cell r="G953">
            <v>100</v>
          </cell>
          <cell r="H953" t="str">
            <v>singleron-3'转录组文库</v>
          </cell>
          <cell r="I953" t="str">
            <v>WH</v>
          </cell>
          <cell r="J953">
            <v>13.9</v>
          </cell>
          <cell r="N953" t="e">
            <v>#DIV/0!</v>
          </cell>
        </row>
        <row r="954">
          <cell r="E954" t="str">
            <v>HGC-Lib-2451027</v>
          </cell>
          <cell r="F954" t="str">
            <v>LFTBC240626048</v>
          </cell>
          <cell r="G954">
            <v>90</v>
          </cell>
          <cell r="H954" t="str">
            <v>singleron-3'全长转录组文库</v>
          </cell>
          <cell r="I954" t="str">
            <v>WH</v>
          </cell>
          <cell r="J954">
            <v>26.2</v>
          </cell>
          <cell r="N954" t="e">
            <v>#DIV/0!</v>
          </cell>
        </row>
        <row r="955">
          <cell r="E955" t="str">
            <v>HGC-Lib-2451028</v>
          </cell>
          <cell r="F955" t="str">
            <v>BCRLFTBC240626048</v>
          </cell>
          <cell r="G955">
            <v>12</v>
          </cell>
          <cell r="H955" t="str">
            <v>singleron-单细胞BCR文库</v>
          </cell>
          <cell r="I955" t="str">
            <v>WH</v>
          </cell>
          <cell r="J955">
            <v>30.8</v>
          </cell>
          <cell r="N955" t="e">
            <v>#DIV/0!</v>
          </cell>
        </row>
        <row r="956">
          <cell r="E956" t="str">
            <v>HGC-Lib-2451029</v>
          </cell>
          <cell r="F956" t="str">
            <v>LFTBC240626037</v>
          </cell>
          <cell r="G956">
            <v>90</v>
          </cell>
          <cell r="H956" t="str">
            <v>singleron-3'全长转录组文库</v>
          </cell>
          <cell r="I956" t="str">
            <v>WH</v>
          </cell>
          <cell r="J956">
            <v>17.100000000000001</v>
          </cell>
          <cell r="N956" t="e">
            <v>#DIV/0!</v>
          </cell>
        </row>
        <row r="957">
          <cell r="E957" t="str">
            <v>HGC-Lib-2451030</v>
          </cell>
          <cell r="F957" t="str">
            <v>BCRLFTBC240626037</v>
          </cell>
          <cell r="G957">
            <v>12</v>
          </cell>
          <cell r="H957" t="str">
            <v>singleron-单细胞BCR文库</v>
          </cell>
          <cell r="I957" t="str">
            <v>WH</v>
          </cell>
          <cell r="J957">
            <v>30.6</v>
          </cell>
          <cell r="N957" t="e">
            <v>#DIV/0!</v>
          </cell>
        </row>
        <row r="958">
          <cell r="E958" t="str">
            <v>HGC-Lib-2451031</v>
          </cell>
          <cell r="F958" t="str">
            <v>BCRLFTBC240626049</v>
          </cell>
          <cell r="G958">
            <v>12</v>
          </cell>
          <cell r="H958" t="str">
            <v>singleron-单细胞BCR文库</v>
          </cell>
          <cell r="I958" t="str">
            <v>WH</v>
          </cell>
          <cell r="J958">
            <v>31</v>
          </cell>
          <cell r="N958" t="e">
            <v>#DIV/0!</v>
          </cell>
        </row>
        <row r="959">
          <cell r="E959" t="str">
            <v>HGC-Lib-2451032</v>
          </cell>
          <cell r="F959" t="str">
            <v>LFTBC240626049</v>
          </cell>
          <cell r="G959">
            <v>90</v>
          </cell>
          <cell r="H959" t="str">
            <v>singleron-3'全长转录组文库</v>
          </cell>
          <cell r="I959" t="str">
            <v>WH</v>
          </cell>
          <cell r="J959">
            <v>20.8</v>
          </cell>
          <cell r="N959" t="e">
            <v>#DIV/0!</v>
          </cell>
        </row>
        <row r="960">
          <cell r="E960" t="str">
            <v>HGC-Lib-2451033</v>
          </cell>
          <cell r="F960" t="str">
            <v>LA240623036</v>
          </cell>
          <cell r="G960">
            <v>100</v>
          </cell>
          <cell r="H960" t="str">
            <v>singleron-3'转录组文库</v>
          </cell>
          <cell r="I960" t="str">
            <v>WH</v>
          </cell>
          <cell r="J960">
            <v>14.4</v>
          </cell>
          <cell r="N960" t="e">
            <v>#DIV/0!</v>
          </cell>
        </row>
        <row r="961">
          <cell r="E961" t="str">
            <v>HGC-Lib-2451034</v>
          </cell>
          <cell r="F961" t="str">
            <v>LC240625070</v>
          </cell>
          <cell r="G961">
            <v>100</v>
          </cell>
          <cell r="H961" t="str">
            <v>singleron-3'转录组文库</v>
          </cell>
          <cell r="I961" t="str">
            <v>WH</v>
          </cell>
          <cell r="J961">
            <v>15</v>
          </cell>
          <cell r="N961" t="e">
            <v>#DIV/0!</v>
          </cell>
        </row>
        <row r="962">
          <cell r="E962" t="str">
            <v>HGC-Lib-2451035</v>
          </cell>
          <cell r="F962" t="str">
            <v>LC240625083</v>
          </cell>
          <cell r="G962">
            <v>100</v>
          </cell>
          <cell r="H962" t="str">
            <v>singleron-3'转录组文库</v>
          </cell>
          <cell r="I962" t="str">
            <v>WH</v>
          </cell>
          <cell r="J962">
            <v>16.3</v>
          </cell>
          <cell r="N962" t="e">
            <v>#DIV/0!</v>
          </cell>
        </row>
        <row r="963">
          <cell r="E963" t="str">
            <v>HGC-Lib-2451036</v>
          </cell>
          <cell r="F963" t="str">
            <v>LC240622076</v>
          </cell>
          <cell r="G963">
            <v>100</v>
          </cell>
          <cell r="H963" t="str">
            <v>singleron-3'转录组文库</v>
          </cell>
          <cell r="I963" t="str">
            <v>WH</v>
          </cell>
          <cell r="J963">
            <v>22.8</v>
          </cell>
          <cell r="N963" t="e">
            <v>#DIV/0!</v>
          </cell>
        </row>
        <row r="964">
          <cell r="E964" t="str">
            <v>HGC-Lib-2451037</v>
          </cell>
          <cell r="F964" t="str">
            <v>LHC240622075</v>
          </cell>
          <cell r="G964">
            <v>200</v>
          </cell>
          <cell r="H964" t="str">
            <v>singleron-3'转录组文库</v>
          </cell>
          <cell r="I964" t="str">
            <v>WH</v>
          </cell>
          <cell r="J964">
            <v>16.2</v>
          </cell>
          <cell r="N964" t="e">
            <v>#DIV/0!</v>
          </cell>
        </row>
        <row r="965">
          <cell r="E965" t="str">
            <v>HGC-Lib-2451038</v>
          </cell>
          <cell r="F965" t="str">
            <v>LA240625012</v>
          </cell>
          <cell r="G965">
            <v>100</v>
          </cell>
          <cell r="H965" t="str">
            <v>singleron-3'转录组文库</v>
          </cell>
          <cell r="I965" t="str">
            <v>WH</v>
          </cell>
          <cell r="J965">
            <v>17.899999999999999</v>
          </cell>
          <cell r="N965" t="e">
            <v>#DIV/0!</v>
          </cell>
        </row>
        <row r="966">
          <cell r="E966" t="str">
            <v>HGC-Lib-2451039</v>
          </cell>
          <cell r="F966" t="str">
            <v>LA240625013</v>
          </cell>
          <cell r="G966">
            <v>100</v>
          </cell>
          <cell r="H966" t="str">
            <v>singleron-3'转录组文库</v>
          </cell>
          <cell r="I966" t="str">
            <v>WH</v>
          </cell>
          <cell r="J966">
            <v>16.7</v>
          </cell>
          <cell r="N966" t="e">
            <v>#DIV/0!</v>
          </cell>
        </row>
        <row r="967">
          <cell r="E967" t="str">
            <v>HGC-Lib-2451040</v>
          </cell>
          <cell r="F967" t="str">
            <v>LA240625014</v>
          </cell>
          <cell r="G967">
            <v>100</v>
          </cell>
          <cell r="H967" t="str">
            <v>singleron-3'转录组文库</v>
          </cell>
          <cell r="I967" t="str">
            <v>WH</v>
          </cell>
          <cell r="J967">
            <v>18.3</v>
          </cell>
          <cell r="N967" t="e">
            <v>#DIV/0!</v>
          </cell>
        </row>
        <row r="968">
          <cell r="E968" t="str">
            <v>HGC-Lib-2451041</v>
          </cell>
          <cell r="F968" t="str">
            <v>LA240625074</v>
          </cell>
          <cell r="G968">
            <v>130</v>
          </cell>
          <cell r="H968" t="str">
            <v>singleron-3'转录组文库</v>
          </cell>
          <cell r="I968" t="str">
            <v>WH</v>
          </cell>
          <cell r="J968">
            <v>13.3</v>
          </cell>
          <cell r="N968" t="e">
            <v>#DIV/0!</v>
          </cell>
        </row>
        <row r="969">
          <cell r="E969" t="str">
            <v>HGC-Lib-2451042</v>
          </cell>
          <cell r="F969" t="str">
            <v>LC240627059</v>
          </cell>
          <cell r="G969">
            <v>100</v>
          </cell>
          <cell r="H969" t="str">
            <v>singleron-3'转录组文库</v>
          </cell>
          <cell r="I969" t="str">
            <v>WH</v>
          </cell>
          <cell r="J969">
            <v>10.9</v>
          </cell>
          <cell r="N969" t="e">
            <v>#DIV/0!</v>
          </cell>
        </row>
        <row r="970">
          <cell r="E970" t="str">
            <v>HGC-Lib-2451043</v>
          </cell>
          <cell r="F970" t="str">
            <v>LC240627060</v>
          </cell>
          <cell r="G970">
            <v>100</v>
          </cell>
          <cell r="H970" t="str">
            <v>singleron-3'转录组文库</v>
          </cell>
          <cell r="I970" t="str">
            <v>WH</v>
          </cell>
          <cell r="J970">
            <v>16</v>
          </cell>
          <cell r="N970" t="e">
            <v>#DIV/0!</v>
          </cell>
        </row>
        <row r="971">
          <cell r="E971" t="str">
            <v>HGC-Lib-2451044</v>
          </cell>
          <cell r="F971" t="str">
            <v>LC240626077</v>
          </cell>
          <cell r="G971">
            <v>10</v>
          </cell>
          <cell r="H971" t="str">
            <v>singleron-3'转录组文库</v>
          </cell>
          <cell r="I971" t="str">
            <v>WH</v>
          </cell>
          <cell r="J971">
            <v>12.7</v>
          </cell>
          <cell r="N971" t="e">
            <v>#DIV/0!</v>
          </cell>
        </row>
        <row r="972">
          <cell r="E972" t="str">
            <v>HGC-Lib-2451045</v>
          </cell>
          <cell r="F972" t="str">
            <v>LC240626078</v>
          </cell>
          <cell r="G972">
            <v>10</v>
          </cell>
          <cell r="H972" t="str">
            <v>singleron-3'转录组文库</v>
          </cell>
          <cell r="I972" t="str">
            <v>WH</v>
          </cell>
          <cell r="J972">
            <v>12.5</v>
          </cell>
          <cell r="N972" t="e">
            <v>#DIV/0!</v>
          </cell>
        </row>
        <row r="973">
          <cell r="E973" t="str">
            <v>HGC-Lib-2451046</v>
          </cell>
          <cell r="F973" t="str">
            <v>LC240627057</v>
          </cell>
          <cell r="G973">
            <v>100</v>
          </cell>
          <cell r="H973" t="str">
            <v>singleron-3'转录组文库</v>
          </cell>
          <cell r="I973" t="str">
            <v>WH</v>
          </cell>
          <cell r="J973">
            <v>15.9</v>
          </cell>
          <cell r="N973" t="e">
            <v>#DIV/0!</v>
          </cell>
        </row>
        <row r="974">
          <cell r="E974" t="str">
            <v>HGC-Lib-2451047</v>
          </cell>
          <cell r="F974" t="str">
            <v>LC240625069</v>
          </cell>
          <cell r="G974">
            <v>100</v>
          </cell>
          <cell r="H974" t="str">
            <v>singleron-3'转录组文库</v>
          </cell>
          <cell r="I974" t="str">
            <v>WH</v>
          </cell>
          <cell r="J974">
            <v>17.899999999999999</v>
          </cell>
          <cell r="N974" t="e">
            <v>#DIV/0!</v>
          </cell>
        </row>
        <row r="975">
          <cell r="E975" t="str">
            <v>HGC-Lib-2451048</v>
          </cell>
          <cell r="F975" t="str">
            <v>LC240626001X2</v>
          </cell>
          <cell r="G975">
            <v>100</v>
          </cell>
          <cell r="H975" t="str">
            <v>singleron-3'转录组文库</v>
          </cell>
          <cell r="I975" t="str">
            <v>WH</v>
          </cell>
          <cell r="J975">
            <v>22.2</v>
          </cell>
          <cell r="N975" t="e">
            <v>#DIV/0!</v>
          </cell>
        </row>
        <row r="976">
          <cell r="E976" t="str">
            <v>HGC-Lib-2451049</v>
          </cell>
          <cell r="F976" t="str">
            <v>LA230409006CJ</v>
          </cell>
          <cell r="G976">
            <v>130</v>
          </cell>
          <cell r="H976" t="str">
            <v>singleron-3'转录组文库</v>
          </cell>
          <cell r="I976" t="str">
            <v>WH</v>
          </cell>
          <cell r="J976">
            <v>21.2</v>
          </cell>
          <cell r="N976" t="e">
            <v>#DIV/0!</v>
          </cell>
        </row>
        <row r="977">
          <cell r="E977" t="str">
            <v>HGC-Lib-2451050</v>
          </cell>
          <cell r="F977" t="str">
            <v>LA230511003CJ</v>
          </cell>
          <cell r="G977">
            <v>130</v>
          </cell>
          <cell r="H977" t="str">
            <v>singleron-3'转录组文库</v>
          </cell>
          <cell r="I977" t="str">
            <v>WH</v>
          </cell>
          <cell r="J977">
            <v>20.399999999999999</v>
          </cell>
          <cell r="N977" t="e">
            <v>#DIV/0!</v>
          </cell>
        </row>
        <row r="978">
          <cell r="E978" t="str">
            <v>HGC-Lib-2451051</v>
          </cell>
          <cell r="F978" t="str">
            <v>LA230425003CJ</v>
          </cell>
          <cell r="G978">
            <v>130</v>
          </cell>
          <cell r="H978" t="str">
            <v>singleron-3'转录组文库</v>
          </cell>
          <cell r="I978" t="str">
            <v>WH</v>
          </cell>
          <cell r="J978">
            <v>29.8</v>
          </cell>
          <cell r="N978" t="e">
            <v>#DIV/0!</v>
          </cell>
        </row>
        <row r="979">
          <cell r="E979" t="str">
            <v>HGC-Lib-2451052</v>
          </cell>
          <cell r="F979" t="str">
            <v>LA230511002CJ</v>
          </cell>
          <cell r="G979">
            <v>130</v>
          </cell>
          <cell r="H979" t="str">
            <v>singleron-3'转录组文库</v>
          </cell>
          <cell r="I979" t="str">
            <v>WH</v>
          </cell>
          <cell r="J979">
            <v>23.4</v>
          </cell>
          <cell r="N979" t="e">
            <v>#DIV/0!</v>
          </cell>
        </row>
        <row r="980">
          <cell r="E980" t="str">
            <v>HGC-Lib-2451053</v>
          </cell>
          <cell r="F980" t="str">
            <v>LA230409005CJ</v>
          </cell>
          <cell r="G980">
            <v>130</v>
          </cell>
          <cell r="H980" t="str">
            <v>singleron-3'转录组文库</v>
          </cell>
          <cell r="I980" t="str">
            <v>WH</v>
          </cell>
          <cell r="J980">
            <v>16.600000000000001</v>
          </cell>
          <cell r="N980" t="e">
            <v>#DIV/0!</v>
          </cell>
        </row>
        <row r="981">
          <cell r="E981" t="str">
            <v>HGC-Lib-2451054</v>
          </cell>
          <cell r="F981" t="str">
            <v>LFTC240625009</v>
          </cell>
          <cell r="G981">
            <v>120</v>
          </cell>
          <cell r="H981" t="str">
            <v>singleron-3'全长转录组文库</v>
          </cell>
          <cell r="I981" t="str">
            <v>WH</v>
          </cell>
          <cell r="J981">
            <v>19.600000000000001</v>
          </cell>
          <cell r="N981" t="e">
            <v>#DIV/0!</v>
          </cell>
        </row>
        <row r="982">
          <cell r="E982" t="str">
            <v>HGC-Lib-2451055</v>
          </cell>
          <cell r="F982" t="str">
            <v>LFTBC240625008</v>
          </cell>
          <cell r="G982">
            <v>100</v>
          </cell>
          <cell r="H982" t="str">
            <v>singleron-3'全长转录组文库</v>
          </cell>
          <cell r="I982" t="str">
            <v>WH</v>
          </cell>
          <cell r="J982">
            <v>28.6</v>
          </cell>
          <cell r="N982" t="e">
            <v>#DIV/0!</v>
          </cell>
        </row>
        <row r="983">
          <cell r="E983" t="str">
            <v>HGC-Lib-2451056</v>
          </cell>
          <cell r="F983" t="str">
            <v>TCRLFTBC240625075</v>
          </cell>
          <cell r="G983">
            <v>12</v>
          </cell>
          <cell r="H983" t="str">
            <v>singleron-单细胞TCR文库</v>
          </cell>
          <cell r="I983" t="str">
            <v>WH</v>
          </cell>
          <cell r="J983">
            <v>30</v>
          </cell>
          <cell r="N983" t="e">
            <v>#DIV/0!</v>
          </cell>
        </row>
        <row r="984">
          <cell r="E984" t="str">
            <v>HGC-Lib-2451057</v>
          </cell>
          <cell r="F984" t="str">
            <v>BCRLFTBC240625075</v>
          </cell>
          <cell r="G984">
            <v>12</v>
          </cell>
          <cell r="H984" t="str">
            <v>singleron-单细胞BCR文库</v>
          </cell>
          <cell r="I984" t="str">
            <v>WH</v>
          </cell>
          <cell r="J984">
            <v>23.8</v>
          </cell>
          <cell r="N984" t="e">
            <v>#DIV/0!</v>
          </cell>
        </row>
        <row r="985">
          <cell r="E985" t="str">
            <v>HGC-Lib-2451058</v>
          </cell>
          <cell r="F985" t="str">
            <v>LFTBC240625075</v>
          </cell>
          <cell r="G985">
            <v>100</v>
          </cell>
          <cell r="H985" t="str">
            <v>singleron-3'全长转录组文库</v>
          </cell>
          <cell r="I985" t="str">
            <v>WH</v>
          </cell>
          <cell r="J985">
            <v>9.6</v>
          </cell>
          <cell r="N985" t="e">
            <v>#DIV/0!</v>
          </cell>
        </row>
        <row r="986">
          <cell r="E986" t="str">
            <v>HGC-Lib-2451059</v>
          </cell>
          <cell r="F986" t="str">
            <v>TCRLTC240628045</v>
          </cell>
          <cell r="G986">
            <v>12</v>
          </cell>
          <cell r="H986" t="str">
            <v>singleron-单细胞TCR文库</v>
          </cell>
          <cell r="I986" t="str">
            <v>WH</v>
          </cell>
          <cell r="J986">
            <v>52.2</v>
          </cell>
          <cell r="N986" t="e">
            <v>#DIV/0!</v>
          </cell>
        </row>
        <row r="987">
          <cell r="E987" t="str">
            <v>HGC-Lib-2451060</v>
          </cell>
          <cell r="F987" t="str">
            <v>LTC240626066</v>
          </cell>
          <cell r="G987">
            <v>100</v>
          </cell>
          <cell r="H987" t="str">
            <v>singleron-3'转录组文库</v>
          </cell>
          <cell r="I987" t="str">
            <v>WH</v>
          </cell>
          <cell r="J987">
            <v>18.8</v>
          </cell>
          <cell r="N987" t="e">
            <v>#DIV/0!</v>
          </cell>
        </row>
        <row r="988">
          <cell r="E988" t="str">
            <v>HGC-Lib-2451061</v>
          </cell>
          <cell r="F988" t="str">
            <v>TCRLTC240626066</v>
          </cell>
          <cell r="G988">
            <v>12</v>
          </cell>
          <cell r="H988" t="str">
            <v>singleron-单细胞TCR文库</v>
          </cell>
          <cell r="I988" t="str">
            <v>WH</v>
          </cell>
          <cell r="J988">
            <v>38.6</v>
          </cell>
          <cell r="N988" t="e">
            <v>#DIV/0!</v>
          </cell>
        </row>
        <row r="989">
          <cell r="E989" t="str">
            <v>HGC-Lib-2451062</v>
          </cell>
          <cell r="F989" t="str">
            <v>TCRLTC240625097</v>
          </cell>
          <cell r="G989">
            <v>12</v>
          </cell>
          <cell r="H989" t="str">
            <v>singleron-单细胞TCR文库</v>
          </cell>
          <cell r="I989" t="str">
            <v>WH</v>
          </cell>
          <cell r="J989">
            <v>41.2</v>
          </cell>
          <cell r="N989" t="e">
            <v>#DIV/0!</v>
          </cell>
        </row>
        <row r="990">
          <cell r="E990" t="str">
            <v>HGC-Lib-2451063</v>
          </cell>
          <cell r="F990" t="str">
            <v>LC240627069</v>
          </cell>
          <cell r="G990">
            <v>100</v>
          </cell>
          <cell r="H990" t="str">
            <v>singleron-3'转录组文库</v>
          </cell>
          <cell r="I990" t="str">
            <v>WH</v>
          </cell>
          <cell r="J990">
            <v>9.92</v>
          </cell>
          <cell r="N990" t="e">
            <v>#DIV/0!</v>
          </cell>
        </row>
        <row r="991">
          <cell r="E991" t="str">
            <v>HGC-Lib-2451064</v>
          </cell>
          <cell r="F991" t="str">
            <v>LC240625073</v>
          </cell>
          <cell r="G991">
            <v>100</v>
          </cell>
          <cell r="H991" t="str">
            <v>singleron-3'转录组文库</v>
          </cell>
          <cell r="I991" t="str">
            <v>WH</v>
          </cell>
          <cell r="J991">
            <v>17.600000000000001</v>
          </cell>
          <cell r="N991" t="e">
            <v>#DIV/0!</v>
          </cell>
        </row>
        <row r="992">
          <cell r="E992" t="str">
            <v>HGC-Lib-2451065</v>
          </cell>
          <cell r="F992" t="str">
            <v>LA240625004</v>
          </cell>
          <cell r="G992">
            <v>100</v>
          </cell>
          <cell r="H992" t="str">
            <v>singleron-3'转录组文库</v>
          </cell>
          <cell r="I992" t="str">
            <v>WH</v>
          </cell>
          <cell r="J992">
            <v>17.100000000000001</v>
          </cell>
          <cell r="N992" t="e">
            <v>#DIV/0!</v>
          </cell>
        </row>
        <row r="993">
          <cell r="E993" t="str">
            <v>HGC-Lib-2451066</v>
          </cell>
          <cell r="F993" t="str">
            <v>LA240625001</v>
          </cell>
          <cell r="G993">
            <v>100</v>
          </cell>
          <cell r="H993" t="str">
            <v>singleron-3'转录组文库</v>
          </cell>
          <cell r="I993" t="str">
            <v>WH</v>
          </cell>
          <cell r="J993">
            <v>15.8</v>
          </cell>
          <cell r="N993" t="e">
            <v>#DIV/0!</v>
          </cell>
        </row>
        <row r="994">
          <cell r="E994" t="str">
            <v>HGC-Lib-2451067</v>
          </cell>
          <cell r="F994" t="str">
            <v>LC240627020</v>
          </cell>
          <cell r="G994">
            <v>100</v>
          </cell>
          <cell r="H994" t="str">
            <v>singleron-3'转录组文库</v>
          </cell>
          <cell r="I994" t="str">
            <v>XCL</v>
          </cell>
          <cell r="J994">
            <v>19.899999999999999</v>
          </cell>
          <cell r="N994" t="e">
            <v>#DIV/0!</v>
          </cell>
        </row>
        <row r="995">
          <cell r="E995" t="str">
            <v>HGC-Lib-2451068</v>
          </cell>
          <cell r="F995" t="str">
            <v>LA240626056</v>
          </cell>
          <cell r="G995">
            <v>100</v>
          </cell>
          <cell r="H995" t="str">
            <v>singleron-3'转录组文库</v>
          </cell>
          <cell r="I995" t="str">
            <v>XCL</v>
          </cell>
          <cell r="J995">
            <v>26.6</v>
          </cell>
          <cell r="N995" t="e">
            <v>#DIV/0!</v>
          </cell>
        </row>
        <row r="996">
          <cell r="E996" t="str">
            <v>HGC-Lib-2451069</v>
          </cell>
          <cell r="F996" t="str">
            <v>LA240626052</v>
          </cell>
          <cell r="G996">
            <v>100</v>
          </cell>
          <cell r="H996" t="str">
            <v>singleron-3'转录组文库</v>
          </cell>
          <cell r="I996" t="str">
            <v>XCL</v>
          </cell>
          <cell r="J996">
            <v>19</v>
          </cell>
          <cell r="N996" t="e">
            <v>#DIV/0!</v>
          </cell>
        </row>
        <row r="997">
          <cell r="E997" t="str">
            <v>HGC-Lib-2451070</v>
          </cell>
          <cell r="F997" t="str">
            <v>LA240626053</v>
          </cell>
          <cell r="G997">
            <v>100</v>
          </cell>
          <cell r="H997" t="str">
            <v>singleron-3'转录组文库</v>
          </cell>
          <cell r="I997" t="str">
            <v>XCL</v>
          </cell>
          <cell r="J997">
            <v>23</v>
          </cell>
          <cell r="N997" t="e">
            <v>#DIV/0!</v>
          </cell>
        </row>
        <row r="998">
          <cell r="E998" t="str">
            <v>HGC-Lib-2451071</v>
          </cell>
          <cell r="F998" t="str">
            <v>LA240626057</v>
          </cell>
          <cell r="G998">
            <v>100</v>
          </cell>
          <cell r="H998" t="str">
            <v>singleron-3'转录组文库</v>
          </cell>
          <cell r="I998" t="str">
            <v>XCL</v>
          </cell>
          <cell r="J998">
            <v>24</v>
          </cell>
          <cell r="N998" t="e">
            <v>#DIV/0!</v>
          </cell>
        </row>
        <row r="999">
          <cell r="E999" t="str">
            <v>HGC-Lib-2451072</v>
          </cell>
          <cell r="F999" t="str">
            <v>LA240626051</v>
          </cell>
          <cell r="G999">
            <v>100</v>
          </cell>
          <cell r="H999" t="str">
            <v>singleron-3'转录组文库</v>
          </cell>
          <cell r="I999" t="str">
            <v>XCL</v>
          </cell>
          <cell r="J999">
            <v>27.8</v>
          </cell>
          <cell r="N999" t="e">
            <v>#DIV/0!</v>
          </cell>
        </row>
        <row r="1000">
          <cell r="E1000" t="str">
            <v>HGC-Lib-2451073</v>
          </cell>
          <cell r="F1000" t="str">
            <v>LA240626054</v>
          </cell>
          <cell r="G1000">
            <v>100</v>
          </cell>
          <cell r="H1000" t="str">
            <v>singleron-3'转录组文库</v>
          </cell>
          <cell r="I1000" t="str">
            <v>XCL</v>
          </cell>
          <cell r="J1000">
            <v>21</v>
          </cell>
          <cell r="N1000" t="e">
            <v>#DIV/0!</v>
          </cell>
        </row>
        <row r="1001">
          <cell r="E1001" t="str">
            <v>HGC-Lib-2451074</v>
          </cell>
          <cell r="F1001" t="str">
            <v>LA240626055</v>
          </cell>
          <cell r="G1001">
            <v>100</v>
          </cell>
          <cell r="H1001" t="str">
            <v>singleron-3'转录组文库</v>
          </cell>
          <cell r="I1001" t="str">
            <v>XCL</v>
          </cell>
          <cell r="J1001">
            <v>19.8</v>
          </cell>
          <cell r="N1001" t="e">
            <v>#DIV/0!</v>
          </cell>
        </row>
        <row r="1002">
          <cell r="E1002" t="str">
            <v>HGC-Lib-2451075</v>
          </cell>
          <cell r="F1002" t="str">
            <v>LA240626059</v>
          </cell>
          <cell r="G1002">
            <v>100</v>
          </cell>
          <cell r="H1002" t="str">
            <v>singleron-3'转录组文库</v>
          </cell>
          <cell r="I1002" t="str">
            <v>XCL</v>
          </cell>
          <cell r="J1002">
            <v>33.200000000000003</v>
          </cell>
          <cell r="N1002" t="e">
            <v>#DIV/0!</v>
          </cell>
        </row>
        <row r="1003">
          <cell r="E1003" t="str">
            <v>HGC-Lib-2451076</v>
          </cell>
          <cell r="F1003" t="str">
            <v>LA240626058</v>
          </cell>
          <cell r="G1003">
            <v>100</v>
          </cell>
          <cell r="H1003" t="str">
            <v>singleron-3'转录组文库</v>
          </cell>
          <cell r="I1003" t="str">
            <v>XCL</v>
          </cell>
          <cell r="J1003">
            <v>21</v>
          </cell>
          <cell r="N1003" t="e">
            <v>#DIV/0!</v>
          </cell>
        </row>
        <row r="1004">
          <cell r="E1004" t="str">
            <v>HGC-Lib-2451077</v>
          </cell>
          <cell r="F1004" t="str">
            <v>LA240626050</v>
          </cell>
          <cell r="G1004">
            <v>100</v>
          </cell>
          <cell r="H1004" t="str">
            <v>singleron-3'转录组文库</v>
          </cell>
          <cell r="I1004" t="str">
            <v>XCL</v>
          </cell>
          <cell r="J1004">
            <v>27.8</v>
          </cell>
          <cell r="N1004" t="e">
            <v>#DIV/0!</v>
          </cell>
        </row>
        <row r="1005">
          <cell r="E1005" t="str">
            <v>HGC-Lib-2451083</v>
          </cell>
          <cell r="F1005" t="str">
            <v>LR240605O-1212A</v>
          </cell>
          <cell r="G1005">
            <v>10</v>
          </cell>
          <cell r="H1005" t="str">
            <v>宏转录组文库</v>
          </cell>
          <cell r="I1005" t="str">
            <v>WWH</v>
          </cell>
          <cell r="J1005">
            <v>3.08</v>
          </cell>
          <cell r="N1005" t="e">
            <v>#DIV/0!</v>
          </cell>
        </row>
        <row r="1006">
          <cell r="E1006" t="str">
            <v>HGC-Lib-2451084</v>
          </cell>
          <cell r="F1006" t="str">
            <v>LR240605O-1213A</v>
          </cell>
          <cell r="G1006">
            <v>10</v>
          </cell>
          <cell r="H1006" t="str">
            <v>宏转录组文库</v>
          </cell>
          <cell r="I1006" t="str">
            <v>WWH</v>
          </cell>
          <cell r="J1006">
            <v>9.7799999999999994</v>
          </cell>
          <cell r="N1006" t="e">
            <v>#DIV/0!</v>
          </cell>
        </row>
        <row r="1007">
          <cell r="E1007" t="str">
            <v>HGC-Lib-2451085</v>
          </cell>
          <cell r="F1007" t="str">
            <v>LR240605O-1214A</v>
          </cell>
          <cell r="G1007">
            <v>10</v>
          </cell>
          <cell r="H1007" t="str">
            <v>宏转录组文库</v>
          </cell>
          <cell r="I1007" t="str">
            <v>WWH</v>
          </cell>
          <cell r="J1007">
            <v>9.1</v>
          </cell>
          <cell r="N1007" t="e">
            <v>#DIV/0!</v>
          </cell>
        </row>
        <row r="1008">
          <cell r="E1008" t="str">
            <v>HGC-Lib-2451086</v>
          </cell>
          <cell r="F1008" t="str">
            <v>LR240605O-1341B</v>
          </cell>
          <cell r="G1008">
            <v>10</v>
          </cell>
          <cell r="H1008" t="str">
            <v>宏转录组文库</v>
          </cell>
          <cell r="I1008" t="str">
            <v>WWH</v>
          </cell>
          <cell r="J1008">
            <v>5.42</v>
          </cell>
          <cell r="N1008" t="e">
            <v>#DIV/0!</v>
          </cell>
        </row>
        <row r="1009">
          <cell r="E1009" t="str">
            <v>HGC-Lib-2451087</v>
          </cell>
          <cell r="F1009" t="str">
            <v>LR240605O-1342B</v>
          </cell>
          <cell r="G1009">
            <v>10</v>
          </cell>
          <cell r="H1009" t="str">
            <v>宏转录组文库</v>
          </cell>
          <cell r="I1009" t="str">
            <v>WWH</v>
          </cell>
          <cell r="J1009">
            <v>15.1</v>
          </cell>
          <cell r="N1009" t="e">
            <v>#DIV/0!</v>
          </cell>
        </row>
        <row r="1010">
          <cell r="E1010" t="str">
            <v>HGC-Lib-2451088</v>
          </cell>
          <cell r="F1010" t="str">
            <v>LR240605O-1353B</v>
          </cell>
          <cell r="G1010">
            <v>10</v>
          </cell>
          <cell r="H1010" t="str">
            <v>宏转录组文库</v>
          </cell>
          <cell r="I1010" t="str">
            <v>WWH</v>
          </cell>
          <cell r="J1010">
            <v>9.5399999999999991</v>
          </cell>
          <cell r="N1010" t="e">
            <v>#DIV/0!</v>
          </cell>
        </row>
        <row r="1011">
          <cell r="E1011" t="str">
            <v>HGC-Lib-2451089</v>
          </cell>
          <cell r="F1011" t="str">
            <v>LD240620O-1490A</v>
          </cell>
          <cell r="G1011">
            <v>6</v>
          </cell>
          <cell r="H1011" t="str">
            <v>DNA宏基因组文库</v>
          </cell>
          <cell r="I1011" t="str">
            <v>WWH</v>
          </cell>
          <cell r="J1011">
            <v>81.8</v>
          </cell>
          <cell r="N1011" t="e">
            <v>#DIV/0!</v>
          </cell>
        </row>
        <row r="1012">
          <cell r="E1012" t="str">
            <v>HGC-Lib-2451090</v>
          </cell>
          <cell r="F1012" t="str">
            <v>LD240620O-1491A</v>
          </cell>
          <cell r="G1012">
            <v>6</v>
          </cell>
          <cell r="H1012" t="str">
            <v>DNA宏基因组文库</v>
          </cell>
          <cell r="I1012" t="str">
            <v>WWH</v>
          </cell>
          <cell r="J1012">
            <v>73.599999999999994</v>
          </cell>
          <cell r="N1012" t="e">
            <v>#DIV/0!</v>
          </cell>
        </row>
        <row r="1013">
          <cell r="E1013" t="str">
            <v>HGC-Lib-2451091</v>
          </cell>
          <cell r="F1013" t="str">
            <v>LD240620O-1492A</v>
          </cell>
          <cell r="G1013">
            <v>6</v>
          </cell>
          <cell r="H1013" t="str">
            <v>DNA宏基因组文库</v>
          </cell>
          <cell r="I1013" t="str">
            <v>WWH</v>
          </cell>
          <cell r="J1013">
            <v>91.8</v>
          </cell>
          <cell r="N1013" t="e">
            <v>#DIV/0!</v>
          </cell>
        </row>
        <row r="1014">
          <cell r="E1014" t="str">
            <v>HGC-Lib-2451092</v>
          </cell>
          <cell r="F1014" t="str">
            <v>LD240620O-1493A</v>
          </cell>
          <cell r="G1014">
            <v>6</v>
          </cell>
          <cell r="H1014" t="str">
            <v>DNA宏基因组文库</v>
          </cell>
          <cell r="I1014" t="str">
            <v>WWH</v>
          </cell>
          <cell r="J1014">
            <v>70.8</v>
          </cell>
          <cell r="N1014" t="e">
            <v>#DIV/0!</v>
          </cell>
        </row>
        <row r="1015">
          <cell r="E1015" t="str">
            <v>HGC-Lib-2451093</v>
          </cell>
          <cell r="F1015" t="str">
            <v>LD240620O-1494A</v>
          </cell>
          <cell r="G1015">
            <v>6</v>
          </cell>
          <cell r="H1015" t="str">
            <v>DNA宏基因组文库</v>
          </cell>
          <cell r="I1015" t="str">
            <v>WWH</v>
          </cell>
          <cell r="J1015">
            <v>67.8</v>
          </cell>
          <cell r="N1015" t="e">
            <v>#DIV/0!</v>
          </cell>
        </row>
        <row r="1016">
          <cell r="E1016" t="str">
            <v>HGC-Lib-2451094</v>
          </cell>
          <cell r="F1016" t="str">
            <v>LD240620O-1495A</v>
          </cell>
          <cell r="G1016">
            <v>6</v>
          </cell>
          <cell r="H1016" t="str">
            <v>DNA宏基因组文库</v>
          </cell>
          <cell r="I1016" t="str">
            <v>WWH</v>
          </cell>
          <cell r="J1016">
            <v>82.2</v>
          </cell>
          <cell r="N1016" t="e">
            <v>#DIV/0!</v>
          </cell>
        </row>
        <row r="1017">
          <cell r="E1017" t="str">
            <v>HGC-Lib-2451095</v>
          </cell>
          <cell r="F1017" t="str">
            <v>LD240621D-0094A</v>
          </cell>
          <cell r="G1017">
            <v>10</v>
          </cell>
          <cell r="H1017" t="str">
            <v>DNA宏基因组文库</v>
          </cell>
          <cell r="I1017" t="str">
            <v>WWH</v>
          </cell>
          <cell r="J1017">
            <v>92</v>
          </cell>
          <cell r="N1017" t="e">
            <v>#DIV/0!</v>
          </cell>
        </row>
        <row r="1018">
          <cell r="E1018" t="str">
            <v>HGC-Lib-2451096</v>
          </cell>
          <cell r="F1018" t="str">
            <v>LD240621D-0095A</v>
          </cell>
          <cell r="G1018">
            <v>10</v>
          </cell>
          <cell r="H1018" t="str">
            <v>DNA宏基因组文库</v>
          </cell>
          <cell r="I1018" t="str">
            <v>WWH</v>
          </cell>
          <cell r="J1018">
            <v>79.8</v>
          </cell>
          <cell r="N1018" t="e">
            <v>#DIV/0!</v>
          </cell>
        </row>
        <row r="1019">
          <cell r="E1019" t="str">
            <v>HGC-Lib-2451097</v>
          </cell>
          <cell r="F1019" t="str">
            <v>LD240621D-0096A</v>
          </cell>
          <cell r="G1019">
            <v>10</v>
          </cell>
          <cell r="H1019" t="str">
            <v>DNA宏基因组文库</v>
          </cell>
          <cell r="I1019" t="str">
            <v>WWH</v>
          </cell>
          <cell r="J1019">
            <v>79.400000000000006</v>
          </cell>
          <cell r="N1019" t="e">
            <v>#DIV/0!</v>
          </cell>
        </row>
        <row r="1020">
          <cell r="E1020" t="str">
            <v>HGC-Lib-2451098</v>
          </cell>
          <cell r="F1020" t="str">
            <v>LD240621D-0097A</v>
          </cell>
          <cell r="G1020">
            <v>10</v>
          </cell>
          <cell r="H1020" t="str">
            <v>DNA宏基因组文库</v>
          </cell>
          <cell r="I1020" t="str">
            <v>WWH</v>
          </cell>
          <cell r="J1020">
            <v>52.4</v>
          </cell>
          <cell r="N1020" t="e">
            <v>#DIV/0!</v>
          </cell>
        </row>
        <row r="1021">
          <cell r="E1021" t="str">
            <v>HGC-Lib-2451099</v>
          </cell>
          <cell r="F1021" t="str">
            <v>LD240621D-0098A</v>
          </cell>
          <cell r="G1021">
            <v>10</v>
          </cell>
          <cell r="H1021" t="str">
            <v>DNA宏基因组文库</v>
          </cell>
          <cell r="I1021" t="str">
            <v>WWH</v>
          </cell>
          <cell r="J1021">
            <v>72</v>
          </cell>
          <cell r="N1021" t="e">
            <v>#DIV/0!</v>
          </cell>
        </row>
        <row r="1022">
          <cell r="E1022" t="str">
            <v>HGC-Lib-2451100</v>
          </cell>
          <cell r="F1022" t="str">
            <v>LD240621D-0099A</v>
          </cell>
          <cell r="G1022">
            <v>10</v>
          </cell>
          <cell r="H1022" t="str">
            <v>DNA宏基因组文库</v>
          </cell>
          <cell r="I1022" t="str">
            <v>WWH</v>
          </cell>
          <cell r="J1022">
            <v>99.4</v>
          </cell>
          <cell r="N1022" t="e">
            <v>#DIV/0!</v>
          </cell>
        </row>
        <row r="1023">
          <cell r="E1023" t="str">
            <v>HGC-Lib-2451101</v>
          </cell>
          <cell r="F1023" t="str">
            <v>LD240621D-0100A</v>
          </cell>
          <cell r="G1023">
            <v>10</v>
          </cell>
          <cell r="H1023" t="str">
            <v>DNA宏基因组文库</v>
          </cell>
          <cell r="I1023" t="str">
            <v>WWH</v>
          </cell>
          <cell r="J1023">
            <v>82.8</v>
          </cell>
          <cell r="N1023" t="e">
            <v>#DIV/0!</v>
          </cell>
        </row>
        <row r="1024">
          <cell r="E1024" t="str">
            <v>HGC-Lib-2451102</v>
          </cell>
          <cell r="F1024" t="str">
            <v>LD240621D-0101A</v>
          </cell>
          <cell r="G1024">
            <v>10</v>
          </cell>
          <cell r="H1024" t="str">
            <v>DNA宏基因组文库</v>
          </cell>
          <cell r="I1024" t="str">
            <v>WWH</v>
          </cell>
          <cell r="J1024">
            <v>86</v>
          </cell>
          <cell r="N1024" t="e">
            <v>#DIV/0!</v>
          </cell>
        </row>
        <row r="1025">
          <cell r="E1025" t="str">
            <v>HGC-Lib-2451103</v>
          </cell>
          <cell r="F1025" t="str">
            <v>LD240621D-0102A</v>
          </cell>
          <cell r="G1025">
            <v>10</v>
          </cell>
          <cell r="H1025" t="str">
            <v>DNA宏基因组文库</v>
          </cell>
          <cell r="I1025" t="str">
            <v>WWH</v>
          </cell>
          <cell r="J1025">
            <v>85.4</v>
          </cell>
          <cell r="N1025" t="e">
            <v>#DIV/0!</v>
          </cell>
        </row>
        <row r="1026">
          <cell r="E1026" t="str">
            <v>HGC-Lib-2451104</v>
          </cell>
          <cell r="F1026" t="str">
            <v>LD240607D-1287A</v>
          </cell>
          <cell r="G1026">
            <v>10</v>
          </cell>
          <cell r="H1026" t="str">
            <v>DNA宏基因组文库</v>
          </cell>
          <cell r="I1026" t="str">
            <v>WWH</v>
          </cell>
          <cell r="J1026">
            <v>97.6</v>
          </cell>
          <cell r="N1026" t="e">
            <v>#DIV/0!</v>
          </cell>
        </row>
        <row r="1027">
          <cell r="E1027" t="str">
            <v>HGC-Lib-2451105</v>
          </cell>
          <cell r="F1027" t="str">
            <v>LD240607D-1288A</v>
          </cell>
          <cell r="G1027">
            <v>10</v>
          </cell>
          <cell r="H1027" t="str">
            <v>DNA宏基因组文库</v>
          </cell>
          <cell r="I1027" t="str">
            <v>WWH</v>
          </cell>
          <cell r="J1027">
            <v>76.400000000000006</v>
          </cell>
          <cell r="N1027" t="e">
            <v>#DIV/0!</v>
          </cell>
        </row>
        <row r="1028">
          <cell r="E1028" t="str">
            <v>HGC-Lib-2451106</v>
          </cell>
          <cell r="F1028" t="str">
            <v>LD240607D-1289A</v>
          </cell>
          <cell r="G1028">
            <v>10</v>
          </cell>
          <cell r="H1028" t="str">
            <v>DNA宏基因组文库</v>
          </cell>
          <cell r="I1028" t="str">
            <v>WWH</v>
          </cell>
          <cell r="J1028">
            <v>75</v>
          </cell>
          <cell r="N1028" t="e">
            <v>#DIV/0!</v>
          </cell>
        </row>
        <row r="1029">
          <cell r="E1029" t="str">
            <v>HGC-Lib-2451107</v>
          </cell>
          <cell r="F1029" t="str">
            <v>LD240607D-1290A</v>
          </cell>
          <cell r="G1029">
            <v>10</v>
          </cell>
          <cell r="H1029" t="str">
            <v>DNA宏基因组文库</v>
          </cell>
          <cell r="I1029" t="str">
            <v>WWH</v>
          </cell>
          <cell r="J1029">
            <v>83.8</v>
          </cell>
          <cell r="N1029" t="e">
            <v>#DIV/0!</v>
          </cell>
        </row>
        <row r="1030">
          <cell r="E1030" t="str">
            <v>HGC-Lib-2451108</v>
          </cell>
          <cell r="F1030" t="str">
            <v>LD240607D-1291A</v>
          </cell>
          <cell r="G1030">
            <v>10</v>
          </cell>
          <cell r="H1030" t="str">
            <v>DNA宏基因组文库</v>
          </cell>
          <cell r="I1030" t="str">
            <v>WWH</v>
          </cell>
          <cell r="J1030">
            <v>71.2</v>
          </cell>
          <cell r="N1030" t="e">
            <v>#DIV/0!</v>
          </cell>
        </row>
        <row r="1031">
          <cell r="E1031" t="str">
            <v>HGC-Lib-2451109</v>
          </cell>
          <cell r="F1031" t="str">
            <v>LD240607D-1292A</v>
          </cell>
          <cell r="G1031">
            <v>10</v>
          </cell>
          <cell r="H1031" t="str">
            <v>DNA宏基因组文库</v>
          </cell>
          <cell r="I1031" t="str">
            <v>WWH</v>
          </cell>
          <cell r="J1031">
            <v>88.6</v>
          </cell>
          <cell r="N1031" t="e">
            <v>#DIV/0!</v>
          </cell>
        </row>
        <row r="1032">
          <cell r="E1032" t="str">
            <v>HGC-Lib-2451110</v>
          </cell>
          <cell r="F1032" t="str">
            <v>LD240607D-1293A</v>
          </cell>
          <cell r="G1032">
            <v>10</v>
          </cell>
          <cell r="H1032" t="str">
            <v>DNA宏基因组文库</v>
          </cell>
          <cell r="I1032" t="str">
            <v>WWH</v>
          </cell>
          <cell r="J1032">
            <v>62.4</v>
          </cell>
          <cell r="N1032" t="e">
            <v>#DIV/0!</v>
          </cell>
        </row>
        <row r="1033">
          <cell r="E1033" t="str">
            <v>HGC-Lib-2451111</v>
          </cell>
          <cell r="F1033" t="str">
            <v>LD240607D-1294A</v>
          </cell>
          <cell r="G1033">
            <v>10</v>
          </cell>
          <cell r="H1033" t="str">
            <v>DNA宏基因组文库</v>
          </cell>
          <cell r="I1033" t="str">
            <v>WWH</v>
          </cell>
          <cell r="J1033">
            <v>77.400000000000006</v>
          </cell>
          <cell r="N1033" t="e">
            <v>#DIV/0!</v>
          </cell>
        </row>
        <row r="1034">
          <cell r="E1034" t="str">
            <v>HGC-Lib-2451112</v>
          </cell>
          <cell r="F1034" t="str">
            <v>LD240607D-1295A</v>
          </cell>
          <cell r="G1034">
            <v>10</v>
          </cell>
          <cell r="H1034" t="str">
            <v>DNA宏基因组文库</v>
          </cell>
          <cell r="I1034" t="str">
            <v>WWH</v>
          </cell>
          <cell r="J1034">
            <v>69.599999999999994</v>
          </cell>
          <cell r="N1034" t="e">
            <v>#DIV/0!</v>
          </cell>
        </row>
        <row r="1035">
          <cell r="E1035" t="str">
            <v>HGC-Lib-2451113</v>
          </cell>
          <cell r="F1035" t="str">
            <v>LD240607D-1296A</v>
          </cell>
          <cell r="G1035">
            <v>10</v>
          </cell>
          <cell r="H1035" t="str">
            <v>DNA宏基因组文库</v>
          </cell>
          <cell r="I1035" t="str">
            <v>WWH</v>
          </cell>
          <cell r="J1035">
            <v>77.2</v>
          </cell>
          <cell r="N1035" t="e">
            <v>#DIV/0!</v>
          </cell>
        </row>
        <row r="1036">
          <cell r="E1036" t="str">
            <v>HGC-Lib-2451114</v>
          </cell>
          <cell r="F1036" t="str">
            <v>LD240607D-1297A</v>
          </cell>
          <cell r="G1036">
            <v>10</v>
          </cell>
          <cell r="H1036" t="str">
            <v>DNA宏基因组文库</v>
          </cell>
          <cell r="I1036" t="str">
            <v>WWH</v>
          </cell>
          <cell r="J1036">
            <v>79.400000000000006</v>
          </cell>
          <cell r="N1036" t="e">
            <v>#DIV/0!</v>
          </cell>
        </row>
        <row r="1037">
          <cell r="E1037" t="str">
            <v>HGC-Lib-2451115</v>
          </cell>
          <cell r="F1037" t="str">
            <v>LD240607D-1298A</v>
          </cell>
          <cell r="G1037">
            <v>10</v>
          </cell>
          <cell r="H1037" t="str">
            <v>DNA宏基因组文库</v>
          </cell>
          <cell r="I1037" t="str">
            <v>WWH</v>
          </cell>
          <cell r="J1037">
            <v>85.2</v>
          </cell>
          <cell r="N1037" t="e">
            <v>#DIV/0!</v>
          </cell>
        </row>
        <row r="1038">
          <cell r="E1038" t="str">
            <v>HGC-Lib-2451116</v>
          </cell>
          <cell r="F1038" t="str">
            <v>LD240623O-0128A</v>
          </cell>
          <cell r="G1038">
            <v>6</v>
          </cell>
          <cell r="H1038" t="str">
            <v>DNA宏基因组文库</v>
          </cell>
          <cell r="I1038" t="str">
            <v>WWH</v>
          </cell>
          <cell r="J1038">
            <v>73.599999999999994</v>
          </cell>
          <cell r="N1038" t="e">
            <v>#DIV/0!</v>
          </cell>
        </row>
        <row r="1039">
          <cell r="E1039" t="str">
            <v>HGC-Lib-2451117</v>
          </cell>
          <cell r="F1039" t="str">
            <v>LD240623O-0129A</v>
          </cell>
          <cell r="G1039">
            <v>6</v>
          </cell>
          <cell r="H1039" t="str">
            <v>DNA宏基因组文库</v>
          </cell>
          <cell r="I1039" t="str">
            <v>WWH</v>
          </cell>
          <cell r="J1039">
            <v>67</v>
          </cell>
          <cell r="N1039" t="e">
            <v>#DIV/0!</v>
          </cell>
        </row>
        <row r="1040">
          <cell r="E1040" t="str">
            <v>HGC-Lib-2451118</v>
          </cell>
          <cell r="F1040" t="str">
            <v>LD240623O-0130A</v>
          </cell>
          <cell r="G1040">
            <v>6</v>
          </cell>
          <cell r="H1040" t="str">
            <v>DNA宏基因组文库</v>
          </cell>
          <cell r="I1040" t="str">
            <v>WWH</v>
          </cell>
          <cell r="J1040">
            <v>62.2</v>
          </cell>
          <cell r="N1040" t="e">
            <v>#DIV/0!</v>
          </cell>
        </row>
        <row r="1041">
          <cell r="E1041" t="str">
            <v>HGC-Lib-2451119</v>
          </cell>
          <cell r="F1041" t="str">
            <v>LD240623O-0131A</v>
          </cell>
          <cell r="G1041">
            <v>6</v>
          </cell>
          <cell r="H1041" t="str">
            <v>DNA宏基因组文库</v>
          </cell>
          <cell r="I1041" t="str">
            <v>WWH</v>
          </cell>
          <cell r="J1041">
            <v>87.8</v>
          </cell>
          <cell r="N1041" t="e">
            <v>#DIV/0!</v>
          </cell>
        </row>
        <row r="1042">
          <cell r="E1042" t="str">
            <v>HGC-Lib-2451120</v>
          </cell>
          <cell r="F1042" t="str">
            <v>LD240623O-0132A</v>
          </cell>
          <cell r="G1042">
            <v>6</v>
          </cell>
          <cell r="H1042" t="str">
            <v>DNA宏基因组文库</v>
          </cell>
          <cell r="I1042" t="str">
            <v>WWH</v>
          </cell>
          <cell r="J1042">
            <v>104</v>
          </cell>
          <cell r="N1042" t="e">
            <v>#DIV/0!</v>
          </cell>
        </row>
        <row r="1043">
          <cell r="E1043" t="str">
            <v>HGC-Lib-2451121</v>
          </cell>
          <cell r="F1043" t="str">
            <v>LD240623O-0133A</v>
          </cell>
          <cell r="G1043">
            <v>15</v>
          </cell>
          <cell r="H1043" t="str">
            <v>DNA宏基因组文库</v>
          </cell>
          <cell r="I1043" t="str">
            <v>WWH</v>
          </cell>
          <cell r="J1043">
            <v>41</v>
          </cell>
          <cell r="N1043" t="e">
            <v>#DIV/0!</v>
          </cell>
        </row>
        <row r="1044">
          <cell r="E1044" t="str">
            <v>HGC-Lib-2451122</v>
          </cell>
          <cell r="F1044" t="str">
            <v>LD240623O-0134A</v>
          </cell>
          <cell r="G1044">
            <v>15</v>
          </cell>
          <cell r="H1044" t="str">
            <v>DNA宏基因组文库</v>
          </cell>
          <cell r="I1044" t="str">
            <v>WWH</v>
          </cell>
          <cell r="J1044">
            <v>44.4</v>
          </cell>
          <cell r="N1044" t="e">
            <v>#DIV/0!</v>
          </cell>
        </row>
        <row r="1045">
          <cell r="E1045" t="str">
            <v>HGC-Lib-2451123</v>
          </cell>
          <cell r="F1045" t="str">
            <v>LD240623O-0135A</v>
          </cell>
          <cell r="G1045">
            <v>15</v>
          </cell>
          <cell r="H1045" t="str">
            <v>DNA宏基因组文库</v>
          </cell>
          <cell r="I1045" t="str">
            <v>WWH</v>
          </cell>
          <cell r="J1045">
            <v>31.8</v>
          </cell>
          <cell r="N1045" t="e">
            <v>#DIV/0!</v>
          </cell>
        </row>
        <row r="1046">
          <cell r="E1046" t="str">
            <v>HGC-Lib-2451124</v>
          </cell>
          <cell r="F1046" t="str">
            <v>LD240623O-0136A</v>
          </cell>
          <cell r="G1046">
            <v>15</v>
          </cell>
          <cell r="H1046" t="str">
            <v>DNA宏基因组文库</v>
          </cell>
          <cell r="I1046" t="str">
            <v>WWH</v>
          </cell>
          <cell r="J1046">
            <v>63.6</v>
          </cell>
          <cell r="N1046" t="e">
            <v>#DIV/0!</v>
          </cell>
        </row>
        <row r="1047">
          <cell r="E1047" t="str">
            <v>HGC-Lib-2451125</v>
          </cell>
          <cell r="F1047" t="str">
            <v>LD240623O-0137A</v>
          </cell>
          <cell r="G1047">
            <v>15</v>
          </cell>
          <cell r="H1047" t="str">
            <v>DNA宏基因组文库</v>
          </cell>
          <cell r="I1047" t="str">
            <v>WWH</v>
          </cell>
          <cell r="J1047">
            <v>73</v>
          </cell>
          <cell r="N1047" t="e">
            <v>#DIV/0!</v>
          </cell>
        </row>
        <row r="1048">
          <cell r="E1048" t="str">
            <v>HGC-Lib-2451126</v>
          </cell>
          <cell r="F1048" t="str">
            <v>LD240623O-0138A</v>
          </cell>
          <cell r="G1048">
            <v>15</v>
          </cell>
          <cell r="H1048" t="str">
            <v>DNA宏基因组文库</v>
          </cell>
          <cell r="I1048" t="str">
            <v>WWH</v>
          </cell>
          <cell r="J1048">
            <v>66.8</v>
          </cell>
          <cell r="N1048" t="e">
            <v>#DIV/0!</v>
          </cell>
        </row>
        <row r="1049">
          <cell r="E1049" t="str">
            <v>HGC-Lib-2451127</v>
          </cell>
          <cell r="F1049" t="str">
            <v>LD240623O-0139A</v>
          </cell>
          <cell r="G1049">
            <v>15</v>
          </cell>
          <cell r="H1049" t="str">
            <v>DNA宏基因组文库</v>
          </cell>
          <cell r="I1049" t="str">
            <v>WWH</v>
          </cell>
          <cell r="J1049">
            <v>49</v>
          </cell>
          <cell r="N1049" t="e">
            <v>#DIV/0!</v>
          </cell>
        </row>
        <row r="1050">
          <cell r="E1050" t="str">
            <v>HGC-Lib-2451128</v>
          </cell>
          <cell r="F1050" t="str">
            <v>LD240623O-0140A</v>
          </cell>
          <cell r="G1050">
            <v>15</v>
          </cell>
          <cell r="H1050" t="str">
            <v>DNA宏基因组文库</v>
          </cell>
          <cell r="I1050" t="str">
            <v>WWH</v>
          </cell>
          <cell r="J1050">
            <v>73.599999999999994</v>
          </cell>
          <cell r="N1050" t="e">
            <v>#DIV/0!</v>
          </cell>
        </row>
        <row r="1051">
          <cell r="E1051" t="str">
            <v>HGC-Lib-2451129</v>
          </cell>
          <cell r="F1051" t="str">
            <v>LD240623O-0141A</v>
          </cell>
          <cell r="G1051">
            <v>15</v>
          </cell>
          <cell r="H1051" t="str">
            <v>DNA宏基因组文库</v>
          </cell>
          <cell r="I1051" t="str">
            <v>WWH</v>
          </cell>
          <cell r="J1051">
            <v>89.6</v>
          </cell>
          <cell r="N1051" t="e">
            <v>#DIV/0!</v>
          </cell>
        </row>
        <row r="1052">
          <cell r="E1052" t="str">
            <v>HGC-Lib-2451130</v>
          </cell>
          <cell r="F1052" t="str">
            <v>LD240623O-0142A</v>
          </cell>
          <cell r="G1052">
            <v>15</v>
          </cell>
          <cell r="H1052" t="str">
            <v>DNA宏基因组文库</v>
          </cell>
          <cell r="I1052" t="str">
            <v>WWH</v>
          </cell>
          <cell r="J1052">
            <v>76.8</v>
          </cell>
          <cell r="N1052" t="e">
            <v>#DIV/0!</v>
          </cell>
        </row>
        <row r="1053">
          <cell r="E1053" t="str">
            <v>HGC-Lib-2451131</v>
          </cell>
          <cell r="F1053" t="str">
            <v>LD240623O-0143A</v>
          </cell>
          <cell r="G1053">
            <v>15</v>
          </cell>
          <cell r="H1053" t="str">
            <v>DNA宏基因组文库</v>
          </cell>
          <cell r="I1053" t="str">
            <v>XCL</v>
          </cell>
          <cell r="J1053">
            <v>65</v>
          </cell>
          <cell r="N1053" t="e">
            <v>#DIV/0!</v>
          </cell>
        </row>
        <row r="1054">
          <cell r="E1054" t="str">
            <v>HGC-Lib-2451132</v>
          </cell>
          <cell r="F1054" t="str">
            <v>LD240623O-0144A</v>
          </cell>
          <cell r="G1054">
            <v>15</v>
          </cell>
          <cell r="H1054" t="str">
            <v>DNA宏基因组文库</v>
          </cell>
          <cell r="I1054" t="str">
            <v>XCL</v>
          </cell>
          <cell r="J1054">
            <v>74.8</v>
          </cell>
          <cell r="N1054" t="e">
            <v>#DIV/0!</v>
          </cell>
        </row>
        <row r="1055">
          <cell r="E1055" t="str">
            <v>HGC-Lib-2451133</v>
          </cell>
          <cell r="F1055" t="str">
            <v>LD240623O-0145A</v>
          </cell>
          <cell r="G1055">
            <v>15</v>
          </cell>
          <cell r="H1055" t="str">
            <v>DNA宏基因组文库</v>
          </cell>
          <cell r="I1055" t="str">
            <v>XCL</v>
          </cell>
          <cell r="J1055">
            <v>49.6</v>
          </cell>
          <cell r="N1055" t="e">
            <v>#DIV/0!</v>
          </cell>
        </row>
        <row r="1056">
          <cell r="E1056" t="str">
            <v>HGC-Lib-2451134</v>
          </cell>
          <cell r="F1056" t="str">
            <v>LD240623O-0146A</v>
          </cell>
          <cell r="G1056">
            <v>15</v>
          </cell>
          <cell r="H1056" t="str">
            <v>DNA宏基因组文库</v>
          </cell>
          <cell r="I1056" t="str">
            <v>XCL</v>
          </cell>
          <cell r="J1056">
            <v>53.8</v>
          </cell>
          <cell r="N1056" t="e">
            <v>#DIV/0!</v>
          </cell>
        </row>
        <row r="1057">
          <cell r="E1057" t="str">
            <v>HGC-Lib-2451135</v>
          </cell>
          <cell r="F1057" t="str">
            <v>LD240623O-0147A</v>
          </cell>
          <cell r="G1057">
            <v>15</v>
          </cell>
          <cell r="H1057" t="str">
            <v>DNA宏基因组文库</v>
          </cell>
          <cell r="I1057" t="str">
            <v>XCL</v>
          </cell>
          <cell r="J1057">
            <v>81.8</v>
          </cell>
          <cell r="N1057" t="e">
            <v>#DIV/0!</v>
          </cell>
        </row>
        <row r="1058">
          <cell r="E1058" t="str">
            <v>HGC-Lib-2451136</v>
          </cell>
          <cell r="F1058" t="str">
            <v>LD240623O-0148A</v>
          </cell>
          <cell r="G1058">
            <v>15</v>
          </cell>
          <cell r="H1058" t="str">
            <v>DNA宏基因组文库</v>
          </cell>
          <cell r="I1058" t="str">
            <v>XCL</v>
          </cell>
          <cell r="J1058">
            <v>34.799999999999997</v>
          </cell>
          <cell r="N1058" t="e">
            <v>#DIV/0!</v>
          </cell>
        </row>
        <row r="1059">
          <cell r="E1059" t="str">
            <v>HGC-Lib-2451137</v>
          </cell>
          <cell r="F1059" t="str">
            <v>LD240623O-0149A</v>
          </cell>
          <cell r="G1059">
            <v>15</v>
          </cell>
          <cell r="H1059" t="str">
            <v>DNA宏基因组文库</v>
          </cell>
          <cell r="I1059" t="str">
            <v>XCL</v>
          </cell>
          <cell r="J1059">
            <v>39.799999999999997</v>
          </cell>
          <cell r="N1059" t="e">
            <v>#DIV/0!</v>
          </cell>
        </row>
        <row r="1060">
          <cell r="E1060" t="str">
            <v>HGC-Lib-2451138</v>
          </cell>
          <cell r="F1060" t="str">
            <v>LD240623O-0150A</v>
          </cell>
          <cell r="G1060">
            <v>15</v>
          </cell>
          <cell r="H1060" t="str">
            <v>DNA宏基因组文库</v>
          </cell>
          <cell r="I1060" t="str">
            <v>XCL</v>
          </cell>
          <cell r="J1060">
            <v>59.8</v>
          </cell>
          <cell r="N1060" t="e">
            <v>#DIV/0!</v>
          </cell>
        </row>
        <row r="1061">
          <cell r="E1061" t="str">
            <v>HGC-Lib-2451139</v>
          </cell>
          <cell r="F1061" t="str">
            <v>LD240623O-0151A</v>
          </cell>
          <cell r="G1061">
            <v>15</v>
          </cell>
          <cell r="H1061" t="str">
            <v>DNA宏基因组文库</v>
          </cell>
          <cell r="I1061" t="str">
            <v>XCL</v>
          </cell>
          <cell r="J1061">
            <v>53.2</v>
          </cell>
          <cell r="N1061" t="e">
            <v>#DIV/0!</v>
          </cell>
        </row>
        <row r="1062">
          <cell r="E1062" t="str">
            <v>HGC-Lib-2451140</v>
          </cell>
          <cell r="F1062" t="str">
            <v>LD240623O-0152A</v>
          </cell>
          <cell r="G1062">
            <v>15</v>
          </cell>
          <cell r="H1062" t="str">
            <v>DNA宏基因组文库</v>
          </cell>
          <cell r="I1062" t="str">
            <v>XCL</v>
          </cell>
          <cell r="J1062">
            <v>47</v>
          </cell>
          <cell r="N1062" t="e">
            <v>#DIV/0!</v>
          </cell>
        </row>
        <row r="1063">
          <cell r="E1063" t="str">
            <v>HGC-Lib-2451141</v>
          </cell>
          <cell r="F1063" t="str">
            <v>LD240623O-0153A</v>
          </cell>
          <cell r="G1063">
            <v>15</v>
          </cell>
          <cell r="H1063" t="str">
            <v>DNA宏基因组文库</v>
          </cell>
          <cell r="I1063" t="str">
            <v>XCL</v>
          </cell>
          <cell r="J1063">
            <v>45.2</v>
          </cell>
          <cell r="N1063" t="e">
            <v>#DIV/0!</v>
          </cell>
        </row>
        <row r="1064">
          <cell r="E1064" t="str">
            <v>HGC-Lib-2451142</v>
          </cell>
          <cell r="F1064" t="str">
            <v>LD240623O-0154A</v>
          </cell>
          <cell r="G1064">
            <v>15</v>
          </cell>
          <cell r="H1064" t="str">
            <v>DNA宏基因组文库</v>
          </cell>
          <cell r="I1064" t="str">
            <v>XCL</v>
          </cell>
          <cell r="J1064">
            <v>40.6</v>
          </cell>
          <cell r="N1064" t="e">
            <v>#DIV/0!</v>
          </cell>
        </row>
        <row r="1065">
          <cell r="E1065" t="str">
            <v>HGC-Lib-2451143</v>
          </cell>
          <cell r="F1065" t="str">
            <v>LD240623O-0155A</v>
          </cell>
          <cell r="G1065">
            <v>15</v>
          </cell>
          <cell r="H1065" t="str">
            <v>DNA宏基因组文库</v>
          </cell>
          <cell r="I1065" t="str">
            <v>XCL</v>
          </cell>
          <cell r="J1065">
            <v>42.4</v>
          </cell>
          <cell r="N1065" t="e">
            <v>#DIV/0!</v>
          </cell>
        </row>
        <row r="1066">
          <cell r="E1066" t="str">
            <v>HGC-Lib-2451144</v>
          </cell>
          <cell r="F1066" t="str">
            <v>LD240623O-0156A</v>
          </cell>
          <cell r="G1066">
            <v>15</v>
          </cell>
          <cell r="H1066" t="str">
            <v>DNA宏基因组文库</v>
          </cell>
          <cell r="I1066" t="str">
            <v>XCL</v>
          </cell>
          <cell r="J1066">
            <v>53.4</v>
          </cell>
          <cell r="N1066" t="e">
            <v>#DIV/0!</v>
          </cell>
        </row>
        <row r="1067">
          <cell r="E1067" t="str">
            <v>HGC-Lib-2451145</v>
          </cell>
          <cell r="F1067" t="str">
            <v>LD240623O-0157A</v>
          </cell>
          <cell r="G1067">
            <v>15</v>
          </cell>
          <cell r="H1067" t="str">
            <v>DNA宏基因组文库</v>
          </cell>
          <cell r="I1067" t="str">
            <v>XCL</v>
          </cell>
          <cell r="J1067">
            <v>64.2</v>
          </cell>
          <cell r="N1067" t="e">
            <v>#DIV/0!</v>
          </cell>
        </row>
        <row r="1068">
          <cell r="E1068" t="str">
            <v>HGC-Lib-2451146</v>
          </cell>
          <cell r="F1068" t="str">
            <v>LD240623O-0158A</v>
          </cell>
          <cell r="G1068">
            <v>15</v>
          </cell>
          <cell r="H1068" t="str">
            <v>DNA宏基因组文库</v>
          </cell>
          <cell r="I1068" t="str">
            <v>XCL</v>
          </cell>
          <cell r="J1068">
            <v>60</v>
          </cell>
          <cell r="N1068" t="e">
            <v>#DIV/0!</v>
          </cell>
        </row>
        <row r="1069">
          <cell r="E1069" t="str">
            <v>HGC-Lib-2451147</v>
          </cell>
          <cell r="F1069" t="str">
            <v>LD240623O-0159A</v>
          </cell>
          <cell r="G1069">
            <v>15</v>
          </cell>
          <cell r="H1069" t="str">
            <v>DNA宏基因组文库</v>
          </cell>
          <cell r="I1069" t="str">
            <v>XCL</v>
          </cell>
          <cell r="J1069">
            <v>66.2</v>
          </cell>
          <cell r="N1069" t="e">
            <v>#DIV/0!</v>
          </cell>
        </row>
        <row r="1070">
          <cell r="E1070" t="str">
            <v>HGC-Lib-2451148</v>
          </cell>
          <cell r="F1070" t="str">
            <v>LD240623O-0160A</v>
          </cell>
          <cell r="G1070">
            <v>15</v>
          </cell>
          <cell r="H1070" t="str">
            <v>DNA宏基因组文库</v>
          </cell>
          <cell r="I1070" t="str">
            <v>XCL</v>
          </cell>
          <cell r="J1070">
            <v>59.2</v>
          </cell>
          <cell r="N1070" t="e">
            <v>#DIV/0!</v>
          </cell>
        </row>
        <row r="1071">
          <cell r="E1071" t="str">
            <v>HGC-Lib-2451149</v>
          </cell>
          <cell r="F1071" t="str">
            <v>LD240623O-0161A</v>
          </cell>
          <cell r="G1071">
            <v>15</v>
          </cell>
          <cell r="H1071" t="str">
            <v>DNA宏基因组文库</v>
          </cell>
          <cell r="I1071" t="str">
            <v>XCL</v>
          </cell>
          <cell r="J1071">
            <v>45.8</v>
          </cell>
          <cell r="N1071" t="e">
            <v>#DIV/0!</v>
          </cell>
        </row>
        <row r="1072">
          <cell r="E1072" t="str">
            <v>HGC-Lib-2451150</v>
          </cell>
          <cell r="F1072" t="str">
            <v>LD240623O-0162A</v>
          </cell>
          <cell r="G1072">
            <v>15</v>
          </cell>
          <cell r="H1072" t="str">
            <v>DNA宏基因组文库</v>
          </cell>
          <cell r="I1072" t="str">
            <v>XCL</v>
          </cell>
          <cell r="J1072">
            <v>63.4</v>
          </cell>
          <cell r="N1072" t="e">
            <v>#DIV/0!</v>
          </cell>
        </row>
        <row r="1073">
          <cell r="E1073" t="str">
            <v>HGC-Lib-2451151</v>
          </cell>
          <cell r="F1073" t="str">
            <v>LD240623O-0163A</v>
          </cell>
          <cell r="G1073">
            <v>15</v>
          </cell>
          <cell r="H1073" t="str">
            <v>DNA宏基因组文库</v>
          </cell>
          <cell r="I1073" t="str">
            <v>XCL</v>
          </cell>
          <cell r="J1073">
            <v>67.599999999999994</v>
          </cell>
          <cell r="N1073" t="e">
            <v>#DIV/0!</v>
          </cell>
        </row>
        <row r="1074">
          <cell r="E1074" t="str">
            <v>HGC-Lib-2451152</v>
          </cell>
          <cell r="F1074" t="str">
            <v>LD240407O-4271A</v>
          </cell>
          <cell r="G1074">
            <v>10</v>
          </cell>
          <cell r="H1074" t="str">
            <v>DNA宏基因组文库</v>
          </cell>
          <cell r="I1074" t="str">
            <v>XCL</v>
          </cell>
          <cell r="J1074">
            <v>10.8</v>
          </cell>
          <cell r="N1074" t="e">
            <v>#DIV/0!</v>
          </cell>
        </row>
        <row r="1075">
          <cell r="E1075" t="str">
            <v>HGC-Lib-2451153</v>
          </cell>
          <cell r="F1075" t="str">
            <v>LD240614O-1921A</v>
          </cell>
          <cell r="G1075">
            <v>10</v>
          </cell>
          <cell r="H1075" t="str">
            <v>DNA宏基因组文库</v>
          </cell>
          <cell r="I1075" t="str">
            <v>XCL</v>
          </cell>
          <cell r="J1075">
            <v>8.36</v>
          </cell>
          <cell r="N1075" t="e">
            <v>#DIV/0!</v>
          </cell>
        </row>
        <row r="1076">
          <cell r="E1076" t="str">
            <v>HGC-Lib-2451154</v>
          </cell>
          <cell r="F1076" t="str">
            <v>LD240614O-1922A</v>
          </cell>
          <cell r="G1076">
            <v>10</v>
          </cell>
          <cell r="H1076" t="str">
            <v>DNA宏基因组文库</v>
          </cell>
          <cell r="I1076" t="str">
            <v>XCL</v>
          </cell>
          <cell r="J1076">
            <v>14.8</v>
          </cell>
          <cell r="N1076" t="e">
            <v>#DIV/0!</v>
          </cell>
        </row>
        <row r="1077">
          <cell r="E1077" t="str">
            <v>HGC-Lib-2451155</v>
          </cell>
          <cell r="F1077" t="str">
            <v>LD240614O-1923A</v>
          </cell>
          <cell r="G1077">
            <v>10</v>
          </cell>
          <cell r="H1077" t="str">
            <v>DNA宏基因组文库</v>
          </cell>
          <cell r="I1077" t="str">
            <v>XCL</v>
          </cell>
          <cell r="J1077">
            <v>26.4</v>
          </cell>
          <cell r="N1077" t="e">
            <v>#DIV/0!</v>
          </cell>
        </row>
        <row r="1078">
          <cell r="E1078" t="str">
            <v>HGC-Lib-2451156</v>
          </cell>
          <cell r="F1078" t="str">
            <v>LD240614O-1924A</v>
          </cell>
          <cell r="G1078">
            <v>10</v>
          </cell>
          <cell r="H1078" t="str">
            <v>DNA宏基因组文库</v>
          </cell>
          <cell r="I1078" t="str">
            <v>XCL</v>
          </cell>
          <cell r="J1078">
            <v>37</v>
          </cell>
          <cell r="N1078" t="e">
            <v>#DIV/0!</v>
          </cell>
        </row>
        <row r="1079">
          <cell r="E1079" t="str">
            <v>HGC-Lib-2451157</v>
          </cell>
          <cell r="F1079" t="str">
            <v>LD240614O-1925A</v>
          </cell>
          <cell r="G1079">
            <v>10</v>
          </cell>
          <cell r="H1079" t="str">
            <v>DNA宏基因组文库</v>
          </cell>
          <cell r="I1079" t="str">
            <v>XCL</v>
          </cell>
          <cell r="J1079">
            <v>21.6</v>
          </cell>
          <cell r="N1079" t="e">
            <v>#DIV/0!</v>
          </cell>
        </row>
        <row r="1080">
          <cell r="E1080" t="str">
            <v>HGC-Lib-2451158</v>
          </cell>
          <cell r="F1080" t="str">
            <v>LD240614O-1926A</v>
          </cell>
          <cell r="G1080">
            <v>10</v>
          </cell>
          <cell r="H1080" t="str">
            <v>DNA宏基因组文库</v>
          </cell>
          <cell r="I1080" t="str">
            <v>XCL</v>
          </cell>
          <cell r="J1080">
            <v>23.8</v>
          </cell>
          <cell r="N1080" t="e">
            <v>#DIV/0!</v>
          </cell>
        </row>
        <row r="1081">
          <cell r="E1081" t="str">
            <v>HGC-Lib-2451159</v>
          </cell>
          <cell r="F1081" t="str">
            <v>LD240620O-1664A</v>
          </cell>
          <cell r="G1081">
            <v>10</v>
          </cell>
          <cell r="H1081" t="str">
            <v>DNA宏基因组文库</v>
          </cell>
          <cell r="I1081" t="str">
            <v>XCL</v>
          </cell>
          <cell r="J1081">
            <v>13</v>
          </cell>
          <cell r="N1081" t="e">
            <v>#DIV/0!</v>
          </cell>
        </row>
        <row r="1082">
          <cell r="E1082" t="str">
            <v>HGC-Lib-2451160</v>
          </cell>
          <cell r="F1082" t="str">
            <v>LD240620O-1665A</v>
          </cell>
          <cell r="G1082">
            <v>10</v>
          </cell>
          <cell r="H1082" t="str">
            <v>DNA宏基因组文库</v>
          </cell>
          <cell r="I1082" t="str">
            <v>XCL</v>
          </cell>
          <cell r="J1082">
            <v>10.4</v>
          </cell>
          <cell r="N1082" t="e">
            <v>#DIV/0!</v>
          </cell>
        </row>
        <row r="1083">
          <cell r="E1083" t="str">
            <v>HGC-Lib-2451161</v>
          </cell>
          <cell r="F1083" t="str">
            <v>LD240620O-1666A</v>
          </cell>
          <cell r="G1083">
            <v>10</v>
          </cell>
          <cell r="H1083" t="str">
            <v>DNA宏基因组文库</v>
          </cell>
          <cell r="I1083" t="str">
            <v>XCL</v>
          </cell>
          <cell r="J1083">
            <v>54</v>
          </cell>
          <cell r="N1083" t="e">
            <v>#DIV/0!</v>
          </cell>
        </row>
        <row r="1084">
          <cell r="E1084" t="str">
            <v>HGC-Lib-2451162</v>
          </cell>
          <cell r="F1084" t="str">
            <v>LD240620O-1667A</v>
          </cell>
          <cell r="G1084">
            <v>10</v>
          </cell>
          <cell r="H1084" t="str">
            <v>DNA宏基因组文库</v>
          </cell>
          <cell r="I1084" t="str">
            <v>XCL</v>
          </cell>
          <cell r="J1084">
            <v>84.2</v>
          </cell>
          <cell r="N1084" t="e">
            <v>#DIV/0!</v>
          </cell>
        </row>
        <row r="1085">
          <cell r="E1085" t="str">
            <v>HGC-Lib-2451163</v>
          </cell>
          <cell r="F1085" t="str">
            <v>LD240620O-1668A</v>
          </cell>
          <cell r="G1085">
            <v>10</v>
          </cell>
          <cell r="H1085" t="str">
            <v>DNA宏基因组文库</v>
          </cell>
          <cell r="I1085" t="str">
            <v>XCL</v>
          </cell>
          <cell r="J1085">
            <v>34.6</v>
          </cell>
          <cell r="N1085" t="e">
            <v>#DIV/0!</v>
          </cell>
        </row>
        <row r="1086">
          <cell r="E1086" t="str">
            <v>HGC-Lib-2451164</v>
          </cell>
          <cell r="F1086" t="str">
            <v>LD240620O-1669A</v>
          </cell>
          <cell r="G1086">
            <v>10</v>
          </cell>
          <cell r="H1086" t="str">
            <v>DNA宏基因组文库</v>
          </cell>
          <cell r="I1086" t="str">
            <v>XCL</v>
          </cell>
          <cell r="J1086">
            <v>63.2</v>
          </cell>
          <cell r="N1086" t="e">
            <v>#DIV/0!</v>
          </cell>
        </row>
        <row r="1087">
          <cell r="E1087" t="str">
            <v>HGC-Lib-2451165</v>
          </cell>
          <cell r="F1087" t="str">
            <v>LD240620O-1670A</v>
          </cell>
          <cell r="G1087">
            <v>10</v>
          </cell>
          <cell r="H1087" t="str">
            <v>DNA宏基因组文库</v>
          </cell>
          <cell r="I1087" t="str">
            <v>XCL</v>
          </cell>
          <cell r="J1087">
            <v>72</v>
          </cell>
          <cell r="N1087" t="e">
            <v>#DIV/0!</v>
          </cell>
        </row>
        <row r="1088">
          <cell r="E1088" t="str">
            <v>HGC-Lib-2451166</v>
          </cell>
          <cell r="F1088" t="str">
            <v>LD240620O-1671A</v>
          </cell>
          <cell r="G1088">
            <v>10</v>
          </cell>
          <cell r="H1088" t="str">
            <v>DNA宏基因组文库</v>
          </cell>
          <cell r="I1088" t="str">
            <v>XCL</v>
          </cell>
          <cell r="J1088">
            <v>76</v>
          </cell>
          <cell r="N1088" t="e">
            <v>#DIV/0!</v>
          </cell>
        </row>
        <row r="1089">
          <cell r="E1089" t="str">
            <v>HGC-Lib-2451167</v>
          </cell>
          <cell r="F1089" t="str">
            <v>LD240624O-1598A</v>
          </cell>
          <cell r="G1089">
            <v>10</v>
          </cell>
          <cell r="H1089" t="str">
            <v>DNA宏基因组文库</v>
          </cell>
          <cell r="I1089" t="str">
            <v>XCL</v>
          </cell>
          <cell r="J1089">
            <v>47</v>
          </cell>
          <cell r="N1089" t="e">
            <v>#DIV/0!</v>
          </cell>
        </row>
        <row r="1090">
          <cell r="E1090" t="str">
            <v>HGC-Lib-2451168</v>
          </cell>
          <cell r="F1090" t="str">
            <v>LD240624O-1599A</v>
          </cell>
          <cell r="G1090">
            <v>10</v>
          </cell>
          <cell r="H1090" t="str">
            <v>DNA宏基因组文库</v>
          </cell>
          <cell r="I1090" t="str">
            <v>XCL</v>
          </cell>
          <cell r="J1090">
            <v>48</v>
          </cell>
          <cell r="N1090" t="e">
            <v>#DIV/0!</v>
          </cell>
        </row>
        <row r="1091">
          <cell r="E1091" t="str">
            <v>HGC-POOL-2451169</v>
          </cell>
          <cell r="F1091" t="str">
            <v>WG2423/24D1</v>
          </cell>
          <cell r="G1091">
            <v>10</v>
          </cell>
          <cell r="H1091" t="str">
            <v>全基因组文库</v>
          </cell>
          <cell r="I1091" t="str">
            <v>WH</v>
          </cell>
          <cell r="J1091">
            <v>0.91</v>
          </cell>
          <cell r="K1091">
            <v>509</v>
          </cell>
          <cell r="L1091" t="str">
            <v>WH</v>
          </cell>
          <cell r="N1091">
            <v>2.7504911591355601</v>
          </cell>
        </row>
        <row r="1092">
          <cell r="E1092" t="str">
            <v>HGC-POOL-2451170</v>
          </cell>
          <cell r="F1092" t="str">
            <v>WG2423/24R1</v>
          </cell>
          <cell r="G1092">
            <v>10</v>
          </cell>
          <cell r="H1092" t="str">
            <v>全基因组文库</v>
          </cell>
          <cell r="I1092" t="str">
            <v>WH</v>
          </cell>
          <cell r="J1092">
            <v>1.39</v>
          </cell>
          <cell r="K1092">
            <v>445</v>
          </cell>
          <cell r="L1092" t="str">
            <v>WH</v>
          </cell>
          <cell r="N1092">
            <v>4.8055315471045796</v>
          </cell>
        </row>
        <row r="1093">
          <cell r="E1093" t="str">
            <v>HGC-POOL-2451171</v>
          </cell>
          <cell r="F1093" t="str">
            <v>WG2425/26D1R1</v>
          </cell>
          <cell r="G1093">
            <v>10</v>
          </cell>
          <cell r="H1093" t="str">
            <v>全基因组文库</v>
          </cell>
          <cell r="I1093" t="str">
            <v>WH</v>
          </cell>
          <cell r="J1093">
            <v>1.49</v>
          </cell>
          <cell r="K1093">
            <v>415</v>
          </cell>
          <cell r="L1093" t="str">
            <v>WH</v>
          </cell>
          <cell r="N1093">
            <v>5.5236329935125097</v>
          </cell>
        </row>
        <row r="1094">
          <cell r="E1094" t="str">
            <v>HGC-Lib-2451172</v>
          </cell>
          <cell r="F1094" t="str">
            <v>1-1</v>
          </cell>
          <cell r="G1094" t="str">
            <v>2</v>
          </cell>
          <cell r="H1094" t="str">
            <v>PCR产物文库</v>
          </cell>
          <cell r="I1094" t="str">
            <v>WH</v>
          </cell>
          <cell r="J1094">
            <v>20.2</v>
          </cell>
          <cell r="K1094">
            <v>400</v>
          </cell>
          <cell r="L1094" t="str">
            <v>WH</v>
          </cell>
          <cell r="N1094">
            <v>77.692307692307693</v>
          </cell>
        </row>
        <row r="1095">
          <cell r="E1095" t="str">
            <v>HGC-Lib-2451173</v>
          </cell>
          <cell r="F1095" t="str">
            <v>2-1</v>
          </cell>
          <cell r="G1095" t="str">
            <v>2</v>
          </cell>
          <cell r="H1095" t="str">
            <v>PCR产物文库</v>
          </cell>
          <cell r="I1095" t="str">
            <v>WH</v>
          </cell>
          <cell r="J1095">
            <v>5.52</v>
          </cell>
          <cell r="K1095">
            <v>503</v>
          </cell>
          <cell r="L1095" t="str">
            <v>WH</v>
          </cell>
          <cell r="N1095">
            <v>16.8833154916654</v>
          </cell>
        </row>
        <row r="1096">
          <cell r="E1096" t="str">
            <v>HGC-Lib-2451174</v>
          </cell>
          <cell r="F1096" t="str">
            <v>3-1</v>
          </cell>
          <cell r="G1096" t="str">
            <v>2</v>
          </cell>
          <cell r="H1096" t="str">
            <v>PCR产物文库</v>
          </cell>
          <cell r="I1096" t="str">
            <v>WH</v>
          </cell>
          <cell r="J1096">
            <v>30.8</v>
          </cell>
          <cell r="K1096">
            <v>411</v>
          </cell>
          <cell r="L1096" t="str">
            <v>WH</v>
          </cell>
          <cell r="N1096">
            <v>115.291034999064</v>
          </cell>
        </row>
        <row r="1097">
          <cell r="E1097" t="str">
            <v>HGC-Lib-2451175</v>
          </cell>
          <cell r="F1097" t="str">
            <v>4-1</v>
          </cell>
          <cell r="G1097" t="str">
            <v>2</v>
          </cell>
          <cell r="H1097" t="str">
            <v>PCR产物文库</v>
          </cell>
          <cell r="I1097" t="str">
            <v>WH</v>
          </cell>
          <cell r="J1097">
            <v>19.7</v>
          </cell>
          <cell r="K1097">
            <v>417</v>
          </cell>
          <cell r="L1097" t="str">
            <v>WH</v>
          </cell>
          <cell r="N1097">
            <v>72.680317284633801</v>
          </cell>
        </row>
        <row r="1098">
          <cell r="E1098" t="str">
            <v>HGC-Lib-2451176</v>
          </cell>
          <cell r="F1098" t="str">
            <v>5-1</v>
          </cell>
          <cell r="G1098" t="str">
            <v>2</v>
          </cell>
          <cell r="H1098" t="str">
            <v>PCR产物文库</v>
          </cell>
          <cell r="I1098" t="str">
            <v>WH</v>
          </cell>
          <cell r="J1098">
            <v>28</v>
          </cell>
          <cell r="K1098">
            <v>403</v>
          </cell>
          <cell r="L1098" t="str">
            <v>WH</v>
          </cell>
          <cell r="N1098">
            <v>106.890627982439</v>
          </cell>
        </row>
        <row r="1099">
          <cell r="E1099" t="str">
            <v>HGC-Lib-2451177</v>
          </cell>
          <cell r="F1099" t="str">
            <v>6-1</v>
          </cell>
          <cell r="G1099" t="str">
            <v>2</v>
          </cell>
          <cell r="H1099" t="str">
            <v>PCR产物文库</v>
          </cell>
          <cell r="I1099" t="str">
            <v>WH</v>
          </cell>
          <cell r="J1099">
            <v>19.100000000000001</v>
          </cell>
          <cell r="K1099">
            <v>406</v>
          </cell>
          <cell r="L1099" t="str">
            <v>WH</v>
          </cell>
          <cell r="N1099">
            <v>72.375899962106899</v>
          </cell>
        </row>
        <row r="1100">
          <cell r="E1100" t="str">
            <v>HGC-Lib-2451178</v>
          </cell>
          <cell r="F1100" t="str">
            <v>7-1</v>
          </cell>
          <cell r="G1100" t="str">
            <v>2</v>
          </cell>
          <cell r="H1100" t="str">
            <v>PCR产物文库</v>
          </cell>
          <cell r="I1100" t="str">
            <v>WH</v>
          </cell>
          <cell r="J1100">
            <v>16.899999999999999</v>
          </cell>
          <cell r="K1100">
            <v>414</v>
          </cell>
          <cell r="L1100" t="str">
            <v>WH</v>
          </cell>
          <cell r="N1100">
            <v>62.801932367149803</v>
          </cell>
        </row>
        <row r="1101">
          <cell r="E1101" t="str">
            <v>HGC-Lib-2451179</v>
          </cell>
          <cell r="F1101" t="str">
            <v>8-1</v>
          </cell>
          <cell r="G1101" t="str">
            <v>2</v>
          </cell>
          <cell r="H1101" t="str">
            <v>PCR产物文库</v>
          </cell>
          <cell r="I1101" t="str">
            <v>WH</v>
          </cell>
          <cell r="J1101">
            <v>29.8</v>
          </cell>
          <cell r="K1101">
            <v>356</v>
          </cell>
          <cell r="L1101" t="str">
            <v>WH</v>
          </cell>
          <cell r="N1101">
            <v>128.781331028522</v>
          </cell>
        </row>
        <row r="1102">
          <cell r="E1102" t="str">
            <v>HGC-Lib-2451180</v>
          </cell>
          <cell r="F1102" t="str">
            <v>9-1</v>
          </cell>
          <cell r="G1102" t="str">
            <v>2</v>
          </cell>
          <cell r="H1102" t="str">
            <v>PCR产物文库</v>
          </cell>
          <cell r="I1102" t="str">
            <v>WH</v>
          </cell>
          <cell r="J1102">
            <v>19.3</v>
          </cell>
          <cell r="K1102">
            <v>396</v>
          </cell>
          <cell r="L1102" t="str">
            <v>WH</v>
          </cell>
          <cell r="N1102">
            <v>74.980574980575</v>
          </cell>
        </row>
        <row r="1103">
          <cell r="E1103" t="str">
            <v>HGC-Lib-2451192</v>
          </cell>
          <cell r="F1103" t="str">
            <v>T812-1</v>
          </cell>
          <cell r="G1103">
            <v>6</v>
          </cell>
          <cell r="H1103" t="str">
            <v>mRNA文库</v>
          </cell>
          <cell r="I1103" t="str">
            <v>WH</v>
          </cell>
          <cell r="J1103">
            <v>54.8</v>
          </cell>
          <cell r="N1103" t="e">
            <v>#DIV/0!</v>
          </cell>
        </row>
        <row r="1104">
          <cell r="E1104" t="str">
            <v>HGC-Lib-2451193</v>
          </cell>
          <cell r="F1104" t="str">
            <v>T812-2</v>
          </cell>
          <cell r="G1104">
            <v>6</v>
          </cell>
          <cell r="H1104" t="str">
            <v>mRNA文库</v>
          </cell>
          <cell r="I1104" t="str">
            <v>WH</v>
          </cell>
          <cell r="J1104">
            <v>57.4</v>
          </cell>
          <cell r="N1104" t="e">
            <v>#DIV/0!</v>
          </cell>
        </row>
        <row r="1105">
          <cell r="E1105" t="str">
            <v>HGC-Lib-2451194</v>
          </cell>
          <cell r="F1105" t="str">
            <v>T812-3</v>
          </cell>
          <cell r="G1105">
            <v>6</v>
          </cell>
          <cell r="H1105" t="str">
            <v>mRNA文库</v>
          </cell>
          <cell r="I1105" t="str">
            <v>WH</v>
          </cell>
          <cell r="J1105">
            <v>54.6</v>
          </cell>
          <cell r="N1105" t="e">
            <v>#DIV/0!</v>
          </cell>
        </row>
        <row r="1106">
          <cell r="E1106" t="str">
            <v>HGC-Lib-2451195</v>
          </cell>
          <cell r="F1106" t="str">
            <v>T812-4</v>
          </cell>
          <cell r="G1106">
            <v>6</v>
          </cell>
          <cell r="H1106" t="str">
            <v>mRNA文库</v>
          </cell>
          <cell r="I1106" t="str">
            <v>WH</v>
          </cell>
          <cell r="J1106">
            <v>59.4</v>
          </cell>
          <cell r="N1106" t="e">
            <v>#DIV/0!</v>
          </cell>
        </row>
        <row r="1107">
          <cell r="E1107" t="str">
            <v>HGC-Lib-2451196</v>
          </cell>
          <cell r="F1107" t="str">
            <v>T812-5</v>
          </cell>
          <cell r="G1107">
            <v>6</v>
          </cell>
          <cell r="H1107" t="str">
            <v>mRNA文库</v>
          </cell>
          <cell r="I1107" t="str">
            <v>WH</v>
          </cell>
          <cell r="J1107">
            <v>59.4</v>
          </cell>
          <cell r="N1107" t="e">
            <v>#DIV/0!</v>
          </cell>
        </row>
        <row r="1108">
          <cell r="E1108" t="str">
            <v>HGC-Lib-2451197</v>
          </cell>
          <cell r="F1108" t="str">
            <v>T812-6</v>
          </cell>
          <cell r="G1108">
            <v>6</v>
          </cell>
          <cell r="H1108" t="str">
            <v>mRNA文库</v>
          </cell>
          <cell r="I1108" t="str">
            <v>WH</v>
          </cell>
          <cell r="J1108">
            <v>49.2</v>
          </cell>
          <cell r="N1108" t="e">
            <v>#DIV/0!</v>
          </cell>
        </row>
        <row r="1109">
          <cell r="E1109" t="str">
            <v>HGC-Lib-2451198</v>
          </cell>
          <cell r="F1109" t="str">
            <v>T810-1</v>
          </cell>
          <cell r="G1109">
            <v>6</v>
          </cell>
          <cell r="H1109" t="str">
            <v>mRNA文库</v>
          </cell>
          <cell r="I1109" t="str">
            <v>XCL</v>
          </cell>
          <cell r="J1109">
            <v>11.8</v>
          </cell>
          <cell r="N1109" t="e">
            <v>#DIV/0!</v>
          </cell>
        </row>
        <row r="1110">
          <cell r="E1110" t="str">
            <v>HGC-Lib-2451201</v>
          </cell>
          <cell r="F1110" t="str">
            <v>NGS-11_2024-07-02</v>
          </cell>
          <cell r="G1110">
            <v>1</v>
          </cell>
          <cell r="H1110" t="str">
            <v>多重PCR产物文库</v>
          </cell>
          <cell r="I1110" t="str">
            <v>XCL</v>
          </cell>
          <cell r="J1110">
            <v>57.6</v>
          </cell>
          <cell r="K1110">
            <v>394</v>
          </cell>
          <cell r="L1110" t="str">
            <v>ZZ</v>
          </cell>
          <cell r="N1110">
            <v>224.91214369387001</v>
          </cell>
        </row>
        <row r="1111">
          <cell r="E1111" t="str">
            <v>HGC-Lib-2451202</v>
          </cell>
          <cell r="F1111" t="str">
            <v>HitomXNN377</v>
          </cell>
          <cell r="G1111">
            <v>2</v>
          </cell>
          <cell r="H1111" t="str">
            <v>PCR片段文库</v>
          </cell>
          <cell r="I1111" t="str">
            <v>XCL</v>
          </cell>
          <cell r="J1111">
            <v>51.2</v>
          </cell>
          <cell r="K1111">
            <v>505</v>
          </cell>
          <cell r="L1111" t="str">
            <v>ZZ</v>
          </cell>
          <cell r="N1111">
            <v>155.978674790556</v>
          </cell>
        </row>
        <row r="1112">
          <cell r="E1112" t="str">
            <v>HGC-Lib-2451203</v>
          </cell>
          <cell r="F1112" t="str">
            <v>HitomXNN378</v>
          </cell>
          <cell r="G1112">
            <v>2</v>
          </cell>
          <cell r="H1112" t="str">
            <v>PCR片段文库</v>
          </cell>
          <cell r="I1112" t="str">
            <v>XCL</v>
          </cell>
          <cell r="J1112">
            <v>65</v>
          </cell>
          <cell r="K1112">
            <v>515</v>
          </cell>
          <cell r="L1112" t="str">
            <v>ZZ</v>
          </cell>
          <cell r="N1112">
            <v>194.17475728155301</v>
          </cell>
        </row>
        <row r="1113">
          <cell r="E1113" t="str">
            <v>HGC-Lib-2451204</v>
          </cell>
          <cell r="F1113" t="str">
            <v>HitomXNN379</v>
          </cell>
          <cell r="G1113">
            <v>2</v>
          </cell>
          <cell r="H1113" t="str">
            <v>PCR片段文库</v>
          </cell>
          <cell r="I1113" t="str">
            <v>XCL</v>
          </cell>
          <cell r="J1113">
            <v>79.599999999999994</v>
          </cell>
          <cell r="K1113">
            <v>361</v>
          </cell>
          <cell r="L1113" t="str">
            <v>ZZ</v>
          </cell>
          <cell r="N1113">
            <v>339.228638397613</v>
          </cell>
        </row>
        <row r="1114">
          <cell r="E1114" t="str">
            <v>HGC-Lib-2451205</v>
          </cell>
          <cell r="F1114" t="str">
            <v>HitomXNN380</v>
          </cell>
          <cell r="G1114">
            <v>2</v>
          </cell>
          <cell r="H1114" t="str">
            <v>PCR片段文库</v>
          </cell>
          <cell r="I1114" t="str">
            <v>XCL</v>
          </cell>
          <cell r="J1114">
            <v>90.8</v>
          </cell>
          <cell r="K1114">
            <v>458</v>
          </cell>
          <cell r="L1114" t="str">
            <v>ZZ</v>
          </cell>
          <cell r="N1114">
            <v>305.00503862949301</v>
          </cell>
        </row>
        <row r="1115">
          <cell r="E1115" t="str">
            <v>HGC-Lib-2451206</v>
          </cell>
          <cell r="F1115" t="str">
            <v>hitomcll261</v>
          </cell>
          <cell r="G1115">
            <v>2</v>
          </cell>
          <cell r="H1115" t="str">
            <v>PCR片段文库</v>
          </cell>
          <cell r="I1115" t="str">
            <v>XCL</v>
          </cell>
          <cell r="J1115">
            <v>62.2</v>
          </cell>
          <cell r="K1115">
            <v>386</v>
          </cell>
          <cell r="L1115" t="str">
            <v>ZZ</v>
          </cell>
          <cell r="N1115">
            <v>247.907532881626</v>
          </cell>
        </row>
        <row r="1116">
          <cell r="E1116" t="str">
            <v>HGC-Lib-2451207</v>
          </cell>
          <cell r="F1116" t="str">
            <v>hitomcll262</v>
          </cell>
          <cell r="G1116">
            <v>2</v>
          </cell>
          <cell r="H1116" t="str">
            <v>PCR片段文库</v>
          </cell>
          <cell r="I1116" t="str">
            <v>XCL</v>
          </cell>
          <cell r="J1116">
            <v>42.2</v>
          </cell>
          <cell r="K1116">
            <v>401</v>
          </cell>
          <cell r="L1116" t="str">
            <v>ZZ</v>
          </cell>
          <cell r="N1116">
            <v>161.90293497026701</v>
          </cell>
        </row>
        <row r="1117">
          <cell r="E1117" t="str">
            <v>HGC-Lib-2451208</v>
          </cell>
          <cell r="F1117" t="str">
            <v>hitomcll263</v>
          </cell>
          <cell r="G1117">
            <v>2</v>
          </cell>
          <cell r="H1117" t="str">
            <v>PCR片段文库</v>
          </cell>
          <cell r="I1117" t="str">
            <v>XCL</v>
          </cell>
          <cell r="J1117">
            <v>78</v>
          </cell>
          <cell r="K1117">
            <v>423</v>
          </cell>
          <cell r="L1117" t="str">
            <v>ZZ</v>
          </cell>
          <cell r="N1117">
            <v>283.68794326241101</v>
          </cell>
        </row>
        <row r="1118">
          <cell r="E1118" t="str">
            <v>HGC-Lib-2451209</v>
          </cell>
          <cell r="F1118" t="str">
            <v>hitomcll264</v>
          </cell>
          <cell r="G1118">
            <v>2</v>
          </cell>
          <cell r="H1118" t="str">
            <v>PCR片段文库</v>
          </cell>
          <cell r="I1118" t="str">
            <v>XCL</v>
          </cell>
          <cell r="J1118">
            <v>83.8</v>
          </cell>
          <cell r="K1118">
            <v>403</v>
          </cell>
          <cell r="L1118" t="str">
            <v>ZZ</v>
          </cell>
          <cell r="N1118">
            <v>319.908379461729</v>
          </cell>
        </row>
        <row r="1119">
          <cell r="E1119" t="str">
            <v>HGC-Lib-2451210</v>
          </cell>
          <cell r="F1119" t="str">
            <v>hitomcll265</v>
          </cell>
          <cell r="G1119">
            <v>2</v>
          </cell>
          <cell r="H1119" t="str">
            <v>PCR片段文库</v>
          </cell>
          <cell r="I1119" t="str">
            <v>XCL</v>
          </cell>
          <cell r="J1119">
            <v>62.8</v>
          </cell>
          <cell r="K1119">
            <v>398</v>
          </cell>
          <cell r="L1119" t="str">
            <v>ZZ</v>
          </cell>
          <cell r="N1119">
            <v>242.75222265171999</v>
          </cell>
        </row>
        <row r="1120">
          <cell r="E1120" t="str">
            <v>HGC-Lib-2451211</v>
          </cell>
          <cell r="F1120" t="str">
            <v>hitomcll266</v>
          </cell>
          <cell r="G1120">
            <v>2</v>
          </cell>
          <cell r="H1120" t="str">
            <v>PCR片段文库</v>
          </cell>
          <cell r="I1120" t="str">
            <v>XCL</v>
          </cell>
          <cell r="J1120">
            <v>87.2</v>
          </cell>
          <cell r="K1120">
            <v>380</v>
          </cell>
          <cell r="L1120" t="str">
            <v>ZZ</v>
          </cell>
          <cell r="N1120">
            <v>353.036437246964</v>
          </cell>
        </row>
        <row r="1121">
          <cell r="E1121" t="str">
            <v>HGC-Lib-2451212</v>
          </cell>
          <cell r="F1121" t="str">
            <v>hitomcll267</v>
          </cell>
          <cell r="G1121">
            <v>2</v>
          </cell>
          <cell r="H1121" t="str">
            <v>PCR片段文库</v>
          </cell>
          <cell r="I1121" t="str">
            <v>XCL</v>
          </cell>
          <cell r="J1121">
            <v>62.8</v>
          </cell>
          <cell r="K1121">
            <v>407</v>
          </cell>
          <cell r="L1121" t="str">
            <v>ZZ</v>
          </cell>
          <cell r="N1121">
            <v>237.384237384237</v>
          </cell>
        </row>
        <row r="1122">
          <cell r="E1122" t="str">
            <v>HGC-Lib-2451213</v>
          </cell>
          <cell r="F1122" t="str">
            <v>hitomcll268</v>
          </cell>
          <cell r="G1122">
            <v>2</v>
          </cell>
          <cell r="H1122" t="str">
            <v>PCR片段文库</v>
          </cell>
          <cell r="I1122" t="str">
            <v>XCL</v>
          </cell>
          <cell r="J1122">
            <v>75.599999999999994</v>
          </cell>
          <cell r="K1122">
            <v>399</v>
          </cell>
          <cell r="L1122" t="str">
            <v>ZZ</v>
          </cell>
          <cell r="N1122">
            <v>291.497975708502</v>
          </cell>
        </row>
        <row r="1123">
          <cell r="E1123" t="str">
            <v>HGC-Lib-2451214</v>
          </cell>
          <cell r="F1123" t="str">
            <v>hitomcll269</v>
          </cell>
          <cell r="G1123">
            <v>2</v>
          </cell>
          <cell r="H1123" t="str">
            <v>PCR片段文库</v>
          </cell>
          <cell r="I1123" t="str">
            <v>XCL</v>
          </cell>
          <cell r="J1123">
            <v>37.200000000000003</v>
          </cell>
          <cell r="K1123">
            <v>388</v>
          </cell>
          <cell r="L1123" t="str">
            <v>ZZ</v>
          </cell>
          <cell r="N1123">
            <v>147.50198255352899</v>
          </cell>
        </row>
        <row r="1124">
          <cell r="E1124" t="str">
            <v>HGC-Lib-2451215</v>
          </cell>
          <cell r="F1124" t="str">
            <v>hitomcll270</v>
          </cell>
          <cell r="G1124">
            <v>2</v>
          </cell>
          <cell r="H1124" t="str">
            <v>PCR片段文库</v>
          </cell>
          <cell r="I1124" t="str">
            <v>XCL</v>
          </cell>
          <cell r="J1124">
            <v>18.899999999999999</v>
          </cell>
          <cell r="K1124">
            <v>411</v>
          </cell>
          <cell r="L1124" t="str">
            <v>ZZ</v>
          </cell>
          <cell r="N1124">
            <v>70.746771476698498</v>
          </cell>
        </row>
        <row r="1125">
          <cell r="E1125" t="str">
            <v>HGC-Lib-2451216</v>
          </cell>
          <cell r="F1125" t="str">
            <v>hitomcll271</v>
          </cell>
          <cell r="G1125">
            <v>2</v>
          </cell>
          <cell r="H1125" t="str">
            <v>PCR片段文库</v>
          </cell>
          <cell r="I1125" t="str">
            <v>XCL</v>
          </cell>
          <cell r="J1125">
            <v>40.6</v>
          </cell>
          <cell r="K1125">
            <v>473</v>
          </cell>
          <cell r="L1125" t="str">
            <v>ZZ</v>
          </cell>
          <cell r="N1125">
            <v>132.05399251910899</v>
          </cell>
        </row>
        <row r="1126">
          <cell r="E1126" t="str">
            <v>HGC-Lib-2451217</v>
          </cell>
          <cell r="F1126" t="str">
            <v>hitomcll272</v>
          </cell>
          <cell r="G1126">
            <v>2</v>
          </cell>
          <cell r="H1126" t="str">
            <v>PCR片段文库</v>
          </cell>
          <cell r="I1126" t="str">
            <v>XCL</v>
          </cell>
          <cell r="J1126">
            <v>18.8</v>
          </cell>
          <cell r="K1126">
            <v>446</v>
          </cell>
          <cell r="L1126" t="str">
            <v>ZZ</v>
          </cell>
          <cell r="N1126">
            <v>64.849948258020007</v>
          </cell>
        </row>
        <row r="1127">
          <cell r="E1127" t="str">
            <v>HGC-Lib-2451218</v>
          </cell>
          <cell r="F1127" t="str">
            <v>hitomcll273</v>
          </cell>
          <cell r="G1127">
            <v>2</v>
          </cell>
          <cell r="H1127" t="str">
            <v>PCR片段文库</v>
          </cell>
          <cell r="I1127" t="str">
            <v>XCL</v>
          </cell>
          <cell r="J1127">
            <v>38.200000000000003</v>
          </cell>
          <cell r="K1127">
            <v>462</v>
          </cell>
          <cell r="L1127" t="str">
            <v>ZZ</v>
          </cell>
          <cell r="N1127">
            <v>127.20612720612699</v>
          </cell>
        </row>
        <row r="1128">
          <cell r="E1128" t="str">
            <v>HGC-Lib-2451219</v>
          </cell>
          <cell r="F1128" t="str">
            <v>hitomcll274</v>
          </cell>
          <cell r="G1128">
            <v>2</v>
          </cell>
          <cell r="H1128" t="str">
            <v>PCR片段文库</v>
          </cell>
          <cell r="I1128" t="str">
            <v>XCL</v>
          </cell>
          <cell r="J1128">
            <v>85.6</v>
          </cell>
          <cell r="K1128">
            <v>423</v>
          </cell>
          <cell r="L1128" t="str">
            <v>ZZ</v>
          </cell>
          <cell r="N1128">
            <v>311.32933260592802</v>
          </cell>
        </row>
        <row r="1129">
          <cell r="E1129" t="str">
            <v>HGC-Lib-2451220</v>
          </cell>
          <cell r="F1129" t="str">
            <v>hitomcll287</v>
          </cell>
          <cell r="G1129">
            <v>2</v>
          </cell>
          <cell r="H1129" t="str">
            <v>PCR片段文库</v>
          </cell>
          <cell r="I1129" t="str">
            <v>XCL</v>
          </cell>
          <cell r="J1129">
            <v>54.4</v>
          </cell>
          <cell r="K1129">
            <v>419</v>
          </cell>
          <cell r="L1129" t="str">
            <v>ZZ</v>
          </cell>
          <cell r="N1129">
            <v>199.742977785937</v>
          </cell>
        </row>
        <row r="1130">
          <cell r="E1130" t="str">
            <v>HGC-Lib-2451221</v>
          </cell>
          <cell r="F1130" t="str">
            <v>hitomcll276</v>
          </cell>
          <cell r="G1130">
            <v>2</v>
          </cell>
          <cell r="H1130" t="str">
            <v>PCR片段文库</v>
          </cell>
          <cell r="I1130" t="str">
            <v>XCL</v>
          </cell>
          <cell r="J1130">
            <v>47</v>
          </cell>
          <cell r="K1130">
            <v>451</v>
          </cell>
          <cell r="L1130" t="str">
            <v>ZZ</v>
          </cell>
          <cell r="N1130">
            <v>160.32747740064801</v>
          </cell>
        </row>
        <row r="1131">
          <cell r="E1131" t="str">
            <v>HGC-Lib-2451222</v>
          </cell>
          <cell r="F1131" t="str">
            <v>hitomcll277</v>
          </cell>
          <cell r="G1131">
            <v>2</v>
          </cell>
          <cell r="H1131" t="str">
            <v>PCR片段文库</v>
          </cell>
          <cell r="I1131" t="str">
            <v>XCL</v>
          </cell>
          <cell r="J1131">
            <v>41.4</v>
          </cell>
          <cell r="K1131">
            <v>377</v>
          </cell>
          <cell r="L1131" t="str">
            <v>ZZ</v>
          </cell>
          <cell r="N1131">
            <v>168.94511324219499</v>
          </cell>
        </row>
        <row r="1132">
          <cell r="E1132" t="str">
            <v>HGC-Lib-2451223</v>
          </cell>
          <cell r="F1132" t="str">
            <v>hitomcll278</v>
          </cell>
          <cell r="G1132">
            <v>2</v>
          </cell>
          <cell r="H1132" t="str">
            <v>PCR片段文库</v>
          </cell>
          <cell r="I1132" t="str">
            <v>XCL</v>
          </cell>
          <cell r="J1132">
            <v>47.8</v>
          </cell>
          <cell r="K1132">
            <v>391</v>
          </cell>
          <cell r="L1132" t="str">
            <v>ZZ</v>
          </cell>
          <cell r="N1132">
            <v>188.07790674798301</v>
          </cell>
        </row>
        <row r="1133">
          <cell r="E1133" t="str">
            <v>HGC-Lib-2451224</v>
          </cell>
          <cell r="F1133" t="str">
            <v>hitomcll279</v>
          </cell>
          <cell r="G1133">
            <v>2</v>
          </cell>
          <cell r="H1133" t="str">
            <v>PCR片段文库</v>
          </cell>
          <cell r="I1133" t="str">
            <v>XCL</v>
          </cell>
          <cell r="J1133">
            <v>65.400000000000006</v>
          </cell>
          <cell r="K1133">
            <v>387</v>
          </cell>
          <cell r="L1133" t="str">
            <v>ZZ</v>
          </cell>
          <cell r="N1133">
            <v>259.98807394156199</v>
          </cell>
        </row>
        <row r="1134">
          <cell r="E1134" t="str">
            <v>HGC-Lib-2451225</v>
          </cell>
          <cell r="F1134" t="str">
            <v>hitomcll280</v>
          </cell>
          <cell r="G1134">
            <v>2</v>
          </cell>
          <cell r="H1134" t="str">
            <v>PCR片段文库</v>
          </cell>
          <cell r="I1134" t="str">
            <v>XCL</v>
          </cell>
          <cell r="J1134">
            <v>55.8</v>
          </cell>
          <cell r="K1134">
            <v>486</v>
          </cell>
          <cell r="L1134" t="str">
            <v>ZZ</v>
          </cell>
          <cell r="N1134">
            <v>176.63817663817699</v>
          </cell>
        </row>
        <row r="1135">
          <cell r="E1135" t="str">
            <v>HGC-Lib-2451226</v>
          </cell>
          <cell r="F1135" t="str">
            <v>hitomcll281</v>
          </cell>
          <cell r="G1135">
            <v>2</v>
          </cell>
          <cell r="H1135" t="str">
            <v>PCR片段文库</v>
          </cell>
          <cell r="I1135" t="str">
            <v>XCL</v>
          </cell>
          <cell r="J1135">
            <v>31</v>
          </cell>
          <cell r="K1135">
            <v>573</v>
          </cell>
          <cell r="L1135" t="str">
            <v>ZZ</v>
          </cell>
          <cell r="N1135">
            <v>83.232648677674902</v>
          </cell>
        </row>
        <row r="1136">
          <cell r="E1136" t="str">
            <v>HGC-Lib-2451227</v>
          </cell>
          <cell r="F1136" t="str">
            <v>hitomcll282</v>
          </cell>
          <cell r="G1136">
            <v>2</v>
          </cell>
          <cell r="H1136" t="str">
            <v>PCR片段文库</v>
          </cell>
          <cell r="I1136" t="str">
            <v>XCL</v>
          </cell>
          <cell r="J1136">
            <v>34.4</v>
          </cell>
          <cell r="K1136">
            <v>416</v>
          </cell>
          <cell r="L1136" t="str">
            <v>ZZ</v>
          </cell>
          <cell r="N1136">
            <v>127.218934911243</v>
          </cell>
        </row>
        <row r="1137">
          <cell r="E1137" t="str">
            <v>HGC-Lib-2451228</v>
          </cell>
          <cell r="F1137" t="str">
            <v>hitomcll283</v>
          </cell>
          <cell r="G1137">
            <v>2</v>
          </cell>
          <cell r="H1137" t="str">
            <v>PCR片段文库</v>
          </cell>
          <cell r="I1137" t="str">
            <v>XCL</v>
          </cell>
          <cell r="J1137">
            <v>57.2</v>
          </cell>
          <cell r="K1137">
            <v>443</v>
          </cell>
          <cell r="L1137" t="str">
            <v>ZZ</v>
          </cell>
          <cell r="N1137">
            <v>198.645598194131</v>
          </cell>
        </row>
        <row r="1138">
          <cell r="E1138" t="str">
            <v>HGC-Lib-2451229</v>
          </cell>
          <cell r="F1138" t="str">
            <v>hitomcll284</v>
          </cell>
          <cell r="G1138">
            <v>2</v>
          </cell>
          <cell r="H1138" t="str">
            <v>PCR片段文库</v>
          </cell>
          <cell r="I1138" t="str">
            <v>XCL</v>
          </cell>
          <cell r="J1138">
            <v>67.8</v>
          </cell>
          <cell r="K1138">
            <v>406</v>
          </cell>
          <cell r="L1138" t="str">
            <v>ZZ</v>
          </cell>
          <cell r="N1138">
            <v>256.91549829480903</v>
          </cell>
        </row>
        <row r="1139">
          <cell r="E1139" t="str">
            <v>HGC-Lib-2451230</v>
          </cell>
          <cell r="F1139" t="str">
            <v>hitomcll285</v>
          </cell>
          <cell r="G1139">
            <v>2</v>
          </cell>
          <cell r="H1139" t="str">
            <v>PCR片段文库</v>
          </cell>
          <cell r="I1139" t="str">
            <v>XCL</v>
          </cell>
          <cell r="J1139">
            <v>76.400000000000006</v>
          </cell>
          <cell r="K1139">
            <v>385</v>
          </cell>
          <cell r="L1139" t="str">
            <v>ZZ</v>
          </cell>
          <cell r="N1139">
            <v>305.29470529470501</v>
          </cell>
        </row>
        <row r="1140">
          <cell r="E1140" t="str">
            <v>HGC-Lib-2451231</v>
          </cell>
          <cell r="F1140" t="str">
            <v>hitomcll286</v>
          </cell>
          <cell r="G1140">
            <v>2</v>
          </cell>
          <cell r="H1140" t="str">
            <v>PCR片段文库</v>
          </cell>
          <cell r="I1140" t="str">
            <v>XCL</v>
          </cell>
          <cell r="J1140">
            <v>28.8</v>
          </cell>
          <cell r="K1140">
            <v>434</v>
          </cell>
          <cell r="L1140" t="str">
            <v>ZZ</v>
          </cell>
          <cell r="N1140">
            <v>102.091456930167</v>
          </cell>
        </row>
        <row r="1141">
          <cell r="E1141" t="str">
            <v>HGC-Lib-2451232</v>
          </cell>
          <cell r="F1141" t="str">
            <v>6-9-10</v>
          </cell>
          <cell r="G1141">
            <v>10</v>
          </cell>
          <cell r="H1141" t="str">
            <v>PCR片段文库</v>
          </cell>
          <cell r="I1141" t="str">
            <v>XCL</v>
          </cell>
          <cell r="J1141">
            <v>106</v>
          </cell>
          <cell r="K1141">
            <v>528</v>
          </cell>
          <cell r="L1141" t="str">
            <v>ZZ</v>
          </cell>
          <cell r="N1141">
            <v>308.857808857809</v>
          </cell>
        </row>
        <row r="1142">
          <cell r="E1142" t="str">
            <v>HGC-Lib-2451233</v>
          </cell>
          <cell r="F1142" t="str">
            <v>N_B_E4701C-10X-FFPEduizhaopizangC-SP0</v>
          </cell>
          <cell r="G1142">
            <v>50</v>
          </cell>
          <cell r="H1142" t="str">
            <v>10x空间转录组</v>
          </cell>
          <cell r="I1142" t="str">
            <v>XCL</v>
          </cell>
          <cell r="J1142">
            <v>11.5</v>
          </cell>
          <cell r="N1142" t="e">
            <v>#DIV/0!</v>
          </cell>
        </row>
        <row r="1143">
          <cell r="E1143" t="str">
            <v>HGC-Lib-2451234</v>
          </cell>
          <cell r="F1143" t="str">
            <v>N_B_E4701D-10X-FFPEduizhaoxinzangC-H</v>
          </cell>
          <cell r="G1143">
            <v>50</v>
          </cell>
          <cell r="H1143" t="str">
            <v>10x空间转录组</v>
          </cell>
          <cell r="I1143" t="str">
            <v>XCL</v>
          </cell>
          <cell r="J1143">
            <v>14.1</v>
          </cell>
          <cell r="N1143" t="e">
            <v>#DIV/0!</v>
          </cell>
        </row>
        <row r="1144">
          <cell r="E1144" t="str">
            <v>HGC-Lib-2451235</v>
          </cell>
          <cell r="F1144" t="str">
            <v>N_B_F3Q03K-10X-FFPE161-T</v>
          </cell>
          <cell r="G1144">
            <v>50</v>
          </cell>
          <cell r="H1144" t="str">
            <v>10x空间转录组</v>
          </cell>
          <cell r="I1144" t="str">
            <v>XCL</v>
          </cell>
          <cell r="J1144">
            <v>15</v>
          </cell>
          <cell r="N1144" t="e">
            <v>#DIV/0!</v>
          </cell>
        </row>
        <row r="1145">
          <cell r="E1145" t="str">
            <v>HGC-Lib-2451236</v>
          </cell>
          <cell r="F1145" t="str">
            <v>N_B_F3Q03L-10X-FFPE161-N</v>
          </cell>
          <cell r="G1145">
            <v>50</v>
          </cell>
          <cell r="H1145" t="str">
            <v>10x空间转录组</v>
          </cell>
          <cell r="I1145" t="str">
            <v>XCL</v>
          </cell>
          <cell r="J1145">
            <v>21.6</v>
          </cell>
          <cell r="N1145" t="e">
            <v>#DIV/0!</v>
          </cell>
        </row>
        <row r="1146">
          <cell r="E1146" t="str">
            <v>HGC-Lib-2451237</v>
          </cell>
          <cell r="F1146" t="str">
            <v>N_B_F3Q03M-10X-FFPE162-T</v>
          </cell>
          <cell r="G1146">
            <v>50</v>
          </cell>
          <cell r="H1146" t="str">
            <v>10x空间转录组</v>
          </cell>
          <cell r="I1146" t="str">
            <v>XCL</v>
          </cell>
          <cell r="J1146">
            <v>5.08</v>
          </cell>
          <cell r="N1146" t="e">
            <v>#DIV/0!</v>
          </cell>
        </row>
        <row r="1147">
          <cell r="E1147" t="str">
            <v>HGC-Lib-2451238</v>
          </cell>
          <cell r="F1147" t="str">
            <v>N_B_F3Q03N-10X-FFPE162-N</v>
          </cell>
          <cell r="G1147">
            <v>50</v>
          </cell>
          <cell r="H1147" t="str">
            <v>10x空间转录组</v>
          </cell>
          <cell r="I1147" t="str">
            <v>XCL</v>
          </cell>
          <cell r="J1147">
            <v>13.3</v>
          </cell>
          <cell r="N1147" t="e">
            <v>#DIV/0!</v>
          </cell>
        </row>
        <row r="1148">
          <cell r="E1148" t="str">
            <v>HGC-Lib-2451239</v>
          </cell>
          <cell r="F1148" t="str">
            <v>N_B_N4613-4T-10X-FFPE23-61159-1</v>
          </cell>
          <cell r="G1148">
            <v>10</v>
          </cell>
          <cell r="H1148" t="str">
            <v>10x空间转录组</v>
          </cell>
          <cell r="I1148" t="str">
            <v>XCL</v>
          </cell>
          <cell r="J1148">
            <v>8.86</v>
          </cell>
          <cell r="N1148" t="e">
            <v>#DIV/0!</v>
          </cell>
        </row>
        <row r="1149">
          <cell r="E1149" t="str">
            <v>HGC-Lib-2451240</v>
          </cell>
          <cell r="F1149" t="str">
            <v>N_B_N4613-4V-10X-FFPE23-616147</v>
          </cell>
          <cell r="G1149">
            <v>100</v>
          </cell>
          <cell r="H1149" t="str">
            <v>10x空间转录组</v>
          </cell>
          <cell r="I1149" t="str">
            <v>XCL</v>
          </cell>
          <cell r="J1149">
            <v>19.5</v>
          </cell>
          <cell r="N1149" t="e">
            <v>#DIV/0!</v>
          </cell>
        </row>
        <row r="1150">
          <cell r="E1150" t="str">
            <v>HGC-Lib-2451241</v>
          </cell>
          <cell r="F1150" t="str">
            <v>N_B_N4613-4W-10X-FFPE23-117823-4</v>
          </cell>
          <cell r="G1150">
            <v>100</v>
          </cell>
          <cell r="H1150" t="str">
            <v>10x空间转录组</v>
          </cell>
          <cell r="I1150" t="str">
            <v>XCL</v>
          </cell>
          <cell r="J1150">
            <v>11.6</v>
          </cell>
          <cell r="N1150" t="e">
            <v>#DIV/0!</v>
          </cell>
        </row>
        <row r="1151">
          <cell r="E1151" t="str">
            <v>HGC-Lib-2451242</v>
          </cell>
          <cell r="F1151" t="str">
            <v>N_B_N4613-4X-10X-FFPE19-23738-4</v>
          </cell>
          <cell r="G1151">
            <v>100</v>
          </cell>
          <cell r="H1151" t="str">
            <v>10x空间转录组</v>
          </cell>
          <cell r="I1151" t="str">
            <v>XCL</v>
          </cell>
          <cell r="J1151">
            <v>6.58</v>
          </cell>
          <cell r="N1151" t="e">
            <v>#DIV/0!</v>
          </cell>
        </row>
        <row r="1152">
          <cell r="E1152" t="str">
            <v>HGC-Lib-2451243</v>
          </cell>
          <cell r="F1152" t="str">
            <v>N_B_N4613-4Y-10X-FFPE23-29452-3</v>
          </cell>
          <cell r="G1152">
            <v>100</v>
          </cell>
          <cell r="H1152" t="str">
            <v>10x空间转录组</v>
          </cell>
          <cell r="I1152" t="str">
            <v>XCL</v>
          </cell>
          <cell r="J1152">
            <v>11.9</v>
          </cell>
          <cell r="N1152" t="e">
            <v>#DIV/0!</v>
          </cell>
        </row>
        <row r="1153">
          <cell r="E1153" t="str">
            <v>HGC-Lib-2451244</v>
          </cell>
          <cell r="F1153" t="str">
            <v>N_B_N4613-50-10X-FFPE23-124440-3</v>
          </cell>
          <cell r="G1153">
            <v>100</v>
          </cell>
          <cell r="H1153" t="str">
            <v>10x空间转录组</v>
          </cell>
          <cell r="I1153" t="str">
            <v>XCL</v>
          </cell>
          <cell r="J1153">
            <v>21.4</v>
          </cell>
          <cell r="N1153" t="e">
            <v>#DIV/0!</v>
          </cell>
        </row>
        <row r="1154">
          <cell r="E1154" t="str">
            <v>HGC-Lib-2451245</v>
          </cell>
          <cell r="F1154" t="str">
            <v>N_B_N4618-0X-10X5CR-hTL111</v>
          </cell>
          <cell r="G1154">
            <v>100</v>
          </cell>
          <cell r="H1154" t="str">
            <v>10x 5'单细胞</v>
          </cell>
          <cell r="I1154" t="str">
            <v>XCL</v>
          </cell>
          <cell r="J1154">
            <v>30</v>
          </cell>
          <cell r="N1154" t="e">
            <v>#DIV/0!</v>
          </cell>
        </row>
        <row r="1155">
          <cell r="E1155" t="str">
            <v>HGC-Lib-2451246</v>
          </cell>
          <cell r="F1155" t="str">
            <v>N_B_N4618-0Y-10X5CR-hTL112</v>
          </cell>
          <cell r="G1155">
            <v>100</v>
          </cell>
          <cell r="H1155" t="str">
            <v>10x 5'单细胞</v>
          </cell>
          <cell r="I1155" t="str">
            <v>XCL</v>
          </cell>
          <cell r="J1155">
            <v>34</v>
          </cell>
          <cell r="N1155" t="e">
            <v>#DIV/0!</v>
          </cell>
        </row>
        <row r="1156">
          <cell r="E1156" t="str">
            <v>HGC-Lib-2451247</v>
          </cell>
          <cell r="F1156" t="str">
            <v>N_B_N4618-0X-10X5TCRCR-hTL111-2</v>
          </cell>
          <cell r="G1156">
            <v>10</v>
          </cell>
          <cell r="H1156" t="str">
            <v>10X5TCR</v>
          </cell>
          <cell r="I1156" t="str">
            <v>WH</v>
          </cell>
          <cell r="J1156">
            <v>52.6</v>
          </cell>
          <cell r="N1156" t="e">
            <v>#DIV/0!</v>
          </cell>
        </row>
        <row r="1157">
          <cell r="E1157" t="str">
            <v>HGC-Lib-2451248</v>
          </cell>
          <cell r="F1157" t="str">
            <v>N_B_N4618-0Y-10X5TCRCR-hTL112-2</v>
          </cell>
          <cell r="G1157">
            <v>10</v>
          </cell>
          <cell r="H1157" t="str">
            <v>10X5TCR</v>
          </cell>
          <cell r="I1157" t="str">
            <v>WH</v>
          </cell>
          <cell r="J1157">
            <v>48</v>
          </cell>
          <cell r="N1157" t="e">
            <v>#DIV/0!</v>
          </cell>
        </row>
        <row r="1158">
          <cell r="E1158" t="str">
            <v>HGC-Lib-2451249</v>
          </cell>
          <cell r="F1158" t="str">
            <v>N_B_N4618-0X-10X5BCRCR-hTL111-3</v>
          </cell>
          <cell r="G1158">
            <v>10</v>
          </cell>
          <cell r="H1158" t="str">
            <v>10X5BCR</v>
          </cell>
          <cell r="I1158" t="str">
            <v>WH</v>
          </cell>
          <cell r="J1158">
            <v>32</v>
          </cell>
          <cell r="N1158" t="e">
            <v>#DIV/0!</v>
          </cell>
        </row>
        <row r="1159">
          <cell r="E1159" t="str">
            <v>HGC-Lib-2451250</v>
          </cell>
          <cell r="F1159" t="str">
            <v>N_B_N4618-0Y-10X5BCRCR-hTL112-3</v>
          </cell>
          <cell r="G1159">
            <v>10</v>
          </cell>
          <cell r="H1159" t="str">
            <v>10X5BCR</v>
          </cell>
          <cell r="I1159" t="str">
            <v>WH</v>
          </cell>
          <cell r="J1159">
            <v>36</v>
          </cell>
          <cell r="N1159" t="e">
            <v>#DIV/0!</v>
          </cell>
        </row>
        <row r="1160">
          <cell r="E1160" t="str">
            <v>HGC-Lib-2451251</v>
          </cell>
          <cell r="F1160" t="str">
            <v>N_B_N4619-0E-10X520240619ZQJ-2</v>
          </cell>
          <cell r="G1160">
            <v>100</v>
          </cell>
          <cell r="H1160" t="str">
            <v>10x 5'单细胞</v>
          </cell>
          <cell r="I1160" t="str">
            <v>WH</v>
          </cell>
          <cell r="J1160">
            <v>42.4</v>
          </cell>
          <cell r="N1160" t="e">
            <v>#DIV/0!</v>
          </cell>
        </row>
        <row r="1161">
          <cell r="E1161" t="str">
            <v>HGC-Lib-2451252</v>
          </cell>
          <cell r="F1161" t="str">
            <v>N_B_N4619-0E-10X5TCR20240619ZQJ-2-2</v>
          </cell>
          <cell r="G1161">
            <v>10</v>
          </cell>
          <cell r="H1161" t="str">
            <v>10X5TCR</v>
          </cell>
          <cell r="I1161" t="str">
            <v>WH</v>
          </cell>
          <cell r="J1161">
            <v>54.6</v>
          </cell>
          <cell r="N1161" t="e">
            <v>#DIV/0!</v>
          </cell>
        </row>
        <row r="1162">
          <cell r="E1162" t="str">
            <v>HGC-Lib-2451253</v>
          </cell>
          <cell r="F1162" t="str">
            <v>N_B_N4619-0E-10X5BCR20240619ZQJ-2-3</v>
          </cell>
          <cell r="G1162">
            <v>10</v>
          </cell>
          <cell r="H1162" t="str">
            <v>10X5BCR</v>
          </cell>
          <cell r="I1162" t="str">
            <v>WH</v>
          </cell>
          <cell r="J1162">
            <v>33</v>
          </cell>
          <cell r="N1162" t="e">
            <v>#DIV/0!</v>
          </cell>
        </row>
        <row r="1163">
          <cell r="E1163" t="str">
            <v>HGC-Lib-2451254</v>
          </cell>
          <cell r="F1163" t="str">
            <v>clk-1508</v>
          </cell>
          <cell r="G1163">
            <v>3</v>
          </cell>
          <cell r="H1163" t="str">
            <v>mRNA文库</v>
          </cell>
          <cell r="I1163" t="str">
            <v>WH</v>
          </cell>
          <cell r="J1163">
            <v>0.11799999999999999</v>
          </cell>
          <cell r="K1163">
            <v>389</v>
          </cell>
          <cell r="L1163" t="str">
            <v>HZK</v>
          </cell>
          <cell r="N1163">
            <v>0.46667984971326898</v>
          </cell>
        </row>
        <row r="1164">
          <cell r="E1164" t="str">
            <v>HGC-Lib-2451255</v>
          </cell>
          <cell r="F1164" t="str">
            <v>Tilapia_Midkidney_H3K27ac</v>
          </cell>
          <cell r="G1164">
            <v>7</v>
          </cell>
          <cell r="H1164" t="str">
            <v>cut&amp;tag文库</v>
          </cell>
          <cell r="I1164" t="str">
            <v>WH</v>
          </cell>
          <cell r="J1164">
            <v>11.9</v>
          </cell>
          <cell r="K1164">
            <v>453</v>
          </cell>
          <cell r="L1164" t="str">
            <v>ZZ</v>
          </cell>
          <cell r="N1164">
            <v>40.4143318050603</v>
          </cell>
        </row>
        <row r="1165">
          <cell r="E1165" t="str">
            <v>HGC-Lib-2451256</v>
          </cell>
          <cell r="F1165" t="str">
            <v>Tilapia_Midkidney_H3K27me3</v>
          </cell>
          <cell r="G1165">
            <v>7</v>
          </cell>
          <cell r="H1165" t="str">
            <v>cut&amp;tag文库</v>
          </cell>
          <cell r="I1165" t="str">
            <v>WH</v>
          </cell>
          <cell r="J1165">
            <v>7.82</v>
          </cell>
          <cell r="K1165">
            <v>432</v>
          </cell>
          <cell r="L1165" t="str">
            <v>HZK</v>
          </cell>
          <cell r="N1165">
            <v>27.849002849002801</v>
          </cell>
        </row>
        <row r="1166">
          <cell r="E1166" t="str">
            <v>HGC-Lib-2451257</v>
          </cell>
          <cell r="F1166" t="str">
            <v>Tilapia_Midkidney_H3K4me1</v>
          </cell>
          <cell r="G1166">
            <v>7</v>
          </cell>
          <cell r="H1166" t="str">
            <v>cut&amp;tag文库</v>
          </cell>
          <cell r="I1166" t="str">
            <v>WH</v>
          </cell>
          <cell r="J1166">
            <v>10.4</v>
          </cell>
          <cell r="K1166">
            <v>391</v>
          </cell>
          <cell r="L1166" t="str">
            <v>ZZ</v>
          </cell>
          <cell r="N1166">
            <v>40.920716112531998</v>
          </cell>
        </row>
        <row r="1167">
          <cell r="E1167" t="str">
            <v>HGC-Lib-2451258</v>
          </cell>
          <cell r="F1167" t="str">
            <v>Tilapia_Midkidney_H3K4me3</v>
          </cell>
          <cell r="G1167">
            <v>7</v>
          </cell>
          <cell r="H1167" t="str">
            <v>cut&amp;tag文库</v>
          </cell>
          <cell r="I1167" t="str">
            <v>WH</v>
          </cell>
          <cell r="J1167">
            <v>3.36</v>
          </cell>
          <cell r="K1167">
            <v>368</v>
          </cell>
          <cell r="L1167" t="str">
            <v>HZK</v>
          </cell>
          <cell r="N1167">
            <v>14.0468227424749</v>
          </cell>
        </row>
        <row r="1168">
          <cell r="E1168" t="str">
            <v>HGC-Lib-2451259</v>
          </cell>
          <cell r="F1168" t="str">
            <v>Tilapia_Midkidney_IgG</v>
          </cell>
          <cell r="G1168">
            <v>7</v>
          </cell>
          <cell r="H1168" t="str">
            <v>cut&amp;tag文库</v>
          </cell>
          <cell r="I1168" t="str">
            <v>WH</v>
          </cell>
          <cell r="J1168">
            <v>0.13600000000000001</v>
          </cell>
          <cell r="K1168">
            <v>439</v>
          </cell>
          <cell r="L1168" t="str">
            <v>HZK</v>
          </cell>
          <cell r="N1168">
            <v>0.47660767478535099</v>
          </cell>
        </row>
        <row r="1169">
          <cell r="E1169" t="str">
            <v>HGC-Lib-2451260</v>
          </cell>
          <cell r="F1169" t="str">
            <v>Tilapia_Stomach_H3K27ac</v>
          </cell>
          <cell r="G1169">
            <v>7</v>
          </cell>
          <cell r="H1169" t="str">
            <v>cut&amp;tag文库</v>
          </cell>
          <cell r="I1169" t="str">
            <v>WH</v>
          </cell>
          <cell r="J1169">
            <v>3.68</v>
          </cell>
          <cell r="K1169">
            <v>388</v>
          </cell>
          <cell r="L1169" t="str">
            <v>HZK</v>
          </cell>
          <cell r="N1169">
            <v>14.5915939730373</v>
          </cell>
        </row>
        <row r="1170">
          <cell r="E1170" t="str">
            <v>HGC-Lib-2451261</v>
          </cell>
          <cell r="F1170" t="str">
            <v>Tilapia_Stomach_H3K27me3</v>
          </cell>
          <cell r="G1170">
            <v>7</v>
          </cell>
          <cell r="H1170" t="str">
            <v>cut&amp;tag文库</v>
          </cell>
          <cell r="I1170" t="str">
            <v>WH</v>
          </cell>
          <cell r="J1170">
            <v>7.82</v>
          </cell>
          <cell r="K1170">
            <v>393</v>
          </cell>
          <cell r="L1170" t="str">
            <v>HZK</v>
          </cell>
          <cell r="N1170">
            <v>30.6126443531024</v>
          </cell>
        </row>
        <row r="1171">
          <cell r="E1171" t="str">
            <v>HGC-Lib-2451262</v>
          </cell>
          <cell r="F1171" t="str">
            <v>Tilapia_Stomach_H3K4me1</v>
          </cell>
          <cell r="G1171">
            <v>7</v>
          </cell>
          <cell r="H1171" t="str">
            <v>cut&amp;tag文库</v>
          </cell>
          <cell r="I1171" t="str">
            <v>WH</v>
          </cell>
          <cell r="J1171">
            <v>7.5</v>
          </cell>
          <cell r="K1171">
            <v>422</v>
          </cell>
          <cell r="L1171" t="str">
            <v>HZK</v>
          </cell>
          <cell r="N1171">
            <v>27.342325920524999</v>
          </cell>
        </row>
        <row r="1172">
          <cell r="E1172" t="str">
            <v>HGC-Lib-2451263</v>
          </cell>
          <cell r="F1172" t="str">
            <v>Tilapia_Stomach_H3K4me3</v>
          </cell>
          <cell r="G1172">
            <v>7</v>
          </cell>
          <cell r="H1172" t="str">
            <v>cut&amp;tag文库</v>
          </cell>
          <cell r="I1172" t="str">
            <v>WH</v>
          </cell>
          <cell r="J1172">
            <v>11.1</v>
          </cell>
          <cell r="K1172">
            <v>456</v>
          </cell>
          <cell r="L1172" t="str">
            <v>ZZ</v>
          </cell>
          <cell r="N1172">
            <v>37.449392712550598</v>
          </cell>
        </row>
        <row r="1173">
          <cell r="E1173" t="str">
            <v>HGC-Lib-2451264</v>
          </cell>
          <cell r="F1173" t="str">
            <v>Tilapia_Stomach_IgG</v>
          </cell>
          <cell r="G1173">
            <v>7</v>
          </cell>
          <cell r="H1173" t="str">
            <v>cut&amp;tag文库</v>
          </cell>
          <cell r="I1173" t="str">
            <v>WH</v>
          </cell>
          <cell r="J1173" t="str">
            <v>/</v>
          </cell>
          <cell r="K1173">
            <v>456</v>
          </cell>
          <cell r="L1173" t="str">
            <v>HZK</v>
          </cell>
          <cell r="N1173" t="e">
            <v>#VALUE!</v>
          </cell>
        </row>
        <row r="1174">
          <cell r="E1174" t="str">
            <v>HGC-Lib-2451265</v>
          </cell>
          <cell r="F1174" t="str">
            <v>Tilapia_Gut_H3K27ac</v>
          </cell>
          <cell r="G1174">
            <v>7</v>
          </cell>
          <cell r="H1174" t="str">
            <v>cut&amp;tag文库</v>
          </cell>
          <cell r="I1174" t="str">
            <v>WH</v>
          </cell>
          <cell r="J1174">
            <v>1.68</v>
          </cell>
          <cell r="K1174">
            <v>329</v>
          </cell>
          <cell r="L1174" t="str">
            <v>HZK</v>
          </cell>
          <cell r="N1174">
            <v>7.8559738134206203</v>
          </cell>
        </row>
        <row r="1175">
          <cell r="E1175" t="str">
            <v>HGC-Lib-2451266</v>
          </cell>
          <cell r="F1175" t="str">
            <v>Tilapia_Gut_H3K27me3</v>
          </cell>
          <cell r="G1175">
            <v>7</v>
          </cell>
          <cell r="H1175" t="str">
            <v>cut&amp;tag文库</v>
          </cell>
          <cell r="I1175" t="str">
            <v>WH</v>
          </cell>
          <cell r="J1175">
            <v>1.47</v>
          </cell>
          <cell r="K1175">
            <v>332</v>
          </cell>
          <cell r="L1175" t="str">
            <v>HZK</v>
          </cell>
          <cell r="N1175">
            <v>6.8118628359592197</v>
          </cell>
        </row>
        <row r="1176">
          <cell r="E1176" t="str">
            <v>HGC-Lib-2451267</v>
          </cell>
          <cell r="F1176" t="str">
            <v>Tilapia_Gut_H3K4me1</v>
          </cell>
          <cell r="G1176">
            <v>7</v>
          </cell>
          <cell r="H1176" t="str">
            <v>cut&amp;tag文库</v>
          </cell>
          <cell r="I1176" t="str">
            <v>WH</v>
          </cell>
          <cell r="J1176">
            <v>3.46</v>
          </cell>
          <cell r="K1176">
            <v>361</v>
          </cell>
          <cell r="L1176" t="str">
            <v>HZK</v>
          </cell>
          <cell r="N1176">
            <v>14.7453654378862</v>
          </cell>
        </row>
        <row r="1177">
          <cell r="E1177" t="str">
            <v>HGC-Lib-2451268</v>
          </cell>
          <cell r="F1177" t="str">
            <v>Tilapia_Gut_H3K4me3</v>
          </cell>
          <cell r="G1177">
            <v>7</v>
          </cell>
          <cell r="H1177" t="str">
            <v>cut&amp;tag文库</v>
          </cell>
          <cell r="I1177" t="str">
            <v>WH</v>
          </cell>
          <cell r="J1177">
            <v>0.68400000000000005</v>
          </cell>
          <cell r="K1177">
            <v>346</v>
          </cell>
          <cell r="L1177" t="str">
            <v>HZK</v>
          </cell>
          <cell r="N1177">
            <v>3.0413517118719402</v>
          </cell>
        </row>
        <row r="1178">
          <cell r="E1178" t="str">
            <v>HGC-Lib-2451269</v>
          </cell>
          <cell r="F1178" t="str">
            <v>Tilapia_Gut_IgG</v>
          </cell>
          <cell r="G1178">
            <v>7</v>
          </cell>
          <cell r="H1178" t="str">
            <v>cut&amp;tag文库</v>
          </cell>
          <cell r="I1178" t="str">
            <v>WH</v>
          </cell>
          <cell r="J1178">
            <v>0.11600000000000001</v>
          </cell>
          <cell r="K1178">
            <v>424</v>
          </cell>
          <cell r="L1178" t="str">
            <v>HZK</v>
          </cell>
          <cell r="N1178">
            <v>0.42089985486211901</v>
          </cell>
        </row>
        <row r="1179">
          <cell r="E1179" t="str">
            <v>HGC-Lib-2451270</v>
          </cell>
          <cell r="F1179" t="str">
            <v>Tilapia_Oral_H3K27ac</v>
          </cell>
          <cell r="G1179">
            <v>7</v>
          </cell>
          <cell r="H1179" t="str">
            <v>cut&amp;tag文库</v>
          </cell>
          <cell r="I1179" t="str">
            <v>WH</v>
          </cell>
          <cell r="J1179">
            <v>4.42</v>
          </cell>
          <cell r="K1179">
            <v>357</v>
          </cell>
          <cell r="L1179" t="str">
            <v>HZK</v>
          </cell>
          <cell r="N1179">
            <v>19.047619047619101</v>
          </cell>
        </row>
        <row r="1180">
          <cell r="E1180" t="str">
            <v>HGC-Lib-2451271</v>
          </cell>
          <cell r="F1180" t="str">
            <v>Tilapia_Oral_H3K27me3</v>
          </cell>
          <cell r="G1180">
            <v>7</v>
          </cell>
          <cell r="H1180" t="str">
            <v>cut&amp;tag文库</v>
          </cell>
          <cell r="I1180" t="str">
            <v>WH</v>
          </cell>
          <cell r="J1180">
            <v>3.66</v>
          </cell>
          <cell r="K1180">
            <v>359</v>
          </cell>
          <cell r="L1180" t="str">
            <v>HZK</v>
          </cell>
          <cell r="N1180">
            <v>15.684593957574499</v>
          </cell>
        </row>
        <row r="1181">
          <cell r="E1181" t="str">
            <v>HGC-Lib-2451272</v>
          </cell>
          <cell r="F1181" t="str">
            <v>Tilapia_Oral_H3K4me1</v>
          </cell>
          <cell r="G1181">
            <v>7</v>
          </cell>
          <cell r="H1181" t="str">
            <v>cut&amp;tag文库</v>
          </cell>
          <cell r="I1181" t="str">
            <v>WH</v>
          </cell>
          <cell r="J1181">
            <v>9.8000000000000007</v>
          </cell>
          <cell r="K1181">
            <v>369</v>
          </cell>
          <cell r="L1181" t="str">
            <v>HZK</v>
          </cell>
          <cell r="N1181">
            <v>40.858870127162803</v>
          </cell>
        </row>
        <row r="1182">
          <cell r="E1182" t="str">
            <v>HGC-Lib-2451273</v>
          </cell>
          <cell r="F1182" t="str">
            <v>Tilapia_Oral_H3K4me3</v>
          </cell>
          <cell r="G1182">
            <v>7</v>
          </cell>
          <cell r="H1182" t="str">
            <v>cut&amp;tag文库</v>
          </cell>
          <cell r="I1182" t="str">
            <v>WH</v>
          </cell>
          <cell r="J1182">
            <v>2.46</v>
          </cell>
          <cell r="K1182">
            <v>349</v>
          </cell>
          <cell r="L1182" t="str">
            <v>HZK</v>
          </cell>
          <cell r="N1182">
            <v>10.844170156491099</v>
          </cell>
        </row>
        <row r="1183">
          <cell r="E1183" t="str">
            <v>HGC-Lib-2451274</v>
          </cell>
          <cell r="F1183" t="str">
            <v>Tilapia_Oral_IgG</v>
          </cell>
          <cell r="G1183">
            <v>7</v>
          </cell>
          <cell r="H1183" t="str">
            <v>cut&amp;tag文库</v>
          </cell>
          <cell r="I1183" t="str">
            <v>WH</v>
          </cell>
          <cell r="J1183">
            <v>0.11</v>
          </cell>
          <cell r="K1183">
            <v>461</v>
          </cell>
          <cell r="L1183" t="str">
            <v>HZK</v>
          </cell>
          <cell r="N1183">
            <v>0.36709494410145199</v>
          </cell>
        </row>
        <row r="1184">
          <cell r="E1184" t="str">
            <v>HGC-Lib-2451275</v>
          </cell>
          <cell r="F1184" t="str">
            <v>FWSC20240179-CRLM-T</v>
          </cell>
          <cell r="G1184">
            <v>100</v>
          </cell>
          <cell r="H1184" t="str">
            <v>10× 3'单细胞</v>
          </cell>
          <cell r="I1184" t="str">
            <v>WH</v>
          </cell>
          <cell r="J1184">
            <v>31</v>
          </cell>
          <cell r="K1184">
            <v>555</v>
          </cell>
          <cell r="L1184" t="str">
            <v>ZZ</v>
          </cell>
          <cell r="N1184">
            <v>85.932085932085897</v>
          </cell>
        </row>
        <row r="1185">
          <cell r="E1185" t="str">
            <v>HGC-Lib-2451276</v>
          </cell>
          <cell r="F1185" t="str">
            <v>FWSC20240179-CRLM-P</v>
          </cell>
          <cell r="G1185">
            <v>100</v>
          </cell>
          <cell r="H1185" t="str">
            <v>10× 3'单细胞</v>
          </cell>
          <cell r="I1185" t="str">
            <v>WH</v>
          </cell>
          <cell r="J1185">
            <v>11.6</v>
          </cell>
          <cell r="K1185">
            <v>520</v>
          </cell>
          <cell r="L1185" t="str">
            <v>ZZ</v>
          </cell>
          <cell r="N1185">
            <v>34.319526627218899</v>
          </cell>
        </row>
        <row r="1186">
          <cell r="E1186" t="str">
            <v>HGC-Lib-2451277</v>
          </cell>
          <cell r="F1186" t="str">
            <v>FW2023-482-19-SMZ</v>
          </cell>
          <cell r="G1186">
            <v>100</v>
          </cell>
          <cell r="H1186" t="str">
            <v>10× 3'单细胞</v>
          </cell>
          <cell r="I1186" t="str">
            <v>WH</v>
          </cell>
          <cell r="J1186">
            <v>39.200000000000003</v>
          </cell>
          <cell r="K1186">
            <v>560</v>
          </cell>
          <cell r="L1186" t="str">
            <v>ZZ</v>
          </cell>
          <cell r="N1186">
            <v>107.69230769230801</v>
          </cell>
        </row>
        <row r="1187">
          <cell r="E1187" t="str">
            <v>HGC-Lib-2451278</v>
          </cell>
          <cell r="F1187" t="str">
            <v>FWSC20240188-C274</v>
          </cell>
          <cell r="G1187">
            <v>100</v>
          </cell>
          <cell r="H1187" t="str">
            <v>10× 3'单细胞</v>
          </cell>
          <cell r="I1187" t="str">
            <v>WH</v>
          </cell>
          <cell r="J1187">
            <v>16.7</v>
          </cell>
          <cell r="K1187">
            <v>520</v>
          </cell>
          <cell r="L1187" t="str">
            <v>ZZ</v>
          </cell>
          <cell r="N1187">
            <v>49.4082840236686</v>
          </cell>
        </row>
        <row r="1188">
          <cell r="E1188" t="str">
            <v>HGC-Lib-2451279</v>
          </cell>
          <cell r="F1188" t="str">
            <v>FWSC20240189-D1</v>
          </cell>
          <cell r="G1188">
            <v>100</v>
          </cell>
          <cell r="H1188" t="str">
            <v>10× 3'单细胞</v>
          </cell>
          <cell r="I1188" t="str">
            <v>WH</v>
          </cell>
          <cell r="J1188">
            <v>12.9</v>
          </cell>
          <cell r="K1188">
            <v>510</v>
          </cell>
          <cell r="L1188" t="str">
            <v>ZZ</v>
          </cell>
          <cell r="N1188">
            <v>38.914027149321299</v>
          </cell>
        </row>
        <row r="1189">
          <cell r="E1189" t="str">
            <v>HGC-Lib-2451280</v>
          </cell>
          <cell r="F1189" t="str">
            <v>FWSC20240189-D2</v>
          </cell>
          <cell r="G1189">
            <v>100</v>
          </cell>
          <cell r="H1189" t="str">
            <v>10× 3'单细胞</v>
          </cell>
          <cell r="I1189" t="str">
            <v>WH</v>
          </cell>
          <cell r="J1189">
            <v>12.5</v>
          </cell>
          <cell r="K1189">
            <v>506</v>
          </cell>
          <cell r="L1189" t="str">
            <v>ZZ</v>
          </cell>
          <cell r="N1189">
            <v>38.005472788081498</v>
          </cell>
        </row>
        <row r="1190">
          <cell r="E1190" t="str">
            <v>HGC-Lib-2451281</v>
          </cell>
          <cell r="F1190" t="str">
            <v>FWSC20240189-D3</v>
          </cell>
          <cell r="G1190">
            <v>100</v>
          </cell>
          <cell r="H1190" t="str">
            <v>10× 3'单细胞</v>
          </cell>
          <cell r="I1190" t="str">
            <v>WH</v>
          </cell>
          <cell r="J1190">
            <v>14.4</v>
          </cell>
          <cell r="K1190">
            <v>521</v>
          </cell>
          <cell r="L1190" t="str">
            <v>ZZ</v>
          </cell>
          <cell r="N1190">
            <v>42.5217776465377</v>
          </cell>
        </row>
        <row r="1191">
          <cell r="E1191" t="str">
            <v>HGC-Lib-2451282</v>
          </cell>
          <cell r="F1191" t="str">
            <v>FWSC20240189-M1</v>
          </cell>
          <cell r="G1191">
            <v>100</v>
          </cell>
          <cell r="H1191" t="str">
            <v>10× 3'单细胞</v>
          </cell>
          <cell r="I1191" t="str">
            <v>WH</v>
          </cell>
          <cell r="J1191">
            <v>17.399999999999999</v>
          </cell>
          <cell r="K1191">
            <v>521</v>
          </cell>
          <cell r="L1191" t="str">
            <v>ZZ</v>
          </cell>
          <cell r="N1191">
            <v>51.380481322899698</v>
          </cell>
        </row>
        <row r="1192">
          <cell r="E1192" t="str">
            <v>HGC-Lib-2451283</v>
          </cell>
          <cell r="F1192" t="str">
            <v>FWSC20240189-M2</v>
          </cell>
          <cell r="G1192">
            <v>100</v>
          </cell>
          <cell r="H1192" t="str">
            <v>10× 3'单细胞</v>
          </cell>
          <cell r="I1192" t="str">
            <v>WH</v>
          </cell>
          <cell r="J1192">
            <v>12.3</v>
          </cell>
          <cell r="K1192">
            <v>521</v>
          </cell>
          <cell r="L1192" t="str">
            <v>ZZ</v>
          </cell>
          <cell r="N1192">
            <v>36.320685073084299</v>
          </cell>
        </row>
        <row r="1193">
          <cell r="E1193" t="str">
            <v>HGC-Lib-2451284</v>
          </cell>
          <cell r="F1193" t="str">
            <v>FWSC20240189-M3</v>
          </cell>
          <cell r="G1193">
            <v>100</v>
          </cell>
          <cell r="H1193" t="str">
            <v>10× 3'单细胞</v>
          </cell>
          <cell r="I1193" t="str">
            <v>WH</v>
          </cell>
          <cell r="J1193">
            <v>14.5</v>
          </cell>
          <cell r="K1193">
            <v>514</v>
          </cell>
          <cell r="L1193" t="str">
            <v>ZZ</v>
          </cell>
          <cell r="N1193">
            <v>43.400179586950003</v>
          </cell>
        </row>
        <row r="1194">
          <cell r="E1194" t="str">
            <v>HGC-Lib-2451285</v>
          </cell>
          <cell r="F1194" t="str">
            <v>FWSC20240189-C1</v>
          </cell>
          <cell r="G1194">
            <v>100</v>
          </cell>
          <cell r="H1194" t="str">
            <v>10× 3'单细胞</v>
          </cell>
          <cell r="I1194" t="str">
            <v>WH</v>
          </cell>
          <cell r="J1194">
            <v>13.2</v>
          </cell>
          <cell r="K1194">
            <v>518</v>
          </cell>
          <cell r="L1194" t="str">
            <v>ZZ</v>
          </cell>
          <cell r="N1194">
            <v>39.204039204039198</v>
          </cell>
        </row>
        <row r="1195">
          <cell r="E1195" t="str">
            <v>HGC-Lib-2451286</v>
          </cell>
          <cell r="F1195" t="str">
            <v>FWSC20240189-C2</v>
          </cell>
          <cell r="G1195">
            <v>100</v>
          </cell>
          <cell r="H1195" t="str">
            <v>10× 3'单细胞</v>
          </cell>
          <cell r="I1195" t="str">
            <v>WH</v>
          </cell>
          <cell r="J1195">
            <v>16.3</v>
          </cell>
          <cell r="K1195">
            <v>522</v>
          </cell>
          <cell r="L1195" t="str">
            <v>ZZ</v>
          </cell>
          <cell r="N1195">
            <v>48.040082522841097</v>
          </cell>
        </row>
        <row r="1196">
          <cell r="E1196" t="str">
            <v>HGC-Lib-2451287</v>
          </cell>
          <cell r="F1196" t="str">
            <v>FWSC20240189-C3</v>
          </cell>
          <cell r="G1196">
            <v>100</v>
          </cell>
          <cell r="H1196" t="str">
            <v>10× 3'单细胞</v>
          </cell>
          <cell r="I1196" t="str">
            <v>WH</v>
          </cell>
          <cell r="J1196">
            <v>23.8</v>
          </cell>
          <cell r="K1196">
            <v>541</v>
          </cell>
          <cell r="L1196" t="str">
            <v>ZZ</v>
          </cell>
          <cell r="N1196">
            <v>67.6809327456278</v>
          </cell>
        </row>
        <row r="1197">
          <cell r="E1197" t="str">
            <v>HGC-Lib-2451288</v>
          </cell>
          <cell r="F1197" t="str">
            <v>FWSC20240189-Z1</v>
          </cell>
          <cell r="G1197">
            <v>100</v>
          </cell>
          <cell r="H1197" t="str">
            <v>10× 3'单细胞</v>
          </cell>
          <cell r="I1197" t="str">
            <v>WH</v>
          </cell>
          <cell r="J1197">
            <v>14.4</v>
          </cell>
          <cell r="K1197">
            <v>511</v>
          </cell>
          <cell r="L1197" t="str">
            <v>ZZ</v>
          </cell>
          <cell r="N1197">
            <v>43.353906367604999</v>
          </cell>
        </row>
        <row r="1198">
          <cell r="E1198" t="str">
            <v>HGC-Lib-2451289</v>
          </cell>
          <cell r="F1198" t="str">
            <v>FWSC20240189-Z2</v>
          </cell>
          <cell r="G1198">
            <v>100</v>
          </cell>
          <cell r="H1198" t="str">
            <v>10× 3'单细胞</v>
          </cell>
          <cell r="I1198" t="str">
            <v>WH</v>
          </cell>
          <cell r="J1198">
            <v>12.7</v>
          </cell>
          <cell r="K1198">
            <v>529</v>
          </cell>
          <cell r="L1198" t="str">
            <v>ZZ</v>
          </cell>
          <cell r="N1198">
            <v>36.9347099025738</v>
          </cell>
        </row>
        <row r="1199">
          <cell r="E1199" t="str">
            <v>HGC-Lib-2451290</v>
          </cell>
          <cell r="F1199" t="str">
            <v>FWSC20240189-Z3</v>
          </cell>
          <cell r="G1199">
            <v>100</v>
          </cell>
          <cell r="H1199" t="str">
            <v>10× 3'单细胞</v>
          </cell>
          <cell r="I1199" t="str">
            <v>WH</v>
          </cell>
          <cell r="J1199">
            <v>17.399999999999999</v>
          </cell>
          <cell r="K1199">
            <v>528</v>
          </cell>
          <cell r="L1199" t="str">
            <v>ZZ</v>
          </cell>
          <cell r="N1199">
            <v>50.6993006993007</v>
          </cell>
        </row>
        <row r="1200">
          <cell r="E1200" t="str">
            <v>HGC-Lib-2451291</v>
          </cell>
          <cell r="F1200" t="str">
            <v>FW2023-482-20-ZUX</v>
          </cell>
          <cell r="G1200">
            <v>100</v>
          </cell>
          <cell r="H1200" t="str">
            <v>10× 3'单细胞</v>
          </cell>
          <cell r="I1200" t="str">
            <v>WH</v>
          </cell>
          <cell r="J1200">
            <v>15.6</v>
          </cell>
          <cell r="K1200">
            <v>519</v>
          </cell>
          <cell r="L1200" t="str">
            <v>ZZ</v>
          </cell>
          <cell r="N1200">
            <v>46.242774566473997</v>
          </cell>
        </row>
        <row r="1201">
          <cell r="E1201" t="str">
            <v>HGC-Lib-2451292</v>
          </cell>
          <cell r="F1201" t="str">
            <v>FW2024-225-11-yingjian0625</v>
          </cell>
          <cell r="G1201">
            <v>100</v>
          </cell>
          <cell r="H1201" t="str">
            <v>10× 3'单细胞</v>
          </cell>
          <cell r="I1201" t="str">
            <v>WH</v>
          </cell>
          <cell r="J1201">
            <v>11.1</v>
          </cell>
          <cell r="K1201">
            <v>518</v>
          </cell>
          <cell r="L1201" t="str">
            <v>ZZ</v>
          </cell>
          <cell r="N1201">
            <v>32.967032967032999</v>
          </cell>
        </row>
        <row r="1202">
          <cell r="E1202" t="str">
            <v>HGC-Lib-2451293</v>
          </cell>
          <cell r="F1202" t="str">
            <v>FW2023-504-12-POOL6A</v>
          </cell>
          <cell r="G1202">
            <v>100</v>
          </cell>
          <cell r="H1202" t="str">
            <v>10× 3'单细胞</v>
          </cell>
          <cell r="I1202" t="str">
            <v>WH</v>
          </cell>
          <cell r="J1202">
            <v>16.600000000000001</v>
          </cell>
          <cell r="K1202">
            <v>528</v>
          </cell>
          <cell r="L1202" t="str">
            <v>ZZ</v>
          </cell>
          <cell r="N1202">
            <v>48.368298368298397</v>
          </cell>
        </row>
        <row r="1203">
          <cell r="E1203" t="str">
            <v>HGC-Lib-2451294</v>
          </cell>
          <cell r="F1203" t="str">
            <v>FW2023-482-21-ZZY</v>
          </cell>
          <cell r="G1203">
            <v>100</v>
          </cell>
          <cell r="H1203" t="str">
            <v>10× 3'单细胞</v>
          </cell>
          <cell r="I1203" t="str">
            <v>WH</v>
          </cell>
          <cell r="J1203">
            <v>16.7</v>
          </cell>
          <cell r="K1203">
            <v>520</v>
          </cell>
          <cell r="L1203" t="str">
            <v>ZZ</v>
          </cell>
          <cell r="N1203">
            <v>49.4082840236686</v>
          </cell>
        </row>
        <row r="1204">
          <cell r="E1204" t="str">
            <v>HGC-Lib-2451295</v>
          </cell>
          <cell r="F1204" t="str">
            <v>FW2023-511-15-TJS-C</v>
          </cell>
          <cell r="G1204">
            <v>100</v>
          </cell>
          <cell r="H1204" t="str">
            <v>10× 3'单细胞</v>
          </cell>
          <cell r="I1204" t="str">
            <v>ZZ</v>
          </cell>
          <cell r="J1204">
            <v>16.5</v>
          </cell>
          <cell r="K1204">
            <v>524</v>
          </cell>
          <cell r="L1204" t="str">
            <v>ZZ</v>
          </cell>
          <cell r="N1204">
            <v>48.443922489724002</v>
          </cell>
        </row>
        <row r="1205">
          <cell r="E1205" t="str">
            <v>HGC-Lib-2451296</v>
          </cell>
          <cell r="F1205" t="str">
            <v>FW2023-511-15-TJS-P</v>
          </cell>
          <cell r="G1205">
            <v>100</v>
          </cell>
          <cell r="H1205" t="str">
            <v>10× 3'单细胞</v>
          </cell>
          <cell r="I1205" t="str">
            <v>ZZ</v>
          </cell>
          <cell r="J1205">
            <v>13.3</v>
          </cell>
          <cell r="K1205">
            <v>503</v>
          </cell>
          <cell r="L1205" t="str">
            <v>ZZ</v>
          </cell>
          <cell r="N1205">
            <v>40.679002905643102</v>
          </cell>
        </row>
        <row r="1206">
          <cell r="E1206" t="str">
            <v>HGC-Lib-2451297</v>
          </cell>
          <cell r="F1206" t="str">
            <v>FW2024-192-06-YLY</v>
          </cell>
          <cell r="G1206">
            <v>100</v>
          </cell>
          <cell r="H1206" t="str">
            <v>10× 3'单细胞</v>
          </cell>
          <cell r="I1206" t="str">
            <v>ZZ</v>
          </cell>
          <cell r="J1206">
            <v>16.899999999999999</v>
          </cell>
          <cell r="K1206">
            <v>522</v>
          </cell>
          <cell r="L1206" t="str">
            <v>ZZ</v>
          </cell>
          <cell r="N1206">
            <v>49.808429118773901</v>
          </cell>
        </row>
        <row r="1207">
          <cell r="E1207" t="str">
            <v>HGC-Lib-2451298</v>
          </cell>
          <cell r="F1207" t="str">
            <v>FW2024-225-12-wuyinhong0701</v>
          </cell>
          <cell r="G1207">
            <v>100</v>
          </cell>
          <cell r="H1207" t="str">
            <v>10× 3'单细胞</v>
          </cell>
          <cell r="I1207" t="str">
            <v>ZZ</v>
          </cell>
          <cell r="J1207">
            <v>15.7</v>
          </cell>
          <cell r="K1207">
            <v>525</v>
          </cell>
          <cell r="L1207" t="str">
            <v>ZZ</v>
          </cell>
          <cell r="N1207">
            <v>46.007326007326</v>
          </cell>
        </row>
        <row r="1208">
          <cell r="E1208" t="str">
            <v>HGC-Lib-2451299</v>
          </cell>
          <cell r="F1208" t="str">
            <v>GK20240620084</v>
          </cell>
          <cell r="G1208">
            <v>6</v>
          </cell>
          <cell r="H1208" t="str">
            <v>mRNA文库</v>
          </cell>
          <cell r="I1208" t="str">
            <v>ZZ</v>
          </cell>
          <cell r="J1208">
            <v>19.3</v>
          </cell>
          <cell r="K1208">
            <v>563</v>
          </cell>
          <cell r="L1208" t="str">
            <v>ZZ</v>
          </cell>
          <cell r="N1208">
            <v>52.7394452794098</v>
          </cell>
        </row>
        <row r="1209">
          <cell r="E1209" t="str">
            <v>HGC-Lib-2451300</v>
          </cell>
          <cell r="F1209" t="str">
            <v>GK20240620085</v>
          </cell>
          <cell r="G1209">
            <v>6</v>
          </cell>
          <cell r="H1209" t="str">
            <v>mRNA文库</v>
          </cell>
          <cell r="I1209" t="str">
            <v>ZZ</v>
          </cell>
          <cell r="J1209">
            <v>30.2</v>
          </cell>
          <cell r="K1209">
            <v>551</v>
          </cell>
          <cell r="L1209" t="str">
            <v>ZZ</v>
          </cell>
          <cell r="N1209">
            <v>84.322211363953599</v>
          </cell>
        </row>
        <row r="1210">
          <cell r="E1210" t="str">
            <v>HGC-Lib-2451301</v>
          </cell>
          <cell r="F1210" t="str">
            <v>GK20240620086</v>
          </cell>
          <cell r="G1210">
            <v>6</v>
          </cell>
          <cell r="H1210" t="str">
            <v>mRNA文库</v>
          </cell>
          <cell r="I1210" t="str">
            <v>ZZ</v>
          </cell>
          <cell r="J1210">
            <v>18.100000000000001</v>
          </cell>
          <cell r="K1210">
            <v>584</v>
          </cell>
          <cell r="L1210" t="str">
            <v>ZZ</v>
          </cell>
          <cell r="N1210">
            <v>47.681770284510002</v>
          </cell>
        </row>
        <row r="1211">
          <cell r="E1211" t="str">
            <v>HGC-Lib-2451302</v>
          </cell>
          <cell r="F1211" t="str">
            <v>GK20240620087</v>
          </cell>
          <cell r="G1211">
            <v>6</v>
          </cell>
          <cell r="H1211" t="str">
            <v>mRNA文库</v>
          </cell>
          <cell r="I1211" t="str">
            <v>ZZ</v>
          </cell>
          <cell r="J1211">
            <v>31</v>
          </cell>
          <cell r="K1211">
            <v>545</v>
          </cell>
          <cell r="L1211" t="str">
            <v>ZZ</v>
          </cell>
          <cell r="N1211">
            <v>87.508821453775596</v>
          </cell>
        </row>
        <row r="1212">
          <cell r="E1212" t="str">
            <v>HGC-Lib-2451303</v>
          </cell>
          <cell r="F1212" t="str">
            <v>GK20240620088</v>
          </cell>
          <cell r="G1212">
            <v>6</v>
          </cell>
          <cell r="H1212" t="str">
            <v>mRNA文库</v>
          </cell>
          <cell r="I1212" t="str">
            <v>ZZ</v>
          </cell>
          <cell r="J1212">
            <v>29.2</v>
          </cell>
          <cell r="K1212">
            <v>551</v>
          </cell>
          <cell r="L1212" t="str">
            <v>ZZ</v>
          </cell>
          <cell r="N1212">
            <v>81.530085159849193</v>
          </cell>
        </row>
        <row r="1213">
          <cell r="E1213" t="str">
            <v>HGC-Lib-2451304</v>
          </cell>
          <cell r="F1213" t="str">
            <v>GK20240620089</v>
          </cell>
          <cell r="G1213">
            <v>6</v>
          </cell>
          <cell r="H1213" t="str">
            <v>mRNA文库</v>
          </cell>
          <cell r="I1213" t="str">
            <v>ZZ</v>
          </cell>
          <cell r="J1213">
            <v>27.4</v>
          </cell>
          <cell r="K1213">
            <v>553</v>
          </cell>
          <cell r="L1213" t="str">
            <v>ZZ</v>
          </cell>
          <cell r="N1213">
            <v>76.227569898455997</v>
          </cell>
        </row>
        <row r="1214">
          <cell r="E1214" t="str">
            <v>HGC-POOL-2451305</v>
          </cell>
          <cell r="F1214" t="str">
            <v>RBPX33_CMD8_CLIP_IP</v>
          </cell>
          <cell r="G1214">
            <v>20</v>
          </cell>
          <cell r="H1214" t="str">
            <v>RIP-seq文库</v>
          </cell>
          <cell r="I1214" t="str">
            <v>ZZ</v>
          </cell>
          <cell r="J1214">
            <v>12</v>
          </cell>
          <cell r="K1214">
            <v>349</v>
          </cell>
          <cell r="L1214" t="str">
            <v>ZZ</v>
          </cell>
          <cell r="N1214">
            <v>52.898391007273503</v>
          </cell>
        </row>
        <row r="1215">
          <cell r="E1215" t="str">
            <v>HGC-POOL-2451306</v>
          </cell>
          <cell r="F1215" t="str">
            <v>RBPX33_CMD8_CLIP_IgG</v>
          </cell>
          <cell r="G1215">
            <v>20</v>
          </cell>
          <cell r="H1215" t="str">
            <v>RIP-seq文库</v>
          </cell>
          <cell r="I1215" t="str">
            <v>ZZ</v>
          </cell>
          <cell r="J1215">
            <v>12.8</v>
          </cell>
          <cell r="K1215">
            <v>346</v>
          </cell>
          <cell r="L1215" t="str">
            <v>ZZ</v>
          </cell>
          <cell r="N1215">
            <v>56.914184081814099</v>
          </cell>
        </row>
        <row r="1216">
          <cell r="E1216" t="str">
            <v>HGC-Lib-2451319</v>
          </cell>
          <cell r="F1216" t="str">
            <v>T-C-1</v>
          </cell>
          <cell r="G1216">
            <v>2</v>
          </cell>
          <cell r="H1216" t="str">
            <v>mRNA文库</v>
          </cell>
          <cell r="I1216" t="str">
            <v>HZK</v>
          </cell>
          <cell r="J1216">
            <v>7.66</v>
          </cell>
          <cell r="K1216">
            <v>324</v>
          </cell>
          <cell r="L1216" t="str">
            <v>HZK</v>
          </cell>
          <cell r="N1216">
            <v>36.372269705603003</v>
          </cell>
        </row>
        <row r="1217">
          <cell r="E1217" t="str">
            <v>HGC-Lib-2451320</v>
          </cell>
          <cell r="F1217" t="str">
            <v>T-C-2</v>
          </cell>
          <cell r="G1217">
            <v>2</v>
          </cell>
          <cell r="H1217" t="str">
            <v>mRNA文库</v>
          </cell>
          <cell r="I1217" t="str">
            <v>HZK</v>
          </cell>
          <cell r="J1217">
            <v>10.9</v>
          </cell>
          <cell r="K1217">
            <v>333</v>
          </cell>
          <cell r="L1217" t="str">
            <v>HZK</v>
          </cell>
          <cell r="N1217">
            <v>50.358050358050399</v>
          </cell>
        </row>
        <row r="1218">
          <cell r="E1218" t="str">
            <v>HGC-Lib-2451321</v>
          </cell>
          <cell r="F1218" t="str">
            <v>T-C-3</v>
          </cell>
          <cell r="G1218">
            <v>2</v>
          </cell>
          <cell r="H1218" t="str">
            <v>mRNA文库</v>
          </cell>
          <cell r="I1218" t="str">
            <v>HZK</v>
          </cell>
          <cell r="J1218">
            <v>4.5199999999999996</v>
          </cell>
          <cell r="K1218">
            <v>347</v>
          </cell>
          <cell r="L1218" t="str">
            <v>HZK</v>
          </cell>
          <cell r="N1218">
            <v>20.0399024606517</v>
          </cell>
        </row>
        <row r="1219">
          <cell r="E1219" t="str">
            <v>HGC-Lib-2451322</v>
          </cell>
          <cell r="F1219" t="str">
            <v>T-C-4</v>
          </cell>
          <cell r="G1219">
            <v>2</v>
          </cell>
          <cell r="H1219" t="str">
            <v>mRNA文库</v>
          </cell>
          <cell r="I1219" t="str">
            <v>HZK</v>
          </cell>
          <cell r="J1219">
            <v>3.94</v>
          </cell>
          <cell r="K1219">
            <v>330</v>
          </cell>
          <cell r="L1219" t="str">
            <v>HZK</v>
          </cell>
          <cell r="N1219">
            <v>18.368298368298401</v>
          </cell>
        </row>
        <row r="1220">
          <cell r="E1220" t="str">
            <v>HGC-Lib-2451323</v>
          </cell>
          <cell r="F1220" t="str">
            <v>T-C-5</v>
          </cell>
          <cell r="G1220">
            <v>2</v>
          </cell>
          <cell r="H1220" t="str">
            <v>mRNA文库</v>
          </cell>
          <cell r="I1220" t="str">
            <v>HZK</v>
          </cell>
          <cell r="J1220">
            <v>11.6</v>
          </cell>
          <cell r="K1220">
            <v>324</v>
          </cell>
          <cell r="L1220" t="str">
            <v>HZK</v>
          </cell>
          <cell r="N1220">
            <v>55.080721747388402</v>
          </cell>
        </row>
        <row r="1221">
          <cell r="E1221" t="str">
            <v>HGC-Lib-2451324</v>
          </cell>
          <cell r="F1221" t="str">
            <v>LC240626005</v>
          </cell>
          <cell r="G1221">
            <v>100</v>
          </cell>
          <cell r="H1221" t="str">
            <v>singleron-3'转录组文库</v>
          </cell>
          <cell r="I1221" t="str">
            <v>HZK</v>
          </cell>
          <cell r="J1221">
            <v>19.5</v>
          </cell>
          <cell r="N1221" t="e">
            <v>#DIV/0!</v>
          </cell>
        </row>
        <row r="1222">
          <cell r="E1222" t="str">
            <v>HGC-Lib-2451325</v>
          </cell>
          <cell r="F1222" t="str">
            <v>LC240626006</v>
          </cell>
          <cell r="G1222">
            <v>100</v>
          </cell>
          <cell r="H1222" t="str">
            <v>singleron-3'转录组文库</v>
          </cell>
          <cell r="I1222" t="str">
            <v>HZK</v>
          </cell>
          <cell r="J1222">
            <v>21.4</v>
          </cell>
          <cell r="N1222" t="e">
            <v>#DIV/0!</v>
          </cell>
        </row>
        <row r="1223">
          <cell r="E1223" t="str">
            <v>HGC-Lib-2451326</v>
          </cell>
          <cell r="F1223" t="str">
            <v>LC240626061</v>
          </cell>
          <cell r="G1223">
            <v>100</v>
          </cell>
          <cell r="H1223" t="str">
            <v>singleron-3'转录组文库</v>
          </cell>
          <cell r="I1223" t="str">
            <v>HZK</v>
          </cell>
          <cell r="J1223">
            <v>20.399999999999999</v>
          </cell>
          <cell r="N1223" t="e">
            <v>#DIV/0!</v>
          </cell>
        </row>
        <row r="1224">
          <cell r="E1224" t="str">
            <v>HGC-Lib-2451327</v>
          </cell>
          <cell r="F1224" t="str">
            <v>LC240626062</v>
          </cell>
          <cell r="G1224">
            <v>100</v>
          </cell>
          <cell r="H1224" t="str">
            <v>singleron-3'转录组文库</v>
          </cell>
          <cell r="I1224" t="str">
            <v>HZK</v>
          </cell>
          <cell r="J1224">
            <v>17.899999999999999</v>
          </cell>
          <cell r="N1224" t="e">
            <v>#DIV/0!</v>
          </cell>
        </row>
        <row r="1225">
          <cell r="E1225" t="str">
            <v>HGC-Lib-2451328</v>
          </cell>
          <cell r="F1225" t="str">
            <v>TCRLFTHC240626003</v>
          </cell>
          <cell r="G1225">
            <v>22</v>
          </cell>
          <cell r="H1225" t="str">
            <v>singleron-单细胞TCR文库</v>
          </cell>
          <cell r="I1225" t="str">
            <v>HZK</v>
          </cell>
          <cell r="J1225">
            <v>29</v>
          </cell>
          <cell r="N1225" t="e">
            <v>#DIV/0!</v>
          </cell>
        </row>
        <row r="1226">
          <cell r="E1226" t="str">
            <v>HGC-Lib-2451329</v>
          </cell>
          <cell r="F1226" t="str">
            <v>TCRLFTHC240626002</v>
          </cell>
          <cell r="G1226">
            <v>22</v>
          </cell>
          <cell r="H1226" t="str">
            <v>singleron-单细胞TCR文库</v>
          </cell>
          <cell r="I1226" t="str">
            <v>HZK</v>
          </cell>
          <cell r="J1226">
            <v>23.6</v>
          </cell>
          <cell r="N1226" t="e">
            <v>#DIV/0!</v>
          </cell>
        </row>
        <row r="1227">
          <cell r="E1227" t="str">
            <v>HGC-Lib-2451330</v>
          </cell>
          <cell r="F1227" t="str">
            <v>TCRLFTHC240626004</v>
          </cell>
          <cell r="G1227">
            <v>22</v>
          </cell>
          <cell r="H1227" t="str">
            <v>singleron-单细胞TCR文库</v>
          </cell>
          <cell r="I1227" t="str">
            <v>HZK</v>
          </cell>
          <cell r="J1227">
            <v>35.799999999999997</v>
          </cell>
          <cell r="N1227" t="e">
            <v>#DIV/0!</v>
          </cell>
        </row>
        <row r="1228">
          <cell r="E1228" t="str">
            <v>HGC-Lib-2451331</v>
          </cell>
          <cell r="F1228" t="str">
            <v>LFTHC240626002</v>
          </cell>
          <cell r="G1228">
            <v>200</v>
          </cell>
          <cell r="H1228" t="str">
            <v>singleron-3'全长转录组文库</v>
          </cell>
          <cell r="I1228" t="str">
            <v>HZK</v>
          </cell>
          <cell r="J1228">
            <v>25.6</v>
          </cell>
          <cell r="N1228" t="e">
            <v>#DIV/0!</v>
          </cell>
        </row>
        <row r="1229">
          <cell r="E1229" t="str">
            <v>HGC-Lib-2451332</v>
          </cell>
          <cell r="F1229" t="str">
            <v>LFTHC240626003</v>
          </cell>
          <cell r="G1229">
            <v>200</v>
          </cell>
          <cell r="H1229" t="str">
            <v>singleron-3'全长转录组文库</v>
          </cell>
          <cell r="I1229" t="str">
            <v>HZK</v>
          </cell>
          <cell r="J1229">
            <v>24.4</v>
          </cell>
          <cell r="N1229" t="e">
            <v>#DIV/0!</v>
          </cell>
        </row>
        <row r="1230">
          <cell r="E1230" t="str">
            <v>HGC-Lib-2451333</v>
          </cell>
          <cell r="F1230" t="str">
            <v>LFTHC240626004</v>
          </cell>
          <cell r="G1230">
            <v>200</v>
          </cell>
          <cell r="H1230" t="str">
            <v>singleron-3'全长转录组文库</v>
          </cell>
          <cell r="I1230" t="str">
            <v>HZK</v>
          </cell>
          <cell r="J1230">
            <v>20.6</v>
          </cell>
          <cell r="N1230" t="e">
            <v>#DIV/0!</v>
          </cell>
        </row>
        <row r="1231">
          <cell r="E1231" t="str">
            <v>HGC-Lib-2451334</v>
          </cell>
          <cell r="F1231" t="str">
            <v>TCRLFTC240626038</v>
          </cell>
          <cell r="G1231">
            <v>12</v>
          </cell>
          <cell r="H1231" t="str">
            <v>singleron-单细胞TCR文库</v>
          </cell>
          <cell r="I1231" t="str">
            <v>HZK</v>
          </cell>
          <cell r="J1231">
            <v>32.799999999999997</v>
          </cell>
          <cell r="N1231" t="e">
            <v>#DIV/0!</v>
          </cell>
        </row>
        <row r="1232">
          <cell r="E1232" t="str">
            <v>HGC-Lib-2451335</v>
          </cell>
          <cell r="F1232" t="str">
            <v>LFTC240626039</v>
          </cell>
          <cell r="G1232">
            <v>100</v>
          </cell>
          <cell r="H1232" t="str">
            <v>singleron-3'全长转录组文库</v>
          </cell>
          <cell r="I1232" t="str">
            <v>HZK</v>
          </cell>
          <cell r="J1232">
            <v>25.2</v>
          </cell>
          <cell r="N1232" t="e">
            <v>#DIV/0!</v>
          </cell>
        </row>
        <row r="1233">
          <cell r="E1233" t="str">
            <v>HGC-Lib-2451336</v>
          </cell>
          <cell r="F1233" t="str">
            <v>TCRLFTC240626039</v>
          </cell>
          <cell r="G1233">
            <v>12</v>
          </cell>
          <cell r="H1233" t="str">
            <v>singleron-单细胞TCR文库</v>
          </cell>
          <cell r="I1233" t="str">
            <v>HZK</v>
          </cell>
          <cell r="J1233">
            <v>35.799999999999997</v>
          </cell>
          <cell r="N1233" t="e">
            <v>#DIV/0!</v>
          </cell>
        </row>
        <row r="1234">
          <cell r="E1234" t="str">
            <v>HGC-Lib-2451337</v>
          </cell>
          <cell r="F1234" t="str">
            <v>LFTC240626038</v>
          </cell>
          <cell r="G1234">
            <v>100</v>
          </cell>
          <cell r="H1234" t="str">
            <v>singleron-3'全长转录组文库</v>
          </cell>
          <cell r="I1234" t="str">
            <v>HZK</v>
          </cell>
          <cell r="J1234">
            <v>23.4</v>
          </cell>
          <cell r="N1234" t="e">
            <v>#DIV/0!</v>
          </cell>
        </row>
        <row r="1235">
          <cell r="E1235" t="str">
            <v>HGC-Lib-2451338</v>
          </cell>
          <cell r="F1235" t="str">
            <v>LHC240626042</v>
          </cell>
          <cell r="G1235">
            <v>200</v>
          </cell>
          <cell r="H1235" t="str">
            <v>singleron-3'转录组文库</v>
          </cell>
          <cell r="I1235" t="str">
            <v>HZK</v>
          </cell>
          <cell r="J1235">
            <v>21.4</v>
          </cell>
          <cell r="N1235" t="e">
            <v>#DIV/0!</v>
          </cell>
        </row>
        <row r="1236">
          <cell r="E1236" t="str">
            <v>HGC-Lib-2451339</v>
          </cell>
          <cell r="F1236" t="str">
            <v>TCRLFTC240625085</v>
          </cell>
          <cell r="G1236">
            <v>12</v>
          </cell>
          <cell r="H1236" t="str">
            <v>singleron-单细胞TCR文库</v>
          </cell>
          <cell r="I1236" t="str">
            <v>HZK</v>
          </cell>
          <cell r="J1236">
            <v>26.2</v>
          </cell>
          <cell r="N1236" t="e">
            <v>#DIV/0!</v>
          </cell>
        </row>
        <row r="1237">
          <cell r="E1237" t="str">
            <v>HGC-Lib-2451340</v>
          </cell>
          <cell r="F1237" t="str">
            <v>LFTC240625085</v>
          </cell>
          <cell r="G1237">
            <v>110</v>
          </cell>
          <cell r="H1237" t="str">
            <v>singleron-3'全长转录组文库</v>
          </cell>
          <cell r="I1237" t="str">
            <v>HZK</v>
          </cell>
          <cell r="J1237">
            <v>24.6</v>
          </cell>
          <cell r="N1237" t="e">
            <v>#DIV/0!</v>
          </cell>
        </row>
        <row r="1238">
          <cell r="E1238" t="str">
            <v>HGC-Lib-2451341</v>
          </cell>
          <cell r="F1238" t="str">
            <v>LC240625091</v>
          </cell>
          <cell r="G1238">
            <v>50</v>
          </cell>
          <cell r="H1238" t="str">
            <v>singleron-3'转录组文库</v>
          </cell>
          <cell r="I1238" t="str">
            <v>HZK</v>
          </cell>
          <cell r="J1238">
            <v>20.2</v>
          </cell>
          <cell r="N1238" t="e">
            <v>#DIV/0!</v>
          </cell>
        </row>
        <row r="1239">
          <cell r="E1239" t="str">
            <v>HGC-Lib-2451342</v>
          </cell>
          <cell r="F1239" t="str">
            <v>LC240625093</v>
          </cell>
          <cell r="G1239">
            <v>50</v>
          </cell>
          <cell r="H1239" t="str">
            <v>singleron-3'转录组文库</v>
          </cell>
          <cell r="I1239" t="str">
            <v>HZK</v>
          </cell>
          <cell r="J1239">
            <v>17.600000000000001</v>
          </cell>
          <cell r="N1239" t="e">
            <v>#DIV/0!</v>
          </cell>
        </row>
        <row r="1240">
          <cell r="E1240" t="str">
            <v>HGC-Lib-2451343</v>
          </cell>
          <cell r="F1240" t="str">
            <v>LA240627047X1</v>
          </cell>
          <cell r="G1240">
            <v>100</v>
          </cell>
          <cell r="H1240" t="str">
            <v>singleron-3'转录组文库</v>
          </cell>
          <cell r="I1240" t="str">
            <v>HZK</v>
          </cell>
          <cell r="J1240">
            <v>19.8</v>
          </cell>
          <cell r="N1240" t="e">
            <v>#DIV/0!</v>
          </cell>
        </row>
        <row r="1241">
          <cell r="E1241" t="str">
            <v>HGC-Lib-2451344</v>
          </cell>
          <cell r="F1241" t="str">
            <v>LA240627046</v>
          </cell>
          <cell r="G1241">
            <v>100</v>
          </cell>
          <cell r="H1241" t="str">
            <v>singleron-3'转录组文库</v>
          </cell>
          <cell r="I1241" t="str">
            <v>HZK</v>
          </cell>
          <cell r="J1241">
            <v>19.7</v>
          </cell>
          <cell r="N1241" t="e">
            <v>#DIV/0!</v>
          </cell>
        </row>
        <row r="1242">
          <cell r="E1242" t="str">
            <v>HGC-Lib-2451345</v>
          </cell>
          <cell r="F1242" t="str">
            <v>LC240627001</v>
          </cell>
          <cell r="G1242">
            <v>150</v>
          </cell>
          <cell r="H1242" t="str">
            <v>singleron-3'转录组文库</v>
          </cell>
          <cell r="I1242" t="str">
            <v>HZK</v>
          </cell>
          <cell r="J1242">
            <v>17.2</v>
          </cell>
          <cell r="N1242" t="e">
            <v>#DIV/0!</v>
          </cell>
        </row>
        <row r="1243">
          <cell r="E1243" t="str">
            <v>HGC-Lib-2451346</v>
          </cell>
          <cell r="F1243" t="str">
            <v>LC240627002</v>
          </cell>
          <cell r="G1243">
            <v>150</v>
          </cell>
          <cell r="H1243" t="str">
            <v>singleron-3'转录组文库</v>
          </cell>
          <cell r="I1243" t="str">
            <v>HZK</v>
          </cell>
          <cell r="J1243">
            <v>11.6</v>
          </cell>
          <cell r="N1243" t="e">
            <v>#DIV/0!</v>
          </cell>
        </row>
        <row r="1244">
          <cell r="E1244" t="str">
            <v>HGC-Lib-2451347</v>
          </cell>
          <cell r="F1244" t="str">
            <v>LA240627055</v>
          </cell>
          <cell r="G1244">
            <v>100</v>
          </cell>
          <cell r="H1244" t="str">
            <v>singleron-3'转录组文库</v>
          </cell>
          <cell r="I1244" t="str">
            <v>HZK</v>
          </cell>
          <cell r="J1244">
            <v>17.3</v>
          </cell>
          <cell r="N1244" t="e">
            <v>#DIV/0!</v>
          </cell>
        </row>
        <row r="1245">
          <cell r="E1245" t="str">
            <v>HGC-Lib-2451348</v>
          </cell>
          <cell r="F1245" t="str">
            <v>LA240627056</v>
          </cell>
          <cell r="G1245">
            <v>100</v>
          </cell>
          <cell r="H1245" t="str">
            <v>singleron-3'转录组文库</v>
          </cell>
          <cell r="I1245" t="str">
            <v>HZK</v>
          </cell>
          <cell r="J1245">
            <v>19.8</v>
          </cell>
          <cell r="N1245" t="e">
            <v>#DIV/0!</v>
          </cell>
        </row>
        <row r="1246">
          <cell r="E1246" t="str">
            <v>HGC-Lib-2451349</v>
          </cell>
          <cell r="F1246" t="str">
            <v>PMLPMC240512008FS</v>
          </cell>
          <cell r="G1246">
            <v>12</v>
          </cell>
          <cell r="H1246" t="str">
            <v>其他碱基不平衡文库</v>
          </cell>
          <cell r="I1246" t="str">
            <v>HZK</v>
          </cell>
          <cell r="J1246">
            <v>54</v>
          </cell>
          <cell r="N1246" t="e">
            <v>#DIV/0!</v>
          </cell>
        </row>
        <row r="1247">
          <cell r="E1247" t="str">
            <v>HGC-Lib-2451350</v>
          </cell>
          <cell r="F1247" t="str">
            <v>TCRLFTBC240626049</v>
          </cell>
          <cell r="G1247">
            <v>12</v>
          </cell>
          <cell r="H1247" t="str">
            <v>singleron-单细胞TCR文库</v>
          </cell>
          <cell r="I1247" t="str">
            <v>HZK</v>
          </cell>
          <cell r="J1247">
            <v>33.799999999999997</v>
          </cell>
          <cell r="N1247" t="e">
            <v>#DIV/0!</v>
          </cell>
        </row>
        <row r="1248">
          <cell r="E1248" t="str">
            <v>HGC-Lib-2451351</v>
          </cell>
          <cell r="F1248" t="str">
            <v>TCRLFTBC240626048</v>
          </cell>
          <cell r="G1248">
            <v>12</v>
          </cell>
          <cell r="H1248" t="str">
            <v>singleron-单细胞TCR文库</v>
          </cell>
          <cell r="I1248" t="str">
            <v>HZK</v>
          </cell>
          <cell r="J1248">
            <v>30.6</v>
          </cell>
          <cell r="N1248" t="e">
            <v>#DIV/0!</v>
          </cell>
        </row>
        <row r="1249">
          <cell r="E1249" t="str">
            <v>HGC-Lib-2451352</v>
          </cell>
          <cell r="F1249" t="str">
            <v>TCRLFTBC240626037</v>
          </cell>
          <cell r="G1249">
            <v>12</v>
          </cell>
          <cell r="H1249" t="str">
            <v>singleron-单细胞TCR文库</v>
          </cell>
          <cell r="I1249" t="str">
            <v>HZK</v>
          </cell>
          <cell r="J1249">
            <v>33.200000000000003</v>
          </cell>
          <cell r="N1249" t="e">
            <v>#DIV/0!</v>
          </cell>
        </row>
        <row r="1250">
          <cell r="E1250" t="str">
            <v>HGC-Lib-2451353</v>
          </cell>
          <cell r="F1250" t="str">
            <v>LHC240629059</v>
          </cell>
          <cell r="G1250">
            <v>200</v>
          </cell>
          <cell r="H1250" t="str">
            <v>singleron-3'转录组文库</v>
          </cell>
          <cell r="I1250" t="str">
            <v>HZK</v>
          </cell>
          <cell r="J1250">
            <v>24</v>
          </cell>
          <cell r="N1250" t="e">
            <v>#DIV/0!</v>
          </cell>
        </row>
        <row r="1251">
          <cell r="E1251" t="str">
            <v>HGC-Lib-2451354</v>
          </cell>
          <cell r="F1251" t="str">
            <v>LHC240629058</v>
          </cell>
          <cell r="G1251">
            <v>200</v>
          </cell>
          <cell r="H1251" t="str">
            <v>singleron-3'转录组文库</v>
          </cell>
          <cell r="I1251" t="str">
            <v>HZK</v>
          </cell>
          <cell r="J1251">
            <v>22</v>
          </cell>
          <cell r="N1251" t="e">
            <v>#DIV/0!</v>
          </cell>
        </row>
        <row r="1252">
          <cell r="E1252" t="str">
            <v>HGC-Lib-2451355</v>
          </cell>
          <cell r="F1252" t="str">
            <v>LHC240629061</v>
          </cell>
          <cell r="G1252">
            <v>200</v>
          </cell>
          <cell r="H1252" t="str">
            <v>singleron-3'转录组文库</v>
          </cell>
          <cell r="I1252" t="str">
            <v>HZK</v>
          </cell>
          <cell r="J1252">
            <v>17.399999999999999</v>
          </cell>
          <cell r="N1252" t="e">
            <v>#DIV/0!</v>
          </cell>
        </row>
        <row r="1253">
          <cell r="E1253" t="str">
            <v>HGC-Lib-2451356</v>
          </cell>
          <cell r="F1253" t="str">
            <v>LHC240629062</v>
          </cell>
          <cell r="G1253">
            <v>200</v>
          </cell>
          <cell r="H1253" t="str">
            <v>singleron-3'转录组文库</v>
          </cell>
          <cell r="I1253" t="str">
            <v>HZK</v>
          </cell>
          <cell r="J1253">
            <v>18.3</v>
          </cell>
          <cell r="N1253" t="e">
            <v>#DIV/0!</v>
          </cell>
        </row>
        <row r="1254">
          <cell r="E1254" t="str">
            <v>HGC-Lib-2451357</v>
          </cell>
          <cell r="F1254" t="str">
            <v>LHC240629060</v>
          </cell>
          <cell r="G1254">
            <v>200</v>
          </cell>
          <cell r="H1254" t="str">
            <v>singleron-3'转录组文库</v>
          </cell>
          <cell r="I1254" t="str">
            <v>HZK</v>
          </cell>
          <cell r="J1254">
            <v>20</v>
          </cell>
          <cell r="N1254" t="e">
            <v>#DIV/0!</v>
          </cell>
        </row>
        <row r="1255">
          <cell r="E1255" t="str">
            <v>HGC-Lib-2451358</v>
          </cell>
          <cell r="F1255" t="str">
            <v>LHC240629063</v>
          </cell>
          <cell r="G1255">
            <v>200</v>
          </cell>
          <cell r="H1255" t="str">
            <v>singleron-3'转录组文库</v>
          </cell>
          <cell r="I1255" t="str">
            <v>HZK</v>
          </cell>
          <cell r="J1255">
            <v>16.600000000000001</v>
          </cell>
          <cell r="N1255" t="e">
            <v>#DIV/0!</v>
          </cell>
        </row>
        <row r="1256">
          <cell r="E1256" t="str">
            <v>HGC-Lib-2451359</v>
          </cell>
          <cell r="F1256" t="str">
            <v>LHC240629057</v>
          </cell>
          <cell r="G1256">
            <v>200</v>
          </cell>
          <cell r="H1256" t="str">
            <v>singleron-3'转录组文库</v>
          </cell>
          <cell r="I1256" t="str">
            <v>HZK</v>
          </cell>
          <cell r="J1256">
            <v>23</v>
          </cell>
          <cell r="N1256" t="e">
            <v>#DIV/0!</v>
          </cell>
        </row>
        <row r="1257">
          <cell r="E1257" t="str">
            <v>HGC-Lib-2451360</v>
          </cell>
          <cell r="F1257" t="str">
            <v>LHC240629064</v>
          </cell>
          <cell r="G1257">
            <v>200</v>
          </cell>
          <cell r="H1257" t="str">
            <v>singleron-3'转录组文库</v>
          </cell>
          <cell r="I1257" t="str">
            <v>HZK</v>
          </cell>
          <cell r="J1257">
            <v>19.8</v>
          </cell>
          <cell r="N1257" t="e">
            <v>#DIV/0!</v>
          </cell>
        </row>
        <row r="1258">
          <cell r="E1258" t="str">
            <v>HGC-Lib-2451361</v>
          </cell>
          <cell r="F1258" t="str">
            <v>LHC240629056</v>
          </cell>
          <cell r="G1258">
            <v>200</v>
          </cell>
          <cell r="H1258" t="str">
            <v>singleron-3'转录组文库</v>
          </cell>
          <cell r="I1258" t="str">
            <v>HZK</v>
          </cell>
          <cell r="J1258">
            <v>24</v>
          </cell>
          <cell r="N1258" t="e">
            <v>#DIV/0!</v>
          </cell>
        </row>
        <row r="1259">
          <cell r="E1259" t="str">
            <v>HGC-Lib-2451362</v>
          </cell>
          <cell r="F1259" t="str">
            <v>LC240628041</v>
          </cell>
          <cell r="G1259">
            <v>100</v>
          </cell>
          <cell r="H1259" t="str">
            <v>singleron-3'转录组文库</v>
          </cell>
          <cell r="I1259" t="str">
            <v>HZK</v>
          </cell>
          <cell r="J1259">
            <v>19.5</v>
          </cell>
          <cell r="N1259" t="e">
            <v>#DIV/0!</v>
          </cell>
        </row>
        <row r="1260">
          <cell r="E1260" t="str">
            <v>HGC-Lib-2451363</v>
          </cell>
          <cell r="F1260" t="str">
            <v>LTC240628045</v>
          </cell>
          <cell r="G1260">
            <v>100</v>
          </cell>
          <cell r="H1260" t="str">
            <v>singleron-3'转录组文库</v>
          </cell>
          <cell r="I1260" t="str">
            <v>HZK</v>
          </cell>
          <cell r="J1260">
            <v>22.6</v>
          </cell>
          <cell r="N1260" t="e">
            <v>#DIV/0!</v>
          </cell>
        </row>
        <row r="1261">
          <cell r="E1261" t="str">
            <v>HGC-Lib-2451364</v>
          </cell>
          <cell r="F1261" t="str">
            <v>LC240628013</v>
          </cell>
          <cell r="G1261">
            <v>100</v>
          </cell>
          <cell r="H1261" t="str">
            <v>singleron-3'转录组文库</v>
          </cell>
          <cell r="I1261" t="str">
            <v>HZK</v>
          </cell>
          <cell r="J1261">
            <v>21.8</v>
          </cell>
          <cell r="N1261" t="e">
            <v>#DIV/0!</v>
          </cell>
        </row>
        <row r="1262">
          <cell r="E1262" t="str">
            <v>HGC-Lib-2451365</v>
          </cell>
          <cell r="F1262" t="str">
            <v>LC240628008</v>
          </cell>
          <cell r="G1262">
            <v>100</v>
          </cell>
          <cell r="H1262" t="str">
            <v>singleron-3'转录组文库</v>
          </cell>
          <cell r="I1262" t="str">
            <v>HZK</v>
          </cell>
          <cell r="J1262">
            <v>24.8</v>
          </cell>
          <cell r="N1262" t="e">
            <v>#DIV/0!</v>
          </cell>
        </row>
        <row r="1263">
          <cell r="E1263" t="str">
            <v>HGC-Lib-2451366</v>
          </cell>
          <cell r="F1263" t="str">
            <v>LC240628011</v>
          </cell>
          <cell r="G1263">
            <v>100</v>
          </cell>
          <cell r="H1263" t="str">
            <v>singleron-3'转录组文库</v>
          </cell>
          <cell r="I1263" t="str">
            <v>HZK</v>
          </cell>
          <cell r="J1263">
            <v>20</v>
          </cell>
          <cell r="N1263" t="e">
            <v>#DIV/0!</v>
          </cell>
        </row>
        <row r="1264">
          <cell r="E1264" t="str">
            <v>HGC-Lib-2451367</v>
          </cell>
          <cell r="F1264" t="str">
            <v>LC240628010</v>
          </cell>
          <cell r="G1264">
            <v>100</v>
          </cell>
          <cell r="H1264" t="str">
            <v>singleron-3'转录组文库</v>
          </cell>
          <cell r="I1264" t="str">
            <v>HZK</v>
          </cell>
          <cell r="J1264">
            <v>19.399999999999999</v>
          </cell>
          <cell r="N1264" t="e">
            <v>#DIV/0!</v>
          </cell>
        </row>
        <row r="1265">
          <cell r="E1265" t="str">
            <v>HGC-Lib-2451368</v>
          </cell>
          <cell r="F1265" t="str">
            <v>LC240628012</v>
          </cell>
          <cell r="G1265">
            <v>100</v>
          </cell>
          <cell r="H1265" t="str">
            <v>singleron-3'转录组文库</v>
          </cell>
          <cell r="I1265" t="str">
            <v>HZK</v>
          </cell>
          <cell r="J1265">
            <v>18.399999999999999</v>
          </cell>
          <cell r="N1265" t="e">
            <v>#DIV/0!</v>
          </cell>
        </row>
        <row r="1266">
          <cell r="E1266" t="str">
            <v>HGC-Lib-2451369</v>
          </cell>
          <cell r="F1266" t="str">
            <v>LC240628009</v>
          </cell>
          <cell r="G1266">
            <v>100</v>
          </cell>
          <cell r="H1266" t="str">
            <v>singleron-3'转录组文库</v>
          </cell>
          <cell r="I1266" t="str">
            <v>HZK</v>
          </cell>
          <cell r="J1266">
            <v>21.6</v>
          </cell>
          <cell r="N1266" t="e">
            <v>#DIV/0!</v>
          </cell>
        </row>
        <row r="1267">
          <cell r="E1267" t="str">
            <v>HGC-Lib-2451370</v>
          </cell>
          <cell r="F1267" t="str">
            <v>LC240629085</v>
          </cell>
          <cell r="G1267">
            <v>90</v>
          </cell>
          <cell r="H1267" t="str">
            <v>singleron-3'转录组文库</v>
          </cell>
          <cell r="I1267" t="str">
            <v>HZK</v>
          </cell>
          <cell r="J1267">
            <v>28.2</v>
          </cell>
          <cell r="N1267" t="e">
            <v>#DIV/0!</v>
          </cell>
        </row>
        <row r="1268">
          <cell r="E1268" t="str">
            <v>HGC-Lib-2451371</v>
          </cell>
          <cell r="F1268" t="str">
            <v>LC240629075</v>
          </cell>
          <cell r="G1268">
            <v>100</v>
          </cell>
          <cell r="H1268" t="str">
            <v>singleron-3'转录组文库</v>
          </cell>
          <cell r="I1268" t="str">
            <v>HZK</v>
          </cell>
          <cell r="J1268">
            <v>24.8</v>
          </cell>
          <cell r="N1268" t="e">
            <v>#DIV/0!</v>
          </cell>
        </row>
        <row r="1269">
          <cell r="E1269" t="str">
            <v>HGC-Lib-2451372</v>
          </cell>
          <cell r="F1269" t="str">
            <v>LC240629074</v>
          </cell>
          <cell r="G1269">
            <v>100</v>
          </cell>
          <cell r="H1269" t="str">
            <v>singleron-3'转录组文库</v>
          </cell>
          <cell r="I1269" t="str">
            <v>HZK</v>
          </cell>
          <cell r="J1269">
            <v>24.4</v>
          </cell>
          <cell r="N1269" t="e">
            <v>#DIV/0!</v>
          </cell>
        </row>
        <row r="1270">
          <cell r="E1270" t="str">
            <v>HGC-Lib-2451373</v>
          </cell>
          <cell r="F1270" t="str">
            <v>LC240629046</v>
          </cell>
          <cell r="G1270">
            <v>90</v>
          </cell>
          <cell r="H1270" t="str">
            <v>singleron-3'转录组文库</v>
          </cell>
          <cell r="I1270" t="str">
            <v>HZK</v>
          </cell>
          <cell r="J1270">
            <v>19.899999999999999</v>
          </cell>
          <cell r="N1270" t="e">
            <v>#DIV/0!</v>
          </cell>
        </row>
        <row r="1271">
          <cell r="E1271" t="str">
            <v>HGC-Lib-2451374</v>
          </cell>
          <cell r="F1271" t="str">
            <v>LC240629028</v>
          </cell>
          <cell r="G1271">
            <v>90</v>
          </cell>
          <cell r="H1271" t="str">
            <v>singleron-3'转录组文库</v>
          </cell>
          <cell r="I1271" t="str">
            <v>HZK</v>
          </cell>
          <cell r="J1271">
            <v>25.2</v>
          </cell>
          <cell r="N1271" t="e">
            <v>#DIV/0!</v>
          </cell>
        </row>
        <row r="1272">
          <cell r="E1272" t="str">
            <v>HGC-Lib-2451375</v>
          </cell>
          <cell r="F1272" t="str">
            <v>LC240628023</v>
          </cell>
          <cell r="G1272">
            <v>90</v>
          </cell>
          <cell r="H1272" t="str">
            <v>singleron-3'转录组文库</v>
          </cell>
          <cell r="I1272" t="str">
            <v>HZK</v>
          </cell>
          <cell r="J1272">
            <v>16.899999999999999</v>
          </cell>
          <cell r="N1272" t="e">
            <v>#DIV/0!</v>
          </cell>
        </row>
        <row r="1273">
          <cell r="E1273" t="str">
            <v>HGC-POOL-2451376</v>
          </cell>
          <cell r="F1273" t="str">
            <v>PCRD-240702-004</v>
          </cell>
          <cell r="G1273">
            <v>30</v>
          </cell>
          <cell r="H1273" t="str">
            <v>singleron-3'转录组文库</v>
          </cell>
          <cell r="I1273" t="str">
            <v>HZK</v>
          </cell>
          <cell r="J1273">
            <v>14.4</v>
          </cell>
          <cell r="N1273" t="e">
            <v>#DIV/0!</v>
          </cell>
        </row>
        <row r="1274">
          <cell r="E1274" t="str">
            <v>HGC-POOL-2451377</v>
          </cell>
          <cell r="F1274" t="str">
            <v>PCRD-240702-005</v>
          </cell>
          <cell r="G1274">
            <v>30</v>
          </cell>
          <cell r="H1274" t="str">
            <v>singleron-3'转录组文库</v>
          </cell>
          <cell r="I1274" t="str">
            <v>HZK</v>
          </cell>
          <cell r="J1274">
            <v>11.8</v>
          </cell>
          <cell r="N1274" t="e">
            <v>#DIV/0!</v>
          </cell>
        </row>
        <row r="1275">
          <cell r="E1275" t="str">
            <v>HGC-Lib-2451378</v>
          </cell>
          <cell r="F1275" t="str">
            <v>LD240617O-3142A</v>
          </cell>
          <cell r="G1275">
            <v>10</v>
          </cell>
          <cell r="H1275" t="str">
            <v>DNA宏基因组文库</v>
          </cell>
          <cell r="I1275" t="str">
            <v>ZZ</v>
          </cell>
          <cell r="J1275">
            <v>2.8</v>
          </cell>
          <cell r="N1275" t="e">
            <v>#DIV/0!</v>
          </cell>
        </row>
        <row r="1276">
          <cell r="E1276" t="str">
            <v>HGC-Lib-2451379</v>
          </cell>
          <cell r="F1276" t="str">
            <v>LD240626D-0525A</v>
          </cell>
          <cell r="G1276">
            <v>5</v>
          </cell>
          <cell r="H1276" t="str">
            <v>DNA宏基因组文库</v>
          </cell>
          <cell r="I1276" t="str">
            <v>ZZ</v>
          </cell>
          <cell r="J1276">
            <v>39.6</v>
          </cell>
          <cell r="N1276" t="e">
            <v>#DIV/0!</v>
          </cell>
        </row>
        <row r="1277">
          <cell r="E1277" t="str">
            <v>HGC-Lib-2451380</v>
          </cell>
          <cell r="F1277" t="str">
            <v>LD240626D-0526A</v>
          </cell>
          <cell r="G1277">
            <v>5</v>
          </cell>
          <cell r="H1277" t="str">
            <v>DNA宏基因组文库</v>
          </cell>
          <cell r="I1277" t="str">
            <v>ZZ</v>
          </cell>
          <cell r="J1277">
            <v>15.7</v>
          </cell>
          <cell r="N1277" t="e">
            <v>#DIV/0!</v>
          </cell>
        </row>
        <row r="1278">
          <cell r="E1278" t="str">
            <v>HGC-Lib-2451381</v>
          </cell>
          <cell r="F1278" t="str">
            <v>LD240626D-0527A</v>
          </cell>
          <cell r="G1278">
            <v>5</v>
          </cell>
          <cell r="H1278" t="str">
            <v>DNA宏基因组文库</v>
          </cell>
          <cell r="I1278" t="str">
            <v>ZZ</v>
          </cell>
          <cell r="J1278">
            <v>28.9</v>
          </cell>
          <cell r="N1278" t="e">
            <v>#DIV/0!</v>
          </cell>
        </row>
        <row r="1279">
          <cell r="E1279" t="str">
            <v>HGC-Lib-2451382</v>
          </cell>
          <cell r="F1279" t="str">
            <v>LD240626D-0528A</v>
          </cell>
          <cell r="G1279">
            <v>5</v>
          </cell>
          <cell r="H1279" t="str">
            <v>DNA宏基因组文库</v>
          </cell>
          <cell r="I1279" t="str">
            <v>ZZ</v>
          </cell>
          <cell r="J1279">
            <v>95.2</v>
          </cell>
          <cell r="N1279" t="e">
            <v>#DIV/0!</v>
          </cell>
        </row>
        <row r="1280">
          <cell r="E1280" t="str">
            <v>HGC-Lib-2451383</v>
          </cell>
          <cell r="F1280" t="str">
            <v>LD240626D-0529A</v>
          </cell>
          <cell r="G1280">
            <v>5</v>
          </cell>
          <cell r="H1280" t="str">
            <v>DNA宏基因组文库</v>
          </cell>
          <cell r="I1280" t="str">
            <v>ZZ</v>
          </cell>
          <cell r="J1280">
            <v>28.2</v>
          </cell>
          <cell r="N1280" t="e">
            <v>#DIV/0!</v>
          </cell>
        </row>
        <row r="1281">
          <cell r="E1281" t="str">
            <v>HGC-Lib-2451384</v>
          </cell>
          <cell r="F1281" t="str">
            <v>LD240626D-0530A</v>
          </cell>
          <cell r="G1281">
            <v>5</v>
          </cell>
          <cell r="H1281" t="str">
            <v>DNA宏基因组文库</v>
          </cell>
          <cell r="I1281" t="str">
            <v>ZZ</v>
          </cell>
          <cell r="J1281">
            <v>34.799999999999997</v>
          </cell>
          <cell r="N1281" t="e">
            <v>#DIV/0!</v>
          </cell>
        </row>
        <row r="1282">
          <cell r="E1282" t="str">
            <v>HGC-Lib-2451385</v>
          </cell>
          <cell r="F1282" t="str">
            <v>LD240626D-0531A</v>
          </cell>
          <cell r="G1282">
            <v>5</v>
          </cell>
          <cell r="H1282" t="str">
            <v>DNA宏基因组文库</v>
          </cell>
          <cell r="I1282" t="str">
            <v>ZZ</v>
          </cell>
          <cell r="J1282">
            <v>32.6</v>
          </cell>
          <cell r="N1282" t="e">
            <v>#DIV/0!</v>
          </cell>
        </row>
        <row r="1283">
          <cell r="E1283" t="str">
            <v>HGC-Lib-2451386</v>
          </cell>
          <cell r="F1283" t="str">
            <v>LD240626D-0532A</v>
          </cell>
          <cell r="G1283">
            <v>5</v>
          </cell>
          <cell r="H1283" t="str">
            <v>DNA宏基因组文库</v>
          </cell>
          <cell r="I1283" t="str">
            <v>ZZ</v>
          </cell>
          <cell r="J1283">
            <v>33.799999999999997</v>
          </cell>
          <cell r="N1283" t="e">
            <v>#DIV/0!</v>
          </cell>
        </row>
        <row r="1284">
          <cell r="E1284" t="str">
            <v>HGC-Lib-2451387</v>
          </cell>
          <cell r="F1284" t="str">
            <v>LD240626D-0533A</v>
          </cell>
          <cell r="G1284">
            <v>5</v>
          </cell>
          <cell r="H1284" t="str">
            <v>DNA宏基因组文库</v>
          </cell>
          <cell r="I1284" t="str">
            <v>ZZ</v>
          </cell>
          <cell r="J1284">
            <v>61.8</v>
          </cell>
          <cell r="N1284" t="e">
            <v>#DIV/0!</v>
          </cell>
        </row>
        <row r="1285">
          <cell r="E1285" t="str">
            <v>HGC-Lib-2451388</v>
          </cell>
          <cell r="F1285" t="str">
            <v>LD240626D-0534A</v>
          </cell>
          <cell r="G1285">
            <v>5</v>
          </cell>
          <cell r="H1285" t="str">
            <v>DNA宏基因组文库</v>
          </cell>
          <cell r="I1285" t="str">
            <v>ZZ</v>
          </cell>
          <cell r="J1285">
            <v>36.4</v>
          </cell>
          <cell r="N1285" t="e">
            <v>#DIV/0!</v>
          </cell>
        </row>
        <row r="1286">
          <cell r="E1286" t="str">
            <v>HGC-Lib-2451389</v>
          </cell>
          <cell r="F1286" t="str">
            <v>LD240617O-2622A</v>
          </cell>
          <cell r="G1286">
            <v>10</v>
          </cell>
          <cell r="H1286" t="str">
            <v>DNA宏基因组文库</v>
          </cell>
          <cell r="I1286" t="str">
            <v>ZZ</v>
          </cell>
          <cell r="J1286">
            <v>75.2</v>
          </cell>
          <cell r="N1286" t="e">
            <v>#DIV/0!</v>
          </cell>
        </row>
        <row r="1287">
          <cell r="E1287" t="str">
            <v>HGC-Lib-2451390</v>
          </cell>
          <cell r="F1287" t="str">
            <v>LD240617O-2623A</v>
          </cell>
          <cell r="G1287">
            <v>10</v>
          </cell>
          <cell r="H1287" t="str">
            <v>DNA宏基因组文库</v>
          </cell>
          <cell r="I1287" t="str">
            <v>ZZ</v>
          </cell>
          <cell r="J1287">
            <v>65.599999999999994</v>
          </cell>
          <cell r="N1287" t="e">
            <v>#DIV/0!</v>
          </cell>
        </row>
        <row r="1288">
          <cell r="E1288" t="str">
            <v>HGC-Lib-2451391</v>
          </cell>
          <cell r="F1288" t="str">
            <v>LD240617O-2624A</v>
          </cell>
          <cell r="G1288">
            <v>10</v>
          </cell>
          <cell r="H1288" t="str">
            <v>DNA宏基因组文库</v>
          </cell>
          <cell r="I1288" t="str">
            <v>ZZ</v>
          </cell>
          <cell r="J1288">
            <v>77.8</v>
          </cell>
          <cell r="N1288" t="e">
            <v>#DIV/0!</v>
          </cell>
        </row>
        <row r="1289">
          <cell r="E1289" t="str">
            <v>HGC-Lib-2451392</v>
          </cell>
          <cell r="F1289" t="str">
            <v>LD240617O-2625A</v>
          </cell>
          <cell r="G1289">
            <v>10</v>
          </cell>
          <cell r="H1289" t="str">
            <v>DNA宏基因组文库</v>
          </cell>
          <cell r="I1289" t="str">
            <v>ZZ</v>
          </cell>
          <cell r="J1289">
            <v>85</v>
          </cell>
          <cell r="N1289" t="e">
            <v>#DIV/0!</v>
          </cell>
        </row>
        <row r="1290">
          <cell r="E1290" t="str">
            <v>HGC-Lib-2451393</v>
          </cell>
          <cell r="F1290" t="str">
            <v>LD240617O-2626A</v>
          </cell>
          <cell r="G1290">
            <v>10</v>
          </cell>
          <cell r="H1290" t="str">
            <v>DNA宏基因组文库</v>
          </cell>
          <cell r="I1290" t="str">
            <v>ZZ</v>
          </cell>
          <cell r="J1290">
            <v>66.8</v>
          </cell>
          <cell r="N1290" t="e">
            <v>#DIV/0!</v>
          </cell>
        </row>
        <row r="1291">
          <cell r="E1291" t="str">
            <v>HGC-Lib-2451394</v>
          </cell>
          <cell r="F1291" t="str">
            <v>LD240617O-2627A</v>
          </cell>
          <cell r="G1291">
            <v>10</v>
          </cell>
          <cell r="H1291" t="str">
            <v>DNA宏基因组文库</v>
          </cell>
          <cell r="I1291" t="str">
            <v>ZZ</v>
          </cell>
          <cell r="J1291">
            <v>83</v>
          </cell>
          <cell r="N1291" t="e">
            <v>#DIV/0!</v>
          </cell>
        </row>
        <row r="1292">
          <cell r="E1292" t="str">
            <v>HGC-Lib-2451395</v>
          </cell>
          <cell r="F1292" t="str">
            <v>LD240617O-2628A</v>
          </cell>
          <cell r="G1292">
            <v>10</v>
          </cell>
          <cell r="H1292" t="str">
            <v>DNA宏基因组文库</v>
          </cell>
          <cell r="I1292" t="str">
            <v>ZZ</v>
          </cell>
          <cell r="J1292">
            <v>82.6</v>
          </cell>
          <cell r="N1292" t="e">
            <v>#DIV/0!</v>
          </cell>
        </row>
        <row r="1293">
          <cell r="E1293" t="str">
            <v>HGC-Lib-2451396</v>
          </cell>
          <cell r="F1293" t="str">
            <v>LD240617O-2629A</v>
          </cell>
          <cell r="G1293">
            <v>10</v>
          </cell>
          <cell r="H1293" t="str">
            <v>DNA宏基因组文库</v>
          </cell>
          <cell r="I1293" t="str">
            <v>ZZ</v>
          </cell>
          <cell r="J1293">
            <v>77.400000000000006</v>
          </cell>
          <cell r="N1293" t="e">
            <v>#DIV/0!</v>
          </cell>
        </row>
        <row r="1294">
          <cell r="E1294" t="str">
            <v>HGC-Lib-2451397</v>
          </cell>
          <cell r="F1294" t="str">
            <v>LD240617O-2630A</v>
          </cell>
          <cell r="G1294">
            <v>10</v>
          </cell>
          <cell r="H1294" t="str">
            <v>DNA宏基因组文库</v>
          </cell>
          <cell r="I1294" t="str">
            <v>ZZ</v>
          </cell>
          <cell r="J1294">
            <v>76</v>
          </cell>
          <cell r="N1294" t="e">
            <v>#DIV/0!</v>
          </cell>
        </row>
        <row r="1295">
          <cell r="E1295" t="str">
            <v>HGC-Lib-2451398</v>
          </cell>
          <cell r="F1295" t="str">
            <v>LD240617O-2631A</v>
          </cell>
          <cell r="G1295">
            <v>10</v>
          </cell>
          <cell r="H1295" t="str">
            <v>DNA宏基因组文库</v>
          </cell>
          <cell r="I1295" t="str">
            <v>ZZ</v>
          </cell>
          <cell r="J1295">
            <v>69.2</v>
          </cell>
          <cell r="N1295" t="e">
            <v>#DIV/0!</v>
          </cell>
        </row>
        <row r="1296">
          <cell r="E1296" t="str">
            <v>HGC-Lib-2451399</v>
          </cell>
          <cell r="F1296" t="str">
            <v>LD240617O-2632A</v>
          </cell>
          <cell r="G1296">
            <v>10</v>
          </cell>
          <cell r="H1296" t="str">
            <v>DNA宏基因组文库</v>
          </cell>
          <cell r="I1296" t="str">
            <v>ZZ</v>
          </cell>
          <cell r="J1296">
            <v>87.2</v>
          </cell>
          <cell r="N1296" t="e">
            <v>#DIV/0!</v>
          </cell>
        </row>
        <row r="1297">
          <cell r="E1297" t="str">
            <v>HGC-Lib-2451400</v>
          </cell>
          <cell r="F1297" t="str">
            <v>LD240617O-2633A</v>
          </cell>
          <cell r="G1297">
            <v>10</v>
          </cell>
          <cell r="H1297" t="str">
            <v>DNA宏基因组文库</v>
          </cell>
          <cell r="I1297" t="str">
            <v>ZZ</v>
          </cell>
          <cell r="J1297">
            <v>78.400000000000006</v>
          </cell>
          <cell r="N1297" t="e">
            <v>#DIV/0!</v>
          </cell>
        </row>
        <row r="1298">
          <cell r="E1298" t="str">
            <v>HGC-Lib-2451401</v>
          </cell>
          <cell r="F1298" t="str">
            <v>LD240617O-2634A</v>
          </cell>
          <cell r="G1298">
            <v>10</v>
          </cell>
          <cell r="H1298" t="str">
            <v>DNA宏基因组文库</v>
          </cell>
          <cell r="I1298" t="str">
            <v>ZZ</v>
          </cell>
          <cell r="J1298">
            <v>65.599999999999994</v>
          </cell>
          <cell r="N1298" t="e">
            <v>#DIV/0!</v>
          </cell>
        </row>
        <row r="1299">
          <cell r="E1299" t="str">
            <v>HGC-Lib-2451402</v>
          </cell>
          <cell r="F1299" t="str">
            <v>LD240617O-2635A</v>
          </cell>
          <cell r="G1299">
            <v>10</v>
          </cell>
          <cell r="H1299" t="str">
            <v>DNA宏基因组文库</v>
          </cell>
          <cell r="I1299" t="str">
            <v>ZZ</v>
          </cell>
          <cell r="J1299">
            <v>86.4</v>
          </cell>
          <cell r="N1299" t="e">
            <v>#DIV/0!</v>
          </cell>
        </row>
        <row r="1300">
          <cell r="E1300" t="str">
            <v>HGC-Lib-2451403</v>
          </cell>
          <cell r="F1300" t="str">
            <v>LD240617O-2636A</v>
          </cell>
          <cell r="G1300">
            <v>10</v>
          </cell>
          <cell r="H1300" t="str">
            <v>DNA宏基因组文库</v>
          </cell>
          <cell r="I1300" t="str">
            <v>ZZ</v>
          </cell>
          <cell r="J1300">
            <v>86.4</v>
          </cell>
          <cell r="N1300" t="e">
            <v>#DIV/0!</v>
          </cell>
        </row>
        <row r="1301">
          <cell r="E1301" t="str">
            <v>HGC-Lib-2451404</v>
          </cell>
          <cell r="F1301" t="str">
            <v>LD240617O-2637A</v>
          </cell>
          <cell r="G1301">
            <v>10</v>
          </cell>
          <cell r="H1301" t="str">
            <v>DNA宏基因组文库</v>
          </cell>
          <cell r="I1301" t="str">
            <v>ZZ</v>
          </cell>
          <cell r="J1301">
            <v>89.6</v>
          </cell>
          <cell r="N1301" t="e">
            <v>#DIV/0!</v>
          </cell>
        </row>
        <row r="1302">
          <cell r="E1302" t="str">
            <v>HGC-Lib-2451405</v>
          </cell>
          <cell r="F1302" t="str">
            <v>LD240617O-2644A</v>
          </cell>
          <cell r="G1302">
            <v>10</v>
          </cell>
          <cell r="H1302" t="str">
            <v>DNA宏基因组文库</v>
          </cell>
          <cell r="I1302" t="str">
            <v>ZZ</v>
          </cell>
          <cell r="J1302">
            <v>80.8</v>
          </cell>
          <cell r="N1302" t="e">
            <v>#DIV/0!</v>
          </cell>
        </row>
        <row r="1303">
          <cell r="E1303" t="str">
            <v>HGC-Lib-2451406</v>
          </cell>
          <cell r="F1303" t="str">
            <v>LD240617O-2645A</v>
          </cell>
          <cell r="G1303">
            <v>10</v>
          </cell>
          <cell r="H1303" t="str">
            <v>DNA宏基因组文库</v>
          </cell>
          <cell r="I1303" t="str">
            <v>ZZ</v>
          </cell>
          <cell r="J1303">
            <v>40.4</v>
          </cell>
          <cell r="N1303" t="e">
            <v>#DIV/0!</v>
          </cell>
        </row>
        <row r="1304">
          <cell r="E1304" t="str">
            <v>HGC-Lib-2451407</v>
          </cell>
          <cell r="F1304" t="str">
            <v>LD240617O-2646A</v>
          </cell>
          <cell r="G1304">
            <v>10</v>
          </cell>
          <cell r="H1304" t="str">
            <v>DNA宏基因组文库</v>
          </cell>
          <cell r="I1304" t="str">
            <v>ZZ</v>
          </cell>
          <cell r="J1304">
            <v>28.1</v>
          </cell>
          <cell r="N1304" t="e">
            <v>#DIV/0!</v>
          </cell>
        </row>
        <row r="1305">
          <cell r="E1305" t="str">
            <v>HGC-Lib-2451408</v>
          </cell>
          <cell r="F1305" t="str">
            <v>LD240619D-1368A</v>
          </cell>
          <cell r="G1305">
            <v>5</v>
          </cell>
          <cell r="H1305" t="str">
            <v>DNA宏基因组文库</v>
          </cell>
          <cell r="I1305" t="str">
            <v>ZZ</v>
          </cell>
          <cell r="J1305">
            <v>30.6</v>
          </cell>
          <cell r="N1305" t="e">
            <v>#DIV/0!</v>
          </cell>
        </row>
        <row r="1306">
          <cell r="E1306" t="str">
            <v>HGC-Lib-2451409</v>
          </cell>
          <cell r="F1306" t="str">
            <v>LD240619D-1371A</v>
          </cell>
          <cell r="G1306">
            <v>5</v>
          </cell>
          <cell r="H1306" t="str">
            <v>DNA宏基因组文库</v>
          </cell>
          <cell r="I1306" t="str">
            <v>ZZ</v>
          </cell>
          <cell r="J1306">
            <v>85</v>
          </cell>
          <cell r="N1306" t="e">
            <v>#DIV/0!</v>
          </cell>
        </row>
        <row r="1307">
          <cell r="E1307" t="str">
            <v>HGC-Lib-2451410</v>
          </cell>
          <cell r="F1307" t="str">
            <v>LD240619D-1374A</v>
          </cell>
          <cell r="G1307">
            <v>5</v>
          </cell>
          <cell r="H1307" t="str">
            <v>DNA宏基因组文库</v>
          </cell>
          <cell r="I1307" t="str">
            <v>ZZ</v>
          </cell>
          <cell r="J1307">
            <v>30.4</v>
          </cell>
          <cell r="N1307" t="e">
            <v>#DIV/0!</v>
          </cell>
        </row>
        <row r="1308">
          <cell r="E1308" t="str">
            <v>HGC-Lib-2451411</v>
          </cell>
          <cell r="F1308" t="str">
            <v>LD240619D-1381A</v>
          </cell>
          <cell r="G1308">
            <v>5</v>
          </cell>
          <cell r="H1308" t="str">
            <v>DNA宏基因组文库</v>
          </cell>
          <cell r="I1308" t="str">
            <v>ZZ</v>
          </cell>
          <cell r="J1308">
            <v>85.4</v>
          </cell>
          <cell r="N1308" t="e">
            <v>#DIV/0!</v>
          </cell>
        </row>
        <row r="1309">
          <cell r="E1309" t="str">
            <v>HGC-Lib-2451412</v>
          </cell>
          <cell r="F1309" t="str">
            <v>LR240621R-0023A</v>
          </cell>
          <cell r="G1309">
            <v>6</v>
          </cell>
          <cell r="H1309" t="str">
            <v>宏转录组文库</v>
          </cell>
          <cell r="I1309" t="str">
            <v>ZZ</v>
          </cell>
          <cell r="J1309">
            <v>1.99</v>
          </cell>
          <cell r="N1309" t="e">
            <v>#DIV/0!</v>
          </cell>
        </row>
        <row r="1310">
          <cell r="E1310" t="str">
            <v>HGC-Lib-2451413</v>
          </cell>
          <cell r="F1310" t="str">
            <v>LR240621R-0024A</v>
          </cell>
          <cell r="G1310">
            <v>6</v>
          </cell>
          <cell r="H1310" t="str">
            <v>宏转录组文库</v>
          </cell>
          <cell r="I1310" t="str">
            <v>ZZ</v>
          </cell>
          <cell r="J1310">
            <v>60.2</v>
          </cell>
          <cell r="N1310" t="e">
            <v>#DIV/0!</v>
          </cell>
        </row>
        <row r="1311">
          <cell r="E1311" t="str">
            <v>HGC-Lib-2451414</v>
          </cell>
          <cell r="F1311" t="str">
            <v>LR240621R-0025A</v>
          </cell>
          <cell r="G1311">
            <v>6</v>
          </cell>
          <cell r="H1311" t="str">
            <v>宏转录组文库</v>
          </cell>
          <cell r="I1311" t="str">
            <v>ZZ</v>
          </cell>
          <cell r="J1311">
            <v>1.67</v>
          </cell>
          <cell r="N1311" t="e">
            <v>#DIV/0!</v>
          </cell>
        </row>
        <row r="1312">
          <cell r="E1312" t="str">
            <v>HGC-Lib-2451415</v>
          </cell>
          <cell r="F1312" t="str">
            <v>LR240621R-0026A</v>
          </cell>
          <cell r="G1312">
            <v>6</v>
          </cell>
          <cell r="H1312" t="str">
            <v>宏转录组文库</v>
          </cell>
          <cell r="I1312" t="str">
            <v>ZZ</v>
          </cell>
          <cell r="J1312">
            <v>53.6</v>
          </cell>
          <cell r="N1312" t="e">
            <v>#DIV/0!</v>
          </cell>
        </row>
        <row r="1313">
          <cell r="E1313" t="str">
            <v>HGC-Lib-2451416</v>
          </cell>
          <cell r="F1313" t="str">
            <v>LR240621R-0027A</v>
          </cell>
          <cell r="G1313">
            <v>6</v>
          </cell>
          <cell r="H1313" t="str">
            <v>宏转录组文库</v>
          </cell>
          <cell r="I1313" t="str">
            <v>ZZ</v>
          </cell>
          <cell r="J1313">
            <v>4.0599999999999996</v>
          </cell>
          <cell r="N1313" t="e">
            <v>#DIV/0!</v>
          </cell>
        </row>
        <row r="1314">
          <cell r="E1314" t="str">
            <v>HGC-Lib-2451417</v>
          </cell>
          <cell r="F1314" t="str">
            <v>LR240621R-0028A</v>
          </cell>
          <cell r="G1314">
            <v>6</v>
          </cell>
          <cell r="H1314" t="str">
            <v>宏转录组文库</v>
          </cell>
          <cell r="I1314" t="str">
            <v>ZZ</v>
          </cell>
          <cell r="J1314">
            <v>16.2</v>
          </cell>
          <cell r="N1314" t="e">
            <v>#DIV/0!</v>
          </cell>
        </row>
        <row r="1315">
          <cell r="E1315" t="str">
            <v>HGC-Lib-2451418</v>
          </cell>
          <cell r="F1315" t="str">
            <v>LR240621R-0029A</v>
          </cell>
          <cell r="G1315">
            <v>6</v>
          </cell>
          <cell r="H1315" t="str">
            <v>宏转录组文库</v>
          </cell>
          <cell r="I1315" t="str">
            <v>ZZ</v>
          </cell>
          <cell r="J1315">
            <v>18.7</v>
          </cell>
          <cell r="N1315" t="e">
            <v>#DIV/0!</v>
          </cell>
        </row>
        <row r="1316">
          <cell r="E1316" t="str">
            <v>HGC-Lib-2451419</v>
          </cell>
          <cell r="F1316" t="str">
            <v>LR240621R-0031A</v>
          </cell>
          <cell r="G1316">
            <v>6</v>
          </cell>
          <cell r="H1316" t="str">
            <v>宏转录组文库</v>
          </cell>
          <cell r="I1316" t="str">
            <v>ZZ</v>
          </cell>
          <cell r="J1316">
            <v>3.66</v>
          </cell>
          <cell r="N1316" t="e">
            <v>#DIV/0!</v>
          </cell>
        </row>
        <row r="1317">
          <cell r="E1317" t="str">
            <v>HGC-Lib-2451420</v>
          </cell>
          <cell r="F1317" t="str">
            <v>LR240621R-0033A</v>
          </cell>
          <cell r="G1317">
            <v>10</v>
          </cell>
          <cell r="H1317" t="str">
            <v>宏转录组文库</v>
          </cell>
          <cell r="I1317" t="str">
            <v>ZZ</v>
          </cell>
          <cell r="J1317">
            <v>5.18</v>
          </cell>
          <cell r="N1317" t="e">
            <v>#DIV/0!</v>
          </cell>
        </row>
        <row r="1318">
          <cell r="E1318" t="str">
            <v>HGC-Lib-2451421</v>
          </cell>
          <cell r="F1318" t="str">
            <v>LD240620O-1496A</v>
          </cell>
          <cell r="G1318">
            <v>6</v>
          </cell>
          <cell r="H1318" t="str">
            <v>DNA宏基因组文库</v>
          </cell>
          <cell r="I1318" t="str">
            <v>ZZ</v>
          </cell>
          <cell r="J1318">
            <v>91</v>
          </cell>
          <cell r="N1318" t="e">
            <v>#DIV/0!</v>
          </cell>
        </row>
        <row r="1319">
          <cell r="E1319" t="str">
            <v>HGC-Lib-2451422</v>
          </cell>
          <cell r="F1319" t="str">
            <v>LD240620O-1497A</v>
          </cell>
          <cell r="G1319">
            <v>6</v>
          </cell>
          <cell r="H1319" t="str">
            <v>DNA宏基因组文库</v>
          </cell>
          <cell r="I1319" t="str">
            <v>ZZ</v>
          </cell>
          <cell r="J1319">
            <v>39.4</v>
          </cell>
          <cell r="N1319" t="e">
            <v>#DIV/0!</v>
          </cell>
        </row>
        <row r="1320">
          <cell r="E1320" t="str">
            <v>HGC-Lib-2451423</v>
          </cell>
          <cell r="F1320" t="str">
            <v>LD240620O-1498A</v>
          </cell>
          <cell r="G1320">
            <v>6</v>
          </cell>
          <cell r="H1320" t="str">
            <v>DNA宏基因组文库</v>
          </cell>
          <cell r="I1320" t="str">
            <v>ZZ</v>
          </cell>
          <cell r="J1320">
            <v>39.200000000000003</v>
          </cell>
          <cell r="N1320" t="e">
            <v>#DIV/0!</v>
          </cell>
        </row>
        <row r="1321">
          <cell r="E1321" t="str">
            <v>HGC-Lib-2451424</v>
          </cell>
          <cell r="F1321" t="str">
            <v>LD240620O-1499A</v>
          </cell>
          <cell r="G1321">
            <v>6</v>
          </cell>
          <cell r="H1321" t="str">
            <v>DNA宏基因组文库</v>
          </cell>
          <cell r="I1321" t="str">
            <v>ZZ</v>
          </cell>
          <cell r="J1321">
            <v>76.2</v>
          </cell>
          <cell r="N1321" t="e">
            <v>#DIV/0!</v>
          </cell>
        </row>
        <row r="1322">
          <cell r="E1322" t="str">
            <v>HGC-Lib-2451425</v>
          </cell>
          <cell r="F1322" t="str">
            <v>LD240620O-1500A</v>
          </cell>
          <cell r="G1322">
            <v>6</v>
          </cell>
          <cell r="H1322" t="str">
            <v>DNA宏基因组文库</v>
          </cell>
          <cell r="I1322" t="str">
            <v>ZZ</v>
          </cell>
          <cell r="J1322">
            <v>37.200000000000003</v>
          </cell>
          <cell r="N1322" t="e">
            <v>#DIV/0!</v>
          </cell>
        </row>
        <row r="1323">
          <cell r="E1323" t="str">
            <v>HGC-Lib-2451426</v>
          </cell>
          <cell r="F1323" t="str">
            <v>LD240620O-1501A</v>
          </cell>
          <cell r="G1323">
            <v>6</v>
          </cell>
          <cell r="H1323" t="str">
            <v>DNA宏基因组文库</v>
          </cell>
          <cell r="I1323" t="str">
            <v>TY</v>
          </cell>
          <cell r="J1323">
            <v>102</v>
          </cell>
          <cell r="N1323" t="e">
            <v>#DIV/0!</v>
          </cell>
        </row>
        <row r="1324">
          <cell r="E1324" t="str">
            <v>HGC-Lib-2451427</v>
          </cell>
          <cell r="F1324" t="str">
            <v>LD240620O-1502A</v>
          </cell>
          <cell r="G1324">
            <v>6</v>
          </cell>
          <cell r="H1324" t="str">
            <v>DNA宏基因组文库</v>
          </cell>
          <cell r="I1324" t="str">
            <v>TY</v>
          </cell>
          <cell r="J1324">
            <v>97.8</v>
          </cell>
          <cell r="N1324" t="e">
            <v>#DIV/0!</v>
          </cell>
        </row>
        <row r="1325">
          <cell r="E1325" t="str">
            <v>HGC-Lib-2451428</v>
          </cell>
          <cell r="F1325" t="str">
            <v>LD240620O-1503A</v>
          </cell>
          <cell r="G1325">
            <v>6</v>
          </cell>
          <cell r="H1325" t="str">
            <v>DNA宏基因组文库</v>
          </cell>
          <cell r="I1325" t="str">
            <v>TY</v>
          </cell>
          <cell r="J1325">
            <v>79.2</v>
          </cell>
          <cell r="N1325" t="e">
            <v>#DIV/0!</v>
          </cell>
        </row>
        <row r="1326">
          <cell r="E1326" t="str">
            <v>HGC-Lib-2451429</v>
          </cell>
          <cell r="F1326" t="str">
            <v>LD240620O-1504A</v>
          </cell>
          <cell r="G1326">
            <v>6</v>
          </cell>
          <cell r="H1326" t="str">
            <v>DNA宏基因组文库</v>
          </cell>
          <cell r="I1326" t="str">
            <v>TY</v>
          </cell>
          <cell r="J1326">
            <v>55.6</v>
          </cell>
          <cell r="N1326" t="e">
            <v>#DIV/0!</v>
          </cell>
        </row>
        <row r="1327">
          <cell r="E1327" t="str">
            <v>HGC-Lib-2451430</v>
          </cell>
          <cell r="F1327" t="str">
            <v>LD240620O-1505A</v>
          </cell>
          <cell r="G1327">
            <v>6</v>
          </cell>
          <cell r="H1327" t="str">
            <v>DNA宏基因组文库</v>
          </cell>
          <cell r="I1327" t="str">
            <v>TY</v>
          </cell>
          <cell r="J1327">
            <v>84</v>
          </cell>
          <cell r="N1327" t="e">
            <v>#DIV/0!</v>
          </cell>
        </row>
        <row r="1328">
          <cell r="E1328" t="str">
            <v>HGC-Lib-2451431</v>
          </cell>
          <cell r="F1328" t="str">
            <v>LD240620O-1506A</v>
          </cell>
          <cell r="G1328">
            <v>6</v>
          </cell>
          <cell r="H1328" t="str">
            <v>DNA宏基因组文库</v>
          </cell>
          <cell r="I1328" t="str">
            <v>TY</v>
          </cell>
          <cell r="J1328">
            <v>63.8</v>
          </cell>
          <cell r="N1328" t="e">
            <v>#DIV/0!</v>
          </cell>
        </row>
        <row r="1329">
          <cell r="E1329" t="str">
            <v>HGC-Lib-2451432</v>
          </cell>
          <cell r="F1329" t="str">
            <v>LD240604R-0018A</v>
          </cell>
          <cell r="G1329">
            <v>10</v>
          </cell>
          <cell r="H1329" t="str">
            <v>RNA病毒组文库</v>
          </cell>
          <cell r="I1329" t="str">
            <v>TY</v>
          </cell>
          <cell r="J1329">
            <v>44.6</v>
          </cell>
          <cell r="N1329" t="e">
            <v>#DIV/0!</v>
          </cell>
        </row>
        <row r="1330">
          <cell r="E1330" t="str">
            <v>HGC-Lib-2451433</v>
          </cell>
          <cell r="F1330" t="str">
            <v>LD240604R-0019A</v>
          </cell>
          <cell r="G1330">
            <v>10</v>
          </cell>
          <cell r="H1330" t="str">
            <v>RNA病毒组文库</v>
          </cell>
          <cell r="I1330" t="str">
            <v>TY</v>
          </cell>
          <cell r="J1330">
            <v>44.6</v>
          </cell>
          <cell r="N1330" t="e">
            <v>#DIV/0!</v>
          </cell>
        </row>
        <row r="1331">
          <cell r="E1331" t="str">
            <v>HGC-Lib-2451434</v>
          </cell>
          <cell r="F1331" t="str">
            <v>LD240604R-0020A</v>
          </cell>
          <cell r="G1331">
            <v>10</v>
          </cell>
          <cell r="H1331" t="str">
            <v>RNA病毒组文库</v>
          </cell>
          <cell r="I1331" t="str">
            <v>TY</v>
          </cell>
          <cell r="J1331">
            <v>28.2</v>
          </cell>
          <cell r="N1331" t="e">
            <v>#DIV/0!</v>
          </cell>
        </row>
        <row r="1332">
          <cell r="E1332" t="str">
            <v>HGC-Lib-2451435</v>
          </cell>
          <cell r="F1332" t="str">
            <v>LD240604R-0021A</v>
          </cell>
          <cell r="G1332">
            <v>10</v>
          </cell>
          <cell r="H1332" t="str">
            <v>RNA病毒组文库</v>
          </cell>
          <cell r="I1332" t="str">
            <v>TY</v>
          </cell>
          <cell r="J1332">
            <v>27</v>
          </cell>
          <cell r="N1332" t="e">
            <v>#DIV/0!</v>
          </cell>
        </row>
        <row r="1333">
          <cell r="E1333" t="str">
            <v>HGC-Lib-2451436</v>
          </cell>
          <cell r="F1333" t="str">
            <v>LD240604R-0022A</v>
          </cell>
          <cell r="G1333">
            <v>10</v>
          </cell>
          <cell r="H1333" t="str">
            <v>RNA病毒组文库</v>
          </cell>
          <cell r="I1333" t="str">
            <v>TY</v>
          </cell>
          <cell r="J1333">
            <v>41.4</v>
          </cell>
          <cell r="N1333" t="e">
            <v>#DIV/0!</v>
          </cell>
        </row>
        <row r="1334">
          <cell r="E1334" t="str">
            <v>HGC-Lib-2451437</v>
          </cell>
          <cell r="F1334" t="str">
            <v>LD240604R-0023A</v>
          </cell>
          <cell r="G1334">
            <v>10</v>
          </cell>
          <cell r="H1334" t="str">
            <v>RNA病毒组文库</v>
          </cell>
          <cell r="I1334" t="str">
            <v>TY</v>
          </cell>
          <cell r="J1334">
            <v>41.6</v>
          </cell>
          <cell r="N1334" t="e">
            <v>#DIV/0!</v>
          </cell>
        </row>
        <row r="1335">
          <cell r="E1335" t="str">
            <v>HGC-Lib-2451438</v>
          </cell>
          <cell r="F1335" t="str">
            <v>LD240604R-0024A</v>
          </cell>
          <cell r="G1335">
            <v>10</v>
          </cell>
          <cell r="H1335" t="str">
            <v>RNA病毒组文库</v>
          </cell>
          <cell r="I1335" t="str">
            <v>TY</v>
          </cell>
          <cell r="J1335">
            <v>94.4</v>
          </cell>
          <cell r="N1335" t="e">
            <v>#DIV/0!</v>
          </cell>
        </row>
        <row r="1336">
          <cell r="E1336" t="str">
            <v>HGC-Lib-2451439</v>
          </cell>
          <cell r="F1336" t="str">
            <v>LD240604R-0025A</v>
          </cell>
          <cell r="G1336">
            <v>10</v>
          </cell>
          <cell r="H1336" t="str">
            <v>RNA病毒组文库</v>
          </cell>
          <cell r="I1336" t="str">
            <v>TY</v>
          </cell>
          <cell r="J1336">
            <v>34.200000000000003</v>
          </cell>
          <cell r="N1336" t="e">
            <v>#DIV/0!</v>
          </cell>
        </row>
        <row r="1337">
          <cell r="E1337" t="str">
            <v>HGC-Lib-2451440</v>
          </cell>
          <cell r="F1337" t="str">
            <v>LD240620O-1659A</v>
          </cell>
          <cell r="G1337">
            <v>10</v>
          </cell>
          <cell r="H1337" t="str">
            <v>DNA宏基因组文库</v>
          </cell>
          <cell r="I1337" t="str">
            <v>TY</v>
          </cell>
          <cell r="J1337">
            <v>77.2</v>
          </cell>
          <cell r="N1337" t="e">
            <v>#DIV/0!</v>
          </cell>
        </row>
        <row r="1338">
          <cell r="E1338" t="str">
            <v>HGC-Lib-2451441</v>
          </cell>
          <cell r="F1338" t="str">
            <v>LD240620O-1660A</v>
          </cell>
          <cell r="G1338">
            <v>10</v>
          </cell>
          <cell r="H1338" t="str">
            <v>DNA宏基因组文库</v>
          </cell>
          <cell r="I1338" t="str">
            <v>TY</v>
          </cell>
          <cell r="J1338">
            <v>90.4</v>
          </cell>
          <cell r="N1338" t="e">
            <v>#DIV/0!</v>
          </cell>
        </row>
        <row r="1339">
          <cell r="E1339" t="str">
            <v>HGC-Lib-2451442</v>
          </cell>
          <cell r="F1339" t="str">
            <v>LD240620O-1661A</v>
          </cell>
          <cell r="G1339">
            <v>10</v>
          </cell>
          <cell r="H1339" t="str">
            <v>DNA宏基因组文库</v>
          </cell>
          <cell r="I1339" t="str">
            <v>TY</v>
          </cell>
          <cell r="J1339">
            <v>57.4</v>
          </cell>
          <cell r="N1339" t="e">
            <v>#DIV/0!</v>
          </cell>
        </row>
        <row r="1340">
          <cell r="E1340" t="str">
            <v>HGC-Lib-2451443</v>
          </cell>
          <cell r="F1340" t="str">
            <v>LD240620O-1662A</v>
          </cell>
          <cell r="G1340">
            <v>10</v>
          </cell>
          <cell r="H1340" t="str">
            <v>DNA宏基因组文库</v>
          </cell>
          <cell r="I1340" t="str">
            <v>TY</v>
          </cell>
          <cell r="J1340">
            <v>57.6</v>
          </cell>
          <cell r="N1340" t="e">
            <v>#DIV/0!</v>
          </cell>
        </row>
        <row r="1341">
          <cell r="E1341" t="str">
            <v>HGC-Lib-2451444</v>
          </cell>
          <cell r="F1341" t="str">
            <v>LD240620O-1663A</v>
          </cell>
          <cell r="G1341">
            <v>10</v>
          </cell>
          <cell r="H1341" t="str">
            <v>DNA宏基因组文库</v>
          </cell>
          <cell r="I1341" t="str">
            <v>TY</v>
          </cell>
          <cell r="J1341">
            <v>2.5</v>
          </cell>
          <cell r="N1341" t="e">
            <v>#DIV/0!</v>
          </cell>
        </row>
        <row r="1342">
          <cell r="E1342" t="str">
            <v>HGC-Lib-2451445</v>
          </cell>
          <cell r="F1342" t="str">
            <v>LR240620O-1676A</v>
          </cell>
          <cell r="G1342">
            <v>6</v>
          </cell>
          <cell r="H1342" t="str">
            <v>普通真核转录组文库</v>
          </cell>
          <cell r="I1342" t="str">
            <v>TY</v>
          </cell>
          <cell r="J1342">
            <v>5.98</v>
          </cell>
          <cell r="N1342" t="e">
            <v>#DIV/0!</v>
          </cell>
        </row>
        <row r="1343">
          <cell r="E1343" t="str">
            <v>HGC-Lib-2451446</v>
          </cell>
          <cell r="F1343" t="str">
            <v>LR240624O-1604A</v>
          </cell>
          <cell r="G1343">
            <v>6</v>
          </cell>
          <cell r="H1343" t="str">
            <v>普通真核转录组文库</v>
          </cell>
          <cell r="I1343" t="str">
            <v>TY</v>
          </cell>
          <cell r="J1343">
            <v>25.2</v>
          </cell>
          <cell r="N1343" t="e">
            <v>#DIV/0!</v>
          </cell>
        </row>
        <row r="1344">
          <cell r="E1344" t="str">
            <v>HGC-Lib-2451447</v>
          </cell>
          <cell r="F1344" t="str">
            <v>LR240624O-1605A</v>
          </cell>
          <cell r="G1344">
            <v>6</v>
          </cell>
          <cell r="H1344" t="str">
            <v>普通真核转录组文库</v>
          </cell>
          <cell r="I1344" t="str">
            <v>TY</v>
          </cell>
          <cell r="J1344">
            <v>31.2</v>
          </cell>
          <cell r="N1344" t="e">
            <v>#DIV/0!</v>
          </cell>
        </row>
        <row r="1345">
          <cell r="E1345" t="str">
            <v>HGC-Lib-2451448</v>
          </cell>
          <cell r="F1345" t="str">
            <v>LR240624O-1606A</v>
          </cell>
          <cell r="G1345">
            <v>6</v>
          </cell>
          <cell r="H1345" t="str">
            <v>普通真核转录组文库</v>
          </cell>
          <cell r="I1345" t="str">
            <v>TY</v>
          </cell>
          <cell r="J1345">
            <v>37</v>
          </cell>
          <cell r="N1345" t="e">
            <v>#DIV/0!</v>
          </cell>
        </row>
        <row r="1346">
          <cell r="E1346" t="str">
            <v>HGC-Lib-2451449</v>
          </cell>
          <cell r="F1346" t="str">
            <v>LR240624O-1607A</v>
          </cell>
          <cell r="G1346">
            <v>6</v>
          </cell>
          <cell r="H1346" t="str">
            <v>普通真核转录组文库</v>
          </cell>
          <cell r="I1346" t="str">
            <v>TY</v>
          </cell>
          <cell r="J1346">
            <v>31.8</v>
          </cell>
          <cell r="N1346" t="e">
            <v>#DIV/0!</v>
          </cell>
        </row>
        <row r="1347">
          <cell r="E1347" t="str">
            <v>HGC-Lib-2451450</v>
          </cell>
          <cell r="F1347" t="str">
            <v>LR240624O-1608A</v>
          </cell>
          <cell r="G1347">
            <v>6</v>
          </cell>
          <cell r="H1347" t="str">
            <v>普通真核转录组文库</v>
          </cell>
          <cell r="I1347" t="str">
            <v>TY</v>
          </cell>
          <cell r="J1347">
            <v>36.6</v>
          </cell>
          <cell r="N1347" t="e">
            <v>#DIV/0!</v>
          </cell>
        </row>
        <row r="1348">
          <cell r="E1348" t="str">
            <v>HGC-Lib-2451451</v>
          </cell>
          <cell r="F1348" t="str">
            <v>LR240624O-1609A</v>
          </cell>
          <cell r="G1348">
            <v>6</v>
          </cell>
          <cell r="H1348" t="str">
            <v>普通真核转录组文库</v>
          </cell>
          <cell r="I1348" t="str">
            <v>TY</v>
          </cell>
          <cell r="J1348">
            <v>40.4</v>
          </cell>
          <cell r="N1348" t="e">
            <v>#DIV/0!</v>
          </cell>
        </row>
        <row r="1349">
          <cell r="E1349" t="str">
            <v>HGC-Lib-2451452</v>
          </cell>
          <cell r="F1349" t="str">
            <v>LR240624O-1610A</v>
          </cell>
          <cell r="G1349">
            <v>6</v>
          </cell>
          <cell r="H1349" t="str">
            <v>普通真核转录组文库</v>
          </cell>
          <cell r="I1349" t="str">
            <v>TY</v>
          </cell>
          <cell r="J1349">
            <v>48.2</v>
          </cell>
          <cell r="N1349" t="e">
            <v>#DIV/0!</v>
          </cell>
        </row>
        <row r="1350">
          <cell r="E1350" t="str">
            <v>HGC-Lib-2451453</v>
          </cell>
          <cell r="F1350" t="str">
            <v>LR240624O-1611A</v>
          </cell>
          <cell r="G1350">
            <v>6</v>
          </cell>
          <cell r="H1350" t="str">
            <v>普通真核转录组文库</v>
          </cell>
          <cell r="I1350" t="str">
            <v>TY</v>
          </cell>
          <cell r="J1350">
            <v>32.4</v>
          </cell>
          <cell r="N1350" t="e">
            <v>#DIV/0!</v>
          </cell>
        </row>
        <row r="1351">
          <cell r="E1351" t="str">
            <v>HGC-Lib-2451454</v>
          </cell>
          <cell r="F1351" t="str">
            <v>LR240624O-1612A</v>
          </cell>
          <cell r="G1351">
            <v>6</v>
          </cell>
          <cell r="H1351" t="str">
            <v>普通真核转录组文库</v>
          </cell>
          <cell r="I1351" t="str">
            <v>TY</v>
          </cell>
          <cell r="J1351">
            <v>26.8</v>
          </cell>
          <cell r="N1351" t="e">
            <v>#DIV/0!</v>
          </cell>
        </row>
        <row r="1352">
          <cell r="E1352" t="str">
            <v>HGC-Lib-2451455</v>
          </cell>
          <cell r="F1352" t="str">
            <v>LR240624O-1613A</v>
          </cell>
          <cell r="G1352">
            <v>6</v>
          </cell>
          <cell r="H1352" t="str">
            <v>普通真核转录组文库</v>
          </cell>
          <cell r="I1352" t="str">
            <v>TY</v>
          </cell>
          <cell r="J1352">
            <v>34.200000000000003</v>
          </cell>
          <cell r="N1352" t="e">
            <v>#DIV/0!</v>
          </cell>
        </row>
        <row r="1353">
          <cell r="E1353" t="str">
            <v>HGC-Lib-2451456</v>
          </cell>
          <cell r="F1353" t="str">
            <v>LR240624O-1614A</v>
          </cell>
          <cell r="G1353">
            <v>6</v>
          </cell>
          <cell r="H1353" t="str">
            <v>普通真核转录组文库</v>
          </cell>
          <cell r="I1353" t="str">
            <v>TY</v>
          </cell>
          <cell r="J1353">
            <v>41.4</v>
          </cell>
          <cell r="N1353" t="e">
            <v>#DIV/0!</v>
          </cell>
        </row>
        <row r="1354">
          <cell r="E1354" t="str">
            <v>HGC-Lib-2451457</v>
          </cell>
          <cell r="F1354" t="str">
            <v>LR240624O-1615A</v>
          </cell>
          <cell r="G1354">
            <v>6</v>
          </cell>
          <cell r="H1354" t="str">
            <v>普通真核转录组文库</v>
          </cell>
          <cell r="I1354" t="str">
            <v>TY</v>
          </cell>
          <cell r="J1354">
            <v>33.799999999999997</v>
          </cell>
          <cell r="N1354" t="e">
            <v>#DIV/0!</v>
          </cell>
        </row>
        <row r="1355">
          <cell r="E1355" t="str">
            <v>HGC-Lib-2451458</v>
          </cell>
          <cell r="F1355" t="str">
            <v>LR240625O-2487A</v>
          </cell>
          <cell r="G1355">
            <v>6</v>
          </cell>
          <cell r="H1355" t="str">
            <v>普通真核转录组文库</v>
          </cell>
          <cell r="I1355" t="str">
            <v>TY</v>
          </cell>
          <cell r="J1355">
            <v>35.200000000000003</v>
          </cell>
          <cell r="N1355" t="e">
            <v>#DIV/0!</v>
          </cell>
        </row>
        <row r="1356">
          <cell r="E1356" t="str">
            <v>HGC-Lib-2451459</v>
          </cell>
          <cell r="F1356" t="str">
            <v>LR240625O-2488A</v>
          </cell>
          <cell r="G1356">
            <v>6</v>
          </cell>
          <cell r="H1356" t="str">
            <v>普通真核转录组文库</v>
          </cell>
          <cell r="I1356" t="str">
            <v>TY</v>
          </cell>
          <cell r="J1356">
            <v>13.4</v>
          </cell>
          <cell r="N1356" t="e">
            <v>#DIV/0!</v>
          </cell>
        </row>
        <row r="1357">
          <cell r="E1357" t="str">
            <v>HGC-Lib-2451460</v>
          </cell>
          <cell r="F1357" t="str">
            <v>LR240625O-2489A</v>
          </cell>
          <cell r="G1357">
            <v>6</v>
          </cell>
          <cell r="H1357" t="str">
            <v>普通真核转录组文库</v>
          </cell>
          <cell r="I1357" t="str">
            <v>TY</v>
          </cell>
          <cell r="J1357">
            <v>33</v>
          </cell>
          <cell r="N1357" t="e">
            <v>#DIV/0!</v>
          </cell>
        </row>
        <row r="1358">
          <cell r="E1358" t="str">
            <v>HGC-Lib-2451461</v>
          </cell>
          <cell r="F1358" t="str">
            <v>LR240625O-2490A</v>
          </cell>
          <cell r="G1358">
            <v>6</v>
          </cell>
          <cell r="H1358" t="str">
            <v>普通真核转录组文库</v>
          </cell>
          <cell r="I1358" t="str">
            <v>TY</v>
          </cell>
          <cell r="J1358">
            <v>23</v>
          </cell>
          <cell r="N1358" t="e">
            <v>#DIV/0!</v>
          </cell>
        </row>
        <row r="1359">
          <cell r="E1359" t="str">
            <v>HGC-Lib-2451462</v>
          </cell>
          <cell r="F1359" t="str">
            <v>LD240204D-1108A</v>
          </cell>
          <cell r="G1359">
            <v>20</v>
          </cell>
          <cell r="H1359" t="str">
            <v>DNA宏基因组文库</v>
          </cell>
          <cell r="I1359" t="str">
            <v>TY</v>
          </cell>
          <cell r="J1359">
            <v>36</v>
          </cell>
          <cell r="N1359" t="e">
            <v>#DIV/0!</v>
          </cell>
        </row>
        <row r="1360">
          <cell r="E1360" t="str">
            <v>HGC-Lib-2451463</v>
          </cell>
          <cell r="F1360" t="str">
            <v>LD240204D-1109A</v>
          </cell>
          <cell r="G1360">
            <v>20</v>
          </cell>
          <cell r="H1360" t="str">
            <v>DNA宏基因组文库</v>
          </cell>
          <cell r="I1360" t="str">
            <v>TY</v>
          </cell>
          <cell r="J1360">
            <v>50.6</v>
          </cell>
          <cell r="N1360" t="e">
            <v>#DIV/0!</v>
          </cell>
        </row>
        <row r="1361">
          <cell r="E1361" t="str">
            <v>HGC-Lib-2451464</v>
          </cell>
          <cell r="F1361" t="str">
            <v>LD240620D-0952A</v>
          </cell>
          <cell r="G1361">
            <v>10</v>
          </cell>
          <cell r="H1361" t="str">
            <v>DNA宏基因组文库</v>
          </cell>
          <cell r="I1361" t="str">
            <v>TY</v>
          </cell>
          <cell r="J1361">
            <v>63.6</v>
          </cell>
          <cell r="N1361" t="e">
            <v>#DIV/0!</v>
          </cell>
        </row>
        <row r="1362">
          <cell r="E1362" t="str">
            <v>HGC-Lib-2451465</v>
          </cell>
          <cell r="F1362" t="str">
            <v>LD240620D-0953A</v>
          </cell>
          <cell r="G1362">
            <v>10</v>
          </cell>
          <cell r="H1362" t="str">
            <v>DNA宏基因组文库</v>
          </cell>
          <cell r="I1362" t="str">
            <v>TY</v>
          </cell>
          <cell r="J1362">
            <v>108</v>
          </cell>
          <cell r="N1362" t="e">
            <v>#DIV/0!</v>
          </cell>
        </row>
        <row r="1363">
          <cell r="E1363" t="str">
            <v>HGC-Lib-2451466</v>
          </cell>
          <cell r="F1363" t="str">
            <v>LD240620D-0954A</v>
          </cell>
          <cell r="G1363">
            <v>10</v>
          </cell>
          <cell r="H1363" t="str">
            <v>DNA宏基因组文库</v>
          </cell>
          <cell r="I1363" t="str">
            <v>TY</v>
          </cell>
          <cell r="J1363">
            <v>57.4</v>
          </cell>
          <cell r="N1363" t="e">
            <v>#DIV/0!</v>
          </cell>
        </row>
        <row r="1364">
          <cell r="E1364" t="str">
            <v>HGC-Lib-2451467</v>
          </cell>
          <cell r="F1364" t="str">
            <v>LD240620D-0955A</v>
          </cell>
          <cell r="G1364">
            <v>10</v>
          </cell>
          <cell r="H1364" t="str">
            <v>DNA宏基因组文库</v>
          </cell>
          <cell r="I1364" t="str">
            <v>TY</v>
          </cell>
          <cell r="J1364">
            <v>80.400000000000006</v>
          </cell>
          <cell r="N1364" t="e">
            <v>#DIV/0!</v>
          </cell>
        </row>
        <row r="1365">
          <cell r="E1365" t="str">
            <v>HGC-Lib-2451468</v>
          </cell>
          <cell r="F1365" t="str">
            <v>LD240620D-0956A</v>
          </cell>
          <cell r="G1365">
            <v>10</v>
          </cell>
          <cell r="H1365" t="str">
            <v>DNA宏基因组文库</v>
          </cell>
          <cell r="I1365" t="str">
            <v>TY</v>
          </cell>
          <cell r="J1365">
            <v>85.4</v>
          </cell>
          <cell r="N1365" t="e">
            <v>#DIV/0!</v>
          </cell>
        </row>
        <row r="1366">
          <cell r="E1366" t="str">
            <v>HGC-Lib-2451469</v>
          </cell>
          <cell r="F1366" t="str">
            <v>LD240620D-0957A</v>
          </cell>
          <cell r="G1366">
            <v>10</v>
          </cell>
          <cell r="H1366" t="str">
            <v>DNA宏基因组文库</v>
          </cell>
          <cell r="I1366" t="str">
            <v>TY</v>
          </cell>
          <cell r="J1366">
            <v>30.8</v>
          </cell>
          <cell r="N1366" t="e">
            <v>#DIV/0!</v>
          </cell>
        </row>
        <row r="1367">
          <cell r="E1367" t="str">
            <v>HGC-Lib-2451470</v>
          </cell>
          <cell r="F1367" t="str">
            <v>LD240620D-0958A</v>
          </cell>
          <cell r="G1367">
            <v>10</v>
          </cell>
          <cell r="H1367" t="str">
            <v>DNA宏基因组文库</v>
          </cell>
          <cell r="I1367" t="str">
            <v>TY</v>
          </cell>
          <cell r="J1367">
            <v>28.6</v>
          </cell>
          <cell r="N1367" t="e">
            <v>#DIV/0!</v>
          </cell>
        </row>
        <row r="1368">
          <cell r="E1368" t="str">
            <v>HGC-Lib-2451471</v>
          </cell>
          <cell r="F1368" t="str">
            <v>LD240620D-0959A</v>
          </cell>
          <cell r="G1368">
            <v>10</v>
          </cell>
          <cell r="H1368" t="str">
            <v>DNA宏基因组文库</v>
          </cell>
          <cell r="I1368" t="str">
            <v>TY</v>
          </cell>
          <cell r="J1368">
            <v>29</v>
          </cell>
          <cell r="N1368" t="e">
            <v>#DIV/0!</v>
          </cell>
        </row>
        <row r="1369">
          <cell r="E1369" t="str">
            <v>HGC-Lib-2451472</v>
          </cell>
          <cell r="F1369" t="str">
            <v>LD240620D-0960A</v>
          </cell>
          <cell r="G1369">
            <v>10</v>
          </cell>
          <cell r="H1369" t="str">
            <v>DNA宏基因组文库</v>
          </cell>
          <cell r="I1369" t="str">
            <v>TY</v>
          </cell>
          <cell r="J1369">
            <v>99.4</v>
          </cell>
          <cell r="N1369" t="e">
            <v>#DIV/0!</v>
          </cell>
        </row>
        <row r="1370">
          <cell r="E1370" t="str">
            <v>HGC-Lib-2451473</v>
          </cell>
          <cell r="F1370" t="str">
            <v>LD240621D-0113A</v>
          </cell>
          <cell r="G1370">
            <v>10</v>
          </cell>
          <cell r="H1370" t="str">
            <v>DNA宏基因组文库</v>
          </cell>
          <cell r="I1370" t="str">
            <v>TY</v>
          </cell>
          <cell r="J1370">
            <v>73</v>
          </cell>
          <cell r="N1370" t="e">
            <v>#DIV/0!</v>
          </cell>
        </row>
        <row r="1371">
          <cell r="E1371" t="str">
            <v>HGC-Lib-2451474</v>
          </cell>
          <cell r="F1371" t="str">
            <v>LD240621D-0114A</v>
          </cell>
          <cell r="G1371">
            <v>10</v>
          </cell>
          <cell r="H1371" t="str">
            <v>DNA宏基因组文库</v>
          </cell>
          <cell r="I1371" t="str">
            <v>HZK</v>
          </cell>
          <cell r="J1371">
            <v>63</v>
          </cell>
          <cell r="N1371" t="e">
            <v>#DIV/0!</v>
          </cell>
        </row>
        <row r="1372">
          <cell r="E1372" t="str">
            <v>HGC-Lib-2451475</v>
          </cell>
          <cell r="F1372" t="str">
            <v>LD240621D-0115A</v>
          </cell>
          <cell r="G1372">
            <v>10</v>
          </cell>
          <cell r="H1372" t="str">
            <v>DNA宏基因组文库</v>
          </cell>
          <cell r="I1372" t="str">
            <v>HZK</v>
          </cell>
          <cell r="J1372">
            <v>49.2</v>
          </cell>
          <cell r="N1372" t="e">
            <v>#DIV/0!</v>
          </cell>
        </row>
        <row r="1373">
          <cell r="E1373" t="str">
            <v>HGC-Lib-2451476</v>
          </cell>
          <cell r="F1373" t="str">
            <v>LD240621D-0116A</v>
          </cell>
          <cell r="G1373">
            <v>10</v>
          </cell>
          <cell r="H1373" t="str">
            <v>DNA宏基因组文库</v>
          </cell>
          <cell r="I1373" t="str">
            <v>HZK</v>
          </cell>
          <cell r="J1373">
            <v>32.6</v>
          </cell>
          <cell r="N1373" t="e">
            <v>#DIV/0!</v>
          </cell>
        </row>
        <row r="1374">
          <cell r="E1374" t="str">
            <v>HGC-Lib-2451477</v>
          </cell>
          <cell r="F1374" t="str">
            <v>LD240621D-0117A</v>
          </cell>
          <cell r="G1374">
            <v>10</v>
          </cell>
          <cell r="H1374" t="str">
            <v>DNA宏基因组文库</v>
          </cell>
          <cell r="I1374" t="str">
            <v>HZK</v>
          </cell>
          <cell r="J1374">
            <v>66.599999999999994</v>
          </cell>
          <cell r="N1374" t="e">
            <v>#DIV/0!</v>
          </cell>
        </row>
        <row r="1375">
          <cell r="E1375" t="str">
            <v>HGC-Lib-2451478</v>
          </cell>
          <cell r="F1375" t="str">
            <v>LD240621D-0118A</v>
          </cell>
          <cell r="G1375">
            <v>10</v>
          </cell>
          <cell r="H1375" t="str">
            <v>DNA宏基因组文库</v>
          </cell>
          <cell r="I1375" t="str">
            <v>HZK</v>
          </cell>
          <cell r="J1375">
            <v>44.4</v>
          </cell>
          <cell r="N1375" t="e">
            <v>#DIV/0!</v>
          </cell>
        </row>
        <row r="1376">
          <cell r="E1376" t="str">
            <v>HGC-Lib-2451479</v>
          </cell>
          <cell r="F1376" t="str">
            <v>LD240617O-3103B</v>
          </cell>
          <cell r="G1376">
            <v>10</v>
          </cell>
          <cell r="H1376" t="str">
            <v>DNA宏基因组文库</v>
          </cell>
          <cell r="I1376" t="str">
            <v>HZK</v>
          </cell>
          <cell r="J1376">
            <v>118</v>
          </cell>
          <cell r="N1376" t="e">
            <v>#DIV/0!</v>
          </cell>
        </row>
        <row r="1377">
          <cell r="E1377" t="str">
            <v>HGC-Lib-2451480</v>
          </cell>
          <cell r="F1377" t="str">
            <v>LD240617O-3104B</v>
          </cell>
          <cell r="G1377">
            <v>10</v>
          </cell>
          <cell r="H1377" t="str">
            <v>DNA宏基因组文库</v>
          </cell>
          <cell r="I1377" t="str">
            <v>HZK</v>
          </cell>
          <cell r="J1377">
            <v>36.6</v>
          </cell>
          <cell r="N1377" t="e">
            <v>#DIV/0!</v>
          </cell>
        </row>
        <row r="1378">
          <cell r="E1378" t="str">
            <v>HGC-Lib-2451481</v>
          </cell>
          <cell r="F1378" t="str">
            <v>LD240617O-3105B</v>
          </cell>
          <cell r="G1378">
            <v>10</v>
          </cell>
          <cell r="H1378" t="str">
            <v>DNA宏基因组文库</v>
          </cell>
          <cell r="I1378" t="str">
            <v>HZK</v>
          </cell>
          <cell r="J1378">
            <v>116</v>
          </cell>
          <cell r="N1378" t="e">
            <v>#DIV/0!</v>
          </cell>
        </row>
        <row r="1379">
          <cell r="E1379" t="str">
            <v>HGC-Lib-2451482</v>
          </cell>
          <cell r="F1379" t="str">
            <v>LD240617O-3106B</v>
          </cell>
          <cell r="G1379">
            <v>10</v>
          </cell>
          <cell r="H1379" t="str">
            <v>DNA宏基因组文库</v>
          </cell>
          <cell r="I1379" t="str">
            <v>HZK</v>
          </cell>
          <cell r="J1379">
            <v>112</v>
          </cell>
          <cell r="N1379" t="e">
            <v>#DIV/0!</v>
          </cell>
        </row>
        <row r="1380">
          <cell r="E1380" t="str">
            <v>HGC-Lib-2451483</v>
          </cell>
          <cell r="F1380" t="str">
            <v>LD240617O-3107B</v>
          </cell>
          <cell r="G1380">
            <v>10</v>
          </cell>
          <cell r="H1380" t="str">
            <v>DNA宏基因组文库</v>
          </cell>
          <cell r="I1380" t="str">
            <v>HZK</v>
          </cell>
          <cell r="J1380">
            <v>90.2</v>
          </cell>
          <cell r="N1380" t="e">
            <v>#DIV/0!</v>
          </cell>
        </row>
        <row r="1381">
          <cell r="E1381" t="str">
            <v>HGC-Lib-2451484</v>
          </cell>
          <cell r="F1381" t="str">
            <v>LD240617O-3108B</v>
          </cell>
          <cell r="G1381">
            <v>10</v>
          </cell>
          <cell r="H1381" t="str">
            <v>DNA宏基因组文库</v>
          </cell>
          <cell r="I1381" t="str">
            <v>HZK</v>
          </cell>
          <cell r="J1381">
            <v>114</v>
          </cell>
          <cell r="N1381" t="e">
            <v>#DIV/0!</v>
          </cell>
        </row>
        <row r="1382">
          <cell r="E1382" t="str">
            <v>HGC-Lib-2451485</v>
          </cell>
          <cell r="F1382" t="str">
            <v>LD240617O-3109B</v>
          </cell>
          <cell r="G1382">
            <v>10</v>
          </cell>
          <cell r="H1382" t="str">
            <v>DNA宏基因组文库</v>
          </cell>
          <cell r="I1382" t="str">
            <v>HZK</v>
          </cell>
          <cell r="J1382">
            <v>92.8</v>
          </cell>
          <cell r="N1382" t="e">
            <v>#DIV/0!</v>
          </cell>
        </row>
        <row r="1383">
          <cell r="E1383" t="str">
            <v>HGC-Lib-2451486</v>
          </cell>
          <cell r="F1383" t="str">
            <v>LD240617O-3110B</v>
          </cell>
          <cell r="G1383">
            <v>10</v>
          </cell>
          <cell r="H1383" t="str">
            <v>DNA宏基因组文库</v>
          </cell>
          <cell r="I1383" t="str">
            <v>HZK</v>
          </cell>
          <cell r="J1383">
            <v>42.4</v>
          </cell>
          <cell r="N1383" t="e">
            <v>#DIV/0!</v>
          </cell>
        </row>
        <row r="1384">
          <cell r="E1384" t="str">
            <v>HGC-Lib-2451487</v>
          </cell>
          <cell r="F1384" t="str">
            <v>LD240606D-0199A</v>
          </cell>
          <cell r="G1384">
            <v>10</v>
          </cell>
          <cell r="H1384" t="str">
            <v>DNA宏基因组文库</v>
          </cell>
          <cell r="I1384" t="str">
            <v>HZK</v>
          </cell>
          <cell r="J1384">
            <v>45</v>
          </cell>
          <cell r="N1384" t="e">
            <v>#DIV/0!</v>
          </cell>
        </row>
        <row r="1385">
          <cell r="E1385" t="str">
            <v>HGC-Lib-2451488</v>
          </cell>
          <cell r="F1385" t="str">
            <v>LD240606D-0200A</v>
          </cell>
          <cell r="G1385">
            <v>10</v>
          </cell>
          <cell r="H1385" t="str">
            <v>DNA宏基因组文库</v>
          </cell>
          <cell r="I1385" t="str">
            <v>HZK</v>
          </cell>
          <cell r="J1385">
            <v>19.600000000000001</v>
          </cell>
          <cell r="N1385" t="e">
            <v>#DIV/0!</v>
          </cell>
        </row>
        <row r="1386">
          <cell r="E1386" t="str">
            <v>HGC-Lib-2451489</v>
          </cell>
          <cell r="F1386" t="str">
            <v>LD240606D-0201A</v>
          </cell>
          <cell r="G1386">
            <v>10</v>
          </cell>
          <cell r="H1386" t="str">
            <v>DNA宏基因组文库</v>
          </cell>
          <cell r="I1386" t="str">
            <v>HZK</v>
          </cell>
          <cell r="J1386">
            <v>23.4</v>
          </cell>
          <cell r="N1386" t="e">
            <v>#DIV/0!</v>
          </cell>
        </row>
        <row r="1387">
          <cell r="E1387" t="str">
            <v>HGC-Lib-2451490</v>
          </cell>
          <cell r="F1387" t="str">
            <v>LD240606D-0202A</v>
          </cell>
          <cell r="G1387">
            <v>10</v>
          </cell>
          <cell r="H1387" t="str">
            <v>DNA宏基因组文库</v>
          </cell>
          <cell r="I1387" t="str">
            <v>HZK</v>
          </cell>
          <cell r="J1387">
            <v>9.1</v>
          </cell>
          <cell r="N1387" t="e">
            <v>#DIV/0!</v>
          </cell>
        </row>
        <row r="1388">
          <cell r="E1388" t="str">
            <v>HGC-Lib-2451491</v>
          </cell>
          <cell r="F1388" t="str">
            <v>LD240606D-0203A</v>
          </cell>
          <cell r="G1388">
            <v>10</v>
          </cell>
          <cell r="H1388" t="str">
            <v>DNA宏基因组文库</v>
          </cell>
          <cell r="I1388" t="str">
            <v>HZK</v>
          </cell>
          <cell r="J1388">
            <v>5.98</v>
          </cell>
          <cell r="N1388" t="e">
            <v>#DIV/0!</v>
          </cell>
        </row>
        <row r="1389">
          <cell r="E1389" t="str">
            <v>HGC-Lib-2451492</v>
          </cell>
          <cell r="F1389" t="str">
            <v>LD240606D-0204A</v>
          </cell>
          <cell r="G1389">
            <v>10</v>
          </cell>
          <cell r="H1389" t="str">
            <v>DNA宏基因组文库</v>
          </cell>
          <cell r="I1389" t="str">
            <v>HZK</v>
          </cell>
          <cell r="J1389">
            <v>64.400000000000006</v>
          </cell>
          <cell r="N1389" t="e">
            <v>#DIV/0!</v>
          </cell>
        </row>
        <row r="1390">
          <cell r="E1390" t="str">
            <v>HGC-Lib-2451493</v>
          </cell>
          <cell r="F1390" t="str">
            <v>LD240606D-0205A</v>
          </cell>
          <cell r="G1390">
            <v>10</v>
          </cell>
          <cell r="H1390" t="str">
            <v>DNA宏基因组文库</v>
          </cell>
          <cell r="I1390" t="str">
            <v>HZK</v>
          </cell>
          <cell r="J1390">
            <v>61</v>
          </cell>
          <cell r="N1390" t="e">
            <v>#DIV/0!</v>
          </cell>
        </row>
        <row r="1391">
          <cell r="E1391" t="str">
            <v>HGC-Lib-2451494</v>
          </cell>
          <cell r="F1391" t="str">
            <v>LD240606D-0206A</v>
          </cell>
          <cell r="G1391">
            <v>10</v>
          </cell>
          <cell r="H1391" t="str">
            <v>DNA宏基因组文库</v>
          </cell>
          <cell r="I1391" t="str">
            <v>HZK</v>
          </cell>
          <cell r="J1391">
            <v>41.2</v>
          </cell>
          <cell r="N1391" t="e">
            <v>#DIV/0!</v>
          </cell>
        </row>
        <row r="1392">
          <cell r="E1392" t="str">
            <v>HGC-Lib-2451495</v>
          </cell>
          <cell r="F1392" t="str">
            <v>LD240606D-0207A</v>
          </cell>
          <cell r="G1392">
            <v>10</v>
          </cell>
          <cell r="H1392" t="str">
            <v>DNA宏基因组文库</v>
          </cell>
          <cell r="I1392" t="str">
            <v>HZK</v>
          </cell>
          <cell r="J1392">
            <v>12.8</v>
          </cell>
          <cell r="N1392" t="e">
            <v>#DIV/0!</v>
          </cell>
        </row>
        <row r="1393">
          <cell r="E1393" t="str">
            <v>HGC-Lib-2451496</v>
          </cell>
          <cell r="F1393" t="str">
            <v>LD240617O-3111B</v>
          </cell>
          <cell r="G1393">
            <v>10</v>
          </cell>
          <cell r="H1393" t="str">
            <v>DNA宏基因组文库</v>
          </cell>
          <cell r="I1393" t="str">
            <v>HZK</v>
          </cell>
          <cell r="J1393">
            <v>118</v>
          </cell>
          <cell r="N1393" t="e">
            <v>#DIV/0!</v>
          </cell>
        </row>
        <row r="1394">
          <cell r="E1394" t="str">
            <v>HGC-Lib-2451497</v>
          </cell>
          <cell r="F1394" t="str">
            <v>LD240619D-1391B</v>
          </cell>
          <cell r="G1394">
            <v>50</v>
          </cell>
          <cell r="H1394" t="str">
            <v>DNA宏基因组文库</v>
          </cell>
          <cell r="I1394" t="str">
            <v>HZK</v>
          </cell>
          <cell r="J1394">
            <v>81.8</v>
          </cell>
          <cell r="N1394" t="e">
            <v>#DIV/0!</v>
          </cell>
        </row>
        <row r="1395">
          <cell r="E1395" t="str">
            <v>HGC-Lib-2451498</v>
          </cell>
          <cell r="F1395" t="str">
            <v>LD240619D-1392B</v>
          </cell>
          <cell r="G1395">
            <v>50</v>
          </cell>
          <cell r="H1395" t="str">
            <v>DNA宏基因组文库</v>
          </cell>
          <cell r="I1395" t="str">
            <v>HZK</v>
          </cell>
          <cell r="J1395">
            <v>51.4</v>
          </cell>
          <cell r="N1395" t="e">
            <v>#DIV/0!</v>
          </cell>
        </row>
        <row r="1396">
          <cell r="E1396" t="str">
            <v>HGC-Lib-2451499</v>
          </cell>
          <cell r="F1396" t="str">
            <v>LD240619D-1393B</v>
          </cell>
          <cell r="G1396">
            <v>5</v>
          </cell>
          <cell r="H1396" t="str">
            <v>DNA宏基因组文库</v>
          </cell>
          <cell r="I1396" t="str">
            <v>HZK</v>
          </cell>
          <cell r="J1396">
            <v>34.200000000000003</v>
          </cell>
          <cell r="N1396" t="e">
            <v>#DIV/0!</v>
          </cell>
        </row>
        <row r="1397">
          <cell r="E1397" t="str">
            <v>HGC-Lib-2451500</v>
          </cell>
          <cell r="F1397" t="str">
            <v>LD240619D-1394B</v>
          </cell>
          <cell r="G1397">
            <v>5</v>
          </cell>
          <cell r="H1397" t="str">
            <v>DNA宏基因组文库</v>
          </cell>
          <cell r="I1397" t="str">
            <v>HZK</v>
          </cell>
          <cell r="J1397">
            <v>98.6</v>
          </cell>
          <cell r="N1397" t="e">
            <v>#DIV/0!</v>
          </cell>
        </row>
        <row r="1398">
          <cell r="E1398" t="str">
            <v>HGC-Lib-2451501</v>
          </cell>
          <cell r="F1398" t="str">
            <v>LD240619D-1395B</v>
          </cell>
          <cell r="G1398">
            <v>5</v>
          </cell>
          <cell r="H1398" t="str">
            <v>DNA宏基因组文库</v>
          </cell>
          <cell r="I1398" t="str">
            <v>HZK</v>
          </cell>
          <cell r="J1398">
            <v>44.2</v>
          </cell>
          <cell r="N1398" t="e">
            <v>#DIV/0!</v>
          </cell>
        </row>
        <row r="1399">
          <cell r="E1399" t="str">
            <v>HGC-Lib-2451502</v>
          </cell>
          <cell r="F1399" t="str">
            <v>LD240619D-1396B</v>
          </cell>
          <cell r="G1399">
            <v>5</v>
          </cell>
          <cell r="H1399" t="str">
            <v>DNA宏基因组文库</v>
          </cell>
          <cell r="I1399" t="str">
            <v>HZK</v>
          </cell>
          <cell r="J1399">
            <v>90</v>
          </cell>
          <cell r="N1399" t="e">
            <v>#DIV/0!</v>
          </cell>
        </row>
        <row r="1400">
          <cell r="E1400" t="str">
            <v>HGC-Lib-2451503</v>
          </cell>
          <cell r="F1400" t="str">
            <v>LD240619D-1397B</v>
          </cell>
          <cell r="G1400">
            <v>5</v>
          </cell>
          <cell r="H1400" t="str">
            <v>DNA宏基因组文库</v>
          </cell>
          <cell r="I1400" t="str">
            <v>HZK</v>
          </cell>
          <cell r="J1400">
            <v>48</v>
          </cell>
          <cell r="N1400" t="e">
            <v>#DIV/0!</v>
          </cell>
        </row>
        <row r="1401">
          <cell r="E1401" t="str">
            <v>HGC-Lib-2451504</v>
          </cell>
          <cell r="F1401" t="str">
            <v>LD240619D-1398B</v>
          </cell>
          <cell r="G1401">
            <v>5</v>
          </cell>
          <cell r="H1401" t="str">
            <v>DNA宏基因组文库</v>
          </cell>
          <cell r="I1401" t="str">
            <v>HZK</v>
          </cell>
          <cell r="J1401">
            <v>18.399999999999999</v>
          </cell>
          <cell r="N1401" t="e">
            <v>#DIV/0!</v>
          </cell>
        </row>
        <row r="1402">
          <cell r="E1402" t="str">
            <v>HGC-Lib-2451505</v>
          </cell>
          <cell r="F1402" t="str">
            <v>LD240619D-1399B</v>
          </cell>
          <cell r="G1402">
            <v>5</v>
          </cell>
          <cell r="H1402" t="str">
            <v>DNA宏基因组文库</v>
          </cell>
          <cell r="I1402" t="str">
            <v>HZK</v>
          </cell>
          <cell r="J1402">
            <v>76.8</v>
          </cell>
          <cell r="N1402" t="e">
            <v>#DIV/0!</v>
          </cell>
        </row>
        <row r="1403">
          <cell r="E1403" t="str">
            <v>HGC-Lib-2451506</v>
          </cell>
          <cell r="F1403" t="str">
            <v>LD240619D-1400B</v>
          </cell>
          <cell r="G1403">
            <v>5</v>
          </cell>
          <cell r="H1403" t="str">
            <v>DNA宏基因组文库</v>
          </cell>
          <cell r="I1403" t="str">
            <v>HZK</v>
          </cell>
          <cell r="J1403">
            <v>35.200000000000003</v>
          </cell>
          <cell r="N1403" t="e">
            <v>#DIV/0!</v>
          </cell>
        </row>
        <row r="1404">
          <cell r="E1404" t="str">
            <v>HGC-Lib-2451507</v>
          </cell>
          <cell r="F1404" t="str">
            <v>LD240619D-1401B</v>
          </cell>
          <cell r="G1404">
            <v>5</v>
          </cell>
          <cell r="H1404" t="str">
            <v>DNA宏基因组文库</v>
          </cell>
          <cell r="I1404" t="str">
            <v>HZK</v>
          </cell>
          <cell r="J1404">
            <v>61.8</v>
          </cell>
          <cell r="N1404" t="e">
            <v>#DIV/0!</v>
          </cell>
        </row>
        <row r="1405">
          <cell r="E1405" t="str">
            <v>HGC-Lib-2451508</v>
          </cell>
          <cell r="F1405" t="str">
            <v>LD240619D-1402B</v>
          </cell>
          <cell r="G1405">
            <v>5</v>
          </cell>
          <cell r="H1405" t="str">
            <v>DNA宏基因组文库</v>
          </cell>
          <cell r="I1405" t="str">
            <v>HZK</v>
          </cell>
          <cell r="J1405">
            <v>30</v>
          </cell>
          <cell r="N1405" t="e">
            <v>#DIV/0!</v>
          </cell>
        </row>
        <row r="1406">
          <cell r="E1406" t="str">
            <v>HGC-Lib-2451509</v>
          </cell>
          <cell r="F1406" t="str">
            <v>LD240619D-1403B</v>
          </cell>
          <cell r="G1406">
            <v>5</v>
          </cell>
          <cell r="H1406" t="str">
            <v>DNA宏基因组文库</v>
          </cell>
          <cell r="I1406" t="str">
            <v>HZK</v>
          </cell>
          <cell r="J1406">
            <v>47.2</v>
          </cell>
          <cell r="N1406" t="e">
            <v>#DIV/0!</v>
          </cell>
        </row>
        <row r="1407">
          <cell r="E1407" t="str">
            <v>HGC-Lib-2451510</v>
          </cell>
          <cell r="F1407" t="str">
            <v>LD240619D-1404B</v>
          </cell>
          <cell r="G1407">
            <v>5</v>
          </cell>
          <cell r="H1407" t="str">
            <v>DNA宏基因组文库</v>
          </cell>
          <cell r="I1407" t="str">
            <v>HZK</v>
          </cell>
          <cell r="J1407">
            <v>85.6</v>
          </cell>
          <cell r="N1407" t="e">
            <v>#DIV/0!</v>
          </cell>
        </row>
        <row r="1408">
          <cell r="E1408" t="str">
            <v>HGC-Lib-2451511</v>
          </cell>
          <cell r="F1408" t="str">
            <v>LD240619D-1405B</v>
          </cell>
          <cell r="G1408">
            <v>5</v>
          </cell>
          <cell r="H1408" t="str">
            <v>DNA宏基因组文库</v>
          </cell>
          <cell r="I1408" t="str">
            <v>HZK</v>
          </cell>
          <cell r="J1408">
            <v>98</v>
          </cell>
          <cell r="N1408" t="e">
            <v>#DIV/0!</v>
          </cell>
        </row>
        <row r="1409">
          <cell r="E1409" t="str">
            <v>HGC-POOL-2451703</v>
          </cell>
          <cell r="F1409" t="str">
            <v>pool-4479-Xplus</v>
          </cell>
          <cell r="G1409" t="str">
            <v>1000</v>
          </cell>
          <cell r="H1409" t="str">
            <v>10x单细胞测序v5,100%,</v>
          </cell>
          <cell r="I1409" t="str">
            <v>WH</v>
          </cell>
          <cell r="J1409">
            <v>27.4</v>
          </cell>
          <cell r="K1409">
            <v>514</v>
          </cell>
          <cell r="N1409">
            <v>82.011373840167593</v>
          </cell>
        </row>
        <row r="1410">
          <cell r="E1410" t="str">
            <v>HGC-POOL-2451704</v>
          </cell>
          <cell r="F1410" t="str">
            <v>pool-4480-Xplus</v>
          </cell>
          <cell r="G1410" t="str">
            <v>1000</v>
          </cell>
          <cell r="H1410" t="str">
            <v>10x单细胞测序v5,100%,</v>
          </cell>
          <cell r="I1410" t="str">
            <v>WH</v>
          </cell>
          <cell r="J1410">
            <v>31.8</v>
          </cell>
          <cell r="K1410">
            <v>523</v>
          </cell>
          <cell r="N1410">
            <v>93.543168112957801</v>
          </cell>
        </row>
        <row r="1411">
          <cell r="E1411" t="str">
            <v>HGC-POOL-2451705</v>
          </cell>
          <cell r="F1411" t="str">
            <v>pool-4481-Xplus</v>
          </cell>
          <cell r="G1411" t="str">
            <v>1000</v>
          </cell>
          <cell r="H1411" t="str">
            <v>10x单细胞测序v3,100%,</v>
          </cell>
          <cell r="I1411" t="str">
            <v>WH</v>
          </cell>
          <cell r="J1411">
            <v>18.850000000000001</v>
          </cell>
          <cell r="K1411">
            <v>521</v>
          </cell>
          <cell r="N1411">
            <v>55.662188099808098</v>
          </cell>
        </row>
        <row r="1412">
          <cell r="E1412" t="str">
            <v>HGC-POOL-2451706</v>
          </cell>
          <cell r="F1412" t="str">
            <v>pool-4482-Xplus</v>
          </cell>
          <cell r="G1412" t="str">
            <v>1000</v>
          </cell>
          <cell r="H1412" t="str">
            <v>10x单细胞测序v3,100%,</v>
          </cell>
          <cell r="I1412" t="str">
            <v>WH</v>
          </cell>
          <cell r="J1412">
            <v>16.350000000000001</v>
          </cell>
          <cell r="K1412">
            <v>499</v>
          </cell>
          <cell r="N1412">
            <v>50.408509326344998</v>
          </cell>
        </row>
        <row r="1413">
          <cell r="E1413" t="str">
            <v>HGC-Lib-2451707</v>
          </cell>
          <cell r="F1413" t="str">
            <v>A0703</v>
          </cell>
          <cell r="G1413">
            <v>30</v>
          </cell>
          <cell r="H1413" t="str">
            <v>PCR产物文库</v>
          </cell>
          <cell r="I1413" t="str">
            <v>WH</v>
          </cell>
          <cell r="J1413">
            <v>14.9</v>
          </cell>
          <cell r="K1413">
            <v>450</v>
          </cell>
          <cell r="N1413">
            <v>50.940170940170901</v>
          </cell>
        </row>
        <row r="1414">
          <cell r="E1414" t="str">
            <v>HGC-Lib-2451512</v>
          </cell>
          <cell r="F1414" t="str">
            <v>HY-N0001C-RNA-zymo</v>
          </cell>
          <cell r="G1414" t="str">
            <v>包lane 1000G</v>
          </cell>
          <cell r="H1414" t="str">
            <v>宏转录组文库</v>
          </cell>
          <cell r="I1414" t="str">
            <v>HZK</v>
          </cell>
          <cell r="J1414">
            <v>2.2400000000000002</v>
          </cell>
          <cell r="K1414">
            <v>658</v>
          </cell>
          <cell r="L1414" t="str">
            <v>XCL</v>
          </cell>
          <cell r="N1414">
            <v>5.2373158756137501</v>
          </cell>
        </row>
        <row r="1415">
          <cell r="E1415" t="str">
            <v>HGC-Lib-2451513</v>
          </cell>
          <cell r="F1415" t="str">
            <v>HY-N0006C-RNA-zymo</v>
          </cell>
          <cell r="G1415" t="str">
            <v>包lane 1000G</v>
          </cell>
          <cell r="H1415" t="str">
            <v>宏转录组文库</v>
          </cell>
          <cell r="I1415" t="str">
            <v>HZK</v>
          </cell>
          <cell r="J1415">
            <v>6.94</v>
          </cell>
          <cell r="K1415">
            <v>608</v>
          </cell>
          <cell r="L1415" t="str">
            <v>XCL</v>
          </cell>
          <cell r="N1415">
            <v>17.560728744939301</v>
          </cell>
        </row>
        <row r="1416">
          <cell r="E1416" t="str">
            <v>HGC-Lib-2451514</v>
          </cell>
          <cell r="F1416" t="str">
            <v>HY-PAQ0083C-RNA-zymo</v>
          </cell>
          <cell r="G1416" t="str">
            <v>包lane 1000G</v>
          </cell>
          <cell r="H1416" t="str">
            <v>宏转录组文库</v>
          </cell>
          <cell r="I1416" t="str">
            <v>HZK</v>
          </cell>
          <cell r="J1416">
            <v>1.25</v>
          </cell>
          <cell r="K1416">
            <v>623</v>
          </cell>
          <cell r="L1416" t="str">
            <v>XCL</v>
          </cell>
          <cell r="N1416">
            <v>3.0868008396098299</v>
          </cell>
        </row>
        <row r="1417">
          <cell r="E1417" t="str">
            <v>HGC-Lib-2451515</v>
          </cell>
          <cell r="F1417" t="str">
            <v>HY-PAQ0085C-RNA-zymo</v>
          </cell>
          <cell r="G1417" t="str">
            <v>包lane 1000G</v>
          </cell>
          <cell r="H1417" t="str">
            <v>宏转录组文库</v>
          </cell>
          <cell r="I1417" t="str">
            <v>HZK</v>
          </cell>
          <cell r="J1417">
            <v>3.88</v>
          </cell>
          <cell r="K1417">
            <v>615</v>
          </cell>
          <cell r="L1417" t="str">
            <v>XCL</v>
          </cell>
          <cell r="N1417">
            <v>9.7060662914321494</v>
          </cell>
        </row>
        <row r="1418">
          <cell r="E1418" t="str">
            <v>HGC-Lib-2451516</v>
          </cell>
          <cell r="F1418" t="str">
            <v>HY-PAQ0088C-RNA-zymo</v>
          </cell>
          <cell r="G1418" t="str">
            <v>包lane 1000G</v>
          </cell>
          <cell r="H1418" t="str">
            <v>宏转录组文库</v>
          </cell>
          <cell r="I1418" t="str">
            <v>HZK</v>
          </cell>
          <cell r="J1418">
            <v>7.46</v>
          </cell>
          <cell r="K1418">
            <v>623</v>
          </cell>
          <cell r="L1418" t="str">
            <v>XCL</v>
          </cell>
          <cell r="N1418">
            <v>18.4220274107915</v>
          </cell>
        </row>
        <row r="1419">
          <cell r="E1419" t="str">
            <v>HGC-Lib-2451517</v>
          </cell>
          <cell r="F1419" t="str">
            <v>HY-PAQ0092C-RNA-zymo</v>
          </cell>
          <cell r="G1419" t="str">
            <v>包lane 1000G</v>
          </cell>
          <cell r="H1419" t="str">
            <v>宏转录组文库</v>
          </cell>
          <cell r="I1419" t="str">
            <v>HZK</v>
          </cell>
          <cell r="J1419">
            <v>1.7</v>
          </cell>
          <cell r="K1419">
            <v>579</v>
          </cell>
          <cell r="L1419" t="str">
            <v>XCL</v>
          </cell>
          <cell r="N1419">
            <v>4.5170718745848299</v>
          </cell>
        </row>
        <row r="1420">
          <cell r="E1420" t="str">
            <v>HGC-Lib-2451518</v>
          </cell>
          <cell r="F1420" t="str">
            <v>HY-PAQ0100C-RNA-zymo</v>
          </cell>
          <cell r="G1420" t="str">
            <v>包lane 1000G</v>
          </cell>
          <cell r="H1420" t="str">
            <v>宏转录组文库</v>
          </cell>
          <cell r="I1420" t="str">
            <v>HZK</v>
          </cell>
          <cell r="J1420">
            <v>2.7</v>
          </cell>
          <cell r="K1420">
            <v>440</v>
          </cell>
          <cell r="L1420" t="str">
            <v>XCL</v>
          </cell>
          <cell r="N1420">
            <v>9.44055944055944</v>
          </cell>
        </row>
        <row r="1421">
          <cell r="E1421" t="str">
            <v>HGC-Lib-2451519</v>
          </cell>
          <cell r="F1421" t="str">
            <v>HY-PAQ0081C-RNA-zymo</v>
          </cell>
          <cell r="G1421" t="str">
            <v>包lane 1000G</v>
          </cell>
          <cell r="H1421" t="str">
            <v>宏转录组文库</v>
          </cell>
          <cell r="I1421" t="str">
            <v>HZK</v>
          </cell>
          <cell r="J1421">
            <v>27.2</v>
          </cell>
          <cell r="K1421">
            <v>597</v>
          </cell>
          <cell r="L1421" t="str">
            <v>WH</v>
          </cell>
          <cell r="N1421">
            <v>70.094060043808796</v>
          </cell>
        </row>
        <row r="1422">
          <cell r="E1422" t="str">
            <v>HGC-Lib-2451520</v>
          </cell>
          <cell r="F1422" t="str">
            <v>HY-PAQ0082C-RNA-zymo</v>
          </cell>
          <cell r="G1422" t="str">
            <v>包lane 1000G</v>
          </cell>
          <cell r="H1422" t="str">
            <v>宏转录组文库</v>
          </cell>
          <cell r="I1422" t="str">
            <v>HZK</v>
          </cell>
          <cell r="J1422">
            <v>5.28</v>
          </cell>
          <cell r="K1422">
            <v>424</v>
          </cell>
          <cell r="L1422" t="str">
            <v>XCL</v>
          </cell>
          <cell r="N1422">
            <v>19.158200290275801</v>
          </cell>
        </row>
        <row r="1423">
          <cell r="E1423" t="str">
            <v>HGC-Lib-2451521</v>
          </cell>
          <cell r="F1423" t="str">
            <v>HY-PAQ0087C-RNA-zymo</v>
          </cell>
          <cell r="G1423" t="str">
            <v>包lane 1000G</v>
          </cell>
          <cell r="H1423" t="str">
            <v>宏转录组文库</v>
          </cell>
          <cell r="I1423" t="str">
            <v>HZK</v>
          </cell>
          <cell r="J1423">
            <v>19.5</v>
          </cell>
          <cell r="K1423">
            <v>611</v>
          </cell>
          <cell r="L1423" t="str">
            <v>WH</v>
          </cell>
          <cell r="N1423">
            <v>49.099836333878898</v>
          </cell>
        </row>
        <row r="1424">
          <cell r="E1424" t="str">
            <v>HGC-Lib-2451522</v>
          </cell>
          <cell r="F1424" t="str">
            <v>HY-PAQ0089C-RNA-zymo</v>
          </cell>
          <cell r="G1424" t="str">
            <v>包lane 1000G</v>
          </cell>
          <cell r="H1424" t="str">
            <v>宏转录组文库</v>
          </cell>
          <cell r="I1424" t="str">
            <v>HZK</v>
          </cell>
          <cell r="J1424">
            <v>36.4</v>
          </cell>
          <cell r="K1424">
            <v>622</v>
          </cell>
          <cell r="L1424" t="str">
            <v>WH</v>
          </cell>
          <cell r="N1424">
            <v>90.032154340836001</v>
          </cell>
        </row>
        <row r="1425">
          <cell r="E1425" t="str">
            <v>HGC-Lib-2451523</v>
          </cell>
          <cell r="F1425" t="str">
            <v>HY-PAQ0090C-RNA-zymo</v>
          </cell>
          <cell r="G1425" t="str">
            <v>包lane 1000G</v>
          </cell>
          <cell r="H1425" t="str">
            <v>宏转录组文库</v>
          </cell>
          <cell r="I1425" t="str">
            <v>HZK</v>
          </cell>
          <cell r="J1425">
            <v>3.2</v>
          </cell>
          <cell r="K1425">
            <v>595</v>
          </cell>
          <cell r="L1425" t="str">
            <v>XCL</v>
          </cell>
          <cell r="N1425">
            <v>8.2740788623141608</v>
          </cell>
        </row>
        <row r="1426">
          <cell r="E1426" t="str">
            <v>HGC-Lib-2451524</v>
          </cell>
          <cell r="F1426" t="str">
            <v>HY-N0001C-RNA-ribo</v>
          </cell>
          <cell r="G1426" t="str">
            <v>包lane 1000G</v>
          </cell>
          <cell r="H1426" t="str">
            <v>宏转录组文库</v>
          </cell>
          <cell r="I1426" t="str">
            <v>HZK</v>
          </cell>
          <cell r="J1426">
            <v>36.200000000000003</v>
          </cell>
          <cell r="K1426">
            <v>270</v>
          </cell>
          <cell r="L1426" t="str">
            <v>WH</v>
          </cell>
          <cell r="N1426">
            <v>206.26780626780601</v>
          </cell>
        </row>
        <row r="1427">
          <cell r="E1427" t="str">
            <v>HGC-Lib-2451525</v>
          </cell>
          <cell r="F1427" t="str">
            <v>HY-N0006C-RNA-ribo</v>
          </cell>
          <cell r="G1427" t="str">
            <v>包lane 1000G</v>
          </cell>
          <cell r="H1427" t="str">
            <v>宏转录组文库</v>
          </cell>
          <cell r="I1427" t="str">
            <v>HZK</v>
          </cell>
          <cell r="J1427">
            <v>33.4</v>
          </cell>
          <cell r="K1427">
            <v>270</v>
          </cell>
          <cell r="L1427" t="str">
            <v>WH</v>
          </cell>
          <cell r="N1427">
            <v>190.31339031338999</v>
          </cell>
        </row>
        <row r="1428">
          <cell r="E1428" t="str">
            <v>HGC-Lib-2451526</v>
          </cell>
          <cell r="F1428" t="str">
            <v>HY-PAQ0083C-RNA-ribo</v>
          </cell>
          <cell r="G1428" t="str">
            <v>包lane 1000G</v>
          </cell>
          <cell r="H1428" t="str">
            <v>宏转录组文库</v>
          </cell>
          <cell r="I1428" t="str">
            <v>HZK</v>
          </cell>
          <cell r="J1428">
            <v>24.2</v>
          </cell>
          <cell r="K1428">
            <v>247</v>
          </cell>
          <cell r="L1428" t="str">
            <v>WH</v>
          </cell>
          <cell r="N1428">
            <v>150.73185923388399</v>
          </cell>
        </row>
        <row r="1429">
          <cell r="E1429" t="str">
            <v>HGC-Lib-2451527</v>
          </cell>
          <cell r="F1429" t="str">
            <v>HY-PAQ0085C-RNA-ribo</v>
          </cell>
          <cell r="G1429" t="str">
            <v>包lane 1000G</v>
          </cell>
          <cell r="H1429" t="str">
            <v>宏转录组文库</v>
          </cell>
          <cell r="I1429" t="str">
            <v>HZK</v>
          </cell>
          <cell r="J1429">
            <v>29</v>
          </cell>
          <cell r="K1429">
            <v>278</v>
          </cell>
          <cell r="L1429" t="str">
            <v>WH</v>
          </cell>
          <cell r="N1429">
            <v>160.486995019369</v>
          </cell>
        </row>
        <row r="1430">
          <cell r="E1430" t="str">
            <v>HGC-Lib-2451528</v>
          </cell>
          <cell r="F1430" t="str">
            <v>HY-PAQ0088C-RNA-ribo</v>
          </cell>
          <cell r="G1430" t="str">
            <v>包lane 1000G</v>
          </cell>
          <cell r="H1430" t="str">
            <v>宏转录组文库</v>
          </cell>
          <cell r="I1430" t="str">
            <v>HZK</v>
          </cell>
          <cell r="J1430">
            <v>34.4</v>
          </cell>
          <cell r="K1430">
            <v>271</v>
          </cell>
          <cell r="L1430" t="str">
            <v>WH</v>
          </cell>
          <cell r="N1430">
            <v>195.28810672722099</v>
          </cell>
        </row>
        <row r="1431">
          <cell r="E1431" t="str">
            <v>HGC-Lib-2451529</v>
          </cell>
          <cell r="F1431" t="str">
            <v>HY-PAQ0092C-RNA-ribo</v>
          </cell>
          <cell r="G1431" t="str">
            <v>包lane 1000G</v>
          </cell>
          <cell r="H1431" t="str">
            <v>宏转录组文库</v>
          </cell>
          <cell r="I1431" t="str">
            <v>HZK</v>
          </cell>
          <cell r="J1431">
            <v>21.7</v>
          </cell>
          <cell r="K1431">
            <v>271</v>
          </cell>
          <cell r="L1431" t="str">
            <v>WH</v>
          </cell>
          <cell r="N1431">
            <v>123.190462673857</v>
          </cell>
        </row>
        <row r="1432">
          <cell r="E1432" t="str">
            <v>HGC-Lib-2451530</v>
          </cell>
          <cell r="F1432" t="str">
            <v>HY-PAQ0100C-RNA-ribo</v>
          </cell>
          <cell r="G1432" t="str">
            <v>包lane 1000G</v>
          </cell>
          <cell r="H1432" t="str">
            <v>宏转录组文库</v>
          </cell>
          <cell r="I1432" t="str">
            <v>HZK</v>
          </cell>
          <cell r="J1432">
            <v>43</v>
          </cell>
          <cell r="K1432">
            <v>291</v>
          </cell>
          <cell r="L1432" t="str">
            <v>WH</v>
          </cell>
          <cell r="N1432">
            <v>227.33280465239201</v>
          </cell>
        </row>
        <row r="1433">
          <cell r="E1433" t="str">
            <v>HGC-Lib-2451531</v>
          </cell>
          <cell r="F1433" t="str">
            <v>HY-PAQ0081C-RNA-ribo</v>
          </cell>
          <cell r="G1433" t="str">
            <v>包lane 1000G</v>
          </cell>
          <cell r="H1433" t="str">
            <v>宏转录组文库</v>
          </cell>
          <cell r="I1433" t="str">
            <v>HZK</v>
          </cell>
          <cell r="J1433">
            <v>120</v>
          </cell>
          <cell r="K1433">
            <v>320</v>
          </cell>
          <cell r="L1433" t="str">
            <v>WH</v>
          </cell>
          <cell r="N1433">
            <v>576.92307692307702</v>
          </cell>
        </row>
        <row r="1434">
          <cell r="E1434" t="str">
            <v>HGC-Lib-2451532</v>
          </cell>
          <cell r="F1434" t="str">
            <v>HY-PAQ0082C-RNA-ribo</v>
          </cell>
          <cell r="G1434" t="str">
            <v>包lane 1000G</v>
          </cell>
          <cell r="H1434" t="str">
            <v>宏转录组文库</v>
          </cell>
          <cell r="I1434" t="str">
            <v>HZK</v>
          </cell>
          <cell r="J1434">
            <v>44.4</v>
          </cell>
          <cell r="K1434">
            <v>293</v>
          </cell>
          <cell r="L1434" t="str">
            <v>WH</v>
          </cell>
          <cell r="N1434">
            <v>233.13205565765301</v>
          </cell>
        </row>
        <row r="1435">
          <cell r="E1435" t="str">
            <v>HGC-Lib-2451533</v>
          </cell>
          <cell r="F1435" t="str">
            <v>HY-PAQ0087C-RNA-ribo</v>
          </cell>
          <cell r="G1435" t="str">
            <v>包lane 1000G</v>
          </cell>
          <cell r="H1435" t="str">
            <v>宏转录组文库</v>
          </cell>
          <cell r="I1435" t="str">
            <v>HZK</v>
          </cell>
          <cell r="J1435">
            <v>64.599999999999994</v>
          </cell>
          <cell r="K1435">
            <v>316</v>
          </cell>
          <cell r="L1435" t="str">
            <v>WH</v>
          </cell>
          <cell r="N1435">
            <v>314.508276533593</v>
          </cell>
        </row>
        <row r="1436">
          <cell r="E1436" t="str">
            <v>HGC-Lib-2451534</v>
          </cell>
          <cell r="F1436" t="str">
            <v>HY-PAQ0089C-RNA-ribo</v>
          </cell>
          <cell r="G1436" t="str">
            <v>包lane 1000G</v>
          </cell>
          <cell r="H1436" t="str">
            <v>宏转录组文库</v>
          </cell>
          <cell r="I1436" t="str">
            <v>HZK</v>
          </cell>
          <cell r="J1436">
            <v>80.400000000000006</v>
          </cell>
          <cell r="K1436">
            <v>346</v>
          </cell>
          <cell r="L1436" t="str">
            <v>WH</v>
          </cell>
          <cell r="N1436">
            <v>357.49221876389498</v>
          </cell>
        </row>
        <row r="1437">
          <cell r="E1437" t="str">
            <v>HGC-Lib-2451535</v>
          </cell>
          <cell r="F1437" t="str">
            <v>HY-PAQ0090C-RNA-ribo</v>
          </cell>
          <cell r="G1437" t="str">
            <v>包lane 1000G</v>
          </cell>
          <cell r="H1437" t="str">
            <v>宏转录组文库</v>
          </cell>
          <cell r="I1437" t="str">
            <v>HZK</v>
          </cell>
          <cell r="J1437">
            <v>24.8</v>
          </cell>
          <cell r="K1437">
            <v>304</v>
          </cell>
          <cell r="L1437" t="str">
            <v>WH</v>
          </cell>
          <cell r="N1437">
            <v>125.506072874494</v>
          </cell>
        </row>
        <row r="1438">
          <cell r="E1438" t="str">
            <v>HGC-Lib-2451536</v>
          </cell>
          <cell r="F1438" t="str">
            <v>HY-N0001C-RNA-H</v>
          </cell>
          <cell r="G1438" t="str">
            <v>包lane 1000G</v>
          </cell>
          <cell r="H1438" t="str">
            <v>宏转录组文库</v>
          </cell>
          <cell r="I1438" t="str">
            <v>HZK</v>
          </cell>
          <cell r="J1438">
            <v>0.27400000000000002</v>
          </cell>
          <cell r="K1438">
            <v>453</v>
          </cell>
          <cell r="L1438" t="str">
            <v>XCL</v>
          </cell>
          <cell r="N1438">
            <v>0.93054848021735403</v>
          </cell>
        </row>
        <row r="1439">
          <cell r="E1439" t="str">
            <v>HGC-Lib-2451537</v>
          </cell>
          <cell r="F1439" t="str">
            <v>HY-N0006C-RNA-H</v>
          </cell>
          <cell r="G1439" t="str">
            <v>包lane 1000G</v>
          </cell>
          <cell r="H1439" t="str">
            <v>宏转录组文库</v>
          </cell>
          <cell r="I1439" t="str">
            <v>HZK</v>
          </cell>
          <cell r="J1439">
            <v>1.24</v>
          </cell>
          <cell r="K1439">
            <v>545</v>
          </cell>
          <cell r="L1439" t="str">
            <v>XCL</v>
          </cell>
          <cell r="N1439">
            <v>3.5003528581510199</v>
          </cell>
        </row>
        <row r="1440">
          <cell r="E1440" t="str">
            <v>HGC-Lib-2451538</v>
          </cell>
          <cell r="F1440" t="str">
            <v>HY-PAQ0083C-RNA-H</v>
          </cell>
          <cell r="G1440" t="str">
            <v>包lane 1000G</v>
          </cell>
          <cell r="H1440" t="str">
            <v>宏转录组文库</v>
          </cell>
          <cell r="I1440" t="str">
            <v>HZK</v>
          </cell>
          <cell r="J1440">
            <v>0.44600000000000001</v>
          </cell>
          <cell r="K1440">
            <v>422</v>
          </cell>
          <cell r="L1440" t="str">
            <v>XCL</v>
          </cell>
          <cell r="N1440">
            <v>1.6259569814072199</v>
          </cell>
        </row>
        <row r="1441">
          <cell r="E1441" t="str">
            <v>HGC-Lib-2451539</v>
          </cell>
          <cell r="F1441" t="str">
            <v>HY-PAQ0085C-RNA-H</v>
          </cell>
          <cell r="G1441" t="str">
            <v>包lane 1000G</v>
          </cell>
          <cell r="H1441" t="str">
            <v>宏转录组文库</v>
          </cell>
          <cell r="I1441" t="str">
            <v>HZK</v>
          </cell>
          <cell r="J1441">
            <v>3.8</v>
          </cell>
          <cell r="K1441">
            <v>409</v>
          </cell>
          <cell r="L1441" t="str">
            <v>XCL</v>
          </cell>
          <cell r="N1441">
            <v>14.2937746849727</v>
          </cell>
        </row>
        <row r="1442">
          <cell r="E1442" t="str">
            <v>HGC-Lib-2451540</v>
          </cell>
          <cell r="F1442" t="str">
            <v>HY-PAQ0088C-RNA-H</v>
          </cell>
          <cell r="G1442" t="str">
            <v>包lane 1000G</v>
          </cell>
          <cell r="H1442" t="str">
            <v>宏转录组文库</v>
          </cell>
          <cell r="I1442" t="str">
            <v>HZK</v>
          </cell>
          <cell r="J1442">
            <v>5.98</v>
          </cell>
          <cell r="K1442">
            <v>412</v>
          </cell>
          <cell r="L1442" t="str">
            <v>XCL</v>
          </cell>
          <cell r="N1442">
            <v>22.330097087378601</v>
          </cell>
        </row>
        <row r="1443">
          <cell r="E1443" t="str">
            <v>HGC-Lib-2451541</v>
          </cell>
          <cell r="F1443" t="str">
            <v>HY-PAQ0092C-RNA-H</v>
          </cell>
          <cell r="G1443" t="str">
            <v>包lane 1000G</v>
          </cell>
          <cell r="H1443" t="str">
            <v>宏转录组文库</v>
          </cell>
          <cell r="I1443" t="str">
            <v>HZK</v>
          </cell>
          <cell r="J1443">
            <v>0.54600000000000004</v>
          </cell>
          <cell r="K1443">
            <v>421</v>
          </cell>
          <cell r="L1443" t="str">
            <v>XCL</v>
          </cell>
          <cell r="N1443">
            <v>1.99524940617577</v>
          </cell>
        </row>
        <row r="1444">
          <cell r="E1444" t="str">
            <v>HGC-Lib-2451542</v>
          </cell>
          <cell r="F1444" t="str">
            <v>HY-PAQ0100C-RNA-H</v>
          </cell>
          <cell r="G1444" t="str">
            <v>包lane 1000G</v>
          </cell>
          <cell r="H1444" t="str">
            <v>宏转录组文库</v>
          </cell>
          <cell r="I1444" t="str">
            <v>HZK</v>
          </cell>
          <cell r="J1444">
            <v>2.66</v>
          </cell>
          <cell r="K1444">
            <v>433</v>
          </cell>
          <cell r="L1444" t="str">
            <v>XCL</v>
          </cell>
          <cell r="N1444">
            <v>9.4510570261147606</v>
          </cell>
        </row>
        <row r="1445">
          <cell r="E1445" t="str">
            <v>HGC-Lib-2451543</v>
          </cell>
          <cell r="F1445" t="str">
            <v>HY-PAQ0081C-RNA-H</v>
          </cell>
          <cell r="G1445" t="str">
            <v>包lane 1000G</v>
          </cell>
          <cell r="H1445" t="str">
            <v>宏转录组文库</v>
          </cell>
          <cell r="I1445" t="str">
            <v>HZK</v>
          </cell>
          <cell r="J1445">
            <v>2.54</v>
          </cell>
          <cell r="K1445">
            <v>699</v>
          </cell>
          <cell r="L1445" t="str">
            <v>XCL</v>
          </cell>
          <cell r="N1445">
            <v>5.5904038736656796</v>
          </cell>
        </row>
        <row r="1446">
          <cell r="E1446" t="str">
            <v>HGC-Lib-2451544</v>
          </cell>
          <cell r="F1446" t="str">
            <v>HY-PAQ0082C-RNA-H</v>
          </cell>
          <cell r="G1446" t="str">
            <v>包lane 1000G</v>
          </cell>
          <cell r="H1446" t="str">
            <v>宏转录组文库</v>
          </cell>
          <cell r="I1446" t="str">
            <v>HZK</v>
          </cell>
          <cell r="J1446">
            <v>3.06</v>
          </cell>
          <cell r="K1446">
            <v>431</v>
          </cell>
          <cell r="L1446" t="str">
            <v>XCL</v>
          </cell>
          <cell r="N1446">
            <v>10.9227199714439</v>
          </cell>
        </row>
        <row r="1447">
          <cell r="E1447" t="str">
            <v>HGC-Lib-2451545</v>
          </cell>
          <cell r="F1447" t="str">
            <v>HY-PAQ0087C-RNA-H</v>
          </cell>
          <cell r="G1447" t="str">
            <v>包lane 1000G</v>
          </cell>
          <cell r="H1447" t="str">
            <v>宏转录组文库</v>
          </cell>
          <cell r="I1447" t="str">
            <v>HZK</v>
          </cell>
          <cell r="J1447">
            <v>0.99199999999999999</v>
          </cell>
          <cell r="K1447">
            <v>422</v>
          </cell>
          <cell r="L1447" t="str">
            <v>XCL</v>
          </cell>
          <cell r="N1447">
            <v>3.6164783084214398</v>
          </cell>
        </row>
        <row r="1448">
          <cell r="E1448" t="str">
            <v>HGC-Lib-2451546</v>
          </cell>
          <cell r="F1448" t="str">
            <v>HY-PAQ0089C-RNA-H</v>
          </cell>
          <cell r="G1448" t="str">
            <v>包lane 1000G</v>
          </cell>
          <cell r="H1448" t="str">
            <v>宏转录组文库</v>
          </cell>
          <cell r="I1448" t="str">
            <v>HZK</v>
          </cell>
          <cell r="J1448">
            <v>3.38</v>
          </cell>
          <cell r="K1448">
            <v>461</v>
          </cell>
          <cell r="L1448" t="str">
            <v>XCL</v>
          </cell>
          <cell r="N1448">
            <v>11.279826464208201</v>
          </cell>
        </row>
        <row r="1449">
          <cell r="E1449" t="str">
            <v>HGC-Lib-2451547</v>
          </cell>
          <cell r="F1449" t="str">
            <v>HY-PAQ0090C-RNA-H</v>
          </cell>
          <cell r="G1449" t="str">
            <v>包lane 1000G</v>
          </cell>
          <cell r="H1449" t="str">
            <v>宏转录组文库</v>
          </cell>
          <cell r="I1449" t="str">
            <v>HZK</v>
          </cell>
          <cell r="J1449">
            <v>1.03</v>
          </cell>
          <cell r="K1449">
            <v>452</v>
          </cell>
          <cell r="L1449" t="str">
            <v>XCL</v>
          </cell>
          <cell r="N1449">
            <v>3.5057862491490801</v>
          </cell>
        </row>
        <row r="1450">
          <cell r="E1450" t="str">
            <v>HGC-Lib-2451548</v>
          </cell>
          <cell r="F1450" t="str">
            <v>HY-N0001C-RNA-M</v>
          </cell>
          <cell r="G1450" t="str">
            <v>包lane 1000G</v>
          </cell>
          <cell r="H1450" t="str">
            <v>宏转录组文库</v>
          </cell>
          <cell r="I1450" t="str">
            <v>HZK</v>
          </cell>
          <cell r="J1450">
            <v>2.86</v>
          </cell>
          <cell r="K1450">
            <v>296</v>
          </cell>
          <cell r="L1450" t="str">
            <v>XCL</v>
          </cell>
          <cell r="N1450">
            <v>14.8648648648649</v>
          </cell>
        </row>
        <row r="1451">
          <cell r="E1451" t="str">
            <v>HGC-Lib-2451549</v>
          </cell>
          <cell r="F1451" t="str">
            <v>HY-N0006C-RNA-M</v>
          </cell>
          <cell r="G1451" t="str">
            <v>包lane 1000G</v>
          </cell>
          <cell r="H1451" t="str">
            <v>宏转录组文库</v>
          </cell>
          <cell r="I1451" t="str">
            <v>HZK</v>
          </cell>
          <cell r="J1451">
            <v>22.8</v>
          </cell>
          <cell r="K1451">
            <v>311</v>
          </cell>
          <cell r="L1451" t="str">
            <v>WH</v>
          </cell>
          <cell r="N1451">
            <v>112.787534009399</v>
          </cell>
        </row>
        <row r="1452">
          <cell r="E1452" t="str">
            <v>HGC-Lib-2451550</v>
          </cell>
          <cell r="F1452" t="str">
            <v>HY-PAQ0083C-RNA-M</v>
          </cell>
          <cell r="G1452" t="str">
            <v>包lane 1000G</v>
          </cell>
          <cell r="H1452" t="str">
            <v>宏转录组文库</v>
          </cell>
          <cell r="I1452" t="str">
            <v>HZK</v>
          </cell>
          <cell r="J1452">
            <v>4.04</v>
          </cell>
          <cell r="K1452">
            <v>321</v>
          </cell>
          <cell r="L1452" t="str">
            <v>XCL</v>
          </cell>
          <cell r="N1452">
            <v>19.3625688952792</v>
          </cell>
        </row>
        <row r="1453">
          <cell r="E1453" t="str">
            <v>HGC-Lib-2451551</v>
          </cell>
          <cell r="F1453" t="str">
            <v>HY-PAQ0085C-RNA-M</v>
          </cell>
          <cell r="G1453" t="str">
            <v>包lane 1000G</v>
          </cell>
          <cell r="H1453" t="str">
            <v>宏转录组文库</v>
          </cell>
          <cell r="I1453" t="str">
            <v>HZK</v>
          </cell>
          <cell r="J1453">
            <v>11</v>
          </cell>
          <cell r="K1453">
            <v>318</v>
          </cell>
          <cell r="L1453" t="str">
            <v>WH</v>
          </cell>
          <cell r="N1453">
            <v>53.217223028543799</v>
          </cell>
        </row>
        <row r="1454">
          <cell r="E1454" t="str">
            <v>HGC-Lib-2451552</v>
          </cell>
          <cell r="F1454" t="str">
            <v>HY-PAQ0088C-RNA-M</v>
          </cell>
          <cell r="G1454" t="str">
            <v>包lane 1000G</v>
          </cell>
          <cell r="H1454" t="str">
            <v>宏转录组文库</v>
          </cell>
          <cell r="I1454" t="str">
            <v>HZK</v>
          </cell>
          <cell r="J1454">
            <v>5.94</v>
          </cell>
          <cell r="K1454">
            <v>668</v>
          </cell>
          <cell r="L1454" t="str">
            <v>XCL</v>
          </cell>
          <cell r="N1454">
            <v>13.6803316444035</v>
          </cell>
        </row>
        <row r="1455">
          <cell r="E1455" t="str">
            <v>HGC-Lib-2451553</v>
          </cell>
          <cell r="F1455" t="str">
            <v>HY-PAQ0092C-RNA-M</v>
          </cell>
          <cell r="G1455" t="str">
            <v>包lane 1000G</v>
          </cell>
          <cell r="H1455" t="str">
            <v>宏转录组文库</v>
          </cell>
          <cell r="I1455" t="str">
            <v>HZK</v>
          </cell>
          <cell r="J1455">
            <v>5.22</v>
          </cell>
          <cell r="K1455">
            <v>314</v>
          </cell>
          <cell r="L1455" t="str">
            <v>XCL</v>
          </cell>
          <cell r="N1455">
            <v>25.575698187163201</v>
          </cell>
        </row>
        <row r="1456">
          <cell r="E1456" t="str">
            <v>HGC-Lib-2451554</v>
          </cell>
          <cell r="F1456" t="str">
            <v>HY-PAQ0100C-RNA-M</v>
          </cell>
          <cell r="G1456" t="str">
            <v>包lane 1000G</v>
          </cell>
          <cell r="H1456" t="str">
            <v>宏转录组文库</v>
          </cell>
          <cell r="I1456" t="str">
            <v>HZK</v>
          </cell>
          <cell r="J1456">
            <v>13.5</v>
          </cell>
          <cell r="K1456">
            <v>285</v>
          </cell>
          <cell r="L1456" t="str">
            <v>WH</v>
          </cell>
          <cell r="N1456">
            <v>72.874493927125499</v>
          </cell>
        </row>
        <row r="1457">
          <cell r="E1457" t="str">
            <v>HGC-Lib-2451555</v>
          </cell>
          <cell r="F1457" t="str">
            <v>HY-PAQ0081C-RNA-M</v>
          </cell>
          <cell r="G1457" t="str">
            <v>包lane 1000G</v>
          </cell>
          <cell r="H1457" t="str">
            <v>宏转录组文库</v>
          </cell>
          <cell r="I1457" t="str">
            <v>HZK</v>
          </cell>
          <cell r="J1457">
            <v>13</v>
          </cell>
          <cell r="K1457">
            <v>429</v>
          </cell>
          <cell r="L1457" t="str">
            <v>WH</v>
          </cell>
          <cell r="N1457">
            <v>46.620046620046601</v>
          </cell>
        </row>
        <row r="1458">
          <cell r="E1458" t="str">
            <v>HGC-Lib-2451556</v>
          </cell>
          <cell r="F1458" t="str">
            <v>HY-PAQ0082C-RNA-M</v>
          </cell>
          <cell r="G1458" t="str">
            <v>包lane 1000G</v>
          </cell>
          <cell r="H1458" t="str">
            <v>宏转录组文库</v>
          </cell>
          <cell r="I1458" t="str">
            <v>HZK</v>
          </cell>
          <cell r="J1458">
            <v>14</v>
          </cell>
          <cell r="K1458">
            <v>375</v>
          </cell>
          <cell r="L1458" t="str">
            <v>WH</v>
          </cell>
          <cell r="N1458">
            <v>57.435897435897402</v>
          </cell>
        </row>
        <row r="1459">
          <cell r="E1459" t="str">
            <v>HGC-Lib-2451557</v>
          </cell>
          <cell r="F1459" t="str">
            <v>HY-PAQ0087C-RNA-M</v>
          </cell>
          <cell r="G1459" t="str">
            <v>包lane 1000G</v>
          </cell>
          <cell r="H1459" t="str">
            <v>宏转录组文库</v>
          </cell>
          <cell r="I1459" t="str">
            <v>HZK</v>
          </cell>
          <cell r="J1459">
            <v>10.8</v>
          </cell>
          <cell r="K1459">
            <v>329</v>
          </cell>
          <cell r="L1459" t="str">
            <v>WH</v>
          </cell>
          <cell r="N1459">
            <v>50.502688800561103</v>
          </cell>
        </row>
        <row r="1460">
          <cell r="E1460" t="str">
            <v>HGC-Lib-2451558</v>
          </cell>
          <cell r="F1460" t="str">
            <v>HY-PAQ0089C-RNA-M</v>
          </cell>
          <cell r="G1460" t="str">
            <v>包lane 1000G</v>
          </cell>
          <cell r="H1460" t="str">
            <v>宏转录组文库</v>
          </cell>
          <cell r="I1460" t="str">
            <v>HZK</v>
          </cell>
          <cell r="J1460">
            <v>11.3</v>
          </cell>
          <cell r="K1460">
            <v>367</v>
          </cell>
          <cell r="L1460" t="str">
            <v>WH</v>
          </cell>
          <cell r="N1460">
            <v>47.369524208761298</v>
          </cell>
        </row>
        <row r="1461">
          <cell r="E1461" t="str">
            <v>HGC-Lib-2451559</v>
          </cell>
          <cell r="F1461" t="str">
            <v>HY-PAQ0090C-RNA-M</v>
          </cell>
          <cell r="G1461" t="str">
            <v>包lane 1000G</v>
          </cell>
          <cell r="H1461" t="str">
            <v>宏转录组文库</v>
          </cell>
          <cell r="I1461" t="str">
            <v>HZK</v>
          </cell>
          <cell r="J1461">
            <v>4.46</v>
          </cell>
          <cell r="K1461">
            <v>727</v>
          </cell>
          <cell r="L1461" t="str">
            <v>XCL</v>
          </cell>
          <cell r="N1461">
            <v>9.4381546926251207</v>
          </cell>
        </row>
        <row r="1462">
          <cell r="E1462" t="str">
            <v>HGC-Lib-2451587</v>
          </cell>
          <cell r="F1462" t="str">
            <v>N Raw none 0-1</v>
          </cell>
          <cell r="G1462">
            <v>10</v>
          </cell>
          <cell r="H1462" t="str">
            <v>ATAC-Seq文库</v>
          </cell>
          <cell r="I1462" t="str">
            <v>XCL</v>
          </cell>
          <cell r="J1462">
            <v>25.4</v>
          </cell>
          <cell r="K1462">
            <v>279</v>
          </cell>
          <cell r="L1462" t="str">
            <v>WH</v>
          </cell>
          <cell r="N1462">
            <v>140.06065618968799</v>
          </cell>
        </row>
        <row r="1463">
          <cell r="E1463" t="str">
            <v>HGC-Lib-2451588</v>
          </cell>
          <cell r="F1463" t="str">
            <v>N Raw none 0-2</v>
          </cell>
          <cell r="G1463">
            <v>10</v>
          </cell>
          <cell r="H1463" t="str">
            <v>ATAC-Seq文库</v>
          </cell>
          <cell r="I1463" t="str">
            <v>XCL</v>
          </cell>
          <cell r="J1463">
            <v>17.5</v>
          </cell>
          <cell r="K1463">
            <v>261</v>
          </cell>
          <cell r="L1463" t="str">
            <v>WH</v>
          </cell>
          <cell r="N1463">
            <v>103.153551429413</v>
          </cell>
        </row>
        <row r="1464">
          <cell r="E1464" t="str">
            <v>HGC-Lib-2451589</v>
          </cell>
          <cell r="F1464" t="str">
            <v>N Raw none 20-1</v>
          </cell>
          <cell r="G1464">
            <v>10</v>
          </cell>
          <cell r="H1464" t="str">
            <v>ATAC-Seq文库</v>
          </cell>
          <cell r="I1464" t="str">
            <v>XCL</v>
          </cell>
          <cell r="J1464">
            <v>23</v>
          </cell>
          <cell r="K1464">
            <v>271</v>
          </cell>
          <cell r="L1464" t="str">
            <v>WH</v>
          </cell>
          <cell r="N1464">
            <v>130.570536474596</v>
          </cell>
        </row>
        <row r="1465">
          <cell r="E1465" t="str">
            <v>HGC-Lib-2451590</v>
          </cell>
          <cell r="F1465" t="str">
            <v>N Raw none 20-2</v>
          </cell>
          <cell r="G1465">
            <v>10</v>
          </cell>
          <cell r="H1465" t="str">
            <v>ATAC-Seq文库</v>
          </cell>
          <cell r="I1465" t="str">
            <v>XCL</v>
          </cell>
          <cell r="J1465">
            <v>21</v>
          </cell>
          <cell r="K1465">
            <v>290</v>
          </cell>
          <cell r="L1465" t="str">
            <v>WH</v>
          </cell>
          <cell r="N1465">
            <v>111.405835543767</v>
          </cell>
        </row>
        <row r="1466">
          <cell r="E1466" t="str">
            <v>HGC-Lib-2451591</v>
          </cell>
          <cell r="F1466" t="str">
            <v>N Raw none 100-1</v>
          </cell>
          <cell r="G1466">
            <v>10</v>
          </cell>
          <cell r="H1466" t="str">
            <v>ATAC-Seq文库</v>
          </cell>
          <cell r="I1466" t="str">
            <v>XCL</v>
          </cell>
          <cell r="J1466">
            <v>20.8</v>
          </cell>
          <cell r="K1466">
            <v>308</v>
          </cell>
          <cell r="L1466" t="str">
            <v>WH</v>
          </cell>
          <cell r="N1466">
            <v>103.89610389610399</v>
          </cell>
        </row>
        <row r="1467">
          <cell r="E1467" t="str">
            <v>HGC-Lib-2451592</v>
          </cell>
          <cell r="F1467" t="str">
            <v>N Raw none 100-2</v>
          </cell>
          <cell r="G1467">
            <v>10</v>
          </cell>
          <cell r="H1467" t="str">
            <v>ATAC-Seq文库</v>
          </cell>
          <cell r="I1467" t="str">
            <v>XCL</v>
          </cell>
          <cell r="J1467">
            <v>12.8</v>
          </cell>
          <cell r="K1467">
            <v>301</v>
          </cell>
          <cell r="L1467" t="str">
            <v>WH</v>
          </cell>
          <cell r="N1467">
            <v>65.422949143879407</v>
          </cell>
        </row>
        <row r="1468">
          <cell r="E1468" t="str">
            <v>HGC-Lib-2451593</v>
          </cell>
          <cell r="F1468" t="str">
            <v>N Raw none 200-1</v>
          </cell>
          <cell r="G1468">
            <v>10</v>
          </cell>
          <cell r="H1468" t="str">
            <v>ATAC-Seq文库</v>
          </cell>
          <cell r="I1468" t="str">
            <v>XCL</v>
          </cell>
          <cell r="J1468">
            <v>19.100000000000001</v>
          </cell>
          <cell r="K1468">
            <v>519</v>
          </cell>
          <cell r="L1468" t="str">
            <v>WH</v>
          </cell>
          <cell r="N1468">
            <v>56.617756039721399</v>
          </cell>
        </row>
        <row r="1469">
          <cell r="E1469" t="str">
            <v>HGC-Lib-2451594</v>
          </cell>
          <cell r="F1469" t="str">
            <v>N Rawnone 200-2</v>
          </cell>
          <cell r="G1469">
            <v>10</v>
          </cell>
          <cell r="H1469" t="str">
            <v>ATAC-Seq文库</v>
          </cell>
          <cell r="I1469" t="str">
            <v>XCL</v>
          </cell>
          <cell r="J1469">
            <v>19.5</v>
          </cell>
          <cell r="K1469">
            <v>391</v>
          </cell>
          <cell r="L1469" t="str">
            <v>WH</v>
          </cell>
          <cell r="N1469">
            <v>76.7263427109974</v>
          </cell>
        </row>
        <row r="1470">
          <cell r="E1470" t="str">
            <v>HGC-Lib-2451595</v>
          </cell>
          <cell r="F1470" t="str">
            <v>A Raw SA 60w 0-1</v>
          </cell>
          <cell r="G1470">
            <v>10</v>
          </cell>
          <cell r="H1470" t="str">
            <v>ATAC-Seq文库</v>
          </cell>
          <cell r="I1470" t="str">
            <v>XCL</v>
          </cell>
          <cell r="J1470">
            <v>15.3</v>
          </cell>
          <cell r="K1470">
            <v>259</v>
          </cell>
          <cell r="L1470" t="str">
            <v>WH</v>
          </cell>
          <cell r="N1470">
            <v>90.882090882090907</v>
          </cell>
        </row>
        <row r="1471">
          <cell r="E1471" t="str">
            <v>HGC-Lib-2451596</v>
          </cell>
          <cell r="F1471" t="str">
            <v>A Raw SA 60w 0-2</v>
          </cell>
          <cell r="G1471">
            <v>10</v>
          </cell>
          <cell r="H1471" t="str">
            <v>ATAC-Seq文库</v>
          </cell>
          <cell r="I1471" t="str">
            <v>XCL</v>
          </cell>
          <cell r="J1471">
            <v>20</v>
          </cell>
          <cell r="K1471">
            <v>270</v>
          </cell>
          <cell r="L1471" t="str">
            <v>WH</v>
          </cell>
          <cell r="N1471">
            <v>113.960113960114</v>
          </cell>
        </row>
        <row r="1472">
          <cell r="E1472" t="str">
            <v>HGC-Lib-2451597</v>
          </cell>
          <cell r="F1472" t="str">
            <v>A Raw SA 60w 20-1</v>
          </cell>
          <cell r="G1472">
            <v>10</v>
          </cell>
          <cell r="H1472" t="str">
            <v>ATAC-Seq文库</v>
          </cell>
          <cell r="I1472" t="str">
            <v>XCL</v>
          </cell>
          <cell r="J1472">
            <v>17.2</v>
          </cell>
          <cell r="K1472">
            <v>275</v>
          </cell>
          <cell r="L1472" t="str">
            <v>WH</v>
          </cell>
          <cell r="N1472">
            <v>96.223776223776198</v>
          </cell>
        </row>
        <row r="1473">
          <cell r="E1473" t="str">
            <v>HGC-Lib-2451598</v>
          </cell>
          <cell r="F1473" t="str">
            <v>A Raw SA 60w 20-2</v>
          </cell>
          <cell r="G1473">
            <v>10</v>
          </cell>
          <cell r="H1473" t="str">
            <v>ATAC-Seq文库</v>
          </cell>
          <cell r="I1473" t="str">
            <v>XCL</v>
          </cell>
          <cell r="J1473">
            <v>19.7</v>
          </cell>
          <cell r="K1473">
            <v>271</v>
          </cell>
          <cell r="L1473" t="str">
            <v>WH</v>
          </cell>
          <cell r="N1473">
            <v>111.836502980414</v>
          </cell>
        </row>
        <row r="1474">
          <cell r="E1474" t="str">
            <v>HGC-Lib-2451599</v>
          </cell>
          <cell r="F1474" t="str">
            <v>A Raw SA 60w 100-1</v>
          </cell>
          <cell r="G1474">
            <v>10</v>
          </cell>
          <cell r="H1474" t="str">
            <v>ATAC-Seq文库</v>
          </cell>
          <cell r="I1474" t="str">
            <v>XCL</v>
          </cell>
          <cell r="J1474">
            <v>21</v>
          </cell>
          <cell r="K1474">
            <v>300</v>
          </cell>
          <cell r="L1474" t="str">
            <v>WH</v>
          </cell>
          <cell r="N1474">
            <v>107.69230769230801</v>
          </cell>
        </row>
        <row r="1475">
          <cell r="E1475" t="str">
            <v>HGC-Lib-2451600</v>
          </cell>
          <cell r="F1475" t="str">
            <v>A Raw SA 60w 100-2</v>
          </cell>
          <cell r="G1475">
            <v>10</v>
          </cell>
          <cell r="H1475" t="str">
            <v>ATAC-Seq文库</v>
          </cell>
          <cell r="I1475" t="str">
            <v>XCL</v>
          </cell>
          <cell r="J1475">
            <v>20.6</v>
          </cell>
          <cell r="K1475">
            <v>287</v>
          </cell>
          <cell r="L1475" t="str">
            <v>WH</v>
          </cell>
          <cell r="N1475">
            <v>110.426159206647</v>
          </cell>
        </row>
        <row r="1476">
          <cell r="E1476" t="str">
            <v>HGC-Lib-2451601</v>
          </cell>
          <cell r="F1476" t="str">
            <v>A Raw SA 60w 200-1</v>
          </cell>
          <cell r="G1476">
            <v>10</v>
          </cell>
          <cell r="H1476" t="str">
            <v>ATAC-Seq文库</v>
          </cell>
          <cell r="I1476" t="str">
            <v>XCL</v>
          </cell>
          <cell r="J1476">
            <v>23</v>
          </cell>
          <cell r="K1476">
            <v>506</v>
          </cell>
          <cell r="L1476" t="str">
            <v>WH</v>
          </cell>
          <cell r="N1476">
            <v>69.930069930069905</v>
          </cell>
        </row>
        <row r="1477">
          <cell r="E1477" t="str">
            <v>HGC-Lib-2451602</v>
          </cell>
          <cell r="F1477" t="str">
            <v>A Raw SA 60w 200-2</v>
          </cell>
          <cell r="G1477">
            <v>10</v>
          </cell>
          <cell r="H1477" t="str">
            <v>ATAC-Seq文库</v>
          </cell>
          <cell r="I1477" t="str">
            <v>XCL</v>
          </cell>
          <cell r="J1477">
            <v>22.4</v>
          </cell>
          <cell r="K1477">
            <v>379</v>
          </cell>
          <cell r="L1477" t="str">
            <v>WH</v>
          </cell>
          <cell r="N1477">
            <v>90.927542114877198</v>
          </cell>
        </row>
        <row r="1478">
          <cell r="E1478" t="str">
            <v>HGC-Lib-2451603</v>
          </cell>
          <cell r="F1478" t="str">
            <v>B Raw SA 6K 0-1</v>
          </cell>
          <cell r="G1478">
            <v>10</v>
          </cell>
          <cell r="H1478" t="str">
            <v>ATAC-Seq文库</v>
          </cell>
          <cell r="I1478" t="str">
            <v>XCL</v>
          </cell>
          <cell r="J1478">
            <v>24.8</v>
          </cell>
          <cell r="K1478">
            <v>259</v>
          </cell>
          <cell r="L1478" t="str">
            <v>WH</v>
          </cell>
          <cell r="N1478">
            <v>147.312147312147</v>
          </cell>
        </row>
        <row r="1479">
          <cell r="E1479" t="str">
            <v>HGC-Lib-2451604</v>
          </cell>
          <cell r="F1479" t="str">
            <v>B Raw SA 6K 0-2</v>
          </cell>
          <cell r="G1479">
            <v>10</v>
          </cell>
          <cell r="H1479" t="str">
            <v>ATAC-Seq文库</v>
          </cell>
          <cell r="I1479" t="str">
            <v>XCL</v>
          </cell>
          <cell r="J1479">
            <v>24.6</v>
          </cell>
          <cell r="K1479">
            <v>273</v>
          </cell>
          <cell r="L1479" t="str">
            <v>WH</v>
          </cell>
          <cell r="N1479">
            <v>138.63060016906201</v>
          </cell>
        </row>
        <row r="1480">
          <cell r="E1480" t="str">
            <v>HGC-Lib-2451605</v>
          </cell>
          <cell r="F1480" t="str">
            <v>B Raw SA 6w 0-1</v>
          </cell>
          <cell r="G1480">
            <v>10</v>
          </cell>
          <cell r="H1480" t="str">
            <v>ATAC-Seq文库</v>
          </cell>
          <cell r="I1480" t="str">
            <v>XCL</v>
          </cell>
          <cell r="J1480">
            <v>20.8</v>
          </cell>
          <cell r="K1480">
            <v>273</v>
          </cell>
          <cell r="L1480" t="str">
            <v>WH</v>
          </cell>
          <cell r="N1480">
            <v>117.216117216117</v>
          </cell>
        </row>
        <row r="1481">
          <cell r="E1481" t="str">
            <v>HGC-Lib-2451606</v>
          </cell>
          <cell r="F1481" t="str">
            <v>B Raw SA 6w 0-2</v>
          </cell>
          <cell r="G1481">
            <v>10</v>
          </cell>
          <cell r="H1481" t="str">
            <v>ATAC-Seq文库</v>
          </cell>
          <cell r="I1481" t="str">
            <v>XCL</v>
          </cell>
          <cell r="J1481">
            <v>16.5</v>
          </cell>
          <cell r="K1481">
            <v>285</v>
          </cell>
          <cell r="L1481" t="str">
            <v>WH</v>
          </cell>
          <cell r="N1481">
            <v>89.068825910931196</v>
          </cell>
        </row>
        <row r="1482">
          <cell r="E1482" t="str">
            <v>HGC-Lib-2451607</v>
          </cell>
          <cell r="F1482" t="str">
            <v>B Raw SA 6K 20-1</v>
          </cell>
          <cell r="G1482">
            <v>10</v>
          </cell>
          <cell r="H1482" t="str">
            <v>ATAC-Seq文库</v>
          </cell>
          <cell r="I1482" t="str">
            <v>XCL</v>
          </cell>
          <cell r="J1482">
            <v>13.4</v>
          </cell>
          <cell r="K1482">
            <v>264</v>
          </cell>
          <cell r="L1482" t="str">
            <v>WH</v>
          </cell>
          <cell r="N1482">
            <v>78.088578088578103</v>
          </cell>
        </row>
        <row r="1483">
          <cell r="E1483" t="str">
            <v>HGC-Lib-2451608</v>
          </cell>
          <cell r="F1483" t="str">
            <v>B Raw SA 6K 20-2</v>
          </cell>
          <cell r="G1483">
            <v>10</v>
          </cell>
          <cell r="H1483" t="str">
            <v>ATAC-Seq文库</v>
          </cell>
          <cell r="I1483" t="str">
            <v>XCL</v>
          </cell>
          <cell r="J1483">
            <v>15.3</v>
          </cell>
          <cell r="K1483">
            <v>264</v>
          </cell>
          <cell r="L1483" t="str">
            <v>WH</v>
          </cell>
          <cell r="N1483">
            <v>89.160839160839203</v>
          </cell>
        </row>
        <row r="1484">
          <cell r="E1484" t="str">
            <v>HGC-Lib-2451609</v>
          </cell>
          <cell r="F1484" t="str">
            <v>B Raw SA 6w 20-1</v>
          </cell>
          <cell r="G1484">
            <v>10</v>
          </cell>
          <cell r="H1484" t="str">
            <v>ATAC-Seq文库</v>
          </cell>
          <cell r="I1484" t="str">
            <v>XCL</v>
          </cell>
          <cell r="J1484">
            <v>21.4</v>
          </cell>
          <cell r="K1484">
            <v>338</v>
          </cell>
          <cell r="L1484" t="str">
            <v>WH</v>
          </cell>
          <cell r="N1484">
            <v>97.405553026854804</v>
          </cell>
        </row>
        <row r="1485">
          <cell r="E1485" t="str">
            <v>HGC-Lib-2451610</v>
          </cell>
          <cell r="F1485" t="str">
            <v>B Raw SA 6w 20-2</v>
          </cell>
          <cell r="G1485">
            <v>10</v>
          </cell>
          <cell r="H1485" t="str">
            <v>ATAC-Seq文库</v>
          </cell>
          <cell r="I1485" t="str">
            <v>XCL</v>
          </cell>
          <cell r="J1485">
            <v>20.8</v>
          </cell>
          <cell r="K1485">
            <v>254</v>
          </cell>
          <cell r="L1485" t="str">
            <v>WH</v>
          </cell>
          <cell r="N1485">
            <v>125.984251968504</v>
          </cell>
        </row>
        <row r="1486">
          <cell r="E1486" t="str">
            <v>HGC-Lib-2451611</v>
          </cell>
          <cell r="F1486" t="str">
            <v>B Raw SA 6K 100-1</v>
          </cell>
          <cell r="G1486">
            <v>10</v>
          </cell>
          <cell r="H1486" t="str">
            <v>ATAC-Seq文库</v>
          </cell>
          <cell r="I1486" t="str">
            <v>XCL</v>
          </cell>
          <cell r="J1486">
            <v>20.6</v>
          </cell>
          <cell r="K1486">
            <v>278</v>
          </cell>
          <cell r="L1486" t="str">
            <v>WH</v>
          </cell>
          <cell r="N1486">
            <v>114.001106806862</v>
          </cell>
        </row>
        <row r="1487">
          <cell r="E1487" t="str">
            <v>HGC-Lib-2451612</v>
          </cell>
          <cell r="F1487" t="str">
            <v>B Raw SA 6K 100-2</v>
          </cell>
          <cell r="G1487">
            <v>10</v>
          </cell>
          <cell r="H1487" t="str">
            <v>ATAC-Seq文库</v>
          </cell>
          <cell r="I1487" t="str">
            <v>XCL</v>
          </cell>
          <cell r="J1487">
            <v>22.8</v>
          </cell>
          <cell r="K1487">
            <v>311</v>
          </cell>
          <cell r="L1487" t="str">
            <v>WH</v>
          </cell>
          <cell r="N1487">
            <v>112.787534009399</v>
          </cell>
        </row>
        <row r="1488">
          <cell r="E1488" t="str">
            <v>HGC-Lib-2451613</v>
          </cell>
          <cell r="F1488" t="str">
            <v>B Raw SA 6w 100-1</v>
          </cell>
          <cell r="G1488">
            <v>10</v>
          </cell>
          <cell r="H1488" t="str">
            <v>ATAC-Seq文库</v>
          </cell>
          <cell r="I1488" t="str">
            <v>XCL</v>
          </cell>
          <cell r="J1488">
            <v>18.5</v>
          </cell>
          <cell r="K1488">
            <v>294</v>
          </cell>
          <cell r="L1488" t="str">
            <v>WH</v>
          </cell>
          <cell r="N1488">
            <v>96.807953950811097</v>
          </cell>
        </row>
        <row r="1489">
          <cell r="E1489" t="str">
            <v>HGC-Lib-2451614</v>
          </cell>
          <cell r="F1489" t="str">
            <v>B Raw SA 6w 100-2</v>
          </cell>
          <cell r="G1489">
            <v>10</v>
          </cell>
          <cell r="H1489" t="str">
            <v>ATAC-Seq文库</v>
          </cell>
          <cell r="I1489" t="str">
            <v>XCL</v>
          </cell>
          <cell r="J1489">
            <v>19.600000000000001</v>
          </cell>
          <cell r="K1489">
            <v>295</v>
          </cell>
          <cell r="L1489" t="str">
            <v>WH</v>
          </cell>
          <cell r="N1489">
            <v>102.216427640156</v>
          </cell>
        </row>
        <row r="1490">
          <cell r="E1490" t="str">
            <v>HGC-Lib-2451615</v>
          </cell>
          <cell r="F1490" t="str">
            <v>B Raw SA 6K 200-1</v>
          </cell>
          <cell r="G1490">
            <v>10</v>
          </cell>
          <cell r="H1490" t="str">
            <v>ATAC-Seq文库</v>
          </cell>
          <cell r="I1490" t="str">
            <v>XCL</v>
          </cell>
          <cell r="J1490">
            <v>18.399999999999999</v>
          </cell>
          <cell r="K1490">
            <v>514</v>
          </cell>
          <cell r="L1490" t="str">
            <v>WH</v>
          </cell>
          <cell r="N1490">
            <v>55.073331337922802</v>
          </cell>
        </row>
        <row r="1491">
          <cell r="E1491" t="str">
            <v>HGC-Lib-2451616</v>
          </cell>
          <cell r="F1491" t="str">
            <v>B Raw SA 6K 200-2</v>
          </cell>
          <cell r="G1491">
            <v>10</v>
          </cell>
          <cell r="H1491" t="str">
            <v>ATAC-Seq文库</v>
          </cell>
          <cell r="I1491" t="str">
            <v>XCL</v>
          </cell>
          <cell r="J1491">
            <v>16.899999999999999</v>
          </cell>
          <cell r="K1491">
            <v>566</v>
          </cell>
          <cell r="L1491" t="str">
            <v>WH</v>
          </cell>
          <cell r="N1491">
            <v>45.9363957597173</v>
          </cell>
        </row>
        <row r="1492">
          <cell r="E1492" t="str">
            <v>HGC-Lib-2451617</v>
          </cell>
          <cell r="F1492" t="str">
            <v>B Raw SA 6w 200-1</v>
          </cell>
          <cell r="G1492">
            <v>10</v>
          </cell>
          <cell r="H1492" t="str">
            <v>ATAC-Seq文库</v>
          </cell>
          <cell r="I1492" t="str">
            <v>XCL</v>
          </cell>
          <cell r="J1492">
            <v>18.600000000000001</v>
          </cell>
          <cell r="K1492">
            <v>397</v>
          </cell>
          <cell r="L1492" t="str">
            <v>WH</v>
          </cell>
          <cell r="N1492">
            <v>72.079054446812606</v>
          </cell>
        </row>
        <row r="1493">
          <cell r="E1493" t="str">
            <v>HGC-Lib-2451618</v>
          </cell>
          <cell r="F1493" t="str">
            <v>B Raw SA 6w 200-2</v>
          </cell>
          <cell r="G1493">
            <v>10</v>
          </cell>
          <cell r="H1493" t="str">
            <v>ATAC-Seq文库</v>
          </cell>
          <cell r="I1493" t="str">
            <v>XCL</v>
          </cell>
          <cell r="J1493">
            <v>22.4</v>
          </cell>
          <cell r="K1493">
            <v>515</v>
          </cell>
          <cell r="L1493" t="str">
            <v>WH</v>
          </cell>
          <cell r="N1493">
            <v>66.915608663181501</v>
          </cell>
        </row>
        <row r="1494">
          <cell r="E1494" t="str">
            <v>HGC-Lib-2451619</v>
          </cell>
          <cell r="F1494" t="str">
            <v>A8-TBnoN7-5K-0603-0702</v>
          </cell>
          <cell r="G1494">
            <v>20</v>
          </cell>
          <cell r="H1494" t="str">
            <v>10× 3'单细胞</v>
          </cell>
          <cell r="I1494" t="str">
            <v>XCL</v>
          </cell>
          <cell r="J1494">
            <v>8.42</v>
          </cell>
          <cell r="K1494">
            <v>421</v>
          </cell>
          <cell r="L1494" t="str">
            <v>XCL</v>
          </cell>
          <cell r="N1494">
            <v>30.769230769230798</v>
          </cell>
        </row>
        <row r="1495">
          <cell r="E1495" t="str">
            <v>HGC-Lib-2451620</v>
          </cell>
          <cell r="F1495" t="str">
            <v>A8-BGnoN7-5K-0603-0702</v>
          </cell>
          <cell r="G1495">
            <v>20</v>
          </cell>
          <cell r="H1495" t="str">
            <v>10× 3'单细胞</v>
          </cell>
          <cell r="I1495" t="str">
            <v>XCL</v>
          </cell>
          <cell r="J1495">
            <v>9.26</v>
          </cell>
          <cell r="K1495">
            <v>361</v>
          </cell>
          <cell r="L1495" t="str">
            <v>XCL</v>
          </cell>
          <cell r="N1495">
            <v>39.463030044747498</v>
          </cell>
        </row>
        <row r="1496">
          <cell r="E1496" t="str">
            <v>HGC-Pool-2451621</v>
          </cell>
          <cell r="F1496" t="str">
            <v>XGSZ-HiC</v>
          </cell>
          <cell r="G1496">
            <v>15</v>
          </cell>
          <cell r="H1496" t="str">
            <v>宏基因组文库</v>
          </cell>
          <cell r="I1496" t="str">
            <v>XCL</v>
          </cell>
          <cell r="J1496">
            <v>46</v>
          </cell>
          <cell r="K1496">
            <v>577</v>
          </cell>
          <cell r="L1496" t="str">
            <v>WH</v>
          </cell>
          <cell r="N1496">
            <v>122.65031329156101</v>
          </cell>
        </row>
        <row r="1497">
          <cell r="E1497" t="str">
            <v>HGC-Lib-2451634</v>
          </cell>
          <cell r="F1497" t="str">
            <v>A5-1</v>
          </cell>
          <cell r="G1497">
            <v>2</v>
          </cell>
          <cell r="H1497" t="str">
            <v>甲基化文库</v>
          </cell>
          <cell r="I1497" t="str">
            <v>XCL</v>
          </cell>
          <cell r="J1497">
            <v>3.52</v>
          </cell>
          <cell r="K1497">
            <v>363</v>
          </cell>
          <cell r="L1497" t="str">
            <v>XCL</v>
          </cell>
          <cell r="N1497">
            <v>14.9184149184149</v>
          </cell>
        </row>
        <row r="1498">
          <cell r="E1498" t="str">
            <v>HGC-Lib-2451635</v>
          </cell>
          <cell r="F1498" t="str">
            <v>A11-1</v>
          </cell>
          <cell r="G1498">
            <v>2</v>
          </cell>
          <cell r="H1498" t="str">
            <v>甲基化文库</v>
          </cell>
          <cell r="I1498" t="str">
            <v>XCL</v>
          </cell>
          <cell r="J1498">
            <v>3.74</v>
          </cell>
          <cell r="K1498">
            <v>364</v>
          </cell>
          <cell r="L1498" t="str">
            <v>XCL</v>
          </cell>
          <cell r="N1498">
            <v>15.8072696534235</v>
          </cell>
        </row>
        <row r="1499">
          <cell r="E1499" t="str">
            <v>HGC-Lib-2451636</v>
          </cell>
          <cell r="F1499" t="str">
            <v>G1-1</v>
          </cell>
          <cell r="G1499">
            <v>2</v>
          </cell>
          <cell r="H1499" t="str">
            <v>甲基化文库</v>
          </cell>
          <cell r="I1499" t="str">
            <v>XCL</v>
          </cell>
          <cell r="J1499">
            <v>3.78</v>
          </cell>
          <cell r="K1499">
            <v>454</v>
          </cell>
          <cell r="L1499" t="str">
            <v>XCL</v>
          </cell>
          <cell r="N1499">
            <v>12.809217214503599</v>
          </cell>
        </row>
        <row r="1500">
          <cell r="E1500" t="str">
            <v>HGC-Lib-2451637</v>
          </cell>
          <cell r="F1500" t="str">
            <v>G2-1</v>
          </cell>
          <cell r="G1500">
            <v>2</v>
          </cell>
          <cell r="H1500" t="str">
            <v>甲基化文库</v>
          </cell>
          <cell r="I1500" t="str">
            <v>XCL</v>
          </cell>
          <cell r="J1500">
            <v>3.88</v>
          </cell>
          <cell r="K1500">
            <v>446</v>
          </cell>
          <cell r="L1500" t="str">
            <v>XCL</v>
          </cell>
          <cell r="N1500">
            <v>13.3839254915488</v>
          </cell>
        </row>
        <row r="1501">
          <cell r="E1501" t="str">
            <v>HGC-Lib-2451638</v>
          </cell>
          <cell r="F1501" t="str">
            <v>A5-2</v>
          </cell>
          <cell r="G1501">
            <v>2</v>
          </cell>
          <cell r="H1501" t="str">
            <v>甲基化文库</v>
          </cell>
          <cell r="I1501" t="str">
            <v>XCL</v>
          </cell>
          <cell r="J1501">
            <v>1.1200000000000001</v>
          </cell>
          <cell r="K1501">
            <v>367</v>
          </cell>
          <cell r="L1501" t="str">
            <v>XCL</v>
          </cell>
          <cell r="N1501">
            <v>4.6950324879480201</v>
          </cell>
        </row>
        <row r="1502">
          <cell r="E1502" t="str">
            <v>HGC-Lib-2451639</v>
          </cell>
          <cell r="F1502" t="str">
            <v>A11-2</v>
          </cell>
          <cell r="G1502">
            <v>2</v>
          </cell>
          <cell r="H1502" t="str">
            <v>甲基化文库</v>
          </cell>
          <cell r="I1502" t="str">
            <v>XCL</v>
          </cell>
          <cell r="J1502">
            <v>1.31</v>
          </cell>
          <cell r="K1502">
            <v>363</v>
          </cell>
          <cell r="L1502" t="str">
            <v>XCL</v>
          </cell>
          <cell r="N1502">
            <v>5.5520237338419198</v>
          </cell>
        </row>
        <row r="1503">
          <cell r="E1503" t="str">
            <v>HGC-Lib-2451640</v>
          </cell>
          <cell r="F1503" t="str">
            <v>G1-2</v>
          </cell>
          <cell r="G1503">
            <v>2</v>
          </cell>
          <cell r="H1503" t="str">
            <v>甲基化文库</v>
          </cell>
          <cell r="I1503" t="str">
            <v>XCL</v>
          </cell>
          <cell r="J1503">
            <v>3.84</v>
          </cell>
          <cell r="K1503">
            <v>482</v>
          </cell>
          <cell r="L1503" t="str">
            <v>XCL</v>
          </cell>
          <cell r="N1503">
            <v>12.256623045004799</v>
          </cell>
        </row>
        <row r="1504">
          <cell r="E1504" t="str">
            <v>HGC-Lib-2451641</v>
          </cell>
          <cell r="F1504" t="str">
            <v>G2-2</v>
          </cell>
          <cell r="G1504">
            <v>2</v>
          </cell>
          <cell r="H1504" t="str">
            <v>甲基化文库</v>
          </cell>
          <cell r="I1504" t="str">
            <v>XCL</v>
          </cell>
          <cell r="J1504">
            <v>3.54</v>
          </cell>
          <cell r="K1504">
            <v>466</v>
          </cell>
          <cell r="L1504" t="str">
            <v>XCL</v>
          </cell>
          <cell r="N1504">
            <v>11.687025420931</v>
          </cell>
        </row>
        <row r="1505">
          <cell r="E1505" t="str">
            <v>HGC-Lib-2451654</v>
          </cell>
          <cell r="F1505" t="str">
            <v>CD70hi</v>
          </cell>
          <cell r="G1505" t="str">
            <v>15Gb</v>
          </cell>
          <cell r="H1505" t="str">
            <v>PCR Product Libraries</v>
          </cell>
          <cell r="I1505" t="str">
            <v>XCL</v>
          </cell>
          <cell r="J1505">
            <v>17.7</v>
          </cell>
          <cell r="K1505">
            <v>404</v>
          </cell>
          <cell r="L1505" t="str">
            <v>WH</v>
          </cell>
          <cell r="M1505" t="str">
            <v>加水30ul</v>
          </cell>
          <cell r="N1505">
            <v>67.402894135567394</v>
          </cell>
        </row>
        <row r="1506">
          <cell r="E1506" t="str">
            <v>HGC-Lib-2451655</v>
          </cell>
          <cell r="F1506" t="str">
            <v>CD70low</v>
          </cell>
          <cell r="G1506" t="str">
            <v>15Gb</v>
          </cell>
          <cell r="H1506" t="str">
            <v>PCR Product Libraries</v>
          </cell>
          <cell r="I1506" t="str">
            <v>XCL</v>
          </cell>
          <cell r="J1506">
            <v>20</v>
          </cell>
          <cell r="K1506">
            <v>397</v>
          </cell>
          <cell r="L1506" t="str">
            <v>WH</v>
          </cell>
          <cell r="N1506">
            <v>77.504359620228598</v>
          </cell>
        </row>
        <row r="1507">
          <cell r="E1507" t="str">
            <v>HGC-Lib-2451656</v>
          </cell>
          <cell r="F1507" t="str">
            <v>CD47hi</v>
          </cell>
          <cell r="G1507" t="str">
            <v>15Gb</v>
          </cell>
          <cell r="H1507" t="str">
            <v>PCR Product Libraries</v>
          </cell>
          <cell r="I1507" t="str">
            <v>XCL</v>
          </cell>
          <cell r="J1507">
            <v>25.6</v>
          </cell>
          <cell r="K1507">
            <v>397</v>
          </cell>
          <cell r="L1507" t="str">
            <v>WH</v>
          </cell>
          <cell r="N1507">
            <v>99.205580313892696</v>
          </cell>
        </row>
        <row r="1508">
          <cell r="E1508" t="str">
            <v>HGC-Lib-2451657</v>
          </cell>
          <cell r="F1508" t="str">
            <v>CD47low</v>
          </cell>
          <cell r="G1508" t="str">
            <v>15Gb</v>
          </cell>
          <cell r="H1508" t="str">
            <v>PCR Product Libraries</v>
          </cell>
          <cell r="I1508" t="str">
            <v>XCL</v>
          </cell>
          <cell r="J1508">
            <v>19.899999999999999</v>
          </cell>
          <cell r="K1508">
            <v>394</v>
          </cell>
          <cell r="L1508" t="str">
            <v>WH</v>
          </cell>
          <cell r="N1508">
            <v>77.704021866458405</v>
          </cell>
        </row>
        <row r="1509">
          <cell r="E1509" t="str">
            <v>HGC-Lib-2451658</v>
          </cell>
          <cell r="F1509" t="str">
            <v>Unsorted_ctrl</v>
          </cell>
          <cell r="G1509" t="str">
            <v>15Gb</v>
          </cell>
          <cell r="H1509" t="str">
            <v>PCR Product Libraries</v>
          </cell>
          <cell r="I1509" t="str">
            <v>XCL</v>
          </cell>
          <cell r="J1509">
            <v>17</v>
          </cell>
          <cell r="K1509">
            <v>384</v>
          </cell>
          <cell r="L1509" t="str">
            <v>WH</v>
          </cell>
          <cell r="N1509">
            <v>68.108974358974393</v>
          </cell>
        </row>
        <row r="1510">
          <cell r="E1510" t="str">
            <v>HGC-Lib-2451699</v>
          </cell>
          <cell r="F1510" t="str">
            <v>7-1</v>
          </cell>
          <cell r="G1510" t="str">
            <v>5</v>
          </cell>
          <cell r="H1510" t="str">
            <v>PCR产物文库</v>
          </cell>
          <cell r="J1510">
            <v>34</v>
          </cell>
          <cell r="K1510">
            <v>504</v>
          </cell>
          <cell r="L1510" t="str">
            <v>WH</v>
          </cell>
          <cell r="N1510">
            <v>103.785103785104</v>
          </cell>
        </row>
        <row r="1511">
          <cell r="E1511" t="str">
            <v>HGC-POOL-2451708</v>
          </cell>
          <cell r="F1511" t="str">
            <v>PLN232</v>
          </cell>
          <cell r="G1511" t="str">
            <v>50</v>
          </cell>
          <cell r="H1511" t="str">
            <v>DAP-Seq文库</v>
          </cell>
          <cell r="J1511">
            <v>9.5399999999999991</v>
          </cell>
          <cell r="K1511">
            <v>374</v>
          </cell>
          <cell r="L1511" t="str">
            <v>XCL</v>
          </cell>
          <cell r="N1511">
            <v>39.243109831345102</v>
          </cell>
        </row>
        <row r="1512">
          <cell r="E1512" t="str">
            <v>HGC-Lib-2451709</v>
          </cell>
          <cell r="F1512" t="str">
            <v>LW20A042240</v>
          </cell>
          <cell r="G1512">
            <v>100</v>
          </cell>
          <cell r="H1512" t="str">
            <v>甲基化文库</v>
          </cell>
          <cell r="I1512" t="str">
            <v>XCL</v>
          </cell>
          <cell r="J1512">
            <v>35.799999999999997</v>
          </cell>
          <cell r="K1512">
            <v>399</v>
          </cell>
          <cell r="L1512" t="str">
            <v>XCL</v>
          </cell>
          <cell r="N1512">
            <v>138.03740119529601</v>
          </cell>
        </row>
        <row r="1513">
          <cell r="E1513" t="str">
            <v>HGC-Lib-2451710</v>
          </cell>
          <cell r="F1513" t="str">
            <v>LW20A042159</v>
          </cell>
          <cell r="G1513">
            <v>100</v>
          </cell>
          <cell r="H1513" t="str">
            <v>甲基化文库</v>
          </cell>
          <cell r="I1513" t="str">
            <v>XCL</v>
          </cell>
          <cell r="J1513">
            <v>32.200000000000003</v>
          </cell>
          <cell r="K1513">
            <v>445</v>
          </cell>
          <cell r="L1513" t="str">
            <v>XCL</v>
          </cell>
          <cell r="N1513">
            <v>111.322385479689</v>
          </cell>
        </row>
        <row r="1514">
          <cell r="E1514" t="str">
            <v>HGC-Lib-2451711</v>
          </cell>
          <cell r="F1514" t="str">
            <v>LW20A042176</v>
          </cell>
          <cell r="G1514">
            <v>100</v>
          </cell>
          <cell r="H1514" t="str">
            <v>甲基化文库</v>
          </cell>
          <cell r="I1514" t="str">
            <v>XCL</v>
          </cell>
          <cell r="J1514">
            <v>34</v>
          </cell>
          <cell r="K1514">
            <v>411</v>
          </cell>
          <cell r="L1514" t="str">
            <v>XCL</v>
          </cell>
          <cell r="N1514">
            <v>127.269324349616</v>
          </cell>
        </row>
        <row r="1515">
          <cell r="E1515" t="str">
            <v>HGC-Lib-2451712</v>
          </cell>
          <cell r="F1515" t="str">
            <v>LW20A042160</v>
          </cell>
          <cell r="G1515">
            <v>100</v>
          </cell>
          <cell r="H1515" t="str">
            <v>甲基化文库</v>
          </cell>
          <cell r="I1515" t="str">
            <v>XCL</v>
          </cell>
          <cell r="J1515">
            <v>30.6</v>
          </cell>
          <cell r="K1515">
            <v>411</v>
          </cell>
          <cell r="L1515" t="str">
            <v>XCL</v>
          </cell>
          <cell r="N1515">
            <v>114.542391914655</v>
          </cell>
        </row>
        <row r="1516">
          <cell r="E1516" t="str">
            <v>HGC-Lib-2451713</v>
          </cell>
          <cell r="F1516" t="str">
            <v>LW20A042194</v>
          </cell>
          <cell r="G1516">
            <v>100</v>
          </cell>
          <cell r="H1516" t="str">
            <v>甲基化文库</v>
          </cell>
          <cell r="I1516" t="str">
            <v>XCL</v>
          </cell>
          <cell r="J1516">
            <v>33.4</v>
          </cell>
          <cell r="K1516">
            <v>402</v>
          </cell>
          <cell r="L1516" t="str">
            <v>XCL</v>
          </cell>
          <cell r="N1516">
            <v>127.822426329889</v>
          </cell>
        </row>
        <row r="1517">
          <cell r="E1517" t="str">
            <v>HGC-Lib-2451714</v>
          </cell>
          <cell r="F1517" t="str">
            <v>LW20A042474</v>
          </cell>
          <cell r="G1517">
            <v>100</v>
          </cell>
          <cell r="H1517" t="str">
            <v>甲基化文库</v>
          </cell>
          <cell r="I1517" t="str">
            <v>XCL</v>
          </cell>
          <cell r="J1517">
            <v>30</v>
          </cell>
          <cell r="K1517">
            <v>401</v>
          </cell>
          <cell r="L1517" t="str">
            <v>XCL</v>
          </cell>
          <cell r="N1517">
            <v>115.096873201611</v>
          </cell>
        </row>
        <row r="1518">
          <cell r="E1518" t="str">
            <v>HGC-Lib-2451715</v>
          </cell>
          <cell r="F1518" t="str">
            <v>LW20A042226</v>
          </cell>
          <cell r="G1518">
            <v>100</v>
          </cell>
          <cell r="H1518" t="str">
            <v>甲基化文库</v>
          </cell>
          <cell r="I1518" t="str">
            <v>XCL</v>
          </cell>
          <cell r="J1518">
            <v>51.2</v>
          </cell>
          <cell r="K1518">
            <v>394</v>
          </cell>
          <cell r="L1518" t="str">
            <v>XCL</v>
          </cell>
          <cell r="N1518">
            <v>199.92190550566201</v>
          </cell>
        </row>
        <row r="1519">
          <cell r="E1519" t="str">
            <v>HGC-Lib-2451716</v>
          </cell>
          <cell r="F1519" t="str">
            <v>LW20A042138</v>
          </cell>
          <cell r="G1519">
            <v>100</v>
          </cell>
          <cell r="H1519" t="str">
            <v>甲基化文库</v>
          </cell>
          <cell r="I1519" t="str">
            <v>XCL</v>
          </cell>
          <cell r="J1519">
            <v>23.2</v>
          </cell>
          <cell r="K1519">
            <v>410</v>
          </cell>
          <cell r="L1519" t="str">
            <v>XCL</v>
          </cell>
          <cell r="N1519">
            <v>87.0544090056285</v>
          </cell>
        </row>
        <row r="1520">
          <cell r="E1520" t="str">
            <v>HGC-Lib-2451717</v>
          </cell>
          <cell r="F1520" t="str">
            <v>LW20A042605</v>
          </cell>
          <cell r="G1520">
            <v>100</v>
          </cell>
          <cell r="H1520" t="str">
            <v>甲基化文库</v>
          </cell>
          <cell r="I1520" t="str">
            <v>XCL</v>
          </cell>
          <cell r="J1520">
            <v>20.6</v>
          </cell>
          <cell r="K1520">
            <v>423</v>
          </cell>
          <cell r="L1520" t="str">
            <v>XCL</v>
          </cell>
          <cell r="N1520">
            <v>74.922713220585607</v>
          </cell>
        </row>
        <row r="1521">
          <cell r="E1521" t="str">
            <v>HGC-Lib-2451718</v>
          </cell>
          <cell r="F1521" t="str">
            <v>LW20A042223</v>
          </cell>
          <cell r="G1521">
            <v>100</v>
          </cell>
          <cell r="H1521" t="str">
            <v>甲基化文库</v>
          </cell>
          <cell r="I1521" t="str">
            <v>XCL</v>
          </cell>
          <cell r="J1521">
            <v>35.200000000000003</v>
          </cell>
          <cell r="K1521">
            <v>424</v>
          </cell>
          <cell r="L1521" t="str">
            <v>XCL</v>
          </cell>
          <cell r="N1521">
            <v>127.721335268505</v>
          </cell>
        </row>
        <row r="1522">
          <cell r="E1522" t="str">
            <v>HGC-Lib-2451719</v>
          </cell>
          <cell r="F1522" t="str">
            <v>LW20A042220</v>
          </cell>
          <cell r="G1522">
            <v>100</v>
          </cell>
          <cell r="H1522" t="str">
            <v>甲基化文库</v>
          </cell>
          <cell r="I1522" t="str">
            <v>XCL</v>
          </cell>
          <cell r="J1522">
            <v>23.6</v>
          </cell>
          <cell r="K1522">
            <v>417</v>
          </cell>
          <cell r="L1522" t="str">
            <v>XCL</v>
          </cell>
          <cell r="N1522">
            <v>87.068806493266905</v>
          </cell>
        </row>
        <row r="1523">
          <cell r="E1523" t="str">
            <v>HGC-Lib-2451720</v>
          </cell>
          <cell r="F1523" t="str">
            <v>LW20A042186</v>
          </cell>
          <cell r="G1523">
            <v>100</v>
          </cell>
          <cell r="H1523" t="str">
            <v>甲基化文库</v>
          </cell>
          <cell r="I1523" t="str">
            <v>XCL</v>
          </cell>
          <cell r="J1523">
            <v>13.8</v>
          </cell>
          <cell r="K1523">
            <v>372</v>
          </cell>
          <cell r="L1523" t="str">
            <v>XCL</v>
          </cell>
          <cell r="N1523">
            <v>57.0719602977668</v>
          </cell>
        </row>
        <row r="1524">
          <cell r="E1524" t="str">
            <v>HGC-Lib-2451721</v>
          </cell>
          <cell r="F1524" t="str">
            <v>LW20A042271</v>
          </cell>
          <cell r="G1524">
            <v>100</v>
          </cell>
          <cell r="H1524" t="str">
            <v>甲基化文库</v>
          </cell>
          <cell r="I1524" t="str">
            <v>XCL</v>
          </cell>
          <cell r="J1524">
            <v>19.899999999999999</v>
          </cell>
          <cell r="K1524">
            <v>378</v>
          </cell>
          <cell r="L1524" t="str">
            <v>XCL</v>
          </cell>
          <cell r="N1524">
            <v>80.993080993080994</v>
          </cell>
        </row>
        <row r="1525">
          <cell r="E1525" t="str">
            <v>HGC-Lib-2451722</v>
          </cell>
          <cell r="F1525" t="str">
            <v>LW20A042187</v>
          </cell>
          <cell r="G1525">
            <v>100</v>
          </cell>
          <cell r="H1525" t="str">
            <v>甲基化文库</v>
          </cell>
          <cell r="I1525" t="str">
            <v>XCL</v>
          </cell>
          <cell r="J1525">
            <v>20.8</v>
          </cell>
          <cell r="K1525">
            <v>408</v>
          </cell>
          <cell r="L1525" t="str">
            <v>XCL</v>
          </cell>
          <cell r="N1525">
            <v>78.431372549019599</v>
          </cell>
        </row>
        <row r="1526">
          <cell r="E1526" t="str">
            <v>HGC-Lib-2451723</v>
          </cell>
          <cell r="F1526" t="str">
            <v>LW20A042624</v>
          </cell>
          <cell r="G1526">
            <v>100</v>
          </cell>
          <cell r="H1526" t="str">
            <v>甲基化文库</v>
          </cell>
          <cell r="I1526" t="str">
            <v>XCL</v>
          </cell>
          <cell r="J1526">
            <v>13.7</v>
          </cell>
          <cell r="K1526">
            <v>371</v>
          </cell>
          <cell r="L1526" t="str">
            <v>XCL</v>
          </cell>
          <cell r="N1526">
            <v>56.811113414886997</v>
          </cell>
        </row>
        <row r="1527">
          <cell r="E1527" t="str">
            <v>HGC-Lib-2451724</v>
          </cell>
          <cell r="F1527" t="str">
            <v>LW20A042618</v>
          </cell>
          <cell r="G1527">
            <v>100</v>
          </cell>
          <cell r="H1527" t="str">
            <v>甲基化文库</v>
          </cell>
          <cell r="I1527" t="str">
            <v>XCL</v>
          </cell>
          <cell r="J1527">
            <v>22.8</v>
          </cell>
          <cell r="K1527">
            <v>375</v>
          </cell>
          <cell r="L1527" t="str">
            <v>XCL</v>
          </cell>
          <cell r="N1527">
            <v>93.538461538461505</v>
          </cell>
        </row>
        <row r="1528">
          <cell r="E1528" t="str">
            <v>HGC-Lib-2451725</v>
          </cell>
          <cell r="F1528" t="str">
            <v>LW20A042516</v>
          </cell>
          <cell r="G1528">
            <v>100</v>
          </cell>
          <cell r="H1528" t="str">
            <v>甲基化文库</v>
          </cell>
          <cell r="I1528" t="str">
            <v>XCL</v>
          </cell>
          <cell r="J1528">
            <v>13.5</v>
          </cell>
          <cell r="K1528">
            <v>385</v>
          </cell>
          <cell r="L1528" t="str">
            <v>XCL</v>
          </cell>
          <cell r="N1528">
            <v>53.946053946053901</v>
          </cell>
        </row>
        <row r="1529">
          <cell r="E1529" t="str">
            <v>HGC-Lib-2451726</v>
          </cell>
          <cell r="F1529" t="str">
            <v>LW20A042202</v>
          </cell>
          <cell r="G1529">
            <v>100</v>
          </cell>
          <cell r="H1529" t="str">
            <v>甲基化文库</v>
          </cell>
          <cell r="I1529" t="str">
            <v>XCL</v>
          </cell>
          <cell r="J1529">
            <v>12</v>
          </cell>
          <cell r="K1529">
            <v>370</v>
          </cell>
          <cell r="L1529" t="str">
            <v>XCL</v>
          </cell>
          <cell r="N1529">
            <v>49.896049896049902</v>
          </cell>
        </row>
        <row r="1530">
          <cell r="E1530" t="str">
            <v>HGC-Lib-2451727</v>
          </cell>
          <cell r="F1530" t="str">
            <v>LW20A042501</v>
          </cell>
          <cell r="G1530">
            <v>100</v>
          </cell>
          <cell r="H1530" t="str">
            <v>甲基化文库</v>
          </cell>
          <cell r="I1530" t="str">
            <v>XCL</v>
          </cell>
          <cell r="J1530">
            <v>13.8</v>
          </cell>
          <cell r="K1530">
            <v>373</v>
          </cell>
          <cell r="L1530" t="str">
            <v>XCL</v>
          </cell>
          <cell r="N1530">
            <v>56.918952361311597</v>
          </cell>
        </row>
        <row r="1531">
          <cell r="E1531" t="str">
            <v>HGC-Lib-2451728</v>
          </cell>
          <cell r="F1531" t="str">
            <v>LW20A042529</v>
          </cell>
          <cell r="G1531">
            <v>100</v>
          </cell>
          <cell r="H1531" t="str">
            <v>甲基化文库</v>
          </cell>
          <cell r="I1531" t="str">
            <v>XCL</v>
          </cell>
          <cell r="J1531">
            <v>19.2</v>
          </cell>
          <cell r="K1531">
            <v>390</v>
          </cell>
          <cell r="L1531" t="str">
            <v>XCL</v>
          </cell>
          <cell r="N1531">
            <v>75.739644970414204</v>
          </cell>
        </row>
        <row r="1532">
          <cell r="E1532" t="str">
            <v>HGC-Lib-2451729</v>
          </cell>
          <cell r="F1532" t="str">
            <v>LGG0429</v>
          </cell>
          <cell r="G1532">
            <v>300</v>
          </cell>
          <cell r="H1532" t="str">
            <v>BD-单细胞</v>
          </cell>
          <cell r="I1532" t="str">
            <v>ZZ</v>
          </cell>
          <cell r="J1532">
            <v>8.2799999999999994</v>
          </cell>
          <cell r="K1532">
            <v>658</v>
          </cell>
          <cell r="L1532" t="str">
            <v>XCL</v>
          </cell>
          <cell r="N1532">
            <v>19.359364040215102</v>
          </cell>
        </row>
        <row r="1533">
          <cell r="E1533" t="str">
            <v>HGC-Lib-2451730</v>
          </cell>
          <cell r="F1533" t="str">
            <v>LGG0430</v>
          </cell>
          <cell r="G1533">
            <v>300</v>
          </cell>
          <cell r="H1533" t="str">
            <v>BD-单细胞</v>
          </cell>
          <cell r="I1533" t="str">
            <v>ZZ</v>
          </cell>
          <cell r="J1533">
            <v>7.84</v>
          </cell>
          <cell r="K1533">
            <v>650</v>
          </cell>
          <cell r="L1533" t="str">
            <v>XCL</v>
          </cell>
          <cell r="N1533">
            <v>18.556213017751499</v>
          </cell>
        </row>
        <row r="1534">
          <cell r="E1534" t="str">
            <v>HGC-Lib-2451731</v>
          </cell>
          <cell r="F1534" t="str">
            <v>LGG0431</v>
          </cell>
          <cell r="G1534">
            <v>10</v>
          </cell>
          <cell r="H1534" t="str">
            <v>BD-单细胞</v>
          </cell>
          <cell r="I1534" t="str">
            <v>ZZ</v>
          </cell>
          <cell r="J1534">
            <v>1.64</v>
          </cell>
          <cell r="K1534">
            <v>296</v>
          </cell>
          <cell r="L1534" t="str">
            <v>XCL</v>
          </cell>
          <cell r="N1534">
            <v>8.5239085239085206</v>
          </cell>
        </row>
        <row r="1535">
          <cell r="E1535" t="str">
            <v>HGC-Lib-2451732</v>
          </cell>
          <cell r="F1535" t="str">
            <v>LGG0432</v>
          </cell>
          <cell r="G1535">
            <v>10</v>
          </cell>
          <cell r="H1535" t="str">
            <v>BD-单细胞</v>
          </cell>
          <cell r="I1535" t="str">
            <v>ZZ</v>
          </cell>
          <cell r="J1535">
            <v>1.64</v>
          </cell>
          <cell r="K1535">
            <v>322</v>
          </cell>
          <cell r="L1535" t="str">
            <v>XCL</v>
          </cell>
          <cell r="N1535">
            <v>7.8356426182513097</v>
          </cell>
        </row>
        <row r="1536">
          <cell r="E1536" t="str">
            <v>HGC-Lib-2451733</v>
          </cell>
          <cell r="F1536" t="str">
            <v>LGG0433</v>
          </cell>
          <cell r="G1536">
            <v>45</v>
          </cell>
          <cell r="H1536" t="str">
            <v>BD-单细胞</v>
          </cell>
          <cell r="I1536" t="str">
            <v>ZZ</v>
          </cell>
          <cell r="J1536">
            <v>2.46</v>
          </cell>
          <cell r="K1536">
            <v>672</v>
          </cell>
          <cell r="L1536" t="str">
            <v>XCL</v>
          </cell>
          <cell r="N1536">
            <v>5.6318681318681296</v>
          </cell>
        </row>
        <row r="1537">
          <cell r="E1537" t="str">
            <v>HGC-Lib-2451734</v>
          </cell>
          <cell r="F1537" t="str">
            <v>LGG0434</v>
          </cell>
          <cell r="G1537">
            <v>45</v>
          </cell>
          <cell r="H1537" t="str">
            <v>BD-单细胞</v>
          </cell>
          <cell r="I1537" t="str">
            <v>ZZ</v>
          </cell>
          <cell r="J1537">
            <v>2.5</v>
          </cell>
          <cell r="K1537">
            <v>674</v>
          </cell>
          <cell r="L1537" t="str">
            <v>XCL</v>
          </cell>
          <cell r="N1537">
            <v>5.7064597123944303</v>
          </cell>
        </row>
        <row r="1538">
          <cell r="E1538" t="str">
            <v>HGC-Lib-2451735</v>
          </cell>
          <cell r="F1538" t="str">
            <v>LGG0435</v>
          </cell>
          <cell r="G1538">
            <v>45</v>
          </cell>
          <cell r="H1538" t="str">
            <v>BD-单细胞</v>
          </cell>
          <cell r="I1538" t="str">
            <v>ZZ</v>
          </cell>
          <cell r="J1538">
            <v>1.49</v>
          </cell>
          <cell r="K1538">
            <v>662</v>
          </cell>
          <cell r="L1538" t="str">
            <v>XCL</v>
          </cell>
          <cell r="N1538">
            <v>3.4627004415523999</v>
          </cell>
        </row>
        <row r="1539">
          <cell r="E1539" t="str">
            <v>HGC-Lib-2451736</v>
          </cell>
          <cell r="F1539" t="str">
            <v>LGG0436</v>
          </cell>
          <cell r="G1539">
            <v>45</v>
          </cell>
          <cell r="H1539" t="str">
            <v>BD-单细胞</v>
          </cell>
          <cell r="I1539" t="str">
            <v>ZZ</v>
          </cell>
          <cell r="J1539">
            <v>1.57</v>
          </cell>
          <cell r="K1539">
            <v>656</v>
          </cell>
          <cell r="L1539" t="str">
            <v>XCL</v>
          </cell>
          <cell r="N1539">
            <v>3.6819887429643501</v>
          </cell>
        </row>
        <row r="1540">
          <cell r="E1540" t="str">
            <v>HGC-Lib-2451737</v>
          </cell>
          <cell r="F1540" t="str">
            <v>LGG0437</v>
          </cell>
          <cell r="G1540">
            <v>300</v>
          </cell>
          <cell r="H1540" t="str">
            <v>BD-单细胞</v>
          </cell>
          <cell r="I1540" t="str">
            <v>ZZ</v>
          </cell>
          <cell r="J1540">
            <v>8.48</v>
          </cell>
          <cell r="K1540">
            <v>656</v>
          </cell>
          <cell r="L1540" t="str">
            <v>XCL</v>
          </cell>
          <cell r="N1540">
            <v>19.887429643527199</v>
          </cell>
        </row>
        <row r="1541">
          <cell r="E1541" t="str">
            <v>HGC-Lib-2451738</v>
          </cell>
          <cell r="F1541" t="str">
            <v>LGG0438</v>
          </cell>
          <cell r="G1541">
            <v>300</v>
          </cell>
          <cell r="H1541" t="str">
            <v>BD-单细胞</v>
          </cell>
          <cell r="I1541" t="str">
            <v>ZZ</v>
          </cell>
          <cell r="J1541">
            <v>8.68</v>
          </cell>
          <cell r="K1541">
            <v>644</v>
          </cell>
          <cell r="L1541" t="str">
            <v>XCL</v>
          </cell>
          <cell r="N1541">
            <v>20.735785953177299</v>
          </cell>
        </row>
        <row r="1542">
          <cell r="E1542" t="str">
            <v>HGC-Lib-2451739</v>
          </cell>
          <cell r="F1542" t="str">
            <v>LGG0439</v>
          </cell>
          <cell r="G1542">
            <v>10</v>
          </cell>
          <cell r="H1542" t="str">
            <v>BD-单细胞</v>
          </cell>
          <cell r="I1542" t="str">
            <v>ZZ</v>
          </cell>
          <cell r="J1542">
            <v>1.4</v>
          </cell>
          <cell r="K1542">
            <v>300</v>
          </cell>
          <cell r="L1542" t="str">
            <v>XCL</v>
          </cell>
          <cell r="N1542">
            <v>7.1794871794871797</v>
          </cell>
        </row>
        <row r="1543">
          <cell r="E1543" t="str">
            <v>HGC-Lib-2451740</v>
          </cell>
          <cell r="F1543" t="str">
            <v>LGG0440</v>
          </cell>
          <cell r="G1543">
            <v>10</v>
          </cell>
          <cell r="H1543" t="str">
            <v>BD-单细胞</v>
          </cell>
          <cell r="I1543" t="str">
            <v>ZZ</v>
          </cell>
          <cell r="J1543">
            <v>1.21</v>
          </cell>
          <cell r="K1543">
            <v>296</v>
          </cell>
          <cell r="L1543" t="str">
            <v>XCL</v>
          </cell>
          <cell r="N1543">
            <v>6.2889812889812902</v>
          </cell>
        </row>
        <row r="1544">
          <cell r="E1544" t="str">
            <v>HGC-POOL-2451745</v>
          </cell>
          <cell r="F1544" t="str">
            <v>mRNA-2</v>
          </cell>
          <cell r="G1544">
            <v>130</v>
          </cell>
          <cell r="H1544" t="str">
            <v>mRNA文库</v>
          </cell>
          <cell r="I1544" t="str">
            <v>ZZ</v>
          </cell>
          <cell r="J1544">
            <v>8.1</v>
          </cell>
          <cell r="K1544">
            <v>427</v>
          </cell>
          <cell r="L1544" t="str">
            <v>XCL</v>
          </cell>
          <cell r="N1544">
            <v>29.183930823275102</v>
          </cell>
        </row>
        <row r="1545">
          <cell r="E1545" t="str">
            <v>HGC-Lib-2451746</v>
          </cell>
          <cell r="F1545" t="str">
            <v>N_B_N4612-0H-Poly-ANC8-mPFC</v>
          </cell>
          <cell r="G1545">
            <v>6</v>
          </cell>
          <cell r="H1545" t="str">
            <v>mRNA文库</v>
          </cell>
          <cell r="I1545" t="str">
            <v>WH</v>
          </cell>
          <cell r="J1545">
            <v>8.74</v>
          </cell>
          <cell r="N1545" t="e">
            <v>#DIV/0!</v>
          </cell>
        </row>
        <row r="1546">
          <cell r="E1546" t="str">
            <v>HGC-Lib-2451747</v>
          </cell>
          <cell r="F1546" t="str">
            <v>N_B_N4612-0J-Poly-ANC1-mPFC</v>
          </cell>
          <cell r="G1546">
            <v>6</v>
          </cell>
          <cell r="H1546" t="str">
            <v>mRNA文库</v>
          </cell>
          <cell r="I1546" t="str">
            <v>WH</v>
          </cell>
          <cell r="J1546">
            <v>12.9</v>
          </cell>
          <cell r="N1546" t="e">
            <v>#DIV/0!</v>
          </cell>
        </row>
        <row r="1547">
          <cell r="E1547" t="str">
            <v>HGC-Lib-2451748</v>
          </cell>
          <cell r="F1547" t="str">
            <v>N_B_N4612-0K-Poly-ANC3-mPFC</v>
          </cell>
          <cell r="G1547">
            <v>6</v>
          </cell>
          <cell r="H1547" t="str">
            <v>mRNA文库</v>
          </cell>
          <cell r="I1547" t="str">
            <v>WH</v>
          </cell>
          <cell r="J1547">
            <v>11.4</v>
          </cell>
          <cell r="N1547" t="e">
            <v>#DIV/0!</v>
          </cell>
        </row>
        <row r="1548">
          <cell r="E1548" t="str">
            <v>HGC-Lib-2451749</v>
          </cell>
          <cell r="F1548" t="str">
            <v>N_B_N4612-0M-Poly-ANC9-mPFC</v>
          </cell>
          <cell r="G1548">
            <v>6</v>
          </cell>
          <cell r="H1548" t="str">
            <v>mRNA文库</v>
          </cell>
          <cell r="I1548" t="str">
            <v>WH</v>
          </cell>
          <cell r="J1548">
            <v>7.16</v>
          </cell>
          <cell r="N1548" t="e">
            <v>#DIV/0!</v>
          </cell>
        </row>
        <row r="1549">
          <cell r="E1549" t="str">
            <v>HGC-Lib-2451750</v>
          </cell>
          <cell r="F1549" t="str">
            <v>N_B_N4612-0N-Poly-ANC2-mPFC</v>
          </cell>
          <cell r="G1549">
            <v>6</v>
          </cell>
          <cell r="H1549" t="str">
            <v>mRNA文库</v>
          </cell>
          <cell r="I1549" t="str">
            <v>WH</v>
          </cell>
          <cell r="J1549">
            <v>9.84</v>
          </cell>
          <cell r="N1549" t="e">
            <v>#DIV/0!</v>
          </cell>
        </row>
        <row r="1550">
          <cell r="E1550" t="str">
            <v>HGC-Lib-2451751</v>
          </cell>
          <cell r="F1550" t="str">
            <v>N_B_N4612-0P-Poly-ANC4-mPFC</v>
          </cell>
          <cell r="G1550">
            <v>6</v>
          </cell>
          <cell r="H1550" t="str">
            <v>mRNA文库</v>
          </cell>
          <cell r="I1550" t="str">
            <v>WH</v>
          </cell>
          <cell r="J1550">
            <v>9.06</v>
          </cell>
          <cell r="N1550" t="e">
            <v>#DIV/0!</v>
          </cell>
        </row>
        <row r="1551">
          <cell r="E1551" t="str">
            <v>HGC-Lib-2451752</v>
          </cell>
          <cell r="F1551" t="str">
            <v>N_B_N4612-0Q-Poly-ANC7-mPFC</v>
          </cell>
          <cell r="G1551">
            <v>6</v>
          </cell>
          <cell r="H1551" t="str">
            <v>mRNA文库</v>
          </cell>
          <cell r="I1551" t="str">
            <v>WH</v>
          </cell>
          <cell r="J1551">
            <v>7.76</v>
          </cell>
          <cell r="N1551" t="e">
            <v>#DIV/0!</v>
          </cell>
        </row>
        <row r="1552">
          <cell r="E1552" t="str">
            <v>HGC-Lib-2451753</v>
          </cell>
          <cell r="F1552" t="str">
            <v>N_B_N4612-0R-Poly-ANC12-mPFC</v>
          </cell>
          <cell r="G1552">
            <v>6</v>
          </cell>
          <cell r="H1552" t="str">
            <v>mRNA文库</v>
          </cell>
          <cell r="I1552" t="str">
            <v>WH</v>
          </cell>
          <cell r="J1552">
            <v>8.06</v>
          </cell>
          <cell r="N1552" t="e">
            <v>#DIV/0!</v>
          </cell>
        </row>
        <row r="1553">
          <cell r="E1553" t="str">
            <v>HGC-Lib-2451754</v>
          </cell>
          <cell r="F1553" t="str">
            <v>N_B_N4612-0S-Poly-ALPS1-mPFC</v>
          </cell>
          <cell r="G1553">
            <v>6</v>
          </cell>
          <cell r="H1553" t="str">
            <v>mRNA文库</v>
          </cell>
          <cell r="I1553" t="str">
            <v>WH</v>
          </cell>
          <cell r="J1553">
            <v>62.6</v>
          </cell>
          <cell r="N1553" t="e">
            <v>#DIV/0!</v>
          </cell>
        </row>
        <row r="1554">
          <cell r="E1554" t="str">
            <v>HGC-Lib-2451755</v>
          </cell>
          <cell r="F1554" t="str">
            <v>N_B_N4612-0T-Poly-ALPS7-mPFC</v>
          </cell>
          <cell r="G1554">
            <v>6</v>
          </cell>
          <cell r="H1554" t="str">
            <v>mRNA文库</v>
          </cell>
          <cell r="I1554" t="str">
            <v>WH</v>
          </cell>
          <cell r="J1554">
            <v>7.16</v>
          </cell>
          <cell r="N1554" t="e">
            <v>#DIV/0!</v>
          </cell>
        </row>
        <row r="1555">
          <cell r="E1555" t="str">
            <v>HGC-Lib-2451756</v>
          </cell>
          <cell r="F1555" t="str">
            <v>N_B_N4612-0U-Poly-ALPS5-mPFC</v>
          </cell>
          <cell r="G1555">
            <v>6</v>
          </cell>
          <cell r="H1555" t="str">
            <v>mRNA文库</v>
          </cell>
          <cell r="I1555" t="str">
            <v>WH</v>
          </cell>
          <cell r="J1555">
            <v>10</v>
          </cell>
          <cell r="N1555" t="e">
            <v>#DIV/0!</v>
          </cell>
        </row>
        <row r="1556">
          <cell r="E1556" t="str">
            <v>HGC-Lib-2451757</v>
          </cell>
          <cell r="F1556" t="str">
            <v>N_B_N4612-0V-Poly-ALPS9-mPFC</v>
          </cell>
          <cell r="G1556">
            <v>6</v>
          </cell>
          <cell r="H1556" t="str">
            <v>mRNA文库</v>
          </cell>
          <cell r="I1556" t="str">
            <v>WH</v>
          </cell>
          <cell r="J1556">
            <v>7.98</v>
          </cell>
          <cell r="N1556" t="e">
            <v>#DIV/0!</v>
          </cell>
        </row>
        <row r="1557">
          <cell r="E1557" t="str">
            <v>HGC-Lib-2451758</v>
          </cell>
          <cell r="F1557" t="str">
            <v>N_B_N4612-0W-Poly-ALPS13-mPFC</v>
          </cell>
          <cell r="G1557">
            <v>6</v>
          </cell>
          <cell r="H1557" t="str">
            <v>mRNA文库</v>
          </cell>
          <cell r="I1557" t="str">
            <v>WH</v>
          </cell>
          <cell r="J1557">
            <v>8.66</v>
          </cell>
          <cell r="N1557" t="e">
            <v>#DIV/0!</v>
          </cell>
        </row>
        <row r="1558">
          <cell r="E1558" t="str">
            <v>HGC-Lib-2451759</v>
          </cell>
          <cell r="F1558" t="str">
            <v>N_B_N4612-0X-Poly-ALPS4-mPFC</v>
          </cell>
          <cell r="G1558">
            <v>6</v>
          </cell>
          <cell r="H1558" t="str">
            <v>mRNA文库</v>
          </cell>
          <cell r="I1558" t="str">
            <v>WH</v>
          </cell>
          <cell r="J1558">
            <v>85.6</v>
          </cell>
          <cell r="N1558" t="e">
            <v>#DIV/0!</v>
          </cell>
        </row>
        <row r="1559">
          <cell r="E1559" t="str">
            <v>HGC-Lib-2451760</v>
          </cell>
          <cell r="F1559" t="str">
            <v>N_B_N4612-0Y-Poly-ALPS10-mPFC</v>
          </cell>
          <cell r="G1559">
            <v>6</v>
          </cell>
          <cell r="H1559" t="str">
            <v>mRNA文库</v>
          </cell>
          <cell r="I1559" t="str">
            <v>WH</v>
          </cell>
          <cell r="J1559">
            <v>9.34</v>
          </cell>
          <cell r="N1559" t="e">
            <v>#DIV/0!</v>
          </cell>
        </row>
        <row r="1560">
          <cell r="E1560" t="str">
            <v>HGC-Lib-2451761</v>
          </cell>
          <cell r="F1560" t="str">
            <v>N_B_N4612-0Z-Poly-ALPS12-mPFC</v>
          </cell>
          <cell r="G1560">
            <v>6</v>
          </cell>
          <cell r="H1560" t="str">
            <v>mRNA文库</v>
          </cell>
          <cell r="I1560" t="str">
            <v>WH</v>
          </cell>
          <cell r="J1560">
            <v>8.48</v>
          </cell>
          <cell r="N1560" t="e">
            <v>#DIV/0!</v>
          </cell>
        </row>
        <row r="1561">
          <cell r="E1561" t="str">
            <v>HGC-Lib-2451762</v>
          </cell>
          <cell r="F1561" t="str">
            <v>N_B_N4612-10-Poly-AX12</v>
          </cell>
          <cell r="G1561">
            <v>6</v>
          </cell>
          <cell r="H1561" t="str">
            <v>mRNA文库</v>
          </cell>
          <cell r="I1561" t="str">
            <v>WH</v>
          </cell>
          <cell r="J1561">
            <v>89</v>
          </cell>
          <cell r="N1561" t="e">
            <v>#DIV/0!</v>
          </cell>
        </row>
        <row r="1562">
          <cell r="E1562" t="str">
            <v>HGC-Lib-2451763</v>
          </cell>
          <cell r="F1562" t="str">
            <v>N_B_N4612-11-Poly-AX13</v>
          </cell>
          <cell r="G1562">
            <v>6</v>
          </cell>
          <cell r="H1562" t="str">
            <v>mRNA文库</v>
          </cell>
          <cell r="I1562" t="str">
            <v>WH</v>
          </cell>
          <cell r="J1562">
            <v>7.4</v>
          </cell>
          <cell r="N1562" t="e">
            <v>#DIV/0!</v>
          </cell>
        </row>
        <row r="1563">
          <cell r="E1563" t="str">
            <v>HGC-Lib-2451764</v>
          </cell>
          <cell r="F1563" t="str">
            <v>N_B_N4612-12-Poly-AX13</v>
          </cell>
          <cell r="G1563">
            <v>6</v>
          </cell>
          <cell r="H1563" t="str">
            <v>mRNA文库</v>
          </cell>
          <cell r="I1563" t="str">
            <v>WH</v>
          </cell>
          <cell r="J1563">
            <v>10.9</v>
          </cell>
          <cell r="N1563" t="e">
            <v>#DIV/0!</v>
          </cell>
        </row>
        <row r="1564">
          <cell r="E1564" t="str">
            <v>HGC-Lib-2451765</v>
          </cell>
          <cell r="F1564" t="str">
            <v>N_B_N4612-13-Poly-AX3</v>
          </cell>
          <cell r="G1564">
            <v>6</v>
          </cell>
          <cell r="H1564" t="str">
            <v>mRNA文库</v>
          </cell>
          <cell r="I1564" t="str">
            <v>WH</v>
          </cell>
          <cell r="J1564">
            <v>8.86</v>
          </cell>
          <cell r="N1564" t="e">
            <v>#DIV/0!</v>
          </cell>
        </row>
        <row r="1565">
          <cell r="E1565" t="str">
            <v>HGC-Lib-2451766</v>
          </cell>
          <cell r="F1565" t="str">
            <v>N_B_N4612-14-Poly-AX8</v>
          </cell>
          <cell r="G1565">
            <v>6</v>
          </cell>
          <cell r="H1565" t="str">
            <v>mRNA文库</v>
          </cell>
          <cell r="I1565" t="str">
            <v>WH</v>
          </cell>
          <cell r="J1565">
            <v>8.8800000000000008</v>
          </cell>
          <cell r="N1565" t="e">
            <v>#DIV/0!</v>
          </cell>
        </row>
        <row r="1566">
          <cell r="E1566" t="str">
            <v>HGC-Lib-2451767</v>
          </cell>
          <cell r="F1566" t="str">
            <v>N_B_N4612-15-Poly-AX1</v>
          </cell>
          <cell r="G1566">
            <v>6</v>
          </cell>
          <cell r="H1566" t="str">
            <v>mRNA文库</v>
          </cell>
          <cell r="I1566" t="str">
            <v>WH</v>
          </cell>
          <cell r="J1566">
            <v>8.26</v>
          </cell>
          <cell r="N1566" t="e">
            <v>#DIV/0!</v>
          </cell>
        </row>
        <row r="1567">
          <cell r="E1567" t="str">
            <v>HGC-Lib-2451768</v>
          </cell>
          <cell r="F1567" t="str">
            <v>N_B_N4612-16-Poly-AX4</v>
          </cell>
          <cell r="G1567">
            <v>6</v>
          </cell>
          <cell r="H1567" t="str">
            <v>mRNA文库</v>
          </cell>
          <cell r="I1567" t="str">
            <v>WH</v>
          </cell>
          <cell r="J1567">
            <v>62.2</v>
          </cell>
          <cell r="N1567" t="e">
            <v>#DIV/0!</v>
          </cell>
        </row>
        <row r="1568">
          <cell r="E1568" t="str">
            <v>HGC-Lib-2451769</v>
          </cell>
          <cell r="F1568" t="str">
            <v>N_B_N4612-17-Poly-AX5</v>
          </cell>
          <cell r="G1568">
            <v>6</v>
          </cell>
          <cell r="H1568" t="str">
            <v>mRNA文库</v>
          </cell>
          <cell r="I1568" t="str">
            <v>WH</v>
          </cell>
          <cell r="J1568">
            <v>10.199999999999999</v>
          </cell>
          <cell r="N1568" t="e">
            <v>#DIV/0!</v>
          </cell>
        </row>
        <row r="1569">
          <cell r="E1569" t="str">
            <v>HGC-Lib-2451770</v>
          </cell>
          <cell r="F1569" t="str">
            <v>N_B_N4612-18-Poly-ANC8</v>
          </cell>
          <cell r="G1569">
            <v>6</v>
          </cell>
          <cell r="H1569" t="str">
            <v>mRNA文库</v>
          </cell>
          <cell r="I1569" t="str">
            <v>WH</v>
          </cell>
          <cell r="J1569">
            <v>64</v>
          </cell>
          <cell r="N1569" t="e">
            <v>#DIV/0!</v>
          </cell>
        </row>
        <row r="1570">
          <cell r="E1570" t="str">
            <v>HGC-Lib-2451771</v>
          </cell>
          <cell r="F1570" t="str">
            <v>N_B_N4612-19-Poly-ANC2</v>
          </cell>
          <cell r="G1570">
            <v>6</v>
          </cell>
          <cell r="H1570" t="str">
            <v>mRNA文库</v>
          </cell>
          <cell r="I1570" t="str">
            <v>WH</v>
          </cell>
          <cell r="J1570">
            <v>60.4</v>
          </cell>
          <cell r="N1570" t="e">
            <v>#DIV/0!</v>
          </cell>
        </row>
        <row r="1571">
          <cell r="E1571" t="str">
            <v>HGC-Lib-2451772</v>
          </cell>
          <cell r="F1571" t="str">
            <v>N_B_N4612-1A-Poly-ANC3</v>
          </cell>
          <cell r="G1571">
            <v>6</v>
          </cell>
          <cell r="H1571" t="str">
            <v>mRNA文库</v>
          </cell>
          <cell r="I1571" t="str">
            <v>WH</v>
          </cell>
          <cell r="J1571">
            <v>8.82</v>
          </cell>
          <cell r="N1571" t="e">
            <v>#DIV/0!</v>
          </cell>
        </row>
        <row r="1572">
          <cell r="E1572" t="str">
            <v>HGC-Lib-2451773</v>
          </cell>
          <cell r="F1572" t="str">
            <v>N_B_N4612-1B-Poly-ANC6</v>
          </cell>
          <cell r="G1572">
            <v>6</v>
          </cell>
          <cell r="H1572" t="str">
            <v>mRNA文库</v>
          </cell>
          <cell r="I1572" t="str">
            <v>WH</v>
          </cell>
          <cell r="J1572">
            <v>9.1999999999999993</v>
          </cell>
          <cell r="N1572" t="e">
            <v>#DIV/0!</v>
          </cell>
        </row>
        <row r="1573">
          <cell r="E1573" t="str">
            <v>HGC-Lib-2451774</v>
          </cell>
          <cell r="F1573" t="str">
            <v>N_B_N4612-1C-Poly-ANC9</v>
          </cell>
          <cell r="G1573">
            <v>6</v>
          </cell>
          <cell r="H1573" t="str">
            <v>mRNA文库</v>
          </cell>
          <cell r="I1573" t="str">
            <v>WH</v>
          </cell>
          <cell r="J1573">
            <v>6.98</v>
          </cell>
          <cell r="N1573" t="e">
            <v>#DIV/0!</v>
          </cell>
        </row>
        <row r="1574">
          <cell r="E1574" t="str">
            <v>HGC-Lib-2451775</v>
          </cell>
          <cell r="F1574" t="str">
            <v>N_B_N4612-1D-Poly-ANC11</v>
          </cell>
          <cell r="G1574">
            <v>6</v>
          </cell>
          <cell r="H1574" t="str">
            <v>mRNA文库</v>
          </cell>
          <cell r="I1574" t="str">
            <v>WH</v>
          </cell>
          <cell r="J1574">
            <v>7.38</v>
          </cell>
          <cell r="N1574" t="e">
            <v>#DIV/0!</v>
          </cell>
        </row>
        <row r="1575">
          <cell r="E1575" t="str">
            <v>HGC-Lib-2451776</v>
          </cell>
          <cell r="F1575" t="str">
            <v>N_B_N4612-1E-Poly-ANC4</v>
          </cell>
          <cell r="G1575">
            <v>6</v>
          </cell>
          <cell r="H1575" t="str">
            <v>mRNA文库</v>
          </cell>
          <cell r="I1575" t="str">
            <v>WH</v>
          </cell>
          <cell r="J1575">
            <v>83.6</v>
          </cell>
          <cell r="N1575" t="e">
            <v>#DIV/0!</v>
          </cell>
        </row>
        <row r="1576">
          <cell r="E1576" t="str">
            <v>HGC-Lib-2451777</v>
          </cell>
          <cell r="F1576" t="str">
            <v>N_B_N4612-1F-Poly-ANC7</v>
          </cell>
          <cell r="G1576">
            <v>6</v>
          </cell>
          <cell r="H1576" t="str">
            <v>mRNA文库</v>
          </cell>
          <cell r="I1576" t="str">
            <v>WH</v>
          </cell>
          <cell r="J1576">
            <v>7.24</v>
          </cell>
          <cell r="N1576" t="e">
            <v>#DIV/0!</v>
          </cell>
        </row>
        <row r="1577">
          <cell r="E1577" t="str">
            <v>HGC-Lib-2451778</v>
          </cell>
          <cell r="F1577" t="str">
            <v>N_B_N4612-1G-Poly-ALPS11</v>
          </cell>
          <cell r="G1577">
            <v>6</v>
          </cell>
          <cell r="H1577" t="str">
            <v>mRNA文库</v>
          </cell>
          <cell r="I1577" t="str">
            <v>WH</v>
          </cell>
          <cell r="J1577">
            <v>6.74</v>
          </cell>
          <cell r="N1577" t="e">
            <v>#DIV/0!</v>
          </cell>
        </row>
        <row r="1578">
          <cell r="E1578" t="str">
            <v>HGC-Lib-2451779</v>
          </cell>
          <cell r="F1578" t="str">
            <v>N_B_N4612-1H-Poly-ALPS3</v>
          </cell>
          <cell r="G1578">
            <v>6</v>
          </cell>
          <cell r="H1578" t="str">
            <v>mRNA文库</v>
          </cell>
          <cell r="I1578" t="str">
            <v>WH</v>
          </cell>
          <cell r="J1578">
            <v>7.42</v>
          </cell>
          <cell r="N1578" t="e">
            <v>#DIV/0!</v>
          </cell>
        </row>
        <row r="1579">
          <cell r="E1579" t="str">
            <v>HGC-Lib-2451780</v>
          </cell>
          <cell r="F1579" t="str">
            <v>N_B_N4612-1J-Poly-ALPS4</v>
          </cell>
          <cell r="G1579">
            <v>6</v>
          </cell>
          <cell r="H1579" t="str">
            <v>mRNA文库</v>
          </cell>
          <cell r="I1579" t="str">
            <v>WH</v>
          </cell>
          <cell r="J1579">
            <v>66.8</v>
          </cell>
          <cell r="N1579" t="e">
            <v>#DIV/0!</v>
          </cell>
        </row>
        <row r="1580">
          <cell r="E1580" t="str">
            <v>HGC-Lib-2451781</v>
          </cell>
          <cell r="F1580" t="str">
            <v>N_B_N4612-1K-Poly-ALPS6</v>
          </cell>
          <cell r="G1580">
            <v>6</v>
          </cell>
          <cell r="H1580" t="str">
            <v>mRNA文库</v>
          </cell>
          <cell r="I1580" t="str">
            <v>WH</v>
          </cell>
          <cell r="J1580">
            <v>6.68</v>
          </cell>
          <cell r="N1580" t="e">
            <v>#DIV/0!</v>
          </cell>
        </row>
        <row r="1581">
          <cell r="E1581" t="str">
            <v>HGC-Lib-2451782</v>
          </cell>
          <cell r="F1581" t="str">
            <v>N_B_N4612-1M-Poly-ALPS1</v>
          </cell>
          <cell r="G1581">
            <v>6</v>
          </cell>
          <cell r="H1581" t="str">
            <v>mRNA文库</v>
          </cell>
          <cell r="I1581" t="str">
            <v>WH</v>
          </cell>
          <cell r="J1581">
            <v>8.02</v>
          </cell>
          <cell r="N1581" t="e">
            <v>#DIV/0!</v>
          </cell>
        </row>
        <row r="1582">
          <cell r="E1582" t="str">
            <v>HGC-Lib-2451783</v>
          </cell>
          <cell r="F1582" t="str">
            <v>N_B_N4612-1N-Poly-ALPS13</v>
          </cell>
          <cell r="G1582">
            <v>6</v>
          </cell>
          <cell r="H1582" t="str">
            <v>mRNA文库</v>
          </cell>
          <cell r="I1582" t="str">
            <v>WH</v>
          </cell>
          <cell r="J1582">
            <v>4.62</v>
          </cell>
          <cell r="N1582" t="e">
            <v>#DIV/0!</v>
          </cell>
        </row>
        <row r="1583">
          <cell r="E1583" t="str">
            <v>HGC-Lib-2451784</v>
          </cell>
          <cell r="F1583" t="str">
            <v>N_B_N4612-1P-Poly-ALPS15</v>
          </cell>
          <cell r="G1583">
            <v>6</v>
          </cell>
          <cell r="H1583" t="str">
            <v>mRNA文库</v>
          </cell>
          <cell r="I1583" t="str">
            <v>WH</v>
          </cell>
          <cell r="J1583">
            <v>78.599999999999994</v>
          </cell>
          <cell r="N1583" t="e">
            <v>#DIV/0!</v>
          </cell>
        </row>
        <row r="1584">
          <cell r="E1584" t="str">
            <v>HGC-Lib-2451785</v>
          </cell>
          <cell r="F1584" t="str">
            <v>N_B_N4612-1Q-Poly-ALPS10</v>
          </cell>
          <cell r="G1584">
            <v>6</v>
          </cell>
          <cell r="H1584" t="str">
            <v>mRNA文库</v>
          </cell>
          <cell r="I1584" t="str">
            <v>WH</v>
          </cell>
          <cell r="J1584">
            <v>7.8</v>
          </cell>
          <cell r="N1584" t="e">
            <v>#DIV/0!</v>
          </cell>
        </row>
        <row r="1585">
          <cell r="E1585" t="str">
            <v>HGC-Lib-2451786</v>
          </cell>
          <cell r="F1585" t="str">
            <v>N_B_N4612-1R-Poly-AX2</v>
          </cell>
          <cell r="G1585">
            <v>6</v>
          </cell>
          <cell r="H1585" t="str">
            <v>mRNA文库</v>
          </cell>
          <cell r="I1585" t="str">
            <v>WH</v>
          </cell>
          <cell r="J1585">
            <v>6.34</v>
          </cell>
          <cell r="N1585" t="e">
            <v>#DIV/0!</v>
          </cell>
        </row>
        <row r="1586">
          <cell r="E1586" t="str">
            <v>HGC-Lib-2451787</v>
          </cell>
          <cell r="F1586" t="str">
            <v>N_B_N4612-1S-Poly-AX13</v>
          </cell>
          <cell r="G1586">
            <v>6</v>
          </cell>
          <cell r="H1586" t="str">
            <v>mRNA文库</v>
          </cell>
          <cell r="I1586" t="str">
            <v>WH</v>
          </cell>
          <cell r="J1586">
            <v>7.48</v>
          </cell>
          <cell r="N1586" t="e">
            <v>#DIV/0!</v>
          </cell>
        </row>
        <row r="1587">
          <cell r="E1587" t="str">
            <v>HGC-Lib-2451788</v>
          </cell>
          <cell r="F1587" t="str">
            <v>N_B_N4612-1T-Poly-AX12</v>
          </cell>
          <cell r="G1587">
            <v>6</v>
          </cell>
          <cell r="H1587" t="str">
            <v>mRNA文库</v>
          </cell>
          <cell r="I1587" t="str">
            <v>WH</v>
          </cell>
          <cell r="J1587">
            <v>6.28</v>
          </cell>
          <cell r="N1587" t="e">
            <v>#DIV/0!</v>
          </cell>
        </row>
        <row r="1588">
          <cell r="E1588" t="str">
            <v>HGC-Lib-2451789</v>
          </cell>
          <cell r="F1588" t="str">
            <v>N_B_N4612-1U-Poly-AX7</v>
          </cell>
          <cell r="G1588">
            <v>6</v>
          </cell>
          <cell r="H1588" t="str">
            <v>mRNA文库</v>
          </cell>
          <cell r="I1588" t="str">
            <v>WH</v>
          </cell>
          <cell r="J1588">
            <v>7.1</v>
          </cell>
          <cell r="N1588" t="e">
            <v>#DIV/0!</v>
          </cell>
        </row>
        <row r="1589">
          <cell r="E1589" t="str">
            <v>HGC-Lib-2451790</v>
          </cell>
          <cell r="F1589" t="str">
            <v>N_B_N4612-1V-Poly-AX8</v>
          </cell>
          <cell r="G1589">
            <v>6</v>
          </cell>
          <cell r="H1589" t="str">
            <v>mRNA文库</v>
          </cell>
          <cell r="I1589" t="str">
            <v>WH</v>
          </cell>
          <cell r="J1589">
            <v>5.36</v>
          </cell>
          <cell r="N1589" t="e">
            <v>#DIV/0!</v>
          </cell>
        </row>
        <row r="1590">
          <cell r="E1590" t="str">
            <v>HGC-Lib-2451791</v>
          </cell>
          <cell r="F1590" t="str">
            <v>N_B_N4612-1W-Poly-AX13</v>
          </cell>
          <cell r="G1590">
            <v>6</v>
          </cell>
          <cell r="H1590" t="str">
            <v>mRNA文库</v>
          </cell>
          <cell r="I1590" t="str">
            <v>WH</v>
          </cell>
          <cell r="J1590">
            <v>57.4</v>
          </cell>
          <cell r="N1590" t="e">
            <v>#DIV/0!</v>
          </cell>
        </row>
        <row r="1591">
          <cell r="E1591" t="str">
            <v>HGC-Lib-2451792</v>
          </cell>
          <cell r="F1591" t="str">
            <v>N_B_N4612-1X-Poly-AX11</v>
          </cell>
          <cell r="G1591">
            <v>6</v>
          </cell>
          <cell r="H1591" t="str">
            <v>mRNA文库</v>
          </cell>
          <cell r="I1591" t="str">
            <v>WH</v>
          </cell>
          <cell r="J1591">
            <v>75.2</v>
          </cell>
          <cell r="N1591" t="e">
            <v>#DIV/0!</v>
          </cell>
        </row>
        <row r="1592">
          <cell r="E1592" t="str">
            <v>HGC-Lib-2451793</v>
          </cell>
          <cell r="F1592" t="str">
            <v>N_B_N4612-1Y-Poly-AX9</v>
          </cell>
          <cell r="G1592">
            <v>6</v>
          </cell>
          <cell r="H1592" t="str">
            <v>mRNA文库</v>
          </cell>
          <cell r="I1592" t="str">
            <v>WH</v>
          </cell>
          <cell r="J1592">
            <v>6.96</v>
          </cell>
          <cell r="N1592" t="e">
            <v>#DIV/0!</v>
          </cell>
        </row>
        <row r="1593">
          <cell r="E1593" t="str">
            <v>HGC-Lib-2451794</v>
          </cell>
          <cell r="F1593" t="str">
            <v>day4</v>
          </cell>
          <cell r="G1593">
            <v>150</v>
          </cell>
          <cell r="H1593" t="str">
            <v>10× 3'单细胞</v>
          </cell>
          <cell r="I1593" t="str">
            <v>XCL</v>
          </cell>
          <cell r="J1593">
            <v>43.6</v>
          </cell>
          <cell r="K1593">
            <v>481</v>
          </cell>
          <cell r="L1593" t="str">
            <v>XCL</v>
          </cell>
          <cell r="N1593">
            <v>139.453062529986</v>
          </cell>
        </row>
        <row r="1594">
          <cell r="E1594" t="str">
            <v>HGC-Lib-2451795</v>
          </cell>
          <cell r="F1594" t="str">
            <v>day8</v>
          </cell>
          <cell r="G1594">
            <v>150</v>
          </cell>
          <cell r="H1594" t="str">
            <v>10× 3'单细胞</v>
          </cell>
          <cell r="I1594" t="str">
            <v>XCL</v>
          </cell>
          <cell r="J1594">
            <v>32.200000000000003</v>
          </cell>
          <cell r="K1594">
            <v>472</v>
          </cell>
          <cell r="L1594" t="str">
            <v>XCL</v>
          </cell>
          <cell r="N1594">
            <v>104.954367666232</v>
          </cell>
        </row>
        <row r="1595">
          <cell r="E1595" t="str">
            <v>HGC-Lib-2451796</v>
          </cell>
          <cell r="F1595">
            <v>1</v>
          </cell>
          <cell r="G1595">
            <v>6</v>
          </cell>
          <cell r="H1595" t="str">
            <v>mRNA文库</v>
          </cell>
          <cell r="I1595" t="str">
            <v>ZZ</v>
          </cell>
          <cell r="J1595">
            <v>12.5</v>
          </cell>
          <cell r="K1595">
            <v>313</v>
          </cell>
          <cell r="L1595" t="str">
            <v>WH</v>
          </cell>
          <cell r="N1595">
            <v>61.440157286802702</v>
          </cell>
        </row>
        <row r="1596">
          <cell r="E1596" t="str">
            <v>HGC-Lib-2451797</v>
          </cell>
          <cell r="F1596">
            <v>2</v>
          </cell>
          <cell r="G1596">
            <v>6</v>
          </cell>
          <cell r="H1596" t="str">
            <v>mRNA文库</v>
          </cell>
          <cell r="I1596" t="str">
            <v>ZZ</v>
          </cell>
          <cell r="J1596">
            <v>34.6</v>
          </cell>
          <cell r="K1596">
            <v>291</v>
          </cell>
          <cell r="L1596" t="str">
            <v>WH</v>
          </cell>
          <cell r="N1596">
            <v>182.92360560401801</v>
          </cell>
        </row>
        <row r="1597">
          <cell r="E1597" t="str">
            <v>HGC-Lib-2451798</v>
          </cell>
          <cell r="F1597">
            <v>3</v>
          </cell>
          <cell r="G1597">
            <v>6</v>
          </cell>
          <cell r="H1597" t="str">
            <v>mRNA文库</v>
          </cell>
          <cell r="I1597" t="str">
            <v>ZZ</v>
          </cell>
          <cell r="J1597">
            <v>9.42</v>
          </cell>
          <cell r="K1597">
            <v>306</v>
          </cell>
          <cell r="L1597" t="str">
            <v>WH</v>
          </cell>
          <cell r="N1597">
            <v>47.360482654600297</v>
          </cell>
        </row>
        <row r="1598">
          <cell r="E1598" t="str">
            <v>HGC-Lib-2451799</v>
          </cell>
          <cell r="F1598">
            <v>4</v>
          </cell>
          <cell r="G1598">
            <v>6</v>
          </cell>
          <cell r="H1598" t="str">
            <v>mRNA文库</v>
          </cell>
          <cell r="I1598" t="str">
            <v>ZZ</v>
          </cell>
          <cell r="J1598">
            <v>35.4</v>
          </cell>
          <cell r="K1598">
            <v>287</v>
          </cell>
          <cell r="L1598" t="str">
            <v>WH</v>
          </cell>
          <cell r="N1598">
            <v>189.761458054141</v>
          </cell>
        </row>
        <row r="1599">
          <cell r="E1599" t="str">
            <v>HGC-Lib-2451800</v>
          </cell>
          <cell r="F1599" t="str">
            <v>CL243709RAS-3-ID24-9442</v>
          </cell>
          <cell r="G1599">
            <v>6</v>
          </cell>
          <cell r="H1599" t="str">
            <v>mRNA文库</v>
          </cell>
          <cell r="I1599" t="str">
            <v>ZZ</v>
          </cell>
          <cell r="J1599">
            <v>9.4</v>
          </cell>
          <cell r="K1599">
            <v>440</v>
          </cell>
          <cell r="L1599" t="str">
            <v>WH</v>
          </cell>
          <cell r="N1599">
            <v>32.867132867132902</v>
          </cell>
        </row>
        <row r="1600">
          <cell r="E1600" t="str">
            <v>HGC-Lib-2451801</v>
          </cell>
          <cell r="F1600" t="str">
            <v>CL243710RAS-3-ID24-9442</v>
          </cell>
          <cell r="G1600">
            <v>6</v>
          </cell>
          <cell r="H1600" t="str">
            <v>mRNA文库</v>
          </cell>
          <cell r="I1600" t="str">
            <v>ZZ</v>
          </cell>
          <cell r="J1600">
            <v>12.5</v>
          </cell>
          <cell r="K1600">
            <v>439</v>
          </cell>
          <cell r="L1600" t="str">
            <v>WH</v>
          </cell>
          <cell r="N1600">
            <v>43.805852461888897</v>
          </cell>
        </row>
        <row r="1601">
          <cell r="E1601" t="str">
            <v>HGC-Lib-2451802</v>
          </cell>
          <cell r="F1601" t="str">
            <v>CL243711RAS-3-ID24-9442</v>
          </cell>
          <cell r="G1601">
            <v>6</v>
          </cell>
          <cell r="H1601" t="str">
            <v>mRNA文库</v>
          </cell>
          <cell r="I1601" t="str">
            <v>ZZ</v>
          </cell>
          <cell r="J1601">
            <v>11.3</v>
          </cell>
          <cell r="K1601">
            <v>452</v>
          </cell>
          <cell r="L1601" t="str">
            <v>WH</v>
          </cell>
          <cell r="N1601">
            <v>38.461538461538503</v>
          </cell>
        </row>
        <row r="1602">
          <cell r="E1602" t="str">
            <v>HGC-Pool-2451843</v>
          </cell>
          <cell r="F1602" t="str">
            <v>OL27304-GW130239</v>
          </cell>
          <cell r="G1602" t="str">
            <v>1000</v>
          </cell>
          <cell r="H1602" t="str">
            <v>10× 3'单细胞</v>
          </cell>
          <cell r="I1602" t="str">
            <v>WH</v>
          </cell>
          <cell r="J1602">
            <v>1.58</v>
          </cell>
          <cell r="K1602">
            <v>512</v>
          </cell>
          <cell r="L1602" t="str">
            <v>WH</v>
          </cell>
          <cell r="N1602">
            <v>4.7475961538461497</v>
          </cell>
        </row>
        <row r="1603">
          <cell r="E1603" t="str">
            <v>HGC-Pool-2451844</v>
          </cell>
          <cell r="F1603" t="str">
            <v>OL27390-GW130240</v>
          </cell>
          <cell r="G1603" t="str">
            <v>1000</v>
          </cell>
          <cell r="H1603" t="str">
            <v>10x 5'单细胞</v>
          </cell>
          <cell r="I1603" t="str">
            <v>WH</v>
          </cell>
          <cell r="J1603">
            <v>0.95</v>
          </cell>
          <cell r="K1603">
            <v>494</v>
          </cell>
          <cell r="L1603" t="str">
            <v>WH</v>
          </cell>
          <cell r="N1603">
            <v>2.9585798816567999</v>
          </cell>
        </row>
        <row r="1604">
          <cell r="E1604" t="str">
            <v>HGC-Pool-2451845</v>
          </cell>
          <cell r="F1604" t="str">
            <v>OL27380-GW130241</v>
          </cell>
          <cell r="G1604" t="str">
            <v>1000</v>
          </cell>
          <cell r="H1604" t="str">
            <v>lncRNA文库</v>
          </cell>
          <cell r="I1604" t="str">
            <v>WH</v>
          </cell>
          <cell r="J1604">
            <v>1.9550000000000001</v>
          </cell>
          <cell r="K1604">
            <v>471</v>
          </cell>
          <cell r="L1604" t="str">
            <v>WH</v>
          </cell>
          <cell r="N1604">
            <v>6.3857586150579797</v>
          </cell>
        </row>
        <row r="1605">
          <cell r="E1605" t="str">
            <v>HGC-Lib-2451849</v>
          </cell>
          <cell r="F1605" t="str">
            <v>D24060902</v>
          </cell>
          <cell r="G1605">
            <v>27</v>
          </cell>
          <cell r="H1605" t="str">
            <v>重测序</v>
          </cell>
          <cell r="I1605" t="str">
            <v>ZZ</v>
          </cell>
          <cell r="J1605">
            <v>62.4</v>
          </cell>
          <cell r="N1605" t="e">
            <v>#DIV/0!</v>
          </cell>
        </row>
        <row r="1606">
          <cell r="E1606" t="str">
            <v>HGC-Lib-2451850</v>
          </cell>
          <cell r="F1606" t="str">
            <v>D24060903</v>
          </cell>
          <cell r="G1606">
            <v>27</v>
          </cell>
          <cell r="H1606" t="str">
            <v>重测序</v>
          </cell>
          <cell r="I1606" t="str">
            <v>ZZ</v>
          </cell>
          <cell r="J1606">
            <v>45.4</v>
          </cell>
          <cell r="N1606" t="e">
            <v>#DIV/0!</v>
          </cell>
        </row>
        <row r="1607">
          <cell r="E1607" t="str">
            <v>HGC-Lib-2451851</v>
          </cell>
          <cell r="F1607" t="str">
            <v>D24060904</v>
          </cell>
          <cell r="G1607">
            <v>27</v>
          </cell>
          <cell r="H1607" t="str">
            <v>重测序</v>
          </cell>
          <cell r="I1607" t="str">
            <v>ZZ</v>
          </cell>
          <cell r="J1607">
            <v>8.44</v>
          </cell>
          <cell r="N1607" t="e">
            <v>#DIV/0!</v>
          </cell>
        </row>
        <row r="1608">
          <cell r="E1608" t="str">
            <v>HGC-Lib-2451852</v>
          </cell>
          <cell r="F1608" t="str">
            <v>D24060905</v>
          </cell>
          <cell r="G1608">
            <v>27</v>
          </cell>
          <cell r="H1608" t="str">
            <v>重测序</v>
          </cell>
          <cell r="I1608" t="str">
            <v>ZZ</v>
          </cell>
          <cell r="J1608">
            <v>36.4</v>
          </cell>
          <cell r="N1608" t="e">
            <v>#DIV/0!</v>
          </cell>
        </row>
        <row r="1609">
          <cell r="E1609" t="str">
            <v>HGC-Lib-2451853</v>
          </cell>
          <cell r="F1609" t="str">
            <v>D24060906</v>
          </cell>
          <cell r="G1609">
            <v>27</v>
          </cell>
          <cell r="H1609" t="str">
            <v>重测序</v>
          </cell>
          <cell r="I1609" t="str">
            <v>ZZ</v>
          </cell>
          <cell r="J1609">
            <v>49.4</v>
          </cell>
          <cell r="N1609" t="e">
            <v>#DIV/0!</v>
          </cell>
        </row>
        <row r="1610">
          <cell r="E1610" t="str">
            <v>HGC-Lib-2451854</v>
          </cell>
          <cell r="F1610" t="str">
            <v>D24060907</v>
          </cell>
          <cell r="G1610">
            <v>27</v>
          </cell>
          <cell r="H1610" t="str">
            <v>重测序</v>
          </cell>
          <cell r="I1610" t="str">
            <v>ZZ</v>
          </cell>
          <cell r="J1610">
            <v>36.200000000000003</v>
          </cell>
          <cell r="N1610" t="e">
            <v>#DIV/0!</v>
          </cell>
        </row>
        <row r="1611">
          <cell r="E1611" t="str">
            <v>HGC-Lib-2451855</v>
          </cell>
          <cell r="F1611" t="str">
            <v>D24060908</v>
          </cell>
          <cell r="G1611">
            <v>27</v>
          </cell>
          <cell r="H1611" t="str">
            <v>重测序</v>
          </cell>
          <cell r="I1611" t="str">
            <v>ZZ</v>
          </cell>
          <cell r="J1611">
            <v>26.4</v>
          </cell>
          <cell r="N1611" t="e">
            <v>#DIV/0!</v>
          </cell>
        </row>
        <row r="1612">
          <cell r="E1612" t="str">
            <v>HGC-Lib-2451856</v>
          </cell>
          <cell r="F1612" t="str">
            <v>D24060909</v>
          </cell>
          <cell r="G1612">
            <v>27</v>
          </cell>
          <cell r="H1612" t="str">
            <v>重测序</v>
          </cell>
          <cell r="I1612" t="str">
            <v>ZZ</v>
          </cell>
          <cell r="J1612">
            <v>56.2</v>
          </cell>
          <cell r="N1612" t="e">
            <v>#DIV/0!</v>
          </cell>
        </row>
        <row r="1613">
          <cell r="E1613" t="str">
            <v>HGC-Lib-2451857</v>
          </cell>
          <cell r="F1613" t="str">
            <v>D24060939</v>
          </cell>
          <cell r="G1613">
            <v>3</v>
          </cell>
          <cell r="H1613" t="str">
            <v>重测序</v>
          </cell>
          <cell r="I1613" t="str">
            <v>ZZ</v>
          </cell>
          <cell r="J1613">
            <v>46.2</v>
          </cell>
          <cell r="N1613" t="e">
            <v>#DIV/0!</v>
          </cell>
        </row>
        <row r="1614">
          <cell r="E1614" t="str">
            <v>HGC-Lib-2451858</v>
          </cell>
          <cell r="F1614" t="str">
            <v>D24060940</v>
          </cell>
          <cell r="G1614">
            <v>3</v>
          </cell>
          <cell r="H1614" t="str">
            <v>重测序</v>
          </cell>
          <cell r="I1614" t="str">
            <v>ZZ</v>
          </cell>
          <cell r="J1614">
            <v>43.6</v>
          </cell>
          <cell r="N1614" t="e">
            <v>#DIV/0!</v>
          </cell>
        </row>
        <row r="1615">
          <cell r="E1615" t="str">
            <v>HGC-Lib-2451859</v>
          </cell>
          <cell r="F1615" t="str">
            <v>D24060941</v>
          </cell>
          <cell r="G1615">
            <v>3</v>
          </cell>
          <cell r="H1615" t="str">
            <v>重测序</v>
          </cell>
          <cell r="I1615" t="str">
            <v>ZZ</v>
          </cell>
          <cell r="J1615">
            <v>45.6</v>
          </cell>
          <cell r="N1615" t="e">
            <v>#DIV/0!</v>
          </cell>
        </row>
        <row r="1616">
          <cell r="E1616" t="str">
            <v>HGC-Lib-2451860</v>
          </cell>
          <cell r="F1616" t="str">
            <v>D24060942</v>
          </cell>
          <cell r="G1616">
            <v>3</v>
          </cell>
          <cell r="H1616" t="str">
            <v>重测序</v>
          </cell>
          <cell r="I1616" t="str">
            <v>ZZ</v>
          </cell>
          <cell r="J1616">
            <v>46.8</v>
          </cell>
          <cell r="N1616" t="e">
            <v>#DIV/0!</v>
          </cell>
        </row>
        <row r="1617">
          <cell r="E1617" t="str">
            <v>HGC-Lib-2451861</v>
          </cell>
          <cell r="F1617" t="str">
            <v>D24060943</v>
          </cell>
          <cell r="G1617">
            <v>3</v>
          </cell>
          <cell r="H1617" t="str">
            <v>重测序</v>
          </cell>
          <cell r="I1617" t="str">
            <v>ZZ</v>
          </cell>
          <cell r="J1617">
            <v>48.6</v>
          </cell>
          <cell r="N1617" t="e">
            <v>#DIV/0!</v>
          </cell>
        </row>
        <row r="1618">
          <cell r="E1618" t="str">
            <v>HGC-Lib-2451862</v>
          </cell>
          <cell r="F1618" t="str">
            <v>D24060944</v>
          </cell>
          <cell r="G1618">
            <v>3</v>
          </cell>
          <cell r="H1618" t="str">
            <v>重测序</v>
          </cell>
          <cell r="I1618" t="str">
            <v>ZZ</v>
          </cell>
          <cell r="J1618">
            <v>48.6</v>
          </cell>
          <cell r="N1618" t="e">
            <v>#DIV/0!</v>
          </cell>
        </row>
        <row r="1619">
          <cell r="E1619" t="str">
            <v>HGC-Lib-2451863</v>
          </cell>
          <cell r="F1619" t="str">
            <v>D24060945</v>
          </cell>
          <cell r="G1619">
            <v>3</v>
          </cell>
          <cell r="H1619" t="str">
            <v>重测序</v>
          </cell>
          <cell r="I1619" t="str">
            <v>ZZ</v>
          </cell>
          <cell r="J1619">
            <v>35.799999999999997</v>
          </cell>
          <cell r="N1619" t="e">
            <v>#DIV/0!</v>
          </cell>
        </row>
        <row r="1620">
          <cell r="E1620" t="str">
            <v>HGC-Lib-2451864</v>
          </cell>
          <cell r="F1620" t="str">
            <v>D24060946</v>
          </cell>
          <cell r="G1620">
            <v>3</v>
          </cell>
          <cell r="H1620" t="str">
            <v>重测序</v>
          </cell>
          <cell r="I1620" t="str">
            <v>ZZ</v>
          </cell>
          <cell r="J1620">
            <v>29.8</v>
          </cell>
          <cell r="N1620" t="e">
            <v>#DIV/0!</v>
          </cell>
        </row>
        <row r="1621">
          <cell r="E1621" t="str">
            <v>HGC-Lib-2451865</v>
          </cell>
          <cell r="F1621" t="str">
            <v>D24060947</v>
          </cell>
          <cell r="G1621">
            <v>3</v>
          </cell>
          <cell r="H1621" t="str">
            <v>重测序</v>
          </cell>
          <cell r="I1621" t="str">
            <v>ZZ</v>
          </cell>
          <cell r="J1621">
            <v>45.8</v>
          </cell>
          <cell r="N1621" t="e">
            <v>#DIV/0!</v>
          </cell>
        </row>
        <row r="1622">
          <cell r="E1622" t="str">
            <v>HGC-Lib-2451866</v>
          </cell>
          <cell r="F1622" t="str">
            <v>D24060935</v>
          </cell>
          <cell r="G1622">
            <v>11</v>
          </cell>
          <cell r="H1622" t="str">
            <v>重测序</v>
          </cell>
          <cell r="I1622" t="str">
            <v>ZZ</v>
          </cell>
          <cell r="J1622">
            <v>17.899999999999999</v>
          </cell>
          <cell r="N1622" t="e">
            <v>#DIV/0!</v>
          </cell>
        </row>
        <row r="1623">
          <cell r="E1623" t="str">
            <v>HGC-Lib-2451867</v>
          </cell>
          <cell r="F1623" t="str">
            <v>D24060936</v>
          </cell>
          <cell r="G1623">
            <v>11</v>
          </cell>
          <cell r="H1623" t="str">
            <v>重测序</v>
          </cell>
          <cell r="I1623" t="str">
            <v>ZZ</v>
          </cell>
          <cell r="J1623">
            <v>48.8</v>
          </cell>
          <cell r="N1623" t="e">
            <v>#DIV/0!</v>
          </cell>
        </row>
        <row r="1624">
          <cell r="E1624" t="str">
            <v>HGC-Lib-2451868</v>
          </cell>
          <cell r="F1624" t="str">
            <v>D24060937</v>
          </cell>
          <cell r="G1624">
            <v>11</v>
          </cell>
          <cell r="H1624" t="str">
            <v>重测序</v>
          </cell>
          <cell r="I1624" t="str">
            <v>ZZ</v>
          </cell>
          <cell r="J1624">
            <v>51</v>
          </cell>
          <cell r="N1624" t="e">
            <v>#DIV/0!</v>
          </cell>
        </row>
        <row r="1625">
          <cell r="E1625" t="str">
            <v>HGC-Lib-2451869</v>
          </cell>
          <cell r="F1625" t="str">
            <v>D24060938</v>
          </cell>
          <cell r="G1625">
            <v>11</v>
          </cell>
          <cell r="H1625" t="str">
            <v>重测序</v>
          </cell>
          <cell r="I1625" t="str">
            <v>ZZ</v>
          </cell>
          <cell r="J1625">
            <v>55.4</v>
          </cell>
          <cell r="N1625" t="e">
            <v>#DIV/0!</v>
          </cell>
        </row>
        <row r="1626">
          <cell r="E1626" t="str">
            <v>HGC-Lib-2451870</v>
          </cell>
          <cell r="F1626" t="str">
            <v>D24060343</v>
          </cell>
          <cell r="G1626">
            <v>9</v>
          </cell>
          <cell r="H1626" t="str">
            <v>宏基因组</v>
          </cell>
          <cell r="I1626" t="str">
            <v>ZZ</v>
          </cell>
          <cell r="J1626">
            <v>9.56</v>
          </cell>
          <cell r="N1626" t="e">
            <v>#DIV/0!</v>
          </cell>
        </row>
        <row r="1627">
          <cell r="E1627" t="str">
            <v>HGC-Lib-2451871</v>
          </cell>
          <cell r="F1627" t="str">
            <v>D24060344</v>
          </cell>
          <cell r="G1627">
            <v>9</v>
          </cell>
          <cell r="H1627" t="str">
            <v>宏基因组</v>
          </cell>
          <cell r="I1627" t="str">
            <v>ZZ</v>
          </cell>
          <cell r="J1627">
            <v>9.42</v>
          </cell>
          <cell r="N1627" t="e">
            <v>#DIV/0!</v>
          </cell>
        </row>
        <row r="1628">
          <cell r="E1628" t="str">
            <v>HGC-Lib-2451872</v>
          </cell>
          <cell r="F1628" t="str">
            <v>D24060345</v>
          </cell>
          <cell r="G1628">
            <v>9</v>
          </cell>
          <cell r="H1628" t="str">
            <v>宏基因组</v>
          </cell>
          <cell r="I1628" t="str">
            <v>ZZ</v>
          </cell>
          <cell r="J1628">
            <v>9.6199999999999992</v>
          </cell>
          <cell r="N1628" t="e">
            <v>#DIV/0!</v>
          </cell>
        </row>
        <row r="1629">
          <cell r="E1629" t="str">
            <v>HGC-Lib-2451873</v>
          </cell>
          <cell r="F1629" t="str">
            <v>D24060346</v>
          </cell>
          <cell r="G1629">
            <v>9</v>
          </cell>
          <cell r="H1629" t="str">
            <v>宏基因组</v>
          </cell>
          <cell r="I1629" t="str">
            <v>ZZ</v>
          </cell>
          <cell r="J1629">
            <v>10.6</v>
          </cell>
          <cell r="N1629" t="e">
            <v>#DIV/0!</v>
          </cell>
        </row>
        <row r="1630">
          <cell r="E1630" t="str">
            <v>HGC-Lib-2451874</v>
          </cell>
          <cell r="F1630" t="str">
            <v>D24060347</v>
          </cell>
          <cell r="G1630">
            <v>9</v>
          </cell>
          <cell r="H1630" t="str">
            <v>宏基因组</v>
          </cell>
          <cell r="I1630" t="str">
            <v>ZZ</v>
          </cell>
          <cell r="J1630">
            <v>9.7799999999999994</v>
          </cell>
          <cell r="N1630" t="e">
            <v>#DIV/0!</v>
          </cell>
        </row>
        <row r="1631">
          <cell r="E1631" t="str">
            <v>HGC-Lib-2451875</v>
          </cell>
          <cell r="F1631" t="str">
            <v>D24060348</v>
          </cell>
          <cell r="G1631">
            <v>9</v>
          </cell>
          <cell r="H1631" t="str">
            <v>宏基因组</v>
          </cell>
          <cell r="I1631" t="str">
            <v>ZZ</v>
          </cell>
          <cell r="J1631">
            <v>10.8</v>
          </cell>
          <cell r="N1631" t="e">
            <v>#DIV/0!</v>
          </cell>
        </row>
        <row r="1632">
          <cell r="E1632" t="str">
            <v>HGC-Lib-2451876</v>
          </cell>
          <cell r="F1632" t="str">
            <v>D24060349</v>
          </cell>
          <cell r="G1632">
            <v>9</v>
          </cell>
          <cell r="H1632" t="str">
            <v>宏基因组</v>
          </cell>
          <cell r="I1632" t="str">
            <v>ZZ</v>
          </cell>
          <cell r="J1632">
            <v>8.68</v>
          </cell>
          <cell r="N1632" t="e">
            <v>#DIV/0!</v>
          </cell>
        </row>
        <row r="1633">
          <cell r="E1633" t="str">
            <v>HGC-Lib-2451877</v>
          </cell>
          <cell r="F1633" t="str">
            <v>D24060350</v>
          </cell>
          <cell r="G1633">
            <v>9</v>
          </cell>
          <cell r="H1633" t="str">
            <v>宏基因组</v>
          </cell>
          <cell r="I1633" t="str">
            <v>ZZ</v>
          </cell>
          <cell r="J1633">
            <v>10.199999999999999</v>
          </cell>
          <cell r="N1633" t="e">
            <v>#DIV/0!</v>
          </cell>
        </row>
        <row r="1634">
          <cell r="E1634" t="str">
            <v>HGC-Lib-2451878</v>
          </cell>
          <cell r="F1634" t="str">
            <v>D24060351</v>
          </cell>
          <cell r="G1634">
            <v>9</v>
          </cell>
          <cell r="H1634" t="str">
            <v>宏基因组</v>
          </cell>
          <cell r="I1634" t="str">
            <v>ZZ</v>
          </cell>
          <cell r="J1634">
            <v>9.5</v>
          </cell>
          <cell r="N1634" t="e">
            <v>#DIV/0!</v>
          </cell>
        </row>
        <row r="1635">
          <cell r="E1635" t="str">
            <v>HGC-Lib-2451879</v>
          </cell>
          <cell r="F1635" t="str">
            <v>D24060352</v>
          </cell>
          <cell r="G1635">
            <v>9</v>
          </cell>
          <cell r="H1635" t="str">
            <v>宏基因组</v>
          </cell>
          <cell r="I1635" t="str">
            <v>ZZ</v>
          </cell>
          <cell r="J1635">
            <v>15.5</v>
          </cell>
          <cell r="N1635" t="e">
            <v>#DIV/0!</v>
          </cell>
        </row>
        <row r="1636">
          <cell r="E1636" t="str">
            <v>HGC-Lib-2451880</v>
          </cell>
          <cell r="F1636" t="str">
            <v>D24060353</v>
          </cell>
          <cell r="G1636">
            <v>9</v>
          </cell>
          <cell r="H1636" t="str">
            <v>宏基因组</v>
          </cell>
          <cell r="I1636" t="str">
            <v>ZZ</v>
          </cell>
          <cell r="J1636">
            <v>11.6</v>
          </cell>
          <cell r="N1636" t="e">
            <v>#DIV/0!</v>
          </cell>
        </row>
        <row r="1637">
          <cell r="E1637" t="str">
            <v>HGC-Lib-2451881</v>
          </cell>
          <cell r="F1637" t="str">
            <v>D24060354</v>
          </cell>
          <cell r="G1637">
            <v>9</v>
          </cell>
          <cell r="H1637" t="str">
            <v>宏基因组</v>
          </cell>
          <cell r="I1637" t="str">
            <v>ZZ</v>
          </cell>
          <cell r="J1637">
            <v>9.4600000000000009</v>
          </cell>
          <cell r="N1637" t="e">
            <v>#DIV/0!</v>
          </cell>
        </row>
        <row r="1638">
          <cell r="E1638" t="str">
            <v>HGC-Lib-2451882</v>
          </cell>
          <cell r="F1638" t="str">
            <v>D24060355</v>
          </cell>
          <cell r="G1638">
            <v>9</v>
          </cell>
          <cell r="H1638" t="str">
            <v>宏基因组</v>
          </cell>
          <cell r="I1638" t="str">
            <v>ZZ</v>
          </cell>
          <cell r="J1638">
            <v>6.32</v>
          </cell>
          <cell r="N1638" t="e">
            <v>#DIV/0!</v>
          </cell>
        </row>
        <row r="1639">
          <cell r="E1639" t="str">
            <v>HGC-Lib-2451883</v>
          </cell>
          <cell r="F1639" t="str">
            <v>D24060356</v>
          </cell>
          <cell r="G1639">
            <v>9</v>
          </cell>
          <cell r="H1639" t="str">
            <v>宏基因组</v>
          </cell>
          <cell r="I1639" t="str">
            <v>ZZ</v>
          </cell>
          <cell r="J1639">
            <v>7.82</v>
          </cell>
          <cell r="N1639" t="e">
            <v>#DIV/0!</v>
          </cell>
        </row>
        <row r="1640">
          <cell r="E1640" t="str">
            <v>HGC-Lib-2451884</v>
          </cell>
          <cell r="F1640" t="str">
            <v>D24060357</v>
          </cell>
          <cell r="G1640">
            <v>9</v>
          </cell>
          <cell r="H1640" t="str">
            <v>宏基因组</v>
          </cell>
          <cell r="I1640" t="str">
            <v>ZZ</v>
          </cell>
          <cell r="J1640">
            <v>7.4</v>
          </cell>
          <cell r="N1640" t="e">
            <v>#DIV/0!</v>
          </cell>
        </row>
        <row r="1641">
          <cell r="E1641" t="str">
            <v>HGC-Lib-2451885</v>
          </cell>
          <cell r="F1641" t="str">
            <v>D24060358</v>
          </cell>
          <cell r="G1641">
            <v>9</v>
          </cell>
          <cell r="H1641" t="str">
            <v>宏基因组</v>
          </cell>
          <cell r="I1641" t="str">
            <v>ZZ</v>
          </cell>
          <cell r="J1641">
            <v>9.6199999999999992</v>
          </cell>
          <cell r="N1641" t="e">
            <v>#DIV/0!</v>
          </cell>
        </row>
        <row r="1642">
          <cell r="E1642" t="str">
            <v>HGC-Lib-2451886</v>
          </cell>
          <cell r="F1642" t="str">
            <v>D24060359</v>
          </cell>
          <cell r="G1642">
            <v>9</v>
          </cell>
          <cell r="H1642" t="str">
            <v>宏基因组</v>
          </cell>
          <cell r="I1642" t="str">
            <v>ZZ</v>
          </cell>
          <cell r="J1642">
            <v>11.2</v>
          </cell>
          <cell r="N1642" t="e">
            <v>#DIV/0!</v>
          </cell>
        </row>
        <row r="1643">
          <cell r="E1643" t="str">
            <v>HGC-Lib-2451887</v>
          </cell>
          <cell r="F1643" t="str">
            <v>D24060360</v>
          </cell>
          <cell r="G1643">
            <v>9</v>
          </cell>
          <cell r="H1643" t="str">
            <v>宏基因组</v>
          </cell>
          <cell r="I1643" t="str">
            <v>ZZ</v>
          </cell>
          <cell r="J1643">
            <v>13.3</v>
          </cell>
          <cell r="N1643" t="e">
            <v>#DIV/0!</v>
          </cell>
        </row>
        <row r="1644">
          <cell r="E1644" t="str">
            <v>HGC-Lib-2451888</v>
          </cell>
          <cell r="F1644" t="str">
            <v>D24060361</v>
          </cell>
          <cell r="G1644">
            <v>9</v>
          </cell>
          <cell r="H1644" t="str">
            <v>宏基因组</v>
          </cell>
          <cell r="I1644" t="str">
            <v>ZZ</v>
          </cell>
          <cell r="J1644">
            <v>10.3</v>
          </cell>
          <cell r="N1644" t="e">
            <v>#DIV/0!</v>
          </cell>
        </row>
        <row r="1645">
          <cell r="E1645" t="str">
            <v>HGC-Lib-2451889</v>
          </cell>
          <cell r="F1645" t="str">
            <v>D24060362</v>
          </cell>
          <cell r="G1645">
            <v>9</v>
          </cell>
          <cell r="H1645" t="str">
            <v>宏基因组</v>
          </cell>
          <cell r="I1645" t="str">
            <v>ZZ</v>
          </cell>
          <cell r="J1645">
            <v>7.14</v>
          </cell>
          <cell r="N1645" t="e">
            <v>#DIV/0!</v>
          </cell>
        </row>
        <row r="1646">
          <cell r="E1646" t="str">
            <v>HGC-Lib-2451890</v>
          </cell>
          <cell r="F1646" t="str">
            <v>D24060363</v>
          </cell>
          <cell r="G1646">
            <v>9</v>
          </cell>
          <cell r="H1646" t="str">
            <v>宏基因组</v>
          </cell>
          <cell r="I1646" t="str">
            <v>ZZ</v>
          </cell>
          <cell r="J1646">
            <v>13.7</v>
          </cell>
          <cell r="N1646" t="e">
            <v>#DIV/0!</v>
          </cell>
        </row>
        <row r="1647">
          <cell r="E1647" t="str">
            <v>HGC-Lib-2451891</v>
          </cell>
          <cell r="F1647" t="str">
            <v>D24060364</v>
          </cell>
          <cell r="G1647">
            <v>9</v>
          </cell>
          <cell r="H1647" t="str">
            <v>宏基因组</v>
          </cell>
          <cell r="I1647" t="str">
            <v>ZZ</v>
          </cell>
          <cell r="J1647">
            <v>7.96</v>
          </cell>
          <cell r="N1647" t="e">
            <v>#DIV/0!</v>
          </cell>
        </row>
        <row r="1648">
          <cell r="E1648" t="str">
            <v>HGC-Lib-2451892</v>
          </cell>
          <cell r="F1648" t="str">
            <v>D24060365</v>
          </cell>
          <cell r="G1648">
            <v>9</v>
          </cell>
          <cell r="H1648" t="str">
            <v>宏基因组</v>
          </cell>
          <cell r="I1648" t="str">
            <v>ZZ</v>
          </cell>
          <cell r="J1648">
            <v>6.88</v>
          </cell>
          <cell r="N1648" t="e">
            <v>#DIV/0!</v>
          </cell>
        </row>
        <row r="1649">
          <cell r="E1649" t="str">
            <v>HGC-Lib-2451893</v>
          </cell>
          <cell r="F1649" t="str">
            <v>D24060366</v>
          </cell>
          <cell r="G1649">
            <v>9</v>
          </cell>
          <cell r="H1649" t="str">
            <v>宏基因组</v>
          </cell>
          <cell r="I1649" t="str">
            <v>ZZ</v>
          </cell>
          <cell r="J1649">
            <v>10.8</v>
          </cell>
          <cell r="N1649" t="e">
            <v>#DIV/0!</v>
          </cell>
        </row>
        <row r="1650">
          <cell r="E1650" t="str">
            <v>HGC-POOL-2451894</v>
          </cell>
          <cell r="F1650" t="str">
            <v>D24060556-HUN</v>
          </cell>
          <cell r="G1650">
            <v>60</v>
          </cell>
          <cell r="H1650" t="str">
            <v>外显子</v>
          </cell>
          <cell r="I1650" t="str">
            <v>ZZ</v>
          </cell>
          <cell r="J1650">
            <v>22.6</v>
          </cell>
          <cell r="N1650" t="e">
            <v>#DIV/0!</v>
          </cell>
        </row>
        <row r="1651">
          <cell r="E1651" t="str">
            <v>HGC-Lib-2451895</v>
          </cell>
          <cell r="F1651" t="str">
            <v>D24060063</v>
          </cell>
          <cell r="G1651">
            <v>20</v>
          </cell>
          <cell r="H1651" t="str">
            <v>重测序</v>
          </cell>
          <cell r="I1651" t="str">
            <v>YHT</v>
          </cell>
          <cell r="J1651">
            <v>4.9800000000000004</v>
          </cell>
          <cell r="M1651" t="str">
            <v>加水10ul</v>
          </cell>
          <cell r="N1651" t="e">
            <v>#DIV/0!</v>
          </cell>
        </row>
        <row r="1652">
          <cell r="E1652" t="str">
            <v>HGC-Lib-2451896</v>
          </cell>
          <cell r="F1652" t="str">
            <v>D24060068</v>
          </cell>
          <cell r="G1652">
            <v>20</v>
          </cell>
          <cell r="H1652" t="str">
            <v>重测序</v>
          </cell>
          <cell r="I1652" t="str">
            <v>WWH</v>
          </cell>
          <cell r="J1652">
            <v>49.2</v>
          </cell>
          <cell r="N1652" t="e">
            <v>#DIV/0!</v>
          </cell>
        </row>
        <row r="1653">
          <cell r="E1653" t="str">
            <v>HGC-Lib-2451897</v>
          </cell>
          <cell r="F1653" t="str">
            <v>D24060071</v>
          </cell>
          <cell r="G1653">
            <v>20</v>
          </cell>
          <cell r="H1653" t="str">
            <v>重测序</v>
          </cell>
          <cell r="I1653" t="str">
            <v>WWH</v>
          </cell>
          <cell r="J1653">
            <v>73</v>
          </cell>
          <cell r="N1653" t="e">
            <v>#DIV/0!</v>
          </cell>
        </row>
        <row r="1654">
          <cell r="E1654" t="str">
            <v>HGC-Lib-2451898</v>
          </cell>
          <cell r="F1654" t="str">
            <v>D24060074</v>
          </cell>
          <cell r="G1654">
            <v>20</v>
          </cell>
          <cell r="H1654" t="str">
            <v>重测序</v>
          </cell>
          <cell r="I1654" t="str">
            <v>WWH</v>
          </cell>
          <cell r="J1654">
            <v>61.2</v>
          </cell>
          <cell r="N1654" t="e">
            <v>#DIV/0!</v>
          </cell>
        </row>
        <row r="1655">
          <cell r="E1655" t="str">
            <v>HGC-Lib-2451899</v>
          </cell>
          <cell r="F1655" t="str">
            <v>D24060075</v>
          </cell>
          <cell r="G1655">
            <v>20</v>
          </cell>
          <cell r="H1655" t="str">
            <v>重测序</v>
          </cell>
          <cell r="I1655" t="str">
            <v>WWH</v>
          </cell>
          <cell r="J1655">
            <v>60.2</v>
          </cell>
          <cell r="N1655" t="e">
            <v>#DIV/0!</v>
          </cell>
        </row>
        <row r="1656">
          <cell r="E1656" t="str">
            <v>HGC-Lib-2451900</v>
          </cell>
          <cell r="F1656" t="str">
            <v>D24060076</v>
          </cell>
          <cell r="G1656">
            <v>20</v>
          </cell>
          <cell r="H1656" t="str">
            <v>重测序</v>
          </cell>
          <cell r="I1656" t="str">
            <v>WWH</v>
          </cell>
          <cell r="J1656">
            <v>31.6</v>
          </cell>
          <cell r="N1656" t="e">
            <v>#DIV/0!</v>
          </cell>
        </row>
        <row r="1657">
          <cell r="E1657" t="str">
            <v>HGC-Lib-2451901</v>
          </cell>
          <cell r="F1657" t="str">
            <v>D24060078</v>
          </cell>
          <cell r="G1657">
            <v>20</v>
          </cell>
          <cell r="H1657" t="str">
            <v>重测序</v>
          </cell>
          <cell r="I1657" t="str">
            <v>WWH</v>
          </cell>
          <cell r="J1657">
            <v>45.2</v>
          </cell>
          <cell r="N1657" t="e">
            <v>#DIV/0!</v>
          </cell>
        </row>
        <row r="1658">
          <cell r="E1658" t="str">
            <v>HGC-Lib-2451902</v>
          </cell>
          <cell r="F1658" t="str">
            <v>D24060079</v>
          </cell>
          <cell r="G1658">
            <v>20</v>
          </cell>
          <cell r="H1658" t="str">
            <v>重测序</v>
          </cell>
          <cell r="I1658" t="str">
            <v>WWH</v>
          </cell>
          <cell r="J1658">
            <v>76.400000000000006</v>
          </cell>
          <cell r="N1658" t="e">
            <v>#DIV/0!</v>
          </cell>
        </row>
        <row r="1659">
          <cell r="E1659" t="str">
            <v>HGC-Lib-2451903</v>
          </cell>
          <cell r="F1659" t="str">
            <v>D24060080</v>
          </cell>
          <cell r="G1659">
            <v>20</v>
          </cell>
          <cell r="H1659" t="str">
            <v>重测序</v>
          </cell>
          <cell r="I1659" t="str">
            <v>WWH</v>
          </cell>
          <cell r="J1659">
            <v>53.4</v>
          </cell>
          <cell r="N1659" t="e">
            <v>#DIV/0!</v>
          </cell>
        </row>
        <row r="1660">
          <cell r="E1660" t="str">
            <v>HGC-Lib-2451904</v>
          </cell>
          <cell r="F1660" t="str">
            <v>D24060081</v>
          </cell>
          <cell r="G1660">
            <v>20</v>
          </cell>
          <cell r="H1660" t="str">
            <v>重测序</v>
          </cell>
          <cell r="I1660" t="str">
            <v>WWH</v>
          </cell>
          <cell r="J1660">
            <v>42.6</v>
          </cell>
          <cell r="N1660" t="e">
            <v>#DIV/0!</v>
          </cell>
        </row>
        <row r="1661">
          <cell r="E1661" t="str">
            <v>HGC-Lib-2451905</v>
          </cell>
          <cell r="F1661" t="str">
            <v>D24060082</v>
          </cell>
          <cell r="G1661">
            <v>20</v>
          </cell>
          <cell r="H1661" t="str">
            <v>重测序</v>
          </cell>
          <cell r="I1661" t="str">
            <v>WWH</v>
          </cell>
          <cell r="J1661">
            <v>49.8</v>
          </cell>
          <cell r="N1661" t="e">
            <v>#DIV/0!</v>
          </cell>
        </row>
        <row r="1662">
          <cell r="E1662" t="str">
            <v>HGC-Lib-2451906</v>
          </cell>
          <cell r="F1662" t="str">
            <v>D24060083</v>
          </cell>
          <cell r="G1662">
            <v>20</v>
          </cell>
          <cell r="H1662" t="str">
            <v>重测序</v>
          </cell>
          <cell r="I1662" t="str">
            <v>WWH</v>
          </cell>
          <cell r="J1662">
            <v>58.6</v>
          </cell>
          <cell r="N1662" t="e">
            <v>#DIV/0!</v>
          </cell>
        </row>
        <row r="1663">
          <cell r="E1663" t="str">
            <v>HGC-Lib-2451907</v>
          </cell>
          <cell r="F1663" t="str">
            <v>D24060084</v>
          </cell>
          <cell r="G1663">
            <v>20</v>
          </cell>
          <cell r="H1663" t="str">
            <v>重测序</v>
          </cell>
          <cell r="I1663" t="str">
            <v>WWH</v>
          </cell>
          <cell r="J1663">
            <v>60.2</v>
          </cell>
          <cell r="N1663" t="e">
            <v>#DIV/0!</v>
          </cell>
        </row>
        <row r="1664">
          <cell r="E1664" t="str">
            <v>HGC-Lib-2451908</v>
          </cell>
          <cell r="F1664" t="str">
            <v>D24060085</v>
          </cell>
          <cell r="G1664">
            <v>20</v>
          </cell>
          <cell r="H1664" t="str">
            <v>重测序</v>
          </cell>
          <cell r="I1664" t="str">
            <v>WWH</v>
          </cell>
          <cell r="J1664">
            <v>44</v>
          </cell>
          <cell r="N1664" t="e">
            <v>#DIV/0!</v>
          </cell>
        </row>
        <row r="1665">
          <cell r="E1665" t="str">
            <v>HGC-Lib-2451909</v>
          </cell>
          <cell r="F1665" t="str">
            <v>D24060086</v>
          </cell>
          <cell r="G1665">
            <v>20</v>
          </cell>
          <cell r="H1665" t="str">
            <v>重测序</v>
          </cell>
          <cell r="I1665" t="str">
            <v>WWH</v>
          </cell>
          <cell r="J1665">
            <v>56.6</v>
          </cell>
          <cell r="N1665" t="e">
            <v>#DIV/0!</v>
          </cell>
        </row>
        <row r="1666">
          <cell r="E1666" t="str">
            <v>HGC-Lib-2451910</v>
          </cell>
          <cell r="F1666" t="str">
            <v>D24060087</v>
          </cell>
          <cell r="G1666">
            <v>20</v>
          </cell>
          <cell r="H1666" t="str">
            <v>重测序</v>
          </cell>
          <cell r="I1666" t="str">
            <v>WWH</v>
          </cell>
          <cell r="J1666">
            <v>44.8</v>
          </cell>
          <cell r="N1666" t="e">
            <v>#DIV/0!</v>
          </cell>
        </row>
        <row r="1667">
          <cell r="E1667" t="str">
            <v>HGC-Lib-2451911</v>
          </cell>
          <cell r="F1667" t="str">
            <v>D24060088</v>
          </cell>
          <cell r="G1667">
            <v>20</v>
          </cell>
          <cell r="H1667" t="str">
            <v>重测序</v>
          </cell>
          <cell r="I1667" t="str">
            <v>WWH</v>
          </cell>
          <cell r="J1667">
            <v>37</v>
          </cell>
          <cell r="N1667" t="e">
            <v>#DIV/0!</v>
          </cell>
        </row>
        <row r="1668">
          <cell r="E1668" t="str">
            <v>HGC-Lib-2451912</v>
          </cell>
          <cell r="F1668" t="str">
            <v>D24060089</v>
          </cell>
          <cell r="G1668">
            <v>20</v>
          </cell>
          <cell r="H1668" t="str">
            <v>重测序</v>
          </cell>
          <cell r="I1668" t="str">
            <v>WWH</v>
          </cell>
          <cell r="J1668">
            <v>39.6</v>
          </cell>
          <cell r="N1668" t="e">
            <v>#DIV/0!</v>
          </cell>
        </row>
        <row r="1669">
          <cell r="E1669" t="str">
            <v>HGC-Lib-2451913</v>
          </cell>
          <cell r="F1669" t="str">
            <v>D24060090</v>
          </cell>
          <cell r="G1669">
            <v>20</v>
          </cell>
          <cell r="H1669" t="str">
            <v>重测序</v>
          </cell>
          <cell r="I1669" t="str">
            <v>WWH</v>
          </cell>
          <cell r="J1669">
            <v>40.200000000000003</v>
          </cell>
          <cell r="N1669" t="e">
            <v>#DIV/0!</v>
          </cell>
        </row>
        <row r="1670">
          <cell r="E1670" t="str">
            <v>HGC-Lib-2451914</v>
          </cell>
          <cell r="F1670" t="str">
            <v>D24060091</v>
          </cell>
          <cell r="G1670">
            <v>20</v>
          </cell>
          <cell r="H1670" t="str">
            <v>重测序</v>
          </cell>
          <cell r="I1670" t="str">
            <v>WWH</v>
          </cell>
          <cell r="J1670">
            <v>52.6</v>
          </cell>
          <cell r="N1670" t="e">
            <v>#DIV/0!</v>
          </cell>
        </row>
        <row r="1671">
          <cell r="E1671" t="str">
            <v>HGC-Lib-2451915</v>
          </cell>
          <cell r="F1671" t="str">
            <v>D24060330</v>
          </cell>
          <cell r="G1671">
            <v>20</v>
          </cell>
          <cell r="H1671" t="str">
            <v>重测序</v>
          </cell>
          <cell r="I1671" t="str">
            <v>WWH</v>
          </cell>
          <cell r="J1671">
            <v>84.2</v>
          </cell>
          <cell r="N1671" t="e">
            <v>#DIV/0!</v>
          </cell>
        </row>
        <row r="1672">
          <cell r="E1672" t="str">
            <v>HGC-Lib-2451916</v>
          </cell>
          <cell r="F1672" t="str">
            <v>D24060331</v>
          </cell>
          <cell r="G1672">
            <v>20</v>
          </cell>
          <cell r="H1672" t="str">
            <v>重测序</v>
          </cell>
          <cell r="I1672" t="str">
            <v>WWH</v>
          </cell>
          <cell r="J1672">
            <v>46.4</v>
          </cell>
          <cell r="N1672" t="e">
            <v>#DIV/0!</v>
          </cell>
        </row>
        <row r="1673">
          <cell r="E1673" t="str">
            <v>HGC-Lib-2451917</v>
          </cell>
          <cell r="F1673" t="str">
            <v>D24060332</v>
          </cell>
          <cell r="G1673">
            <v>20</v>
          </cell>
          <cell r="H1673" t="str">
            <v>重测序</v>
          </cell>
          <cell r="I1673" t="str">
            <v>WWH</v>
          </cell>
          <cell r="J1673">
            <v>73.8</v>
          </cell>
          <cell r="N1673" t="e">
            <v>#DIV/0!</v>
          </cell>
        </row>
        <row r="1674">
          <cell r="E1674" t="str">
            <v>HGC-Lib-2451918</v>
          </cell>
          <cell r="F1674" t="str">
            <v>D24060333</v>
          </cell>
          <cell r="G1674">
            <v>20</v>
          </cell>
          <cell r="H1674" t="str">
            <v>重测序</v>
          </cell>
          <cell r="I1674" t="str">
            <v>WWH</v>
          </cell>
          <cell r="J1674">
            <v>64.8</v>
          </cell>
          <cell r="N1674" t="e">
            <v>#DIV/0!</v>
          </cell>
        </row>
        <row r="1675">
          <cell r="E1675" t="str">
            <v>HGC-Lib-2451919</v>
          </cell>
          <cell r="F1675" t="str">
            <v>D24060334</v>
          </cell>
          <cell r="G1675">
            <v>20</v>
          </cell>
          <cell r="H1675" t="str">
            <v>重测序</v>
          </cell>
          <cell r="I1675" t="str">
            <v>WWH</v>
          </cell>
          <cell r="J1675">
            <v>24.7</v>
          </cell>
          <cell r="N1675" t="e">
            <v>#DIV/0!</v>
          </cell>
        </row>
        <row r="1676">
          <cell r="E1676" t="str">
            <v>HGC-Lib-2451920</v>
          </cell>
          <cell r="F1676" t="str">
            <v>D24060335</v>
          </cell>
          <cell r="G1676">
            <v>20</v>
          </cell>
          <cell r="H1676" t="str">
            <v>重测序</v>
          </cell>
          <cell r="I1676" t="str">
            <v>WWH</v>
          </cell>
          <cell r="J1676">
            <v>71.400000000000006</v>
          </cell>
          <cell r="N1676" t="e">
            <v>#DIV/0!</v>
          </cell>
        </row>
        <row r="1677">
          <cell r="E1677" t="str">
            <v>HGC-Lib-2451921</v>
          </cell>
          <cell r="F1677" t="str">
            <v>D24060336</v>
          </cell>
          <cell r="G1677">
            <v>20</v>
          </cell>
          <cell r="H1677" t="str">
            <v>重测序</v>
          </cell>
          <cell r="I1677" t="str">
            <v>WWH</v>
          </cell>
          <cell r="J1677">
            <v>67</v>
          </cell>
          <cell r="N1677" t="e">
            <v>#DIV/0!</v>
          </cell>
        </row>
        <row r="1678">
          <cell r="E1678" t="str">
            <v>HGC-Lib-2451922</v>
          </cell>
          <cell r="F1678" t="str">
            <v>D24060337</v>
          </cell>
          <cell r="G1678">
            <v>20</v>
          </cell>
          <cell r="H1678" t="str">
            <v>重测序</v>
          </cell>
          <cell r="I1678" t="str">
            <v>WWH</v>
          </cell>
          <cell r="J1678">
            <v>38</v>
          </cell>
          <cell r="N1678" t="e">
            <v>#DIV/0!</v>
          </cell>
        </row>
        <row r="1679">
          <cell r="E1679" t="str">
            <v>HGC-Lib-2451923</v>
          </cell>
          <cell r="F1679" t="str">
            <v>D24060338</v>
          </cell>
          <cell r="G1679">
            <v>20</v>
          </cell>
          <cell r="H1679" t="str">
            <v>重测序</v>
          </cell>
          <cell r="I1679" t="str">
            <v>WWH</v>
          </cell>
          <cell r="J1679">
            <v>38</v>
          </cell>
          <cell r="N1679" t="e">
            <v>#DIV/0!</v>
          </cell>
        </row>
        <row r="1680">
          <cell r="E1680" t="str">
            <v>HGC-Lib-2451924</v>
          </cell>
          <cell r="F1680" t="str">
            <v>D24060339</v>
          </cell>
          <cell r="G1680">
            <v>20</v>
          </cell>
          <cell r="H1680" t="str">
            <v>重测序</v>
          </cell>
          <cell r="I1680" t="str">
            <v>WWH</v>
          </cell>
          <cell r="J1680">
            <v>80</v>
          </cell>
          <cell r="N1680" t="e">
            <v>#DIV/0!</v>
          </cell>
        </row>
        <row r="1681">
          <cell r="E1681" t="str">
            <v>HGC-Lib-2451925</v>
          </cell>
          <cell r="F1681" t="str">
            <v>D24060340</v>
          </cell>
          <cell r="G1681">
            <v>20</v>
          </cell>
          <cell r="H1681" t="str">
            <v>重测序</v>
          </cell>
          <cell r="I1681" t="str">
            <v>WWH</v>
          </cell>
          <cell r="J1681">
            <v>64.8</v>
          </cell>
          <cell r="N1681" t="e">
            <v>#DIV/0!</v>
          </cell>
        </row>
        <row r="1682">
          <cell r="E1682" t="str">
            <v>HGC-Lib-2451926</v>
          </cell>
          <cell r="F1682" t="str">
            <v>D24060341</v>
          </cell>
          <cell r="G1682">
            <v>20</v>
          </cell>
          <cell r="H1682" t="str">
            <v>重测序</v>
          </cell>
          <cell r="I1682" t="str">
            <v>WWH</v>
          </cell>
          <cell r="J1682">
            <v>63.6</v>
          </cell>
          <cell r="N1682" t="e">
            <v>#DIV/0!</v>
          </cell>
        </row>
        <row r="1683">
          <cell r="E1683" t="str">
            <v>HGC-Lib-2451927</v>
          </cell>
          <cell r="F1683" t="str">
            <v>D24060342</v>
          </cell>
          <cell r="G1683">
            <v>20</v>
          </cell>
          <cell r="H1683" t="str">
            <v>重测序</v>
          </cell>
          <cell r="I1683" t="str">
            <v>WWH</v>
          </cell>
          <cell r="J1683">
            <v>64</v>
          </cell>
          <cell r="N1683" t="e">
            <v>#DIV/0!</v>
          </cell>
        </row>
        <row r="1684">
          <cell r="E1684" t="str">
            <v>HGC-Lib-2451928</v>
          </cell>
          <cell r="F1684" t="str">
            <v>D24060874</v>
          </cell>
          <cell r="G1684">
            <v>11</v>
          </cell>
          <cell r="H1684" t="str">
            <v>重测序</v>
          </cell>
          <cell r="I1684" t="str">
            <v>WWH</v>
          </cell>
          <cell r="J1684">
            <v>68.8</v>
          </cell>
          <cell r="N1684" t="e">
            <v>#DIV/0!</v>
          </cell>
        </row>
        <row r="1685">
          <cell r="E1685" t="str">
            <v>HGC-Lib-2451929</v>
          </cell>
          <cell r="F1685" t="str">
            <v>D24060875</v>
          </cell>
          <cell r="G1685">
            <v>11</v>
          </cell>
          <cell r="H1685" t="str">
            <v>重测序</v>
          </cell>
          <cell r="I1685" t="str">
            <v>WWH</v>
          </cell>
          <cell r="J1685">
            <v>70.599999999999994</v>
          </cell>
          <cell r="N1685" t="e">
            <v>#DIV/0!</v>
          </cell>
        </row>
        <row r="1686">
          <cell r="E1686" t="str">
            <v>HGC-Lib-2452052</v>
          </cell>
          <cell r="F1686" t="str">
            <v>LHC240629029</v>
          </cell>
          <cell r="G1686">
            <v>50</v>
          </cell>
          <cell r="H1686" t="str">
            <v>singleron-3'转录组文库</v>
          </cell>
          <cell r="I1686" t="str">
            <v>XCL</v>
          </cell>
          <cell r="J1686">
            <v>7.94</v>
          </cell>
          <cell r="N1686" t="e">
            <v>#DIV/0!</v>
          </cell>
        </row>
        <row r="1687">
          <cell r="E1687" t="str">
            <v>HGC-Lib-2452053</v>
          </cell>
          <cell r="F1687" t="str">
            <v>LHC240629030</v>
          </cell>
          <cell r="G1687">
            <v>50</v>
          </cell>
          <cell r="H1687" t="str">
            <v>singleron-3'转录组文库</v>
          </cell>
          <cell r="I1687" t="str">
            <v>XCL</v>
          </cell>
          <cell r="J1687">
            <v>10.199999999999999</v>
          </cell>
          <cell r="N1687" t="e">
            <v>#DIV/0!</v>
          </cell>
        </row>
        <row r="1688">
          <cell r="E1688" t="str">
            <v>HGC-Lib-2452054</v>
          </cell>
          <cell r="F1688" t="str">
            <v>FOCLFC240629079</v>
          </cell>
          <cell r="G1688">
            <v>12</v>
          </cell>
          <cell r="H1688" t="str">
            <v>其他碱基不平衡文库</v>
          </cell>
          <cell r="I1688" t="str">
            <v>XCL</v>
          </cell>
          <cell r="J1688">
            <v>9.9600000000000009</v>
          </cell>
          <cell r="N1688" t="e">
            <v>#DIV/0!</v>
          </cell>
        </row>
        <row r="1689">
          <cell r="E1689" t="str">
            <v>HGC-Lib-2452055</v>
          </cell>
          <cell r="F1689" t="str">
            <v>FOCLFC240629080</v>
          </cell>
          <cell r="G1689">
            <v>12</v>
          </cell>
          <cell r="H1689" t="str">
            <v>其他碱基不平衡文库</v>
          </cell>
          <cell r="I1689" t="str">
            <v>XCL</v>
          </cell>
          <cell r="J1689">
            <v>8.48</v>
          </cell>
          <cell r="N1689" t="e">
            <v>#DIV/0!</v>
          </cell>
        </row>
        <row r="1690">
          <cell r="E1690" t="str">
            <v>HGC-Lib-2452056</v>
          </cell>
          <cell r="F1690" t="str">
            <v>PMLFTBC240621083X1</v>
          </cell>
          <cell r="G1690">
            <v>12</v>
          </cell>
          <cell r="H1690" t="str">
            <v>其他碱基不平衡文库</v>
          </cell>
          <cell r="I1690" t="str">
            <v>XCL</v>
          </cell>
          <cell r="J1690">
            <v>83.6</v>
          </cell>
          <cell r="N1690" t="e">
            <v>#DIV/0!</v>
          </cell>
        </row>
        <row r="1691">
          <cell r="E1691" t="str">
            <v>HGC-Lib-2452057</v>
          </cell>
          <cell r="F1691" t="str">
            <v>LC240629013</v>
          </cell>
          <cell r="G1691">
            <v>100</v>
          </cell>
          <cell r="H1691" t="str">
            <v>singleron-3'转录组文库</v>
          </cell>
          <cell r="I1691" t="str">
            <v>XCL</v>
          </cell>
          <cell r="J1691">
            <v>21.8</v>
          </cell>
          <cell r="N1691" t="e">
            <v>#DIV/0!</v>
          </cell>
        </row>
        <row r="1692">
          <cell r="E1692" t="str">
            <v>HGC-Lib-2452058</v>
          </cell>
          <cell r="F1692" t="str">
            <v>LC240628024</v>
          </cell>
          <cell r="G1692">
            <v>200</v>
          </cell>
          <cell r="H1692" t="str">
            <v>singleron-3'转录组文库</v>
          </cell>
          <cell r="I1692" t="str">
            <v>XCL</v>
          </cell>
          <cell r="J1692">
            <v>25.8</v>
          </cell>
          <cell r="N1692" t="e">
            <v>#DIV/0!</v>
          </cell>
        </row>
        <row r="1693">
          <cell r="E1693" t="str">
            <v>HGC-Lib-2452059</v>
          </cell>
          <cell r="F1693" t="str">
            <v>LC240629011</v>
          </cell>
          <cell r="G1693">
            <v>100</v>
          </cell>
          <cell r="H1693" t="str">
            <v>singleron-3'转录组文库</v>
          </cell>
          <cell r="I1693" t="str">
            <v>XCL</v>
          </cell>
          <cell r="J1693">
            <v>16.899999999999999</v>
          </cell>
          <cell r="N1693" t="e">
            <v>#DIV/0!</v>
          </cell>
        </row>
        <row r="1694">
          <cell r="E1694" t="str">
            <v>HGC-Lib-2452060</v>
          </cell>
          <cell r="F1694" t="str">
            <v>LC240629010</v>
          </cell>
          <cell r="G1694">
            <v>10</v>
          </cell>
          <cell r="H1694" t="str">
            <v>singleron-3'转录组文库</v>
          </cell>
          <cell r="I1694" t="str">
            <v>XCL</v>
          </cell>
          <cell r="J1694">
            <v>16.100000000000001</v>
          </cell>
          <cell r="N1694" t="e">
            <v>#DIV/0!</v>
          </cell>
        </row>
        <row r="1695">
          <cell r="E1695" t="str">
            <v>HGC-Lib-2452061</v>
          </cell>
          <cell r="F1695" t="str">
            <v>LA240624048</v>
          </cell>
          <cell r="G1695">
            <v>100</v>
          </cell>
          <cell r="H1695" t="str">
            <v>singleron-3'转录组文库</v>
          </cell>
          <cell r="I1695" t="str">
            <v>XCL</v>
          </cell>
          <cell r="J1695">
            <v>25</v>
          </cell>
          <cell r="N1695" t="e">
            <v>#DIV/0!</v>
          </cell>
        </row>
        <row r="1696">
          <cell r="E1696" t="str">
            <v>HGC-Lib-2452062</v>
          </cell>
          <cell r="F1696" t="str">
            <v>LC240628018</v>
          </cell>
          <cell r="G1696">
            <v>90</v>
          </cell>
          <cell r="H1696" t="str">
            <v>singleron-3'转录组文库</v>
          </cell>
          <cell r="I1696" t="str">
            <v>XCL</v>
          </cell>
          <cell r="J1696">
            <v>30.6</v>
          </cell>
          <cell r="N1696" t="e">
            <v>#DIV/0!</v>
          </cell>
        </row>
        <row r="1697">
          <cell r="E1697" t="str">
            <v>HGC-Lib-2452063</v>
          </cell>
          <cell r="F1697" t="str">
            <v>LC240628019</v>
          </cell>
          <cell r="G1697">
            <v>90</v>
          </cell>
          <cell r="H1697" t="str">
            <v>singleron-3'转录组文库</v>
          </cell>
          <cell r="I1697" t="str">
            <v>XCL</v>
          </cell>
          <cell r="J1697">
            <v>22.4</v>
          </cell>
          <cell r="N1697" t="e">
            <v>#DIV/0!</v>
          </cell>
        </row>
        <row r="1698">
          <cell r="E1698" t="str">
            <v>HGC-Lib-2452064</v>
          </cell>
          <cell r="F1698" t="str">
            <v>LC240628026</v>
          </cell>
          <cell r="G1698">
            <v>100</v>
          </cell>
          <cell r="H1698" t="str">
            <v>singleron-3'转录组文库</v>
          </cell>
          <cell r="I1698" t="str">
            <v>XCL</v>
          </cell>
          <cell r="J1698">
            <v>23.8</v>
          </cell>
          <cell r="N1698" t="e">
            <v>#DIV/0!</v>
          </cell>
        </row>
        <row r="1699">
          <cell r="E1699" t="str">
            <v>HGC-Lib-2452065</v>
          </cell>
          <cell r="F1699" t="str">
            <v>LA240629070</v>
          </cell>
          <cell r="G1699">
            <v>100</v>
          </cell>
          <cell r="H1699" t="str">
            <v>singleron-3'转录组文库</v>
          </cell>
          <cell r="I1699" t="str">
            <v>XCL</v>
          </cell>
          <cell r="J1699">
            <v>19.2</v>
          </cell>
          <cell r="N1699" t="e">
            <v>#DIV/0!</v>
          </cell>
        </row>
        <row r="1700">
          <cell r="E1700" t="str">
            <v>HGC-Lib-2452066</v>
          </cell>
          <cell r="F1700" t="str">
            <v>LC240629089</v>
          </cell>
          <cell r="G1700">
            <v>100</v>
          </cell>
          <cell r="H1700" t="str">
            <v>singleron-3'转录组文库</v>
          </cell>
          <cell r="I1700" t="str">
            <v>XCL</v>
          </cell>
          <cell r="J1700">
            <v>24</v>
          </cell>
          <cell r="N1700" t="e">
            <v>#DIV/0!</v>
          </cell>
        </row>
        <row r="1701">
          <cell r="E1701" t="str">
            <v>HGC-Lib-2452067</v>
          </cell>
          <cell r="F1701" t="str">
            <v>LC240629069</v>
          </cell>
          <cell r="G1701">
            <v>100</v>
          </cell>
          <cell r="H1701" t="str">
            <v>singleron-3'转录组文库</v>
          </cell>
          <cell r="I1701" t="str">
            <v>XCL</v>
          </cell>
          <cell r="J1701">
            <v>19.3</v>
          </cell>
          <cell r="N1701" t="e">
            <v>#DIV/0!</v>
          </cell>
        </row>
        <row r="1702">
          <cell r="E1702" t="str">
            <v>HGC-Lib-2452068</v>
          </cell>
          <cell r="F1702" t="str">
            <v>LC240628006</v>
          </cell>
          <cell r="G1702">
            <v>90</v>
          </cell>
          <cell r="H1702" t="str">
            <v>singleron-3'转录组文库</v>
          </cell>
          <cell r="I1702" t="str">
            <v>XCL</v>
          </cell>
          <cell r="J1702">
            <v>19.7</v>
          </cell>
          <cell r="N1702" t="e">
            <v>#DIV/0!</v>
          </cell>
        </row>
        <row r="1703">
          <cell r="E1703" t="str">
            <v>HGC-Lib-2452069</v>
          </cell>
          <cell r="F1703" t="str">
            <v>LC240628005</v>
          </cell>
          <cell r="G1703">
            <v>90</v>
          </cell>
          <cell r="H1703" t="str">
            <v>singleron-3'转录组文库</v>
          </cell>
          <cell r="I1703" t="str">
            <v>XCL</v>
          </cell>
          <cell r="J1703">
            <v>21.8</v>
          </cell>
          <cell r="N1703" t="e">
            <v>#DIV/0!</v>
          </cell>
        </row>
        <row r="1704">
          <cell r="E1704" t="str">
            <v>HGC-Lib-2452070</v>
          </cell>
          <cell r="F1704" t="str">
            <v>LA230417007CJ</v>
          </cell>
          <cell r="G1704">
            <v>130</v>
          </cell>
          <cell r="H1704" t="str">
            <v>singleron-3'转录组文库</v>
          </cell>
          <cell r="I1704" t="str">
            <v>XCL</v>
          </cell>
          <cell r="J1704">
            <v>16.399999999999999</v>
          </cell>
          <cell r="N1704" t="e">
            <v>#DIV/0!</v>
          </cell>
        </row>
        <row r="1705">
          <cell r="E1705" t="str">
            <v>HGC-Lib-2452071</v>
          </cell>
          <cell r="F1705" t="str">
            <v>LC240628054X1</v>
          </cell>
          <cell r="G1705">
            <v>100</v>
          </cell>
          <cell r="H1705" t="str">
            <v>singleron-3'转录组文库</v>
          </cell>
          <cell r="I1705" t="str">
            <v>XCL</v>
          </cell>
          <cell r="J1705">
            <v>29.2</v>
          </cell>
          <cell r="N1705" t="e">
            <v>#DIV/0!</v>
          </cell>
        </row>
        <row r="1706">
          <cell r="E1706" t="str">
            <v>HGC-Lib-2452072</v>
          </cell>
          <cell r="F1706" t="str">
            <v>LC240628055X1</v>
          </cell>
          <cell r="G1706">
            <v>100</v>
          </cell>
          <cell r="H1706" t="str">
            <v>singleron-3'转录组文库</v>
          </cell>
          <cell r="I1706" t="str">
            <v>XCL</v>
          </cell>
          <cell r="J1706">
            <v>22.2</v>
          </cell>
          <cell r="N1706" t="e">
            <v>#DIV/0!</v>
          </cell>
        </row>
        <row r="1707">
          <cell r="E1707" t="str">
            <v>HGC-Lib-2452073</v>
          </cell>
          <cell r="F1707" t="str">
            <v>LC240628038</v>
          </cell>
          <cell r="G1707">
            <v>100</v>
          </cell>
          <cell r="H1707" t="str">
            <v>singleron-3'转录组文库</v>
          </cell>
          <cell r="I1707" t="str">
            <v>XCL</v>
          </cell>
          <cell r="J1707">
            <v>23.6</v>
          </cell>
          <cell r="N1707" t="e">
            <v>#DIV/0!</v>
          </cell>
        </row>
        <row r="1708">
          <cell r="E1708" t="str">
            <v>HGC-Lib-2452074</v>
          </cell>
          <cell r="F1708" t="str">
            <v>LC240628037</v>
          </cell>
          <cell r="G1708">
            <v>100</v>
          </cell>
          <cell r="H1708" t="str">
            <v>singleron-3'转录组文库</v>
          </cell>
          <cell r="I1708" t="str">
            <v>XCL</v>
          </cell>
          <cell r="J1708">
            <v>20.399999999999999</v>
          </cell>
          <cell r="N1708" t="e">
            <v>#DIV/0!</v>
          </cell>
        </row>
        <row r="1709">
          <cell r="E1709" t="str">
            <v>HGC-Lib-2452075</v>
          </cell>
          <cell r="F1709" t="str">
            <v>LC240628036</v>
          </cell>
          <cell r="G1709">
            <v>100</v>
          </cell>
          <cell r="H1709" t="str">
            <v>singleron-3'转录组文库</v>
          </cell>
          <cell r="I1709" t="str">
            <v>XCL</v>
          </cell>
          <cell r="J1709">
            <v>24.4</v>
          </cell>
          <cell r="N1709" t="e">
            <v>#DIV/0!</v>
          </cell>
        </row>
        <row r="1710">
          <cell r="E1710" t="str">
            <v>HGC-Lib-2452076</v>
          </cell>
          <cell r="F1710" t="str">
            <v>LC240628034</v>
          </cell>
          <cell r="G1710">
            <v>100</v>
          </cell>
          <cell r="H1710" t="str">
            <v>singleron-3'转录组文库</v>
          </cell>
          <cell r="I1710" t="str">
            <v>XCL</v>
          </cell>
          <cell r="J1710">
            <v>17.600000000000001</v>
          </cell>
          <cell r="N1710" t="e">
            <v>#DIV/0!</v>
          </cell>
        </row>
        <row r="1711">
          <cell r="E1711" t="str">
            <v>HGC-Lib-2452077</v>
          </cell>
          <cell r="F1711" t="str">
            <v>LA240628033</v>
          </cell>
          <cell r="G1711">
            <v>100</v>
          </cell>
          <cell r="H1711" t="str">
            <v>singleron-3'转录组文库</v>
          </cell>
          <cell r="I1711" t="str">
            <v>XCL</v>
          </cell>
          <cell r="J1711">
            <v>16.7</v>
          </cell>
          <cell r="N1711" t="e">
            <v>#DIV/0!</v>
          </cell>
        </row>
        <row r="1712">
          <cell r="E1712" t="str">
            <v>HGC-Lib-2452078</v>
          </cell>
          <cell r="F1712" t="str">
            <v>LC240629008</v>
          </cell>
          <cell r="G1712">
            <v>100</v>
          </cell>
          <cell r="H1712" t="str">
            <v>singleron-3'转录组文库</v>
          </cell>
          <cell r="I1712" t="str">
            <v>XCL</v>
          </cell>
          <cell r="J1712">
            <v>22.2</v>
          </cell>
          <cell r="N1712" t="e">
            <v>#DIV/0!</v>
          </cell>
        </row>
        <row r="1713">
          <cell r="E1713" t="str">
            <v>HGC-Lib-2452079</v>
          </cell>
          <cell r="F1713" t="str">
            <v>LC240629006</v>
          </cell>
          <cell r="G1713">
            <v>100</v>
          </cell>
          <cell r="H1713" t="str">
            <v>singleron-3'转录组文库</v>
          </cell>
          <cell r="I1713" t="str">
            <v>XCL</v>
          </cell>
          <cell r="J1713">
            <v>23.4</v>
          </cell>
          <cell r="N1713" t="e">
            <v>#DIV/0!</v>
          </cell>
        </row>
        <row r="1714">
          <cell r="E1714" t="str">
            <v>HGC-Lib-2452080</v>
          </cell>
          <cell r="F1714" t="str">
            <v>LPMC240512008FS</v>
          </cell>
          <cell r="G1714">
            <v>100</v>
          </cell>
          <cell r="H1714" t="str">
            <v>singleron-3'转录组文库</v>
          </cell>
          <cell r="I1714" t="str">
            <v>XCL</v>
          </cell>
          <cell r="J1714">
            <v>12.9</v>
          </cell>
          <cell r="N1714" t="e">
            <v>#DIV/0!</v>
          </cell>
        </row>
        <row r="1715">
          <cell r="E1715" t="str">
            <v>HGC-Lib-2452081</v>
          </cell>
          <cell r="F1715" t="str">
            <v>LC240628047</v>
          </cell>
          <cell r="G1715">
            <v>90</v>
          </cell>
          <cell r="H1715" t="str">
            <v>singleron-3'转录组文库</v>
          </cell>
          <cell r="I1715" t="str">
            <v>XCL</v>
          </cell>
          <cell r="J1715">
            <v>21.4</v>
          </cell>
          <cell r="N1715" t="e">
            <v>#DIV/0!</v>
          </cell>
        </row>
        <row r="1716">
          <cell r="E1716" t="str">
            <v>HGC-Lib-2452082</v>
          </cell>
          <cell r="F1716" t="str">
            <v>LC240628048</v>
          </cell>
          <cell r="G1716">
            <v>90</v>
          </cell>
          <cell r="H1716" t="str">
            <v>singleron-3'转录组文库</v>
          </cell>
          <cell r="I1716" t="str">
            <v>XCL</v>
          </cell>
          <cell r="J1716">
            <v>19.3</v>
          </cell>
          <cell r="N1716" t="e">
            <v>#DIV/0!</v>
          </cell>
        </row>
        <row r="1717">
          <cell r="E1717" t="str">
            <v>HGC-Lib-2452083</v>
          </cell>
          <cell r="F1717" t="str">
            <v>R240628014</v>
          </cell>
          <cell r="G1717">
            <v>60</v>
          </cell>
          <cell r="H1717" t="str">
            <v>mRNA文库</v>
          </cell>
          <cell r="I1717" t="str">
            <v>XCL</v>
          </cell>
          <cell r="J1717">
            <v>6.62</v>
          </cell>
          <cell r="N1717" t="e">
            <v>#DIV/0!</v>
          </cell>
        </row>
        <row r="1718">
          <cell r="E1718" t="str">
            <v>HGC-Lib-2452084</v>
          </cell>
          <cell r="F1718" t="str">
            <v>R240628016</v>
          </cell>
          <cell r="G1718">
            <v>60</v>
          </cell>
          <cell r="H1718" t="str">
            <v>mRNA文库</v>
          </cell>
          <cell r="I1718" t="str">
            <v>XCL</v>
          </cell>
          <cell r="J1718">
            <v>8.42</v>
          </cell>
          <cell r="N1718" t="e">
            <v>#DIV/0!</v>
          </cell>
        </row>
        <row r="1719">
          <cell r="E1719" t="str">
            <v>HGC-POOL-2452085</v>
          </cell>
          <cell r="F1719" t="str">
            <v>PCRD-240703-002</v>
          </cell>
          <cell r="G1719">
            <v>40</v>
          </cell>
          <cell r="H1719" t="str">
            <v>mRNA文库</v>
          </cell>
          <cell r="I1719" t="str">
            <v>XCL</v>
          </cell>
          <cell r="J1719">
            <v>25.8</v>
          </cell>
          <cell r="N1719" t="e">
            <v>#DIV/0!</v>
          </cell>
        </row>
        <row r="1720">
          <cell r="E1720" t="str">
            <v>HGC-POOL-2452171</v>
          </cell>
          <cell r="F1720" t="str">
            <v>esMEF-1</v>
          </cell>
          <cell r="G1720">
            <v>12</v>
          </cell>
          <cell r="H1720" t="str">
            <v>cut&amp;tag文库</v>
          </cell>
          <cell r="I1720" t="str">
            <v>XCL</v>
          </cell>
          <cell r="J1720">
            <v>0.158</v>
          </cell>
          <cell r="K1720">
            <v>519</v>
          </cell>
          <cell r="L1720" t="str">
            <v>XCL</v>
          </cell>
          <cell r="N1720">
            <v>0.46835630650659599</v>
          </cell>
        </row>
        <row r="1721">
          <cell r="E1721" t="str">
            <v>HGC-POOL-2452172</v>
          </cell>
          <cell r="F1721" t="str">
            <v>esMEF-2</v>
          </cell>
          <cell r="G1721">
            <v>12</v>
          </cell>
          <cell r="H1721" t="str">
            <v>cut&amp;tag文库</v>
          </cell>
          <cell r="I1721" t="str">
            <v>XCL</v>
          </cell>
          <cell r="J1721" t="str">
            <v>/</v>
          </cell>
          <cell r="K1721" t="str">
            <v>/</v>
          </cell>
          <cell r="L1721" t="str">
            <v>XCL</v>
          </cell>
          <cell r="N1721" t="e">
            <v>#VALUE!</v>
          </cell>
        </row>
        <row r="1722">
          <cell r="E1722" t="str">
            <v>HGC-POOL-2452173</v>
          </cell>
          <cell r="F1722" t="str">
            <v>esMEF-nc</v>
          </cell>
          <cell r="G1722">
            <v>12</v>
          </cell>
          <cell r="H1722" t="str">
            <v>cut&amp;tag文库</v>
          </cell>
          <cell r="I1722" t="str">
            <v>XCL</v>
          </cell>
          <cell r="J1722" t="str">
            <v>/</v>
          </cell>
          <cell r="K1722" t="str">
            <v>/</v>
          </cell>
          <cell r="L1722" t="str">
            <v>XCL</v>
          </cell>
          <cell r="N1722" t="e">
            <v>#VALUE!</v>
          </cell>
        </row>
        <row r="1723">
          <cell r="E1723" t="str">
            <v>HGC-Lib-2452244</v>
          </cell>
          <cell r="F1723" t="str">
            <v>N</v>
          </cell>
          <cell r="I1723" t="str">
            <v>QMX</v>
          </cell>
          <cell r="J1723">
            <v>0.34399999999999997</v>
          </cell>
          <cell r="N1723" t="e">
            <v>#DIV/0!</v>
          </cell>
        </row>
        <row r="1724">
          <cell r="E1724" t="str">
            <v>HGC-Lib-2452245</v>
          </cell>
          <cell r="F1724" t="str">
            <v>TH1-1</v>
          </cell>
          <cell r="I1724" t="str">
            <v>HZK</v>
          </cell>
          <cell r="J1724">
            <v>0.41799999999999998</v>
          </cell>
          <cell r="K1724">
            <v>434</v>
          </cell>
          <cell r="L1724" t="str">
            <v>HZK</v>
          </cell>
          <cell r="N1724">
            <v>1.48174406238922</v>
          </cell>
        </row>
        <row r="1725">
          <cell r="E1725" t="str">
            <v>HGC-Lib-2452246</v>
          </cell>
          <cell r="F1725" t="str">
            <v>TH1-2</v>
          </cell>
          <cell r="I1725" t="str">
            <v>HZK</v>
          </cell>
          <cell r="J1725">
            <v>0.54400000000000004</v>
          </cell>
          <cell r="K1725">
            <v>448</v>
          </cell>
          <cell r="L1725" t="str">
            <v>HZK</v>
          </cell>
          <cell r="N1725">
            <v>1.8681318681318699</v>
          </cell>
        </row>
        <row r="1726">
          <cell r="E1726" t="str">
            <v>HGC-Lib-2452247</v>
          </cell>
          <cell r="F1726" t="str">
            <v>TFH-1</v>
          </cell>
          <cell r="I1726" t="str">
            <v>QMX</v>
          </cell>
          <cell r="J1726">
            <v>0.13600000000000001</v>
          </cell>
          <cell r="N1726" t="e">
            <v>#DIV/0!</v>
          </cell>
        </row>
        <row r="1727">
          <cell r="E1727" t="str">
            <v>HGC-Lib-2452248</v>
          </cell>
          <cell r="F1727" t="str">
            <v>TFH-2</v>
          </cell>
          <cell r="I1727" t="str">
            <v>HZK</v>
          </cell>
          <cell r="J1727" t="str">
            <v>/</v>
          </cell>
          <cell r="K1727">
            <v>444</v>
          </cell>
          <cell r="L1727" t="str">
            <v>HZK</v>
          </cell>
          <cell r="N1727" t="e">
            <v>#VALUE!</v>
          </cell>
        </row>
        <row r="1728">
          <cell r="E1728" t="str">
            <v>HGC-Lib-2451697</v>
          </cell>
          <cell r="F1728" t="str">
            <v>20240628_WTA_5678</v>
          </cell>
          <cell r="G1728">
            <v>340</v>
          </cell>
          <cell r="H1728" t="str">
            <v>BD-单细胞</v>
          </cell>
          <cell r="I1728" t="str">
            <v>YHT</v>
          </cell>
          <cell r="J1728">
            <v>7.52</v>
          </cell>
          <cell r="K1728">
            <v>503</v>
          </cell>
          <cell r="L1728" t="str">
            <v>ZZ</v>
          </cell>
          <cell r="N1728">
            <v>23.000458785747099</v>
          </cell>
        </row>
        <row r="1729">
          <cell r="E1729" t="str">
            <v>HGC-Lib-2451698</v>
          </cell>
          <cell r="F1729" t="str">
            <v>20240628-ST-5678</v>
          </cell>
          <cell r="G1729">
            <v>60</v>
          </cell>
          <cell r="H1729" t="str">
            <v>BD-单细胞</v>
          </cell>
          <cell r="I1729" t="str">
            <v>YHT</v>
          </cell>
          <cell r="J1729">
            <v>12.1</v>
          </cell>
          <cell r="K1729">
            <v>322</v>
          </cell>
          <cell r="L1729" t="str">
            <v>ZZ</v>
          </cell>
          <cell r="N1729">
            <v>57.811753463927403</v>
          </cell>
        </row>
        <row r="1730">
          <cell r="E1730" t="str">
            <v>HGC-Pool-2451841</v>
          </cell>
          <cell r="F1730" t="str">
            <v>22S047561</v>
          </cell>
          <cell r="G1730">
            <v>100</v>
          </cell>
          <cell r="H1730" t="str">
            <v>10x空间转录组</v>
          </cell>
          <cell r="I1730" t="str">
            <v>YHT</v>
          </cell>
          <cell r="J1730">
            <v>14.3</v>
          </cell>
          <cell r="K1730">
            <v>315</v>
          </cell>
          <cell r="L1730" t="str">
            <v>ZZ</v>
          </cell>
          <cell r="N1730">
            <v>69.841269841269806</v>
          </cell>
        </row>
        <row r="1731">
          <cell r="E1731" t="str">
            <v>HGC-Pool-2451842</v>
          </cell>
          <cell r="F1731" t="str">
            <v>N1420784</v>
          </cell>
          <cell r="G1731">
            <v>100</v>
          </cell>
          <cell r="H1731" t="str">
            <v>10x空间转录组</v>
          </cell>
          <cell r="I1731" t="str">
            <v>YHT</v>
          </cell>
          <cell r="J1731">
            <v>10.6</v>
          </cell>
          <cell r="K1731">
            <v>315</v>
          </cell>
          <cell r="L1731" t="str">
            <v>ZZ</v>
          </cell>
          <cell r="N1731">
            <v>51.7704517704518</v>
          </cell>
        </row>
        <row r="1732">
          <cell r="E1732" t="str">
            <v>HGC-Pool-2451846</v>
          </cell>
          <cell r="F1732" t="str">
            <v>FB-2</v>
          </cell>
          <cell r="G1732">
            <v>110</v>
          </cell>
          <cell r="H1732" t="str">
            <v>宏基因组文库</v>
          </cell>
          <cell r="I1732" t="str">
            <v>YHT</v>
          </cell>
          <cell r="J1732">
            <v>12</v>
          </cell>
          <cell r="K1732">
            <v>436</v>
          </cell>
          <cell r="L1732" t="str">
            <v>ZZ</v>
          </cell>
          <cell r="N1732">
            <v>42.342978122794598</v>
          </cell>
        </row>
        <row r="1733">
          <cell r="E1733" t="str">
            <v>HGC-Pool-2451847</v>
          </cell>
          <cell r="F1733" t="str">
            <v>mNGS-1</v>
          </cell>
          <cell r="G1733">
            <v>80</v>
          </cell>
          <cell r="H1733" t="str">
            <v>宏基因组文库</v>
          </cell>
          <cell r="I1733" t="str">
            <v>YHT</v>
          </cell>
          <cell r="J1733">
            <v>1.79</v>
          </cell>
          <cell r="K1733">
            <v>483</v>
          </cell>
          <cell r="L1733" t="str">
            <v>YHT</v>
          </cell>
          <cell r="N1733">
            <v>5.7015448319796196</v>
          </cell>
        </row>
        <row r="1734">
          <cell r="E1734" t="str">
            <v>HGC-Lib-2451847</v>
          </cell>
          <cell r="F1734" t="str">
            <v>Y-1</v>
          </cell>
          <cell r="G1734">
            <v>6</v>
          </cell>
          <cell r="H1734" t="str">
            <v>宏基因组文库</v>
          </cell>
          <cell r="I1734" t="str">
            <v>YHT</v>
          </cell>
          <cell r="J1734">
            <v>0.61599999999999999</v>
          </cell>
          <cell r="K1734">
            <v>453</v>
          </cell>
          <cell r="L1734" t="str">
            <v>YHT</v>
          </cell>
          <cell r="N1734">
            <v>2.0920359993207698</v>
          </cell>
        </row>
        <row r="1735">
          <cell r="E1735" t="str">
            <v>HGC-Lib-2451848</v>
          </cell>
          <cell r="F1735" t="str">
            <v>Y-3</v>
          </cell>
          <cell r="G1735">
            <v>6</v>
          </cell>
          <cell r="H1735" t="str">
            <v>宏基因组文库</v>
          </cell>
          <cell r="I1735" t="str">
            <v>YHT</v>
          </cell>
          <cell r="J1735">
            <v>0.42399999999999999</v>
          </cell>
          <cell r="K1735">
            <v>402</v>
          </cell>
          <cell r="L1735" t="str">
            <v>YHT</v>
          </cell>
          <cell r="N1735">
            <v>1.62265595101416</v>
          </cell>
        </row>
        <row r="1736">
          <cell r="E1736" t="str">
            <v>HGC-Lib-2452086</v>
          </cell>
          <cell r="F1736" t="str">
            <v>Hela none 200-2</v>
          </cell>
          <cell r="G1736">
            <v>10</v>
          </cell>
          <cell r="H1736" t="str">
            <v>ATAC-Seq文库</v>
          </cell>
          <cell r="I1736" t="str">
            <v>YHT</v>
          </cell>
          <cell r="J1736">
            <v>13.7</v>
          </cell>
          <cell r="K1736">
            <v>405</v>
          </cell>
          <cell r="L1736" t="str">
            <v>ZZ</v>
          </cell>
          <cell r="N1736">
            <v>52.0417853751187</v>
          </cell>
        </row>
        <row r="1737">
          <cell r="E1737" t="str">
            <v>HGC-Lib-2452176</v>
          </cell>
          <cell r="F1737" t="str">
            <v>GDM20240703-1</v>
          </cell>
          <cell r="G1737">
            <v>20</v>
          </cell>
          <cell r="H1737" t="str">
            <v>全基因组文库</v>
          </cell>
          <cell r="I1737" t="str">
            <v>YHT</v>
          </cell>
          <cell r="J1737">
            <v>0.378</v>
          </cell>
          <cell r="K1737">
            <v>240</v>
          </cell>
          <cell r="L1737" t="str">
            <v>YHT</v>
          </cell>
          <cell r="N1737">
            <v>2.4230769230769198</v>
          </cell>
        </row>
        <row r="1738">
          <cell r="E1738" t="str">
            <v>HGC-Lib-2452177</v>
          </cell>
          <cell r="F1738" t="str">
            <v>GDM20240703-2</v>
          </cell>
          <cell r="G1738">
            <v>20</v>
          </cell>
          <cell r="H1738" t="str">
            <v>全基因组文库</v>
          </cell>
          <cell r="I1738" t="str">
            <v>YHT</v>
          </cell>
          <cell r="J1738">
            <v>0.254</v>
          </cell>
          <cell r="K1738">
            <v>251</v>
          </cell>
          <cell r="L1738" t="str">
            <v>YHT</v>
          </cell>
          <cell r="N1738">
            <v>1.55684952497701</v>
          </cell>
        </row>
        <row r="1739">
          <cell r="E1739" t="str">
            <v>HGC-Lib-2452178</v>
          </cell>
          <cell r="F1739" t="str">
            <v>GDM20240703-3</v>
          </cell>
          <cell r="G1739">
            <v>25</v>
          </cell>
          <cell r="H1739" t="str">
            <v>全基因组文库</v>
          </cell>
          <cell r="I1739" t="str">
            <v>YHT</v>
          </cell>
          <cell r="J1739">
            <v>0.13800000000000001</v>
          </cell>
          <cell r="K1739">
            <v>250</v>
          </cell>
          <cell r="L1739" t="str">
            <v>YHT</v>
          </cell>
          <cell r="N1739">
            <v>0.84923076923076901</v>
          </cell>
        </row>
        <row r="1740">
          <cell r="E1740" t="str">
            <v>HGC-Pool-2452179</v>
          </cell>
          <cell r="F1740" t="str">
            <v>WG2421D2</v>
          </cell>
          <cell r="G1740">
            <v>10</v>
          </cell>
          <cell r="H1740" t="str">
            <v>全基因组文库</v>
          </cell>
          <cell r="I1740" t="str">
            <v>YHT</v>
          </cell>
          <cell r="J1740">
            <v>7.34</v>
          </cell>
          <cell r="K1740">
            <v>407</v>
          </cell>
          <cell r="L1740" t="str">
            <v>YHT</v>
          </cell>
          <cell r="N1740">
            <v>27.745227745227702</v>
          </cell>
        </row>
        <row r="1741">
          <cell r="E1741" t="str">
            <v>HGC-Pool-2452180</v>
          </cell>
          <cell r="F1741" t="str">
            <v>WG2422D3</v>
          </cell>
          <cell r="G1741">
            <v>10</v>
          </cell>
          <cell r="H1741" t="str">
            <v>全基因组文库</v>
          </cell>
          <cell r="I1741" t="str">
            <v>YHT</v>
          </cell>
          <cell r="J1741">
            <v>6.92</v>
          </cell>
          <cell r="K1741">
            <v>405</v>
          </cell>
          <cell r="L1741" t="str">
            <v>YHT</v>
          </cell>
          <cell r="N1741">
            <v>26.2867996201329</v>
          </cell>
        </row>
        <row r="1742">
          <cell r="E1742" t="str">
            <v>HGC-Pool-2452181</v>
          </cell>
          <cell r="F1742" t="str">
            <v>WG2425/26D2</v>
          </cell>
          <cell r="G1742">
            <v>10</v>
          </cell>
          <cell r="H1742" t="str">
            <v>全基因组文库</v>
          </cell>
          <cell r="I1742" t="str">
            <v>YHT</v>
          </cell>
          <cell r="J1742">
            <v>1.81</v>
          </cell>
          <cell r="K1742">
            <v>392</v>
          </cell>
          <cell r="L1742" t="str">
            <v>YHT</v>
          </cell>
          <cell r="N1742">
            <v>7.10361067503925</v>
          </cell>
        </row>
        <row r="1743">
          <cell r="E1743" t="str">
            <v>HGC-Pool-2452182</v>
          </cell>
          <cell r="F1743" t="str">
            <v>WG2421-26R2</v>
          </cell>
          <cell r="G1743">
            <v>30</v>
          </cell>
          <cell r="H1743" t="str">
            <v>全基因组文库</v>
          </cell>
          <cell r="I1743" t="str">
            <v>YHT</v>
          </cell>
          <cell r="J1743">
            <v>2.14</v>
          </cell>
          <cell r="K1743">
            <v>374</v>
          </cell>
          <cell r="L1743" t="str">
            <v>YHT</v>
          </cell>
          <cell r="N1743">
            <v>8.8029617441382104</v>
          </cell>
        </row>
        <row r="1744">
          <cell r="E1744" t="str">
            <v>HGC-Lib-2452183</v>
          </cell>
          <cell r="F1744" t="str">
            <v>sh9-1-SMC3-1</v>
          </cell>
          <cell r="G1744">
            <v>10</v>
          </cell>
          <cell r="H1744" t="str">
            <v>cut&amp;tag文库</v>
          </cell>
          <cell r="I1744" t="str">
            <v>YHT</v>
          </cell>
          <cell r="J1744">
            <v>7.9</v>
          </cell>
          <cell r="K1744">
            <v>308</v>
          </cell>
          <cell r="L1744" t="str">
            <v>ZZ</v>
          </cell>
          <cell r="N1744">
            <v>39.460539460539501</v>
          </cell>
        </row>
        <row r="1745">
          <cell r="E1745" t="str">
            <v>HGC-Lib-2452184</v>
          </cell>
          <cell r="F1745" t="str">
            <v>sh9-1-SMC3-2</v>
          </cell>
          <cell r="G1745">
            <v>10</v>
          </cell>
          <cell r="H1745" t="str">
            <v>cut&amp;tag文库</v>
          </cell>
          <cell r="I1745" t="str">
            <v>YHT</v>
          </cell>
          <cell r="J1745">
            <v>7.46</v>
          </cell>
          <cell r="K1745">
            <v>304</v>
          </cell>
          <cell r="L1745" t="str">
            <v>ZZ</v>
          </cell>
          <cell r="N1745">
            <v>37.753036437246998</v>
          </cell>
        </row>
        <row r="1746">
          <cell r="E1746" t="str">
            <v>HGC-Lib-2452185</v>
          </cell>
          <cell r="F1746" t="str">
            <v>sh9-1-CTCF-1</v>
          </cell>
          <cell r="G1746">
            <v>10</v>
          </cell>
          <cell r="H1746" t="str">
            <v>cut&amp;tag文库</v>
          </cell>
          <cell r="I1746" t="str">
            <v>YHT</v>
          </cell>
          <cell r="J1746">
            <v>11.5</v>
          </cell>
          <cell r="K1746">
            <v>340</v>
          </cell>
          <cell r="L1746" t="str">
            <v>ZZ</v>
          </cell>
          <cell r="N1746">
            <v>52.036199095022603</v>
          </cell>
        </row>
        <row r="1747">
          <cell r="E1747" t="str">
            <v>HGC-Lib-2452186</v>
          </cell>
          <cell r="F1747" t="str">
            <v>sh9-1-CTCF-2</v>
          </cell>
          <cell r="G1747">
            <v>10</v>
          </cell>
          <cell r="H1747" t="str">
            <v>cut&amp;tag文库</v>
          </cell>
          <cell r="I1747" t="str">
            <v>YHT</v>
          </cell>
          <cell r="J1747">
            <v>12.3</v>
          </cell>
          <cell r="K1747">
            <v>339</v>
          </cell>
          <cell r="L1747" t="str">
            <v>ZZ</v>
          </cell>
          <cell r="N1747">
            <v>55.8202859087815</v>
          </cell>
        </row>
        <row r="1748">
          <cell r="E1748" t="str">
            <v>HGC-Lib-2452187</v>
          </cell>
          <cell r="F1748" t="str">
            <v>A8-5K-0703</v>
          </cell>
          <cell r="G1748">
            <v>20</v>
          </cell>
          <cell r="H1748" t="str">
            <v>10× 3'单细胞</v>
          </cell>
          <cell r="I1748" t="str">
            <v>YHT</v>
          </cell>
          <cell r="J1748">
            <v>12.8</v>
          </cell>
          <cell r="K1748">
            <v>432</v>
          </cell>
          <cell r="L1748" t="str">
            <v>ZZ</v>
          </cell>
          <cell r="N1748">
            <v>45.584045584045597</v>
          </cell>
        </row>
        <row r="1749">
          <cell r="E1749" t="str">
            <v>HGC-Lib-2452188</v>
          </cell>
          <cell r="F1749" t="str">
            <v>A8-DDM-5K-0703</v>
          </cell>
          <cell r="G1749">
            <v>20</v>
          </cell>
          <cell r="H1749" t="str">
            <v>10× 3'单细胞</v>
          </cell>
          <cell r="I1749" t="str">
            <v>YHT</v>
          </cell>
          <cell r="J1749">
            <v>14.3</v>
          </cell>
          <cell r="K1749">
            <v>411</v>
          </cell>
          <cell r="L1749" t="str">
            <v>ZZ</v>
          </cell>
          <cell r="N1749">
            <v>53.527980535279802</v>
          </cell>
        </row>
        <row r="1750">
          <cell r="E1750" t="str">
            <v>HGC-Lib-2452189</v>
          </cell>
          <cell r="F1750" t="str">
            <v>A8-CH-5K-0703</v>
          </cell>
          <cell r="G1750">
            <v>20</v>
          </cell>
          <cell r="H1750" t="str">
            <v>10× 3'单细胞</v>
          </cell>
          <cell r="I1750" t="str">
            <v>YHT</v>
          </cell>
          <cell r="J1750">
            <v>14.9</v>
          </cell>
          <cell r="K1750">
            <v>416</v>
          </cell>
          <cell r="L1750" t="str">
            <v>ZZ</v>
          </cell>
          <cell r="N1750">
            <v>55.103550295858</v>
          </cell>
        </row>
        <row r="1751">
          <cell r="E1751" t="str">
            <v>HGC-Lib-2452190</v>
          </cell>
          <cell r="F1751" t="str">
            <v>A9-5K-0703</v>
          </cell>
          <cell r="G1751">
            <v>20</v>
          </cell>
          <cell r="H1751" t="str">
            <v>10× 3'单细胞</v>
          </cell>
          <cell r="I1751" t="str">
            <v>YHT</v>
          </cell>
          <cell r="J1751">
            <v>10.5</v>
          </cell>
          <cell r="K1751">
            <v>423</v>
          </cell>
          <cell r="L1751" t="str">
            <v>ZZ</v>
          </cell>
          <cell r="N1751">
            <v>38.188761593016899</v>
          </cell>
        </row>
        <row r="1752">
          <cell r="E1752" t="str">
            <v>HGC-Lib-2452191</v>
          </cell>
          <cell r="F1752" t="str">
            <v>TB-0703</v>
          </cell>
          <cell r="G1752">
            <v>20</v>
          </cell>
          <cell r="H1752" t="str">
            <v>10x 5'单细胞</v>
          </cell>
          <cell r="I1752" t="str">
            <v>YHT</v>
          </cell>
          <cell r="J1752">
            <v>7.08</v>
          </cell>
          <cell r="K1752">
            <v>440</v>
          </cell>
          <cell r="L1752" t="str">
            <v>ZZ</v>
          </cell>
          <cell r="N1752">
            <v>24.755244755244799</v>
          </cell>
        </row>
        <row r="1753">
          <cell r="E1753" t="str">
            <v>HGC-Lib-2452192</v>
          </cell>
          <cell r="F1753" t="str">
            <v>10X-0703</v>
          </cell>
          <cell r="G1753">
            <v>20</v>
          </cell>
          <cell r="H1753" t="str">
            <v>10x 5'单细胞</v>
          </cell>
          <cell r="I1753" t="str">
            <v>YHT</v>
          </cell>
          <cell r="J1753">
            <v>61</v>
          </cell>
          <cell r="K1753">
            <v>393</v>
          </cell>
          <cell r="L1753" t="str">
            <v>ZZ</v>
          </cell>
          <cell r="N1753">
            <v>238.79428459581101</v>
          </cell>
        </row>
        <row r="1754">
          <cell r="E1754" t="str">
            <v>HGC-Lib-2452193</v>
          </cell>
          <cell r="F1754" t="str">
            <v>TB-BCR-0703</v>
          </cell>
          <cell r="G1754">
            <v>10</v>
          </cell>
          <cell r="H1754" t="str">
            <v>10x 5'单细胞</v>
          </cell>
          <cell r="I1754" t="str">
            <v>YHT</v>
          </cell>
          <cell r="J1754">
            <v>19.600000000000001</v>
          </cell>
          <cell r="K1754">
            <v>449</v>
          </cell>
          <cell r="L1754" t="str">
            <v>ZZ</v>
          </cell>
          <cell r="N1754">
            <v>67.157786534178499</v>
          </cell>
        </row>
        <row r="1755">
          <cell r="E1755" t="str">
            <v>HGC-Lib-2452194</v>
          </cell>
          <cell r="F1755" t="str">
            <v>10X-BCR-0703</v>
          </cell>
          <cell r="G1755">
            <v>10</v>
          </cell>
          <cell r="H1755" t="str">
            <v>10x 5'单细胞</v>
          </cell>
          <cell r="I1755" t="str">
            <v>YHT</v>
          </cell>
          <cell r="J1755">
            <v>12.8</v>
          </cell>
          <cell r="K1755">
            <v>406</v>
          </cell>
          <cell r="L1755" t="str">
            <v>ZZ</v>
          </cell>
          <cell r="N1755">
            <v>48.503220917013998</v>
          </cell>
        </row>
        <row r="1756">
          <cell r="E1756" t="str">
            <v>HGC-Lib-2452195</v>
          </cell>
          <cell r="F1756" t="str">
            <v>D1</v>
          </cell>
          <cell r="G1756">
            <v>6</v>
          </cell>
          <cell r="H1756" t="str">
            <v>mRNA文库</v>
          </cell>
          <cell r="I1756" t="str">
            <v>YHT</v>
          </cell>
          <cell r="J1756">
            <v>6.1</v>
          </cell>
          <cell r="K1756">
            <v>397</v>
          </cell>
          <cell r="L1756" t="str">
            <v>XCL</v>
          </cell>
          <cell r="N1756">
            <v>23.6388296841697</v>
          </cell>
        </row>
        <row r="1757">
          <cell r="E1757" t="str">
            <v>HGC-Lib-2452196</v>
          </cell>
          <cell r="F1757" t="str">
            <v>D2</v>
          </cell>
          <cell r="G1757">
            <v>6</v>
          </cell>
          <cell r="H1757" t="str">
            <v>mRNA文库</v>
          </cell>
          <cell r="I1757" t="str">
            <v>YHT</v>
          </cell>
          <cell r="J1757">
            <v>4.42</v>
          </cell>
          <cell r="N1757" t="e">
            <v>#DIV/0!</v>
          </cell>
        </row>
        <row r="1758">
          <cell r="E1758" t="str">
            <v>HGC-Lib-2452197</v>
          </cell>
          <cell r="F1758" t="str">
            <v>D3</v>
          </cell>
          <cell r="G1758">
            <v>6</v>
          </cell>
          <cell r="H1758" t="str">
            <v>mRNA文库</v>
          </cell>
          <cell r="I1758" t="str">
            <v>YHT</v>
          </cell>
          <cell r="J1758">
            <v>3.82</v>
          </cell>
          <cell r="N1758" t="e">
            <v>#DIV/0!</v>
          </cell>
        </row>
        <row r="1759">
          <cell r="E1759" t="str">
            <v>HGC-Lib-2452198</v>
          </cell>
          <cell r="F1759" t="str">
            <v>V1</v>
          </cell>
          <cell r="G1759">
            <v>6</v>
          </cell>
          <cell r="H1759" t="str">
            <v>mRNA文库</v>
          </cell>
          <cell r="I1759" t="str">
            <v>YHT</v>
          </cell>
          <cell r="J1759">
            <v>0.84399999999999997</v>
          </cell>
          <cell r="K1759">
            <v>370</v>
          </cell>
          <cell r="L1759" t="str">
            <v>XCL</v>
          </cell>
          <cell r="M1759">
            <v>1.47</v>
          </cell>
          <cell r="N1759">
            <v>3.50935550935551</v>
          </cell>
        </row>
        <row r="1760">
          <cell r="E1760" t="str">
            <v>HGC-Lib-2452199</v>
          </cell>
          <cell r="F1760" t="str">
            <v>V2</v>
          </cell>
          <cell r="G1760">
            <v>6</v>
          </cell>
          <cell r="H1760" t="str">
            <v>mRNA文库</v>
          </cell>
          <cell r="I1760" t="str">
            <v>YHT</v>
          </cell>
          <cell r="J1760">
            <v>14.8</v>
          </cell>
          <cell r="K1760">
            <v>469</v>
          </cell>
          <cell r="L1760" t="str">
            <v>ZZ</v>
          </cell>
          <cell r="N1760">
            <v>48.548466458914199</v>
          </cell>
        </row>
        <row r="1761">
          <cell r="E1761" t="str">
            <v>HGC-Lib-2452200</v>
          </cell>
          <cell r="F1761" t="str">
            <v>V3</v>
          </cell>
          <cell r="G1761">
            <v>6</v>
          </cell>
          <cell r="H1761" t="str">
            <v>mRNA文库</v>
          </cell>
          <cell r="I1761" t="str">
            <v>YHT</v>
          </cell>
          <cell r="J1761">
            <v>14.8</v>
          </cell>
          <cell r="N1761" t="e">
            <v>#DIV/0!</v>
          </cell>
        </row>
        <row r="1762">
          <cell r="E1762" t="str">
            <v>HGC-Pool-2452201</v>
          </cell>
          <cell r="F1762" t="str">
            <v>FC</v>
          </cell>
          <cell r="G1762">
            <v>1000</v>
          </cell>
          <cell r="H1762" t="str">
            <v>small RNA library</v>
          </cell>
          <cell r="I1762" t="str">
            <v>YHT</v>
          </cell>
          <cell r="J1762">
            <v>1.02</v>
          </cell>
          <cell r="K1762">
            <v>222</v>
          </cell>
          <cell r="L1762" t="str">
            <v>YHT</v>
          </cell>
          <cell r="N1762">
            <v>7.0686070686070703</v>
          </cell>
        </row>
        <row r="1763">
          <cell r="E1763" t="str">
            <v>HGC-Lib-2452249</v>
          </cell>
          <cell r="F1763" t="str">
            <v>WT_K27_1</v>
          </cell>
          <cell r="G1763">
            <v>4</v>
          </cell>
          <cell r="H1763" t="str">
            <v>cut&amp;tag libraries</v>
          </cell>
          <cell r="I1763" t="str">
            <v>YHT</v>
          </cell>
          <cell r="J1763">
            <v>10</v>
          </cell>
          <cell r="K1763">
            <v>373</v>
          </cell>
          <cell r="L1763" t="str">
            <v>ZZ</v>
          </cell>
          <cell r="N1763">
            <v>41.245617653124398</v>
          </cell>
        </row>
        <row r="1764">
          <cell r="E1764" t="str">
            <v>HGC-Lib-2452250</v>
          </cell>
          <cell r="F1764" t="str">
            <v>WT_K27_2</v>
          </cell>
          <cell r="G1764">
            <v>4</v>
          </cell>
          <cell r="H1764" t="str">
            <v>cut&amp;tag libraries</v>
          </cell>
          <cell r="I1764" t="str">
            <v>YHT</v>
          </cell>
          <cell r="J1764">
            <v>10.6</v>
          </cell>
          <cell r="K1764">
            <v>367</v>
          </cell>
          <cell r="L1764" t="str">
            <v>ZZ</v>
          </cell>
          <cell r="N1764">
            <v>44.435128903793803</v>
          </cell>
        </row>
        <row r="1765">
          <cell r="E1765" t="str">
            <v>HGC-Lib-2452251</v>
          </cell>
          <cell r="F1765" t="str">
            <v>Ddx_K27_1</v>
          </cell>
          <cell r="G1765">
            <v>4</v>
          </cell>
          <cell r="H1765" t="str">
            <v>cut&amp;tag libraries</v>
          </cell>
          <cell r="I1765" t="str">
            <v>YHT</v>
          </cell>
          <cell r="J1765">
            <v>8.5</v>
          </cell>
          <cell r="K1765">
            <v>380</v>
          </cell>
          <cell r="L1765" t="str">
            <v>ZZ</v>
          </cell>
          <cell r="N1765">
            <v>34.412955465586997</v>
          </cell>
        </row>
        <row r="1766">
          <cell r="E1766" t="str">
            <v>HGC-Lib-2452252</v>
          </cell>
          <cell r="F1766" t="str">
            <v>Ddx_K27_2</v>
          </cell>
          <cell r="G1766">
            <v>4</v>
          </cell>
          <cell r="H1766" t="str">
            <v>cut&amp;tag libraries</v>
          </cell>
          <cell r="I1766" t="str">
            <v>YHT</v>
          </cell>
          <cell r="J1766">
            <v>7.9</v>
          </cell>
          <cell r="K1766">
            <v>451</v>
          </cell>
          <cell r="L1766" t="str">
            <v>ZZ</v>
          </cell>
          <cell r="N1766">
            <v>26.948661095002599</v>
          </cell>
        </row>
        <row r="1767">
          <cell r="E1767" t="str">
            <v>HGC-Lib-2452404</v>
          </cell>
          <cell r="F1767" t="str">
            <v>L240420032</v>
          </cell>
          <cell r="G1767">
            <v>75</v>
          </cell>
          <cell r="H1767" t="str">
            <v>10X空转文库</v>
          </cell>
          <cell r="I1767" t="str">
            <v>YHT</v>
          </cell>
          <cell r="J1767">
            <v>6.84</v>
          </cell>
          <cell r="N1767" t="e">
            <v>#DIV/0!</v>
          </cell>
        </row>
        <row r="1768">
          <cell r="E1768" t="str">
            <v>HGC-Lib-2452405</v>
          </cell>
          <cell r="F1768" t="str">
            <v>L240420020</v>
          </cell>
          <cell r="G1768">
            <v>75</v>
          </cell>
          <cell r="H1768" t="str">
            <v>10X空转文库</v>
          </cell>
          <cell r="I1768" t="str">
            <v>YHT</v>
          </cell>
          <cell r="J1768">
            <v>16.600000000000001</v>
          </cell>
          <cell r="N1768" t="e">
            <v>#DIV/0!</v>
          </cell>
        </row>
        <row r="1769">
          <cell r="E1769" t="str">
            <v>HGC-Lib-2452406</v>
          </cell>
          <cell r="F1769" t="str">
            <v>L240420023</v>
          </cell>
          <cell r="G1769">
            <v>75</v>
          </cell>
          <cell r="H1769" t="str">
            <v>10X空转文库</v>
          </cell>
          <cell r="I1769" t="str">
            <v>YHT</v>
          </cell>
          <cell r="J1769">
            <v>10.6</v>
          </cell>
          <cell r="N1769" t="e">
            <v>#DIV/0!</v>
          </cell>
        </row>
        <row r="1770">
          <cell r="E1770" t="str">
            <v>HGC-Lib-2452407</v>
          </cell>
          <cell r="F1770" t="str">
            <v>L240420028</v>
          </cell>
          <cell r="G1770">
            <v>75</v>
          </cell>
          <cell r="H1770" t="str">
            <v>10X空转文库</v>
          </cell>
          <cell r="I1770" t="str">
            <v>YHT</v>
          </cell>
          <cell r="J1770">
            <v>6.04</v>
          </cell>
          <cell r="N1770" t="e">
            <v>#DIV/0!</v>
          </cell>
        </row>
        <row r="1771">
          <cell r="E1771" t="str">
            <v>HGC-Lib-2452408</v>
          </cell>
          <cell r="F1771" t="str">
            <v>L240523049</v>
          </cell>
          <cell r="G1771">
            <v>170</v>
          </cell>
          <cell r="H1771" t="str">
            <v>10X空转文库</v>
          </cell>
          <cell r="I1771" t="str">
            <v>YHT</v>
          </cell>
          <cell r="J1771">
            <v>24</v>
          </cell>
          <cell r="N1771" t="e">
            <v>#DIV/0!</v>
          </cell>
        </row>
        <row r="1772">
          <cell r="E1772" t="str">
            <v>HGC-Lib-2452409</v>
          </cell>
          <cell r="F1772" t="str">
            <v>L240523051</v>
          </cell>
          <cell r="G1772">
            <v>170</v>
          </cell>
          <cell r="H1772" t="str">
            <v>10X空转文库</v>
          </cell>
          <cell r="I1772" t="str">
            <v>YHT</v>
          </cell>
          <cell r="J1772">
            <v>24.4</v>
          </cell>
          <cell r="N1772" t="e">
            <v>#DIV/0!</v>
          </cell>
        </row>
        <row r="1773">
          <cell r="E1773" t="str">
            <v>HGC-Lib-2452770</v>
          </cell>
          <cell r="F1773" t="str">
            <v>OL27391</v>
          </cell>
          <cell r="G1773">
            <v>1000</v>
          </cell>
          <cell r="I1773" t="str">
            <v>YHT</v>
          </cell>
          <cell r="J1773">
            <v>1.28</v>
          </cell>
          <cell r="K1773">
            <v>490</v>
          </cell>
          <cell r="L1773" t="str">
            <v>YHT</v>
          </cell>
          <cell r="M1773">
            <v>1.25</v>
          </cell>
          <cell r="N1773">
            <v>4.0188383045525899</v>
          </cell>
        </row>
        <row r="1774">
          <cell r="E1774" t="str">
            <v>HGC-Lib-2452771</v>
          </cell>
          <cell r="F1774" t="str">
            <v>OL27392</v>
          </cell>
          <cell r="G1774">
            <v>1000</v>
          </cell>
          <cell r="I1774" t="str">
            <v>YHT</v>
          </cell>
          <cell r="J1774">
            <v>1.75</v>
          </cell>
          <cell r="K1774">
            <v>484</v>
          </cell>
          <cell r="L1774" t="str">
            <v>YHT</v>
          </cell>
          <cell r="M1774">
            <v>1.64</v>
          </cell>
          <cell r="N1774">
            <v>5.5626191989828397</v>
          </cell>
        </row>
        <row r="1775">
          <cell r="E1775" t="str">
            <v>HGC-POOL-2452772</v>
          </cell>
          <cell r="F1775" t="str">
            <v>pool-4495-Xplus</v>
          </cell>
          <cell r="G1775">
            <v>1000</v>
          </cell>
          <cell r="I1775" t="str">
            <v>YHT</v>
          </cell>
          <cell r="J1775">
            <v>22</v>
          </cell>
          <cell r="K1775">
            <v>499</v>
          </cell>
          <cell r="M1775">
            <v>21.8</v>
          </cell>
          <cell r="N1775">
            <v>67.827963619546793</v>
          </cell>
        </row>
        <row r="1776">
          <cell r="E1776" t="str">
            <v>HGC-POOL-2452773</v>
          </cell>
          <cell r="F1776" t="str">
            <v>pool-4496-Xplus</v>
          </cell>
          <cell r="G1776">
            <v>1000</v>
          </cell>
          <cell r="I1776" t="str">
            <v>YHT</v>
          </cell>
          <cell r="J1776">
            <v>20.6</v>
          </cell>
          <cell r="K1776">
            <v>510</v>
          </cell>
          <cell r="M1776">
            <v>20.6</v>
          </cell>
          <cell r="N1776">
            <v>62.141779788838598</v>
          </cell>
        </row>
        <row r="1777">
          <cell r="E1777" t="str">
            <v>HGC-Lib-2451741</v>
          </cell>
          <cell r="F1777" t="str">
            <v>LGG0441</v>
          </cell>
          <cell r="G1777" t="str">
            <v>/</v>
          </cell>
          <cell r="H1777" t="str">
            <v>BD-单细胞</v>
          </cell>
          <cell r="N1777" t="e">
            <v>#DIV/0!</v>
          </cell>
        </row>
        <row r="1778">
          <cell r="E1778" t="str">
            <v>HGC-Lib-2451742</v>
          </cell>
          <cell r="F1778" t="str">
            <v>LGG0442</v>
          </cell>
          <cell r="G1778" t="str">
            <v>/</v>
          </cell>
          <cell r="H1778" t="str">
            <v>BD-单细胞</v>
          </cell>
          <cell r="N1778" t="e">
            <v>#DIV/0!</v>
          </cell>
        </row>
        <row r="1779">
          <cell r="E1779" t="str">
            <v>HGC-Lib-2451743</v>
          </cell>
          <cell r="F1779" t="str">
            <v>LGG0443</v>
          </cell>
          <cell r="G1779" t="str">
            <v>/</v>
          </cell>
          <cell r="H1779" t="str">
            <v>BD-单细胞</v>
          </cell>
          <cell r="N1779" t="e">
            <v>#DIV/0!</v>
          </cell>
        </row>
        <row r="1780">
          <cell r="E1780" t="str">
            <v>HGC-Lib-2451744</v>
          </cell>
          <cell r="F1780" t="str">
            <v>LGG0444</v>
          </cell>
          <cell r="G1780" t="str">
            <v>/</v>
          </cell>
          <cell r="H1780" t="str">
            <v>BD-单细胞</v>
          </cell>
          <cell r="N1780" t="e">
            <v>#DIV/0!</v>
          </cell>
        </row>
        <row r="1781">
          <cell r="E1781" t="str">
            <v>HGC-POOL-2451803</v>
          </cell>
          <cell r="F1781" t="str">
            <v>YHR_mix</v>
          </cell>
          <cell r="G1781">
            <v>14</v>
          </cell>
          <cell r="H1781" t="str">
            <v>PCR产物文库</v>
          </cell>
          <cell r="I1781" t="str">
            <v>WH</v>
          </cell>
          <cell r="J1781">
            <v>110</v>
          </cell>
          <cell r="K1781">
            <v>451</v>
          </cell>
          <cell r="L1781" t="str">
            <v>WH</v>
          </cell>
          <cell r="N1781">
            <v>375.23452157598501</v>
          </cell>
        </row>
        <row r="1782">
          <cell r="E1782" t="str">
            <v>HGC-Lib-2451804</v>
          </cell>
          <cell r="F1782" t="str">
            <v>11-1</v>
          </cell>
          <cell r="G1782">
            <v>6</v>
          </cell>
          <cell r="H1782" t="str">
            <v>ATAC-Seq文库</v>
          </cell>
          <cell r="I1782" t="str">
            <v>WH</v>
          </cell>
          <cell r="J1782">
            <v>11.1</v>
          </cell>
          <cell r="K1782">
            <v>380</v>
          </cell>
          <cell r="L1782" t="str">
            <v>WH</v>
          </cell>
          <cell r="N1782">
            <v>44.939271255060703</v>
          </cell>
        </row>
        <row r="1783">
          <cell r="E1783" t="str">
            <v>HGC-Lib-2451805</v>
          </cell>
          <cell r="F1783" t="str">
            <v>11-2</v>
          </cell>
          <cell r="G1783">
            <v>6</v>
          </cell>
          <cell r="H1783" t="str">
            <v>ATAC-Seq文库</v>
          </cell>
          <cell r="I1783" t="str">
            <v>WH</v>
          </cell>
          <cell r="J1783">
            <v>6.2</v>
          </cell>
          <cell r="K1783">
            <v>350</v>
          </cell>
          <cell r="L1783" t="str">
            <v>WH</v>
          </cell>
          <cell r="N1783">
            <v>27.252747252747302</v>
          </cell>
        </row>
        <row r="1784">
          <cell r="E1784" t="str">
            <v>HGC-Lib-2451806</v>
          </cell>
          <cell r="F1784" t="str">
            <v>60-1</v>
          </cell>
          <cell r="G1784">
            <v>6</v>
          </cell>
          <cell r="H1784" t="str">
            <v>ATAC-Seq文库</v>
          </cell>
          <cell r="I1784" t="str">
            <v>WH</v>
          </cell>
          <cell r="J1784">
            <v>6.68</v>
          </cell>
          <cell r="K1784">
            <v>282</v>
          </cell>
          <cell r="L1784" t="str">
            <v>WH</v>
          </cell>
          <cell r="N1784">
            <v>36.442989634478998</v>
          </cell>
        </row>
        <row r="1785">
          <cell r="E1785" t="str">
            <v>HGC-Lib-2451807</v>
          </cell>
          <cell r="F1785" t="str">
            <v>60-2</v>
          </cell>
          <cell r="G1785">
            <v>6</v>
          </cell>
          <cell r="H1785" t="str">
            <v>ATAC-Seq文库</v>
          </cell>
          <cell r="I1785" t="str">
            <v>WH</v>
          </cell>
          <cell r="J1785">
            <v>9.4</v>
          </cell>
          <cell r="K1785">
            <v>325</v>
          </cell>
          <cell r="L1785" t="str">
            <v>WH</v>
          </cell>
          <cell r="N1785">
            <v>44.4970414201183</v>
          </cell>
        </row>
        <row r="1786">
          <cell r="E1786" t="str">
            <v>HGC-Lib-2451808</v>
          </cell>
          <cell r="F1786" t="str">
            <v>65-1</v>
          </cell>
          <cell r="G1786">
            <v>6</v>
          </cell>
          <cell r="H1786" t="str">
            <v>ATAC-Seq文库</v>
          </cell>
          <cell r="I1786" t="str">
            <v>WH</v>
          </cell>
          <cell r="J1786">
            <v>14.7</v>
          </cell>
          <cell r="K1786">
            <v>379</v>
          </cell>
          <cell r="L1786" t="str">
            <v>WH</v>
          </cell>
          <cell r="N1786">
            <v>59.671199512888201</v>
          </cell>
        </row>
        <row r="1787">
          <cell r="E1787" t="str">
            <v>HGC-Lib-2451809</v>
          </cell>
          <cell r="F1787" t="str">
            <v>65-2</v>
          </cell>
          <cell r="G1787">
            <v>6</v>
          </cell>
          <cell r="H1787" t="str">
            <v>ATAC-Seq文库</v>
          </cell>
          <cell r="I1787" t="str">
            <v>WH</v>
          </cell>
          <cell r="J1787">
            <v>14</v>
          </cell>
          <cell r="K1787">
            <v>321</v>
          </cell>
          <cell r="L1787" t="str">
            <v>WH</v>
          </cell>
          <cell r="N1787">
            <v>67.098011023244695</v>
          </cell>
        </row>
        <row r="1788">
          <cell r="E1788" t="str">
            <v>HGC-Lib-2451810</v>
          </cell>
          <cell r="F1788" t="str">
            <v>66-1</v>
          </cell>
          <cell r="G1788">
            <v>6</v>
          </cell>
          <cell r="H1788" t="str">
            <v>ATAC-Seq文库</v>
          </cell>
          <cell r="I1788" t="str">
            <v>WH</v>
          </cell>
          <cell r="J1788">
            <v>3.58</v>
          </cell>
          <cell r="K1788">
            <v>279</v>
          </cell>
          <cell r="L1788" t="str">
            <v>WH</v>
          </cell>
          <cell r="N1788">
            <v>19.7408326440585</v>
          </cell>
        </row>
        <row r="1789">
          <cell r="E1789" t="str">
            <v>HGC-Lib-2451812</v>
          </cell>
          <cell r="F1789" t="str">
            <v>86-1</v>
          </cell>
          <cell r="G1789">
            <v>6</v>
          </cell>
          <cell r="H1789" t="str">
            <v>ATAC-Seq文库</v>
          </cell>
          <cell r="I1789" t="str">
            <v>WH</v>
          </cell>
          <cell r="J1789">
            <v>12.3</v>
          </cell>
          <cell r="K1789">
            <v>412</v>
          </cell>
          <cell r="L1789" t="str">
            <v>WH</v>
          </cell>
          <cell r="N1789">
            <v>45.929798356982801</v>
          </cell>
        </row>
        <row r="1790">
          <cell r="E1790" t="str">
            <v>HGC-Lib-2451813</v>
          </cell>
          <cell r="F1790" t="str">
            <v>86-2</v>
          </cell>
          <cell r="G1790">
            <v>6</v>
          </cell>
          <cell r="H1790" t="str">
            <v>ATAC-Seq文库</v>
          </cell>
          <cell r="I1790" t="str">
            <v>WH</v>
          </cell>
          <cell r="J1790">
            <v>7.28</v>
          </cell>
          <cell r="K1790">
            <v>395</v>
          </cell>
          <cell r="L1790" t="str">
            <v>WH</v>
          </cell>
          <cell r="N1790">
            <v>28.354430379746798</v>
          </cell>
        </row>
        <row r="1791">
          <cell r="E1791" t="str">
            <v>HGC-Lib-2451814</v>
          </cell>
          <cell r="F1791" t="str">
            <v>92-1</v>
          </cell>
          <cell r="G1791">
            <v>6</v>
          </cell>
          <cell r="H1791" t="str">
            <v>ATAC-Seq文库</v>
          </cell>
          <cell r="I1791" t="str">
            <v>WH</v>
          </cell>
          <cell r="J1791">
            <v>6.44</v>
          </cell>
          <cell r="K1791">
            <v>324</v>
          </cell>
          <cell r="L1791" t="str">
            <v>WH</v>
          </cell>
          <cell r="N1791">
            <v>30.5792972459639</v>
          </cell>
        </row>
        <row r="1792">
          <cell r="E1792" t="str">
            <v>HGC-Lib-2451815</v>
          </cell>
          <cell r="F1792" t="str">
            <v>92-2</v>
          </cell>
          <cell r="G1792">
            <v>6</v>
          </cell>
          <cell r="H1792" t="str">
            <v>ATAC-Seq文库</v>
          </cell>
          <cell r="I1792" t="str">
            <v>WH</v>
          </cell>
          <cell r="J1792">
            <v>4.4800000000000004</v>
          </cell>
          <cell r="K1792">
            <v>323</v>
          </cell>
          <cell r="L1792" t="str">
            <v>WH</v>
          </cell>
          <cell r="N1792">
            <v>21.338413908073399</v>
          </cell>
        </row>
        <row r="1793">
          <cell r="E1793" t="str">
            <v>HGC-Lib-2451816</v>
          </cell>
          <cell r="F1793" t="str">
            <v>85-1</v>
          </cell>
          <cell r="G1793">
            <v>6</v>
          </cell>
          <cell r="H1793" t="str">
            <v>ATAC-Seq文库</v>
          </cell>
          <cell r="I1793" t="str">
            <v>WH</v>
          </cell>
          <cell r="J1793">
            <v>19.600000000000001</v>
          </cell>
          <cell r="K1793">
            <v>522</v>
          </cell>
          <cell r="L1793" t="str">
            <v>WH</v>
          </cell>
          <cell r="N1793">
            <v>57.765988800471597</v>
          </cell>
        </row>
        <row r="1794">
          <cell r="E1794" t="str">
            <v>HGC-Lib-2451817</v>
          </cell>
          <cell r="F1794" t="str">
            <v>85-2</v>
          </cell>
          <cell r="G1794">
            <v>6</v>
          </cell>
          <cell r="H1794" t="str">
            <v>ATAC-Seq文库</v>
          </cell>
          <cell r="I1794" t="str">
            <v>WH</v>
          </cell>
          <cell r="J1794">
            <v>15.9</v>
          </cell>
          <cell r="K1794">
            <v>425</v>
          </cell>
          <cell r="L1794" t="str">
            <v>WH</v>
          </cell>
          <cell r="N1794">
            <v>57.556561085972902</v>
          </cell>
        </row>
        <row r="1795">
          <cell r="E1795" t="str">
            <v>HGC-Lib-2451818</v>
          </cell>
          <cell r="F1795" t="str">
            <v>87-1</v>
          </cell>
          <cell r="G1795">
            <v>6</v>
          </cell>
          <cell r="H1795" t="str">
            <v>ATAC-Seq文库</v>
          </cell>
          <cell r="I1795" t="str">
            <v>WH</v>
          </cell>
          <cell r="J1795">
            <v>5.88</v>
          </cell>
          <cell r="K1795">
            <v>371</v>
          </cell>
          <cell r="L1795" t="str">
            <v>WH</v>
          </cell>
          <cell r="N1795">
            <v>24.383164005805501</v>
          </cell>
        </row>
        <row r="1796">
          <cell r="E1796" t="str">
            <v>HGC-Lib-2451819</v>
          </cell>
          <cell r="F1796" t="str">
            <v>87-2</v>
          </cell>
          <cell r="G1796">
            <v>6</v>
          </cell>
          <cell r="H1796" t="str">
            <v>ATAC-Seq文库</v>
          </cell>
          <cell r="I1796" t="str">
            <v>WH</v>
          </cell>
          <cell r="J1796">
            <v>8.24</v>
          </cell>
          <cell r="K1796">
            <v>367</v>
          </cell>
          <cell r="L1796" t="str">
            <v>WH</v>
          </cell>
          <cell r="N1796">
            <v>34.542024732760403</v>
          </cell>
        </row>
        <row r="1797">
          <cell r="E1797" t="str">
            <v>HGC-Lib-2451820</v>
          </cell>
          <cell r="F1797" t="str">
            <v>12-1</v>
          </cell>
          <cell r="G1797">
            <v>6</v>
          </cell>
          <cell r="H1797" t="str">
            <v>ATAC-Seq文库</v>
          </cell>
          <cell r="I1797" t="str">
            <v>WH</v>
          </cell>
          <cell r="J1797">
            <v>8.98</v>
          </cell>
          <cell r="K1797">
            <v>460</v>
          </cell>
          <cell r="L1797" t="str">
            <v>WH</v>
          </cell>
          <cell r="N1797">
            <v>30.0334448160535</v>
          </cell>
        </row>
        <row r="1798">
          <cell r="E1798" t="str">
            <v>HGC-Lib-2451821</v>
          </cell>
          <cell r="F1798" t="str">
            <v>12-2</v>
          </cell>
          <cell r="G1798">
            <v>6</v>
          </cell>
          <cell r="H1798" t="str">
            <v>ATAC-Seq文库</v>
          </cell>
          <cell r="I1798" t="str">
            <v>WH</v>
          </cell>
          <cell r="J1798">
            <v>12</v>
          </cell>
          <cell r="K1798">
            <v>472</v>
          </cell>
          <cell r="L1798" t="str">
            <v>WH</v>
          </cell>
          <cell r="N1798">
            <v>39.1134289439374</v>
          </cell>
        </row>
        <row r="1799">
          <cell r="E1799" t="str">
            <v>HGC-Lib-2451822</v>
          </cell>
          <cell r="F1799" t="str">
            <v>71-1</v>
          </cell>
          <cell r="G1799">
            <v>6</v>
          </cell>
          <cell r="H1799" t="str">
            <v>ATAC-Seq文库</v>
          </cell>
          <cell r="I1799" t="str">
            <v>WH</v>
          </cell>
          <cell r="J1799">
            <v>5.88</v>
          </cell>
          <cell r="K1799">
            <v>437</v>
          </cell>
          <cell r="L1799" t="str">
            <v>WH</v>
          </cell>
          <cell r="N1799">
            <v>20.700580883647199</v>
          </cell>
        </row>
        <row r="1800">
          <cell r="E1800" t="str">
            <v>HGC-Lib-2451823</v>
          </cell>
          <cell r="F1800" t="str">
            <v>71-2</v>
          </cell>
          <cell r="G1800">
            <v>6</v>
          </cell>
          <cell r="H1800" t="str">
            <v>ATAC-Seq文库</v>
          </cell>
          <cell r="I1800" t="str">
            <v>WH</v>
          </cell>
          <cell r="J1800">
            <v>5.56</v>
          </cell>
          <cell r="K1800">
            <v>487</v>
          </cell>
          <cell r="L1800" t="str">
            <v>WH</v>
          </cell>
          <cell r="N1800">
            <v>17.564365818985902</v>
          </cell>
        </row>
        <row r="1801">
          <cell r="E1801" t="str">
            <v>HGC-Lib-2451824</v>
          </cell>
          <cell r="F1801" t="str">
            <v>AT-F-leaf-1</v>
          </cell>
          <cell r="G1801">
            <v>20</v>
          </cell>
          <cell r="H1801" t="str">
            <v>ATAC-Seq文库</v>
          </cell>
          <cell r="I1801" t="str">
            <v>WH</v>
          </cell>
          <cell r="J1801">
            <v>4.8600000000000003</v>
          </cell>
          <cell r="K1801">
            <v>267</v>
          </cell>
          <cell r="L1801" t="str">
            <v>WH</v>
          </cell>
          <cell r="N1801">
            <v>28.003457216940401</v>
          </cell>
        </row>
        <row r="1802">
          <cell r="E1802" t="str">
            <v>HGC-Lib-2451825</v>
          </cell>
          <cell r="F1802" t="str">
            <v>AT-F-leaf-2</v>
          </cell>
          <cell r="G1802">
            <v>20</v>
          </cell>
          <cell r="H1802" t="str">
            <v>ATAC-Seq文库</v>
          </cell>
          <cell r="I1802" t="str">
            <v>WH</v>
          </cell>
          <cell r="J1802">
            <v>5.5</v>
          </cell>
          <cell r="K1802">
            <v>276</v>
          </cell>
          <cell r="L1802" t="str">
            <v>WH</v>
          </cell>
          <cell r="N1802">
            <v>30.657748049052401</v>
          </cell>
        </row>
        <row r="1803">
          <cell r="E1803" t="str">
            <v>HGC-Lib-2453090</v>
          </cell>
          <cell r="F1803" t="str">
            <v>OL27399-GW130379</v>
          </cell>
          <cell r="G1803">
            <v>1000</v>
          </cell>
          <cell r="H1803" t="str">
            <v>10x 5'单细胞</v>
          </cell>
          <cell r="I1803" t="str">
            <v>WH</v>
          </cell>
          <cell r="J1803">
            <v>1.5049999999999999</v>
          </cell>
          <cell r="K1803">
            <v>520</v>
          </cell>
          <cell r="L1803" t="str">
            <v>WH</v>
          </cell>
          <cell r="N1803">
            <v>4.45266272189349</v>
          </cell>
        </row>
        <row r="1804">
          <cell r="E1804" t="str">
            <v>HGC-Lib-2453091</v>
          </cell>
          <cell r="F1804" t="str">
            <v>OL27395-GW130379</v>
          </cell>
          <cell r="G1804">
            <v>1000</v>
          </cell>
          <cell r="H1804" t="str">
            <v>全基因组文库</v>
          </cell>
          <cell r="I1804" t="str">
            <v>WH</v>
          </cell>
          <cell r="J1804">
            <v>1.94</v>
          </cell>
          <cell r="K1804">
            <v>451</v>
          </cell>
          <cell r="L1804" t="str">
            <v>WH</v>
          </cell>
          <cell r="N1804">
            <v>6.6177724714310102</v>
          </cell>
        </row>
        <row r="1805">
          <cell r="E1805" t="str">
            <v>HGC-Lib-2452487</v>
          </cell>
          <cell r="F1805" t="str">
            <v>LFTBC240625072FS</v>
          </cell>
          <cell r="G1805">
            <v>100</v>
          </cell>
          <cell r="H1805" t="str">
            <v>singleron-3'全长转录组文库</v>
          </cell>
          <cell r="I1805" t="str">
            <v>WWH</v>
          </cell>
          <cell r="J1805">
            <v>12</v>
          </cell>
          <cell r="N1805" t="e">
            <v>#DIV/0!</v>
          </cell>
        </row>
        <row r="1806">
          <cell r="E1806" t="str">
            <v>HGC-Lib-2452488</v>
          </cell>
          <cell r="F1806" t="str">
            <v>LA240530063X2</v>
          </cell>
          <cell r="G1806">
            <v>100</v>
          </cell>
          <cell r="H1806" t="str">
            <v>singleron-3'转录组文库</v>
          </cell>
          <cell r="I1806" t="str">
            <v>WWH</v>
          </cell>
          <cell r="J1806">
            <v>14.4</v>
          </cell>
          <cell r="N1806" t="e">
            <v>#DIV/0!</v>
          </cell>
        </row>
        <row r="1807">
          <cell r="E1807" t="str">
            <v>HGC-Lib-2452489</v>
          </cell>
          <cell r="F1807" t="str">
            <v>LA240530060</v>
          </cell>
          <cell r="G1807">
            <v>100</v>
          </cell>
          <cell r="H1807" t="str">
            <v>singleron-3'转录组文库</v>
          </cell>
          <cell r="I1807" t="str">
            <v>WWH</v>
          </cell>
          <cell r="J1807">
            <v>16.2</v>
          </cell>
          <cell r="N1807" t="e">
            <v>#DIV/0!</v>
          </cell>
        </row>
        <row r="1808">
          <cell r="E1808" t="str">
            <v>HGC-Lib-2452490</v>
          </cell>
          <cell r="F1808" t="str">
            <v>LA240530066X2</v>
          </cell>
          <cell r="G1808">
            <v>100</v>
          </cell>
          <cell r="H1808" t="str">
            <v>singleron-3'转录组文库</v>
          </cell>
          <cell r="I1808" t="str">
            <v>WWH</v>
          </cell>
          <cell r="J1808">
            <v>3.28</v>
          </cell>
          <cell r="N1808" t="e">
            <v>#DIV/0!</v>
          </cell>
        </row>
        <row r="1809">
          <cell r="E1809" t="str">
            <v>HGC-Lib-2452491</v>
          </cell>
          <cell r="F1809" t="str">
            <v>LA240530062</v>
          </cell>
          <cell r="G1809">
            <v>100</v>
          </cell>
          <cell r="H1809" t="str">
            <v>singleron-3'转录组文库</v>
          </cell>
          <cell r="I1809" t="str">
            <v>WWH</v>
          </cell>
          <cell r="J1809">
            <v>15</v>
          </cell>
          <cell r="N1809" t="e">
            <v>#DIV/0!</v>
          </cell>
        </row>
        <row r="1810">
          <cell r="E1810" t="str">
            <v>HGC-Lib-2452492</v>
          </cell>
          <cell r="F1810" t="str">
            <v>LC240530070</v>
          </cell>
          <cell r="G1810">
            <v>100</v>
          </cell>
          <cell r="H1810" t="str">
            <v>singleron-3'转录组文库</v>
          </cell>
          <cell r="I1810" t="str">
            <v>WWH</v>
          </cell>
          <cell r="J1810">
            <v>20.2</v>
          </cell>
          <cell r="N1810" t="e">
            <v>#DIV/0!</v>
          </cell>
        </row>
        <row r="1811">
          <cell r="E1811" t="str">
            <v>HGC-Lib-2452493</v>
          </cell>
          <cell r="F1811" t="str">
            <v>LC240530068</v>
          </cell>
          <cell r="G1811">
            <v>100</v>
          </cell>
          <cell r="H1811" t="str">
            <v>singleron-3'转录组文库</v>
          </cell>
          <cell r="I1811" t="str">
            <v>WWH</v>
          </cell>
          <cell r="J1811">
            <v>19.3</v>
          </cell>
          <cell r="N1811" t="e">
            <v>#DIV/0!</v>
          </cell>
        </row>
        <row r="1812">
          <cell r="E1812" t="str">
            <v>HGC-Lib-2452494</v>
          </cell>
          <cell r="F1812" t="str">
            <v>LC240530069</v>
          </cell>
          <cell r="G1812">
            <v>100</v>
          </cell>
          <cell r="H1812" t="str">
            <v>singleron-3'转录组文库</v>
          </cell>
          <cell r="I1812" t="str">
            <v>WWH</v>
          </cell>
          <cell r="J1812">
            <v>22.4</v>
          </cell>
          <cell r="N1812" t="e">
            <v>#DIV/0!</v>
          </cell>
        </row>
        <row r="1813">
          <cell r="E1813" t="str">
            <v>HGC-Lib-2452495</v>
          </cell>
          <cell r="F1813" t="str">
            <v>LA240530065X2</v>
          </cell>
          <cell r="G1813">
            <v>100</v>
          </cell>
          <cell r="H1813" t="str">
            <v>singleron-3'转录组文库</v>
          </cell>
          <cell r="I1813" t="str">
            <v>WWH</v>
          </cell>
          <cell r="J1813">
            <v>12.8</v>
          </cell>
          <cell r="N1813" t="e">
            <v>#DIV/0!</v>
          </cell>
        </row>
        <row r="1814">
          <cell r="E1814" t="str">
            <v>HGC-Lib-2452496</v>
          </cell>
          <cell r="F1814" t="str">
            <v>LC240530067</v>
          </cell>
          <cell r="G1814">
            <v>100</v>
          </cell>
          <cell r="H1814" t="str">
            <v>singleron-3'转录组文库</v>
          </cell>
          <cell r="I1814" t="str">
            <v>WWH</v>
          </cell>
          <cell r="J1814">
            <v>23.8</v>
          </cell>
          <cell r="N1814" t="e">
            <v>#DIV/0!</v>
          </cell>
        </row>
        <row r="1815">
          <cell r="E1815" t="str">
            <v>HGC-Lib-2452497</v>
          </cell>
          <cell r="F1815" t="str">
            <v>LA240530061</v>
          </cell>
          <cell r="G1815">
            <v>100</v>
          </cell>
          <cell r="H1815" t="str">
            <v>singleron-3'转录组文库</v>
          </cell>
          <cell r="I1815" t="str">
            <v>WWH</v>
          </cell>
          <cell r="J1815">
            <v>16.8</v>
          </cell>
          <cell r="N1815" t="e">
            <v>#DIV/0!</v>
          </cell>
        </row>
        <row r="1816">
          <cell r="E1816" t="str">
            <v>HGC-Lib-2452498</v>
          </cell>
          <cell r="F1816" t="str">
            <v>LA240530059</v>
          </cell>
          <cell r="G1816">
            <v>100</v>
          </cell>
          <cell r="H1816" t="str">
            <v>singleron-3'转录组文库</v>
          </cell>
          <cell r="I1816" t="str">
            <v>WWH</v>
          </cell>
          <cell r="J1816">
            <v>9.08</v>
          </cell>
          <cell r="N1816" t="e">
            <v>#DIV/0!</v>
          </cell>
        </row>
        <row r="1817">
          <cell r="E1817" t="str">
            <v>HGC-Lib-2452499</v>
          </cell>
          <cell r="F1817" t="str">
            <v>LA240530064X1</v>
          </cell>
          <cell r="G1817">
            <v>100</v>
          </cell>
          <cell r="H1817" t="str">
            <v>singleron-3'转录组文库</v>
          </cell>
          <cell r="I1817" t="str">
            <v>WWH</v>
          </cell>
          <cell r="J1817">
            <v>6.92</v>
          </cell>
          <cell r="N1817" t="e">
            <v>#DIV/0!</v>
          </cell>
        </row>
        <row r="1818">
          <cell r="E1818" t="str">
            <v>HGC-Lib-2452500</v>
          </cell>
          <cell r="F1818" t="str">
            <v>LC240630020</v>
          </cell>
          <cell r="G1818">
            <v>100</v>
          </cell>
          <cell r="H1818" t="str">
            <v>singleron-3'转录组文库</v>
          </cell>
          <cell r="I1818" t="str">
            <v>WWH</v>
          </cell>
          <cell r="J1818">
            <v>21.4</v>
          </cell>
          <cell r="N1818" t="e">
            <v>#DIV/0!</v>
          </cell>
        </row>
        <row r="1819">
          <cell r="E1819" t="str">
            <v>HGC-Lib-2452501</v>
          </cell>
          <cell r="F1819" t="str">
            <v>LC240630019</v>
          </cell>
          <cell r="G1819">
            <v>100</v>
          </cell>
          <cell r="H1819" t="str">
            <v>singleron-3'转录组文库</v>
          </cell>
          <cell r="I1819" t="str">
            <v>WWH</v>
          </cell>
          <cell r="J1819">
            <v>24.2</v>
          </cell>
          <cell r="N1819" t="e">
            <v>#DIV/0!</v>
          </cell>
        </row>
        <row r="1820">
          <cell r="E1820" t="str">
            <v>HGC-Lib-2452502</v>
          </cell>
          <cell r="F1820" t="str">
            <v>LC240629050X1</v>
          </cell>
          <cell r="G1820">
            <v>100</v>
          </cell>
          <cell r="H1820" t="str">
            <v>singleron-3'转录组文库</v>
          </cell>
          <cell r="I1820" t="str">
            <v>WWH</v>
          </cell>
          <cell r="J1820">
            <v>23.2</v>
          </cell>
          <cell r="N1820" t="e">
            <v>#DIV/0!</v>
          </cell>
        </row>
        <row r="1821">
          <cell r="E1821" t="str">
            <v>HGC-Lib-2452503</v>
          </cell>
          <cell r="F1821" t="str">
            <v>LC240628040</v>
          </cell>
          <cell r="G1821">
            <v>100</v>
          </cell>
          <cell r="H1821" t="str">
            <v>singleron-3'转录组文库</v>
          </cell>
          <cell r="I1821" t="str">
            <v>WWH</v>
          </cell>
          <cell r="J1821">
            <v>15.9</v>
          </cell>
          <cell r="N1821" t="e">
            <v>#DIV/0!</v>
          </cell>
        </row>
        <row r="1822">
          <cell r="E1822" t="str">
            <v>HGC-Lib-2452504</v>
          </cell>
          <cell r="F1822" t="str">
            <v>LC240628046</v>
          </cell>
          <cell r="G1822">
            <v>100</v>
          </cell>
          <cell r="H1822" t="str">
            <v>singleron-3'转录组文库</v>
          </cell>
          <cell r="I1822" t="str">
            <v>WWH</v>
          </cell>
          <cell r="J1822">
            <v>20.2</v>
          </cell>
          <cell r="N1822" t="e">
            <v>#DIV/0!</v>
          </cell>
        </row>
        <row r="1823">
          <cell r="E1823" t="str">
            <v>HGC-Lib-2452505</v>
          </cell>
          <cell r="F1823" t="str">
            <v>LC240630021</v>
          </cell>
          <cell r="G1823">
            <v>100</v>
          </cell>
          <cell r="H1823" t="str">
            <v>singleron-3'转录组文库</v>
          </cell>
          <cell r="I1823" t="str">
            <v>WWH</v>
          </cell>
          <cell r="J1823">
            <v>18</v>
          </cell>
          <cell r="N1823" t="e">
            <v>#DIV/0!</v>
          </cell>
        </row>
        <row r="1824">
          <cell r="E1824" t="str">
            <v>HGC-Lib-2452506</v>
          </cell>
          <cell r="F1824" t="str">
            <v>LA240629099</v>
          </cell>
          <cell r="G1824">
            <v>100</v>
          </cell>
          <cell r="H1824" t="str">
            <v>singleron-3'转录组文库</v>
          </cell>
          <cell r="I1824" t="str">
            <v>WWH</v>
          </cell>
          <cell r="J1824">
            <v>13.4</v>
          </cell>
          <cell r="N1824" t="e">
            <v>#DIV/0!</v>
          </cell>
        </row>
        <row r="1825">
          <cell r="E1825" t="str">
            <v>HGC-Lib-2452507</v>
          </cell>
          <cell r="F1825" t="str">
            <v>LA240629098</v>
          </cell>
          <cell r="G1825">
            <v>100</v>
          </cell>
          <cell r="H1825" t="str">
            <v>singleron-3'转录组文库</v>
          </cell>
          <cell r="I1825" t="str">
            <v>WWH</v>
          </cell>
          <cell r="J1825">
            <v>14.1</v>
          </cell>
          <cell r="N1825" t="e">
            <v>#DIV/0!</v>
          </cell>
        </row>
        <row r="1826">
          <cell r="E1826" t="str">
            <v>HGC-Lib-2452508</v>
          </cell>
          <cell r="F1826" t="str">
            <v>LA240629100</v>
          </cell>
          <cell r="G1826">
            <v>100</v>
          </cell>
          <cell r="H1826" t="str">
            <v>singleron-3'转录组文库</v>
          </cell>
          <cell r="I1826" t="str">
            <v>WWH</v>
          </cell>
          <cell r="J1826">
            <v>8.3800000000000008</v>
          </cell>
          <cell r="N1826" t="e">
            <v>#DIV/0!</v>
          </cell>
        </row>
        <row r="1827">
          <cell r="E1827" t="str">
            <v>HGC-Lib-2452509</v>
          </cell>
          <cell r="F1827" t="str">
            <v>LA240629101</v>
          </cell>
          <cell r="G1827">
            <v>100</v>
          </cell>
          <cell r="H1827" t="str">
            <v>singleron-3'转录组文库</v>
          </cell>
          <cell r="I1827" t="str">
            <v>WWH</v>
          </cell>
          <cell r="J1827">
            <v>9.9</v>
          </cell>
          <cell r="N1827" t="e">
            <v>#DIV/0!</v>
          </cell>
        </row>
        <row r="1828">
          <cell r="E1828" t="str">
            <v>HGC-Lib-2452510</v>
          </cell>
          <cell r="F1828" t="str">
            <v>LC240629076</v>
          </cell>
          <cell r="G1828">
            <v>100</v>
          </cell>
          <cell r="H1828" t="str">
            <v>singleron-3'转录组文库</v>
          </cell>
          <cell r="I1828" t="str">
            <v>WWH</v>
          </cell>
          <cell r="J1828">
            <v>22</v>
          </cell>
          <cell r="N1828" t="e">
            <v>#DIV/0!</v>
          </cell>
        </row>
        <row r="1829">
          <cell r="E1829" t="str">
            <v>HGC-Lib-2452511</v>
          </cell>
          <cell r="F1829" t="str">
            <v>LC240629047</v>
          </cell>
          <cell r="G1829">
            <v>90</v>
          </cell>
          <cell r="H1829" t="str">
            <v>singleron-3'转录组文库</v>
          </cell>
          <cell r="I1829" t="str">
            <v>WWH</v>
          </cell>
          <cell r="J1829">
            <v>28.6</v>
          </cell>
          <cell r="N1829" t="e">
            <v>#DIV/0!</v>
          </cell>
        </row>
        <row r="1830">
          <cell r="E1830" t="str">
            <v>HGC-Lib-2452512</v>
          </cell>
          <cell r="F1830" t="str">
            <v>LA240629094</v>
          </cell>
          <cell r="G1830">
            <v>100</v>
          </cell>
          <cell r="H1830" t="str">
            <v>singleron-3'转录组文库</v>
          </cell>
          <cell r="I1830" t="str">
            <v>WWH</v>
          </cell>
          <cell r="J1830">
            <v>16.100000000000001</v>
          </cell>
          <cell r="N1830" t="e">
            <v>#DIV/0!</v>
          </cell>
        </row>
        <row r="1831">
          <cell r="E1831" t="str">
            <v>HGC-Lib-2452513</v>
          </cell>
          <cell r="F1831" t="str">
            <v>LA240629096</v>
          </cell>
          <cell r="G1831">
            <v>100</v>
          </cell>
          <cell r="H1831" t="str">
            <v>singleron-3'转录组文库</v>
          </cell>
          <cell r="I1831" t="str">
            <v>WWH</v>
          </cell>
          <cell r="J1831">
            <v>6.62</v>
          </cell>
          <cell r="N1831" t="e">
            <v>#DIV/0!</v>
          </cell>
        </row>
        <row r="1832">
          <cell r="E1832" t="str">
            <v>HGC-Lib-2452514</v>
          </cell>
          <cell r="F1832" t="str">
            <v>LA240629093</v>
          </cell>
          <cell r="G1832">
            <v>100</v>
          </cell>
          <cell r="H1832" t="str">
            <v>singleron-3'转录组文库</v>
          </cell>
          <cell r="I1832" t="str">
            <v>WWH</v>
          </cell>
          <cell r="J1832">
            <v>14.9</v>
          </cell>
          <cell r="N1832" t="e">
            <v>#DIV/0!</v>
          </cell>
        </row>
        <row r="1833">
          <cell r="E1833" t="str">
            <v>HGC-Lib-2452515</v>
          </cell>
          <cell r="F1833" t="str">
            <v>LA240629095</v>
          </cell>
          <cell r="G1833">
            <v>100</v>
          </cell>
          <cell r="H1833" t="str">
            <v>singleron-3'转录组文库</v>
          </cell>
          <cell r="I1833" t="str">
            <v>WWH</v>
          </cell>
          <cell r="J1833">
            <v>20</v>
          </cell>
          <cell r="N1833" t="e">
            <v>#DIV/0!</v>
          </cell>
        </row>
        <row r="1834">
          <cell r="E1834" t="str">
            <v>HGC-Lib-2452516</v>
          </cell>
          <cell r="F1834" t="str">
            <v>LHC240630018</v>
          </cell>
          <cell r="G1834">
            <v>200</v>
          </cell>
          <cell r="H1834" t="str">
            <v>singleron-3'转录组文库</v>
          </cell>
          <cell r="I1834" t="str">
            <v>WWH</v>
          </cell>
          <cell r="J1834">
            <v>10.7</v>
          </cell>
          <cell r="N1834" t="e">
            <v>#DIV/0!</v>
          </cell>
        </row>
        <row r="1835">
          <cell r="E1835" t="str">
            <v>HGC-Lib-2452517</v>
          </cell>
          <cell r="F1835" t="str">
            <v>LFC240629080</v>
          </cell>
          <cell r="G1835">
            <v>90</v>
          </cell>
          <cell r="H1835" t="str">
            <v>singleron-3'转录组文库</v>
          </cell>
          <cell r="I1835" t="str">
            <v>WWH</v>
          </cell>
          <cell r="J1835">
            <v>21.8</v>
          </cell>
          <cell r="N1835" t="e">
            <v>#DIV/0!</v>
          </cell>
        </row>
        <row r="1836">
          <cell r="E1836" t="str">
            <v>HGC-Lib-2452518</v>
          </cell>
          <cell r="F1836" t="str">
            <v>LFC240629079</v>
          </cell>
          <cell r="G1836">
            <v>90</v>
          </cell>
          <cell r="H1836" t="str">
            <v>singleron-3'转录组文库</v>
          </cell>
          <cell r="I1836" t="str">
            <v>WWH</v>
          </cell>
          <cell r="J1836">
            <v>13</v>
          </cell>
          <cell r="N1836" t="e">
            <v>#DIV/0!</v>
          </cell>
        </row>
        <row r="1837">
          <cell r="E1837" t="str">
            <v>HGC-Lib-2452519</v>
          </cell>
          <cell r="F1837" t="str">
            <v>LC240701059</v>
          </cell>
          <cell r="G1837">
            <v>90</v>
          </cell>
          <cell r="H1837" t="str">
            <v>singleron-3'转录组文库</v>
          </cell>
          <cell r="I1837" t="str">
            <v>WWH</v>
          </cell>
          <cell r="J1837">
            <v>9.4</v>
          </cell>
          <cell r="N1837" t="e">
            <v>#DIV/0!</v>
          </cell>
        </row>
        <row r="1838">
          <cell r="E1838" t="str">
            <v>HGC-Lib-2452520</v>
          </cell>
          <cell r="F1838" t="str">
            <v>LHC240630027</v>
          </cell>
          <cell r="G1838">
            <v>200</v>
          </cell>
          <cell r="H1838" t="str">
            <v>singleron-3'转录组文库</v>
          </cell>
          <cell r="I1838" t="str">
            <v>WWH</v>
          </cell>
          <cell r="J1838">
            <v>13.2</v>
          </cell>
          <cell r="N1838" t="e">
            <v>#DIV/0!</v>
          </cell>
        </row>
        <row r="1839">
          <cell r="E1839" t="str">
            <v>HGC-Lib-2452521</v>
          </cell>
          <cell r="F1839" t="str">
            <v>LC240630001</v>
          </cell>
          <cell r="G1839">
            <v>100</v>
          </cell>
          <cell r="H1839" t="str">
            <v>singleron-3'转录组文库</v>
          </cell>
          <cell r="I1839" t="str">
            <v>WWH</v>
          </cell>
          <cell r="J1839">
            <v>17.399999999999999</v>
          </cell>
          <cell r="N1839" t="e">
            <v>#DIV/0!</v>
          </cell>
        </row>
        <row r="1840">
          <cell r="E1840" t="str">
            <v>HGC-POOL-2452522</v>
          </cell>
          <cell r="F1840" t="str">
            <v>PCRD-240704-001</v>
          </cell>
          <cell r="G1840">
            <v>30</v>
          </cell>
          <cell r="H1840" t="str">
            <v>UMI</v>
          </cell>
          <cell r="I1840" t="str">
            <v>WWH</v>
          </cell>
          <cell r="J1840">
            <v>18.8</v>
          </cell>
          <cell r="N1840" t="e">
            <v>#DIV/0!</v>
          </cell>
        </row>
        <row r="1841">
          <cell r="E1841" t="str">
            <v>HGC-Lib-2452523</v>
          </cell>
          <cell r="F1841" t="str">
            <v>AT240702039X1</v>
          </cell>
          <cell r="G1841">
            <v>10</v>
          </cell>
          <cell r="H1841" t="str">
            <v>UMI</v>
          </cell>
          <cell r="I1841" t="str">
            <v>WWH</v>
          </cell>
          <cell r="J1841">
            <v>4.7</v>
          </cell>
          <cell r="N1841" t="e">
            <v>#DIV/0!</v>
          </cell>
        </row>
        <row r="1842">
          <cell r="E1842" t="str">
            <v>HGC-Lib-2452524</v>
          </cell>
          <cell r="F1842" t="str">
            <v>L240614034X3</v>
          </cell>
          <cell r="G1842">
            <v>100</v>
          </cell>
          <cell r="H1842" t="str">
            <v>10X 3'转录组文库</v>
          </cell>
          <cell r="I1842" t="str">
            <v>WWH</v>
          </cell>
          <cell r="J1842">
            <v>17.2</v>
          </cell>
          <cell r="N1842" t="e">
            <v>#DIV/0!</v>
          </cell>
        </row>
        <row r="1843">
          <cell r="E1843" t="str">
            <v>HGC-Lib-2452525</v>
          </cell>
          <cell r="F1843" t="str">
            <v>L240606106X3</v>
          </cell>
          <cell r="G1843">
            <v>100</v>
          </cell>
          <cell r="H1843" t="str">
            <v>10X 3'转录组文库</v>
          </cell>
          <cell r="I1843" t="str">
            <v>WWH</v>
          </cell>
          <cell r="J1843">
            <v>11.8</v>
          </cell>
          <cell r="N1843" t="e">
            <v>#DIV/0!</v>
          </cell>
        </row>
        <row r="1844">
          <cell r="E1844" t="str">
            <v>HGC-Lib-2452526</v>
          </cell>
          <cell r="F1844" t="str">
            <v>L240606105X3</v>
          </cell>
          <cell r="G1844">
            <v>100</v>
          </cell>
          <cell r="H1844" t="str">
            <v>10X 3'转录组文库</v>
          </cell>
          <cell r="I1844" t="str">
            <v>WWH</v>
          </cell>
          <cell r="J1844">
            <v>13</v>
          </cell>
          <cell r="N1844" t="e">
            <v>#DIV/0!</v>
          </cell>
        </row>
        <row r="1845">
          <cell r="E1845" t="str">
            <v>HGC-Lib-2452527</v>
          </cell>
          <cell r="F1845" t="str">
            <v>L240616084X5</v>
          </cell>
          <cell r="G1845">
            <v>100</v>
          </cell>
          <cell r="H1845" t="str">
            <v>10X 5'转录组文库</v>
          </cell>
          <cell r="I1845" t="str">
            <v>WWH</v>
          </cell>
          <cell r="J1845">
            <v>10.8</v>
          </cell>
          <cell r="N1845" t="e">
            <v>#DIV/0!</v>
          </cell>
        </row>
        <row r="1846">
          <cell r="E1846" t="str">
            <v>HGC-Lib-2452528</v>
          </cell>
          <cell r="F1846" t="str">
            <v>s-1</v>
          </cell>
          <cell r="G1846">
            <v>4</v>
          </cell>
          <cell r="H1846" t="str">
            <v>small RNA文库</v>
          </cell>
          <cell r="I1846" t="str">
            <v>WWH</v>
          </cell>
          <cell r="J1846">
            <v>13.4</v>
          </cell>
          <cell r="N1846" t="e">
            <v>#DIV/0!</v>
          </cell>
        </row>
        <row r="1847">
          <cell r="E1847" t="str">
            <v>HGC-Lib-2452529</v>
          </cell>
          <cell r="F1847" t="str">
            <v>s-2</v>
          </cell>
          <cell r="G1847">
            <v>4</v>
          </cell>
          <cell r="H1847" t="str">
            <v>small RNA文库</v>
          </cell>
          <cell r="I1847" t="str">
            <v>WWH</v>
          </cell>
          <cell r="J1847">
            <v>12.2</v>
          </cell>
          <cell r="N1847" t="e">
            <v>#DIV/0!</v>
          </cell>
        </row>
        <row r="1848">
          <cell r="E1848" t="str">
            <v>HGC-Lib-2452530</v>
          </cell>
          <cell r="F1848" t="str">
            <v>s-3</v>
          </cell>
          <cell r="G1848">
            <v>4</v>
          </cell>
          <cell r="H1848" t="str">
            <v>small RNA文库</v>
          </cell>
          <cell r="I1848" t="str">
            <v>WWH</v>
          </cell>
          <cell r="J1848">
            <v>12</v>
          </cell>
          <cell r="N1848" t="e">
            <v>#DIV/0!</v>
          </cell>
        </row>
        <row r="1849">
          <cell r="E1849" t="str">
            <v>HGC-Lib-2452531</v>
          </cell>
          <cell r="F1849" t="str">
            <v>s-4</v>
          </cell>
          <cell r="G1849">
            <v>4</v>
          </cell>
          <cell r="H1849" t="str">
            <v>small RNA文库</v>
          </cell>
          <cell r="I1849" t="str">
            <v>WWH</v>
          </cell>
          <cell r="J1849">
            <v>9.84</v>
          </cell>
          <cell r="N1849" t="e">
            <v>#DIV/0!</v>
          </cell>
        </row>
        <row r="1850">
          <cell r="E1850" t="str">
            <v>HGC-Lib-2452532</v>
          </cell>
          <cell r="F1850" t="str">
            <v>s-5</v>
          </cell>
          <cell r="G1850">
            <v>4</v>
          </cell>
          <cell r="H1850" t="str">
            <v>small RNA文库</v>
          </cell>
          <cell r="I1850" t="str">
            <v>WWH</v>
          </cell>
          <cell r="J1850">
            <v>9.6</v>
          </cell>
          <cell r="N1850" t="e">
            <v>#DIV/0!</v>
          </cell>
        </row>
        <row r="1851">
          <cell r="E1851" t="str">
            <v>HGC-Lib-2452533</v>
          </cell>
          <cell r="F1851" t="str">
            <v>s-6</v>
          </cell>
          <cell r="G1851">
            <v>4</v>
          </cell>
          <cell r="H1851" t="str">
            <v>small RNA文库</v>
          </cell>
          <cell r="I1851" t="str">
            <v>WWH</v>
          </cell>
          <cell r="J1851">
            <v>7.62</v>
          </cell>
          <cell r="N1851" t="e">
            <v>#DIV/0!</v>
          </cell>
        </row>
        <row r="1852">
          <cell r="E1852" t="str">
            <v>HGC-Lib-2452534</v>
          </cell>
          <cell r="F1852" t="str">
            <v>s-7</v>
          </cell>
          <cell r="G1852">
            <v>4</v>
          </cell>
          <cell r="H1852" t="str">
            <v>small RNA文库</v>
          </cell>
          <cell r="I1852" t="str">
            <v>WWH</v>
          </cell>
          <cell r="J1852">
            <v>6.9</v>
          </cell>
          <cell r="N1852" t="e">
            <v>#DIV/0!</v>
          </cell>
        </row>
        <row r="1853">
          <cell r="E1853" t="str">
            <v>HGC-Lib-2452535</v>
          </cell>
          <cell r="F1853" t="str">
            <v>s-8</v>
          </cell>
          <cell r="G1853">
            <v>4</v>
          </cell>
          <cell r="H1853" t="str">
            <v>small RNA文库</v>
          </cell>
          <cell r="I1853" t="str">
            <v>WH</v>
          </cell>
          <cell r="J1853">
            <v>8.5</v>
          </cell>
          <cell r="N1853" t="e">
            <v>#DIV/0!</v>
          </cell>
        </row>
        <row r="1854">
          <cell r="E1854" t="str">
            <v>HGC-Lib-2452536</v>
          </cell>
          <cell r="F1854" t="str">
            <v>s-9</v>
          </cell>
          <cell r="G1854">
            <v>4</v>
          </cell>
          <cell r="H1854" t="str">
            <v>small RNA文库</v>
          </cell>
          <cell r="I1854" t="str">
            <v>WH</v>
          </cell>
          <cell r="J1854">
            <v>21.2</v>
          </cell>
          <cell r="N1854" t="e">
            <v>#DIV/0!</v>
          </cell>
        </row>
        <row r="1855">
          <cell r="E1855" t="str">
            <v>HGC-Lib-2452537</v>
          </cell>
          <cell r="F1855" t="str">
            <v>s-10</v>
          </cell>
          <cell r="G1855">
            <v>4</v>
          </cell>
          <cell r="H1855" t="str">
            <v>small RNA文库</v>
          </cell>
          <cell r="I1855" t="str">
            <v>WH</v>
          </cell>
          <cell r="J1855">
            <v>23.8</v>
          </cell>
          <cell r="N1855" t="e">
            <v>#DIV/0!</v>
          </cell>
        </row>
        <row r="1856">
          <cell r="E1856" t="str">
            <v>HGC-Lib-2452538</v>
          </cell>
          <cell r="F1856" t="str">
            <v>s-11</v>
          </cell>
          <cell r="G1856">
            <v>4</v>
          </cell>
          <cell r="H1856" t="str">
            <v>small RNA文库</v>
          </cell>
          <cell r="I1856" t="str">
            <v>WH</v>
          </cell>
          <cell r="J1856">
            <v>25.6</v>
          </cell>
          <cell r="N1856" t="e">
            <v>#DIV/0!</v>
          </cell>
        </row>
        <row r="1857">
          <cell r="E1857" t="str">
            <v>HGC-Lib-2452539</v>
          </cell>
          <cell r="F1857" t="str">
            <v>s-12</v>
          </cell>
          <cell r="G1857">
            <v>4</v>
          </cell>
          <cell r="H1857" t="str">
            <v>small RNA文库</v>
          </cell>
          <cell r="I1857" t="str">
            <v>WH</v>
          </cell>
          <cell r="J1857">
            <v>27.4</v>
          </cell>
          <cell r="N1857" t="e">
            <v>#DIV/0!</v>
          </cell>
        </row>
        <row r="1858">
          <cell r="E1858" t="str">
            <v>HGC-Lib-2452540</v>
          </cell>
          <cell r="F1858" t="str">
            <v>s-13</v>
          </cell>
          <cell r="G1858">
            <v>4</v>
          </cell>
          <cell r="H1858" t="str">
            <v>small RNA文库</v>
          </cell>
          <cell r="I1858" t="str">
            <v>WH</v>
          </cell>
          <cell r="J1858">
            <v>24.2</v>
          </cell>
          <cell r="N1858" t="e">
            <v>#DIV/0!</v>
          </cell>
        </row>
        <row r="1859">
          <cell r="E1859" t="str">
            <v>HGC-Lib-2452541</v>
          </cell>
          <cell r="F1859" t="str">
            <v>s-14</v>
          </cell>
          <cell r="G1859">
            <v>4</v>
          </cell>
          <cell r="H1859" t="str">
            <v>small RNA文库</v>
          </cell>
          <cell r="I1859" t="str">
            <v>WH</v>
          </cell>
          <cell r="J1859">
            <v>19.2</v>
          </cell>
          <cell r="N1859" t="e">
            <v>#DIV/0!</v>
          </cell>
        </row>
        <row r="1860">
          <cell r="E1860" t="str">
            <v>HGC-Lib-2452542</v>
          </cell>
          <cell r="F1860" t="str">
            <v>s-15</v>
          </cell>
          <cell r="G1860">
            <v>4</v>
          </cell>
          <cell r="H1860" t="str">
            <v>small RNA文库</v>
          </cell>
          <cell r="I1860" t="str">
            <v>WH</v>
          </cell>
          <cell r="J1860">
            <v>21.8</v>
          </cell>
          <cell r="N1860" t="e">
            <v>#DIV/0!</v>
          </cell>
        </row>
        <row r="1861">
          <cell r="E1861" t="str">
            <v>HGC-Lib-2452543</v>
          </cell>
          <cell r="F1861" t="str">
            <v>s-16</v>
          </cell>
          <cell r="G1861">
            <v>4</v>
          </cell>
          <cell r="H1861" t="str">
            <v>small RNA文库</v>
          </cell>
          <cell r="I1861" t="str">
            <v>WH</v>
          </cell>
          <cell r="J1861">
            <v>30.8</v>
          </cell>
          <cell r="N1861" t="e">
            <v>#DIV/0!</v>
          </cell>
        </row>
        <row r="1862">
          <cell r="E1862" t="str">
            <v>HGC-Lib-2452544</v>
          </cell>
          <cell r="F1862" t="str">
            <v>s-17</v>
          </cell>
          <cell r="G1862">
            <v>4</v>
          </cell>
          <cell r="H1862" t="str">
            <v>small RNA文库</v>
          </cell>
          <cell r="I1862" t="str">
            <v>WH</v>
          </cell>
          <cell r="J1862">
            <v>26.2</v>
          </cell>
          <cell r="N1862" t="e">
            <v>#DIV/0!</v>
          </cell>
        </row>
        <row r="1863">
          <cell r="E1863" t="str">
            <v>HGC-Lib-2452545</v>
          </cell>
          <cell r="F1863" t="str">
            <v>s-18</v>
          </cell>
          <cell r="G1863">
            <v>4</v>
          </cell>
          <cell r="H1863" t="str">
            <v>small RNA文库</v>
          </cell>
          <cell r="I1863" t="str">
            <v>WH</v>
          </cell>
          <cell r="J1863">
            <v>31.4</v>
          </cell>
          <cell r="N1863" t="e">
            <v>#DIV/0!</v>
          </cell>
        </row>
        <row r="1864">
          <cell r="E1864" t="str">
            <v>HGC-Lib-2452546</v>
          </cell>
          <cell r="F1864" t="str">
            <v>PCR产物文库</v>
          </cell>
          <cell r="G1864">
            <v>2</v>
          </cell>
          <cell r="H1864" t="str">
            <v>PCR产物文库</v>
          </cell>
          <cell r="I1864" t="str">
            <v>WH</v>
          </cell>
          <cell r="J1864">
            <v>5.34</v>
          </cell>
          <cell r="N1864" t="e">
            <v>#DIV/0!</v>
          </cell>
        </row>
        <row r="1865">
          <cell r="E1865" t="str">
            <v>HGC-Lib-2452547</v>
          </cell>
          <cell r="F1865" t="str">
            <v>NGS0324035-399</v>
          </cell>
          <cell r="G1865">
            <v>6</v>
          </cell>
          <cell r="H1865" t="str">
            <v>mRNA文库</v>
          </cell>
          <cell r="I1865" t="str">
            <v>WH</v>
          </cell>
          <cell r="J1865">
            <v>1.53</v>
          </cell>
          <cell r="K1865">
            <v>433</v>
          </cell>
          <cell r="N1865">
            <v>5.4361343044945798</v>
          </cell>
        </row>
        <row r="1866">
          <cell r="E1866" t="str">
            <v>HGC-Lib-2452548</v>
          </cell>
          <cell r="F1866" t="str">
            <v>NGS0324035-400</v>
          </cell>
          <cell r="G1866">
            <v>6</v>
          </cell>
          <cell r="H1866" t="str">
            <v>mRNA文库</v>
          </cell>
          <cell r="I1866" t="str">
            <v>WH</v>
          </cell>
          <cell r="J1866">
            <v>5.8</v>
          </cell>
          <cell r="N1866" t="e">
            <v>#DIV/0!</v>
          </cell>
        </row>
        <row r="1867">
          <cell r="E1867" t="str">
            <v>HGC-Lib-2452549</v>
          </cell>
          <cell r="F1867" t="str">
            <v>NGS0324035-401</v>
          </cell>
          <cell r="G1867">
            <v>6</v>
          </cell>
          <cell r="H1867" t="str">
            <v>mRNA文库</v>
          </cell>
          <cell r="I1867" t="str">
            <v>WH</v>
          </cell>
          <cell r="J1867">
            <v>2.76</v>
          </cell>
          <cell r="N1867" t="e">
            <v>#DIV/0!</v>
          </cell>
        </row>
        <row r="1868">
          <cell r="E1868" t="str">
            <v>HGC-Lib-2452550</v>
          </cell>
          <cell r="F1868" t="str">
            <v>NGS0324035-402</v>
          </cell>
          <cell r="G1868">
            <v>6</v>
          </cell>
          <cell r="H1868" t="str">
            <v>mRNA文库</v>
          </cell>
          <cell r="I1868" t="str">
            <v>WH</v>
          </cell>
          <cell r="J1868">
            <v>21.4</v>
          </cell>
          <cell r="N1868" t="e">
            <v>#DIV/0!</v>
          </cell>
        </row>
        <row r="1869">
          <cell r="E1869" t="str">
            <v>HGC-Lib-2452551</v>
          </cell>
          <cell r="F1869" t="str">
            <v>NGS0324035-403</v>
          </cell>
          <cell r="G1869">
            <v>6</v>
          </cell>
          <cell r="H1869" t="str">
            <v>mRNA文库</v>
          </cell>
          <cell r="I1869" t="str">
            <v>WH</v>
          </cell>
          <cell r="J1869">
            <v>6.62</v>
          </cell>
          <cell r="N1869" t="e">
            <v>#DIV/0!</v>
          </cell>
        </row>
        <row r="1870">
          <cell r="E1870" t="str">
            <v>HGC-Lib-2452552</v>
          </cell>
          <cell r="F1870" t="str">
            <v>NGS0324035-404</v>
          </cell>
          <cell r="G1870">
            <v>6</v>
          </cell>
          <cell r="H1870" t="str">
            <v>mRNA文库</v>
          </cell>
          <cell r="I1870" t="str">
            <v>WH</v>
          </cell>
          <cell r="J1870">
            <v>15</v>
          </cell>
          <cell r="N1870" t="e">
            <v>#DIV/0!</v>
          </cell>
        </row>
        <row r="1871">
          <cell r="E1871" t="str">
            <v>HGC-Lib-2452553</v>
          </cell>
          <cell r="F1871" t="str">
            <v>NGS0324035-405</v>
          </cell>
          <cell r="G1871">
            <v>6</v>
          </cell>
          <cell r="H1871" t="str">
            <v>mRNA文库</v>
          </cell>
          <cell r="I1871" t="str">
            <v>WH</v>
          </cell>
          <cell r="J1871">
            <v>2.04</v>
          </cell>
          <cell r="N1871" t="e">
            <v>#DIV/0!</v>
          </cell>
        </row>
        <row r="1872">
          <cell r="E1872" t="str">
            <v>HGC-Lib-2452554</v>
          </cell>
          <cell r="F1872" t="str">
            <v>NGS0324035-406</v>
          </cell>
          <cell r="G1872">
            <v>6</v>
          </cell>
          <cell r="H1872" t="str">
            <v>mRNA文库</v>
          </cell>
          <cell r="I1872" t="str">
            <v>WH</v>
          </cell>
          <cell r="J1872">
            <v>6.14</v>
          </cell>
          <cell r="N1872" t="e">
            <v>#DIV/0!</v>
          </cell>
        </row>
        <row r="1873">
          <cell r="E1873" t="str">
            <v>HGC-Lib-2452555</v>
          </cell>
          <cell r="F1873" t="str">
            <v>NGS0324035-407</v>
          </cell>
          <cell r="G1873">
            <v>6</v>
          </cell>
          <cell r="H1873" t="str">
            <v>mRNA文库</v>
          </cell>
          <cell r="I1873" t="str">
            <v>WH</v>
          </cell>
          <cell r="J1873">
            <v>8.86</v>
          </cell>
          <cell r="N1873" t="e">
            <v>#DIV/0!</v>
          </cell>
        </row>
        <row r="1874">
          <cell r="E1874" t="str">
            <v>HGC-Lib-2452556</v>
          </cell>
          <cell r="F1874" t="str">
            <v>NGS0324035-408</v>
          </cell>
          <cell r="G1874">
            <v>6</v>
          </cell>
          <cell r="H1874" t="str">
            <v>mRNA文库</v>
          </cell>
          <cell r="I1874" t="str">
            <v>WH</v>
          </cell>
          <cell r="J1874">
            <v>9.86</v>
          </cell>
          <cell r="N1874" t="e">
            <v>#DIV/0!</v>
          </cell>
        </row>
        <row r="1875">
          <cell r="E1875" t="str">
            <v>HGC-Lib-2452557</v>
          </cell>
          <cell r="F1875" t="str">
            <v>NGS0324035-409</v>
          </cell>
          <cell r="G1875">
            <v>6</v>
          </cell>
          <cell r="H1875" t="str">
            <v>mRNA文库</v>
          </cell>
          <cell r="I1875" t="str">
            <v>WH</v>
          </cell>
          <cell r="J1875">
            <v>7.28</v>
          </cell>
          <cell r="N1875" t="e">
            <v>#DIV/0!</v>
          </cell>
        </row>
        <row r="1876">
          <cell r="E1876" t="str">
            <v>HGC-Lib-2452558</v>
          </cell>
          <cell r="F1876" t="str">
            <v>NGS0324035-410</v>
          </cell>
          <cell r="G1876">
            <v>6</v>
          </cell>
          <cell r="H1876" t="str">
            <v>mRNA文库</v>
          </cell>
          <cell r="I1876" t="str">
            <v>WH</v>
          </cell>
          <cell r="J1876">
            <v>7.68</v>
          </cell>
          <cell r="N1876" t="e">
            <v>#DIV/0!</v>
          </cell>
        </row>
        <row r="1877">
          <cell r="E1877" t="str">
            <v>HGC-Lib-2452559</v>
          </cell>
          <cell r="F1877" t="str">
            <v>NGS0324035-411</v>
          </cell>
          <cell r="G1877">
            <v>6</v>
          </cell>
          <cell r="H1877" t="str">
            <v>mRNA文库</v>
          </cell>
          <cell r="I1877" t="str">
            <v>WH</v>
          </cell>
          <cell r="J1877">
            <v>14</v>
          </cell>
          <cell r="N1877" t="e">
            <v>#DIV/0!</v>
          </cell>
        </row>
        <row r="1878">
          <cell r="E1878" t="str">
            <v>HGC-Lib-2452560</v>
          </cell>
          <cell r="F1878" t="str">
            <v>NGS0324035-412</v>
          </cell>
          <cell r="G1878">
            <v>6</v>
          </cell>
          <cell r="H1878" t="str">
            <v>mRNA文库</v>
          </cell>
          <cell r="I1878" t="str">
            <v>WH</v>
          </cell>
          <cell r="J1878">
            <v>5.72</v>
          </cell>
          <cell r="N1878" t="e">
            <v>#DIV/0!</v>
          </cell>
        </row>
        <row r="1879">
          <cell r="E1879" t="str">
            <v>HGC-Lib-2452561</v>
          </cell>
          <cell r="F1879" t="str">
            <v>NGS0324035-413</v>
          </cell>
          <cell r="G1879">
            <v>6</v>
          </cell>
          <cell r="H1879" t="str">
            <v>mRNA文库</v>
          </cell>
          <cell r="I1879" t="str">
            <v>WH</v>
          </cell>
          <cell r="J1879">
            <v>9.32</v>
          </cell>
          <cell r="N1879" t="e">
            <v>#DIV/0!</v>
          </cell>
        </row>
        <row r="1880">
          <cell r="E1880" t="str">
            <v>HGC-Lib-2452562</v>
          </cell>
          <cell r="F1880" t="str">
            <v>NGS0324035-414</v>
          </cell>
          <cell r="G1880">
            <v>6</v>
          </cell>
          <cell r="H1880" t="str">
            <v>mRNA文库</v>
          </cell>
          <cell r="I1880" t="str">
            <v>WH</v>
          </cell>
          <cell r="J1880">
            <v>24.2</v>
          </cell>
          <cell r="N1880" t="e">
            <v>#DIV/0!</v>
          </cell>
        </row>
        <row r="1881">
          <cell r="E1881" t="str">
            <v>HGC-Lib-2452563</v>
          </cell>
          <cell r="F1881" t="str">
            <v>NGS0324035-415</v>
          </cell>
          <cell r="G1881">
            <v>6</v>
          </cell>
          <cell r="H1881" t="str">
            <v>mRNA文库</v>
          </cell>
          <cell r="I1881" t="str">
            <v>WH</v>
          </cell>
          <cell r="J1881">
            <v>3.7</v>
          </cell>
          <cell r="N1881" t="e">
            <v>#DIV/0!</v>
          </cell>
        </row>
        <row r="1882">
          <cell r="E1882" t="str">
            <v>HGC-Lib-2452564</v>
          </cell>
          <cell r="F1882" t="str">
            <v>NGS0324035-416</v>
          </cell>
          <cell r="G1882">
            <v>6</v>
          </cell>
          <cell r="H1882" t="str">
            <v>mRNA文库</v>
          </cell>
          <cell r="I1882" t="str">
            <v>WH</v>
          </cell>
          <cell r="J1882">
            <v>20</v>
          </cell>
          <cell r="N1882" t="e">
            <v>#DIV/0!</v>
          </cell>
        </row>
        <row r="1883">
          <cell r="E1883" t="str">
            <v>HGC-Lib-2452565</v>
          </cell>
          <cell r="F1883" t="str">
            <v>NGS0324035-417</v>
          </cell>
          <cell r="G1883">
            <v>6</v>
          </cell>
          <cell r="H1883" t="str">
            <v>mRNA文库</v>
          </cell>
          <cell r="I1883" t="str">
            <v>WH</v>
          </cell>
          <cell r="J1883">
            <v>14.7</v>
          </cell>
          <cell r="N1883" t="e">
            <v>#DIV/0!</v>
          </cell>
        </row>
        <row r="1884">
          <cell r="E1884" t="str">
            <v>HGC-Lib-2452566</v>
          </cell>
          <cell r="F1884" t="str">
            <v>NGS0324035-418</v>
          </cell>
          <cell r="G1884">
            <v>6</v>
          </cell>
          <cell r="H1884" t="str">
            <v>mRNA文库</v>
          </cell>
          <cell r="I1884" t="str">
            <v>WH</v>
          </cell>
          <cell r="J1884">
            <v>1.66</v>
          </cell>
          <cell r="K1884">
            <v>298</v>
          </cell>
          <cell r="N1884">
            <v>8.5699535363964898</v>
          </cell>
        </row>
        <row r="1885">
          <cell r="E1885" t="str">
            <v>HGC-Lib-2452567</v>
          </cell>
          <cell r="F1885" t="str">
            <v>NGS0324035-419</v>
          </cell>
          <cell r="G1885">
            <v>6</v>
          </cell>
          <cell r="H1885" t="str">
            <v>mRNA文库</v>
          </cell>
          <cell r="I1885" t="str">
            <v>WH</v>
          </cell>
          <cell r="J1885">
            <v>10.1</v>
          </cell>
          <cell r="N1885" t="e">
            <v>#DIV/0!</v>
          </cell>
        </row>
        <row r="1886">
          <cell r="E1886" t="str">
            <v>HGC-Lib-2452568</v>
          </cell>
          <cell r="F1886" t="str">
            <v>NGS0324035-420</v>
          </cell>
          <cell r="G1886">
            <v>6</v>
          </cell>
          <cell r="H1886" t="str">
            <v>mRNA文库</v>
          </cell>
          <cell r="I1886" t="str">
            <v>WH</v>
          </cell>
          <cell r="J1886">
            <v>10.9</v>
          </cell>
          <cell r="N1886" t="e">
            <v>#DIV/0!</v>
          </cell>
        </row>
        <row r="1887">
          <cell r="E1887" t="str">
            <v>HGC-Lib-2452569</v>
          </cell>
          <cell r="F1887" t="str">
            <v>NGS0324035-421</v>
          </cell>
          <cell r="G1887">
            <v>6</v>
          </cell>
          <cell r="H1887" t="str">
            <v>mRNA文库</v>
          </cell>
          <cell r="I1887" t="str">
            <v>WH</v>
          </cell>
          <cell r="J1887">
            <v>31.8</v>
          </cell>
          <cell r="N1887" t="e">
            <v>#DIV/0!</v>
          </cell>
        </row>
        <row r="1888">
          <cell r="E1888" t="str">
            <v>HGC-Lib-2452570</v>
          </cell>
          <cell r="F1888" t="str">
            <v>NGS0324035-422</v>
          </cell>
          <cell r="G1888">
            <v>6</v>
          </cell>
          <cell r="H1888" t="str">
            <v>mRNA文库</v>
          </cell>
          <cell r="I1888" t="str">
            <v>WH</v>
          </cell>
          <cell r="J1888">
            <v>20.399999999999999</v>
          </cell>
          <cell r="N1888" t="e">
            <v>#DIV/0!</v>
          </cell>
        </row>
        <row r="1889">
          <cell r="E1889" t="str">
            <v>HGC-Lib-2452571</v>
          </cell>
          <cell r="F1889" t="str">
            <v>NGS0324035-423</v>
          </cell>
          <cell r="G1889">
            <v>6</v>
          </cell>
          <cell r="H1889" t="str">
            <v>mRNA文库</v>
          </cell>
          <cell r="I1889" t="str">
            <v>WH</v>
          </cell>
          <cell r="J1889">
            <v>44.8</v>
          </cell>
          <cell r="N1889" t="e">
            <v>#DIV/0!</v>
          </cell>
        </row>
        <row r="1890">
          <cell r="E1890" t="str">
            <v>HGC-Lib-2452572</v>
          </cell>
          <cell r="F1890" t="str">
            <v>NGS0324035-424</v>
          </cell>
          <cell r="G1890">
            <v>6</v>
          </cell>
          <cell r="H1890" t="str">
            <v>mRNA文库</v>
          </cell>
          <cell r="I1890" t="str">
            <v>WH</v>
          </cell>
          <cell r="J1890">
            <v>38.4</v>
          </cell>
          <cell r="N1890" t="e">
            <v>#DIV/0!</v>
          </cell>
        </row>
        <row r="1891">
          <cell r="E1891" t="str">
            <v>HGC-Lib-2452573</v>
          </cell>
          <cell r="F1891" t="str">
            <v>NGS0324035-425</v>
          </cell>
          <cell r="G1891">
            <v>6</v>
          </cell>
          <cell r="H1891" t="str">
            <v>mRNA文库</v>
          </cell>
          <cell r="I1891" t="str">
            <v>WH</v>
          </cell>
          <cell r="J1891">
            <v>44.2</v>
          </cell>
          <cell r="N1891" t="e">
            <v>#DIV/0!</v>
          </cell>
        </row>
        <row r="1892">
          <cell r="E1892" t="str">
            <v>HGC-Lib-2452574</v>
          </cell>
          <cell r="F1892" t="str">
            <v>NGS0324035-426</v>
          </cell>
          <cell r="G1892">
            <v>6</v>
          </cell>
          <cell r="H1892" t="str">
            <v>mRNA文库</v>
          </cell>
          <cell r="I1892" t="str">
            <v>WH</v>
          </cell>
          <cell r="J1892">
            <v>36.4</v>
          </cell>
          <cell r="N1892" t="e">
            <v>#DIV/0!</v>
          </cell>
        </row>
        <row r="1893">
          <cell r="E1893" t="str">
            <v>HGC-Lib-2452575</v>
          </cell>
          <cell r="F1893" t="str">
            <v>NGS0324035-427</v>
          </cell>
          <cell r="G1893">
            <v>6</v>
          </cell>
          <cell r="H1893" t="str">
            <v>mRNA文库</v>
          </cell>
          <cell r="I1893" t="str">
            <v>WH</v>
          </cell>
          <cell r="J1893">
            <v>39.6</v>
          </cell>
          <cell r="N1893" t="e">
            <v>#DIV/0!</v>
          </cell>
        </row>
        <row r="1894">
          <cell r="E1894" t="str">
            <v>HGC-Lib-2452576</v>
          </cell>
          <cell r="F1894" t="str">
            <v>NGS0324035-428</v>
          </cell>
          <cell r="G1894">
            <v>6</v>
          </cell>
          <cell r="H1894" t="str">
            <v>mRNA文库</v>
          </cell>
          <cell r="I1894" t="str">
            <v>WH</v>
          </cell>
          <cell r="J1894">
            <v>42.6</v>
          </cell>
          <cell r="N1894" t="e">
            <v>#DIV/0!</v>
          </cell>
        </row>
        <row r="1895">
          <cell r="E1895" t="str">
            <v>HGC-Lib-2452577</v>
          </cell>
          <cell r="F1895" t="str">
            <v>NGS0324035-429</v>
          </cell>
          <cell r="G1895">
            <v>6</v>
          </cell>
          <cell r="H1895" t="str">
            <v>mRNA文库</v>
          </cell>
          <cell r="I1895" t="str">
            <v>WH</v>
          </cell>
          <cell r="J1895">
            <v>32.4</v>
          </cell>
          <cell r="N1895" t="e">
            <v>#DIV/0!</v>
          </cell>
        </row>
        <row r="1896">
          <cell r="E1896" t="str">
            <v>HGC-Lib-2452578</v>
          </cell>
          <cell r="F1896" t="str">
            <v>NGS0324035-430</v>
          </cell>
          <cell r="G1896">
            <v>6</v>
          </cell>
          <cell r="H1896" t="str">
            <v>mRNA文库</v>
          </cell>
          <cell r="I1896" t="str">
            <v>WH</v>
          </cell>
          <cell r="J1896">
            <v>26.4</v>
          </cell>
          <cell r="N1896" t="e">
            <v>#DIV/0!</v>
          </cell>
        </row>
        <row r="1897">
          <cell r="E1897" t="str">
            <v>HGC-Lib-2452579</v>
          </cell>
          <cell r="F1897" t="str">
            <v>NGS0324035-431</v>
          </cell>
          <cell r="G1897">
            <v>6</v>
          </cell>
          <cell r="H1897" t="str">
            <v>mRNA文库</v>
          </cell>
          <cell r="I1897" t="str">
            <v>WH</v>
          </cell>
          <cell r="J1897">
            <v>3.2</v>
          </cell>
          <cell r="N1897" t="e">
            <v>#DIV/0!</v>
          </cell>
        </row>
        <row r="1898">
          <cell r="E1898" t="str">
            <v>HGC-Lib-2452580</v>
          </cell>
          <cell r="F1898" t="str">
            <v>NGS0324035-432</v>
          </cell>
          <cell r="G1898">
            <v>6</v>
          </cell>
          <cell r="H1898" t="str">
            <v>mRNA文库</v>
          </cell>
          <cell r="I1898" t="str">
            <v>WH</v>
          </cell>
          <cell r="J1898">
            <v>22</v>
          </cell>
          <cell r="N1898" t="e">
            <v>#DIV/0!</v>
          </cell>
        </row>
        <row r="1899">
          <cell r="E1899" t="str">
            <v>HGC-Lib-2452581</v>
          </cell>
          <cell r="F1899" t="str">
            <v>NGS0324035-433</v>
          </cell>
          <cell r="G1899">
            <v>6</v>
          </cell>
          <cell r="H1899" t="str">
            <v>mRNA文库</v>
          </cell>
          <cell r="I1899" t="str">
            <v>WH</v>
          </cell>
          <cell r="J1899">
            <v>14.8</v>
          </cell>
          <cell r="N1899" t="e">
            <v>#DIV/0!</v>
          </cell>
        </row>
        <row r="1900">
          <cell r="E1900" t="str">
            <v>HGC-Lib-2452582</v>
          </cell>
          <cell r="F1900" t="str">
            <v>NGS0324035-434</v>
          </cell>
          <cell r="G1900">
            <v>6</v>
          </cell>
          <cell r="H1900" t="str">
            <v>mRNA文库</v>
          </cell>
          <cell r="I1900" t="str">
            <v>WH</v>
          </cell>
          <cell r="J1900">
            <v>10.8</v>
          </cell>
          <cell r="N1900" t="e">
            <v>#DIV/0!</v>
          </cell>
        </row>
        <row r="1901">
          <cell r="E1901" t="str">
            <v>HGC-Lib-2452583</v>
          </cell>
          <cell r="F1901" t="str">
            <v>NGS0324035-435</v>
          </cell>
          <cell r="G1901">
            <v>6</v>
          </cell>
          <cell r="H1901" t="str">
            <v>mRNA文库</v>
          </cell>
          <cell r="I1901" t="str">
            <v>HZK</v>
          </cell>
          <cell r="J1901">
            <v>18</v>
          </cell>
          <cell r="N1901" t="e">
            <v>#DIV/0!</v>
          </cell>
        </row>
        <row r="1902">
          <cell r="E1902" t="str">
            <v>HGC-Lib-2452584</v>
          </cell>
          <cell r="F1902" t="str">
            <v>NGS0324035-436</v>
          </cell>
          <cell r="G1902">
            <v>6</v>
          </cell>
          <cell r="H1902" t="str">
            <v>mRNA文库</v>
          </cell>
          <cell r="I1902" t="str">
            <v>HZK</v>
          </cell>
          <cell r="J1902">
            <v>19.899999999999999</v>
          </cell>
          <cell r="N1902" t="e">
            <v>#DIV/0!</v>
          </cell>
        </row>
        <row r="1903">
          <cell r="E1903" t="str">
            <v>HGC-Lib-2452585</v>
          </cell>
          <cell r="F1903" t="str">
            <v>NGS0324035-437</v>
          </cell>
          <cell r="G1903">
            <v>6</v>
          </cell>
          <cell r="H1903" t="str">
            <v>mRNA文库</v>
          </cell>
          <cell r="I1903" t="str">
            <v>HZK</v>
          </cell>
          <cell r="J1903">
            <v>29</v>
          </cell>
          <cell r="N1903" t="e">
            <v>#DIV/0!</v>
          </cell>
        </row>
        <row r="1904">
          <cell r="E1904" t="str">
            <v>HGC-Lib-2452586</v>
          </cell>
          <cell r="F1904" t="str">
            <v>NGS0324035-438</v>
          </cell>
          <cell r="G1904">
            <v>6</v>
          </cell>
          <cell r="H1904" t="str">
            <v>mRNA文库</v>
          </cell>
          <cell r="I1904" t="str">
            <v>HZK</v>
          </cell>
          <cell r="J1904">
            <v>42.2</v>
          </cell>
          <cell r="N1904" t="e">
            <v>#DIV/0!</v>
          </cell>
        </row>
        <row r="1905">
          <cell r="E1905" t="str">
            <v>HGC-Lib-2452587</v>
          </cell>
          <cell r="F1905" t="str">
            <v>NGS0324035-439</v>
          </cell>
          <cell r="G1905">
            <v>6</v>
          </cell>
          <cell r="H1905" t="str">
            <v>mRNA文库</v>
          </cell>
          <cell r="I1905" t="str">
            <v>HZK</v>
          </cell>
          <cell r="J1905">
            <v>21.6</v>
          </cell>
          <cell r="N1905" t="e">
            <v>#DIV/0!</v>
          </cell>
        </row>
        <row r="1906">
          <cell r="E1906" t="str">
            <v>HGC-Lib-2452588</v>
          </cell>
          <cell r="F1906" t="str">
            <v>NGS0324035-440</v>
          </cell>
          <cell r="G1906">
            <v>6</v>
          </cell>
          <cell r="H1906" t="str">
            <v>mRNA文库</v>
          </cell>
          <cell r="I1906" t="str">
            <v>HZK</v>
          </cell>
          <cell r="J1906">
            <v>13.5</v>
          </cell>
          <cell r="N1906" t="e">
            <v>#DIV/0!</v>
          </cell>
        </row>
        <row r="1907">
          <cell r="E1907" t="str">
            <v>HGC-Lib-2452589</v>
          </cell>
          <cell r="F1907" t="str">
            <v>NGS0324035-441</v>
          </cell>
          <cell r="G1907">
            <v>6</v>
          </cell>
          <cell r="H1907" t="str">
            <v>mRNA文库</v>
          </cell>
          <cell r="I1907" t="str">
            <v>HZK</v>
          </cell>
          <cell r="J1907">
            <v>28.4</v>
          </cell>
          <cell r="N1907" t="e">
            <v>#DIV/0!</v>
          </cell>
        </row>
        <row r="1908">
          <cell r="E1908" t="str">
            <v>HGC-Lib-2452590</v>
          </cell>
          <cell r="F1908" t="str">
            <v>NGS0324035-442</v>
          </cell>
          <cell r="G1908">
            <v>6</v>
          </cell>
          <cell r="H1908" t="str">
            <v>mRNA文库</v>
          </cell>
          <cell r="I1908" t="str">
            <v>HZK</v>
          </cell>
          <cell r="J1908">
            <v>41.8</v>
          </cell>
          <cell r="N1908" t="e">
            <v>#DIV/0!</v>
          </cell>
        </row>
        <row r="1909">
          <cell r="E1909" t="str">
            <v>HGC-Lib-2452591</v>
          </cell>
          <cell r="F1909" t="str">
            <v>NGS0324035-443</v>
          </cell>
          <cell r="G1909">
            <v>6</v>
          </cell>
          <cell r="H1909" t="str">
            <v>mRNA文库</v>
          </cell>
          <cell r="I1909" t="str">
            <v>HZK</v>
          </cell>
          <cell r="J1909">
            <v>14</v>
          </cell>
          <cell r="N1909" t="e">
            <v>#DIV/0!</v>
          </cell>
        </row>
        <row r="1910">
          <cell r="E1910" t="str">
            <v>HGC-Lib-2452592</v>
          </cell>
          <cell r="F1910" t="str">
            <v>NGS0324035-444</v>
          </cell>
          <cell r="G1910">
            <v>6</v>
          </cell>
          <cell r="H1910" t="str">
            <v>mRNA文库</v>
          </cell>
          <cell r="I1910" t="str">
            <v>HZK</v>
          </cell>
          <cell r="J1910">
            <v>41.6</v>
          </cell>
          <cell r="N1910" t="e">
            <v>#DIV/0!</v>
          </cell>
        </row>
        <row r="1911">
          <cell r="E1911" t="str">
            <v>HGC-Lib-2452593</v>
          </cell>
          <cell r="F1911" t="str">
            <v>NGS0324035-445</v>
          </cell>
          <cell r="G1911">
            <v>6</v>
          </cell>
          <cell r="H1911" t="str">
            <v>mRNA文库</v>
          </cell>
          <cell r="I1911" t="str">
            <v>HZK</v>
          </cell>
          <cell r="J1911">
            <v>25.6</v>
          </cell>
          <cell r="N1911" t="e">
            <v>#DIV/0!</v>
          </cell>
        </row>
        <row r="1912">
          <cell r="E1912" t="str">
            <v>HGC-Lib-2452594</v>
          </cell>
          <cell r="F1912" t="str">
            <v>NGS0324035-446</v>
          </cell>
          <cell r="G1912">
            <v>6</v>
          </cell>
          <cell r="H1912" t="str">
            <v>mRNA文库</v>
          </cell>
          <cell r="I1912" t="str">
            <v>HZK</v>
          </cell>
          <cell r="J1912">
            <v>6.54</v>
          </cell>
          <cell r="N1912" t="e">
            <v>#DIV/0!</v>
          </cell>
        </row>
        <row r="1913">
          <cell r="E1913" t="str">
            <v>HGC-Lib-2452595</v>
          </cell>
          <cell r="F1913" t="str">
            <v>NGS0324035-447</v>
          </cell>
          <cell r="G1913">
            <v>6</v>
          </cell>
          <cell r="H1913" t="str">
            <v>mRNA文库</v>
          </cell>
          <cell r="I1913" t="str">
            <v>HZK</v>
          </cell>
          <cell r="J1913">
            <v>31.2</v>
          </cell>
          <cell r="N1913" t="e">
            <v>#DIV/0!</v>
          </cell>
        </row>
        <row r="1914">
          <cell r="E1914" t="str">
            <v>HGC-Lib-2452596</v>
          </cell>
          <cell r="F1914" t="str">
            <v>NGS0324035-448</v>
          </cell>
          <cell r="G1914">
            <v>6</v>
          </cell>
          <cell r="H1914" t="str">
            <v>mRNA文库</v>
          </cell>
          <cell r="I1914" t="str">
            <v>HZK</v>
          </cell>
          <cell r="J1914">
            <v>17.2</v>
          </cell>
          <cell r="N1914" t="e">
            <v>#DIV/0!</v>
          </cell>
        </row>
        <row r="1915">
          <cell r="E1915" t="str">
            <v>HGC-Lib-2452597</v>
          </cell>
          <cell r="F1915" t="str">
            <v>NGS0324035-449</v>
          </cell>
          <cell r="G1915">
            <v>6</v>
          </cell>
          <cell r="H1915" t="str">
            <v>mRNA文库</v>
          </cell>
          <cell r="I1915" t="str">
            <v>HZK</v>
          </cell>
          <cell r="J1915">
            <v>32.6</v>
          </cell>
          <cell r="N1915" t="e">
            <v>#DIV/0!</v>
          </cell>
        </row>
        <row r="1916">
          <cell r="E1916" t="str">
            <v>HGC-Lib-2452598</v>
          </cell>
          <cell r="F1916" t="str">
            <v>NGS0324035-450</v>
          </cell>
          <cell r="G1916">
            <v>6</v>
          </cell>
          <cell r="H1916" t="str">
            <v>mRNA文库</v>
          </cell>
          <cell r="I1916" t="str">
            <v>HZK</v>
          </cell>
          <cell r="J1916">
            <v>7.5</v>
          </cell>
          <cell r="N1916" t="e">
            <v>#DIV/0!</v>
          </cell>
        </row>
        <row r="1917">
          <cell r="E1917" t="str">
            <v>HGC-Lib-2452599</v>
          </cell>
          <cell r="F1917" t="str">
            <v>NGS0324035-451</v>
          </cell>
          <cell r="G1917">
            <v>6</v>
          </cell>
          <cell r="H1917" t="str">
            <v>mRNA文库</v>
          </cell>
          <cell r="I1917" t="str">
            <v>HZK</v>
          </cell>
          <cell r="J1917">
            <v>40.4</v>
          </cell>
          <cell r="N1917" t="e">
            <v>#DIV/0!</v>
          </cell>
        </row>
        <row r="1918">
          <cell r="E1918" t="str">
            <v>HGC-Lib-2452600</v>
          </cell>
          <cell r="F1918" t="str">
            <v>NGS0324035-452</v>
          </cell>
          <cell r="G1918">
            <v>6</v>
          </cell>
          <cell r="H1918" t="str">
            <v>mRNA文库</v>
          </cell>
          <cell r="I1918" t="str">
            <v>HZK</v>
          </cell>
          <cell r="J1918">
            <v>40</v>
          </cell>
          <cell r="N1918" t="e">
            <v>#DIV/0!</v>
          </cell>
        </row>
        <row r="1919">
          <cell r="E1919" t="str">
            <v>HGC-Lib-2452601</v>
          </cell>
          <cell r="F1919" t="str">
            <v>NGS0324035-453</v>
          </cell>
          <cell r="G1919">
            <v>6</v>
          </cell>
          <cell r="H1919" t="str">
            <v>mRNA文库</v>
          </cell>
          <cell r="I1919" t="str">
            <v>HZK</v>
          </cell>
          <cell r="J1919">
            <v>36.6</v>
          </cell>
          <cell r="N1919" t="e">
            <v>#DIV/0!</v>
          </cell>
        </row>
        <row r="1920">
          <cell r="E1920" t="str">
            <v>HGC-Lib-2452602</v>
          </cell>
          <cell r="F1920" t="str">
            <v>NGS0324035-454</v>
          </cell>
          <cell r="G1920">
            <v>6</v>
          </cell>
          <cell r="H1920" t="str">
            <v>mRNA文库</v>
          </cell>
          <cell r="I1920" t="str">
            <v>HZK</v>
          </cell>
          <cell r="J1920">
            <v>3.68</v>
          </cell>
          <cell r="N1920" t="e">
            <v>#DIV/0!</v>
          </cell>
        </row>
        <row r="1921">
          <cell r="E1921" t="str">
            <v>HGC-Lib-2452603</v>
          </cell>
          <cell r="F1921" t="str">
            <v>NGS0324035-455</v>
          </cell>
          <cell r="G1921">
            <v>6</v>
          </cell>
          <cell r="H1921" t="str">
            <v>mRNA文库</v>
          </cell>
          <cell r="I1921" t="str">
            <v>HZK</v>
          </cell>
          <cell r="J1921">
            <v>32.200000000000003</v>
          </cell>
          <cell r="N1921" t="e">
            <v>#DIV/0!</v>
          </cell>
        </row>
        <row r="1922">
          <cell r="E1922" t="str">
            <v>HGC-Lib-2452604</v>
          </cell>
          <cell r="F1922" t="str">
            <v>NGS0324035-456</v>
          </cell>
          <cell r="G1922">
            <v>6</v>
          </cell>
          <cell r="H1922" t="str">
            <v>mRNA文库</v>
          </cell>
          <cell r="I1922" t="str">
            <v>HZK</v>
          </cell>
          <cell r="J1922">
            <v>35.200000000000003</v>
          </cell>
          <cell r="N1922" t="e">
            <v>#DIV/0!</v>
          </cell>
        </row>
        <row r="1923">
          <cell r="E1923" t="str">
            <v>HGC-Lib-2452605</v>
          </cell>
          <cell r="F1923" t="str">
            <v>NGS0324035-457</v>
          </cell>
          <cell r="G1923">
            <v>6</v>
          </cell>
          <cell r="H1923" t="str">
            <v>mRNA文库</v>
          </cell>
          <cell r="I1923" t="str">
            <v>HZK</v>
          </cell>
          <cell r="J1923">
            <v>39.799999999999997</v>
          </cell>
          <cell r="N1923" t="e">
            <v>#DIV/0!</v>
          </cell>
        </row>
        <row r="1924">
          <cell r="E1924" t="str">
            <v>HGC-Lib-2452606</v>
          </cell>
          <cell r="F1924" t="str">
            <v>NGS0324035-458</v>
          </cell>
          <cell r="G1924">
            <v>6</v>
          </cell>
          <cell r="H1924" t="str">
            <v>mRNA文库</v>
          </cell>
          <cell r="I1924" t="str">
            <v>HZK</v>
          </cell>
          <cell r="J1924">
            <v>33.200000000000003</v>
          </cell>
          <cell r="N1924" t="e">
            <v>#DIV/0!</v>
          </cell>
        </row>
        <row r="1925">
          <cell r="E1925" t="str">
            <v>HGC-Lib-2452607</v>
          </cell>
          <cell r="F1925" t="str">
            <v>NGS0324035-459</v>
          </cell>
          <cell r="G1925">
            <v>6</v>
          </cell>
          <cell r="H1925" t="str">
            <v>mRNA文库</v>
          </cell>
          <cell r="I1925" t="str">
            <v>HZK</v>
          </cell>
          <cell r="J1925">
            <v>28.4</v>
          </cell>
          <cell r="N1925" t="e">
            <v>#DIV/0!</v>
          </cell>
        </row>
        <row r="1926">
          <cell r="E1926" t="str">
            <v>HGC-Lib-2452608</v>
          </cell>
          <cell r="F1926" t="str">
            <v>NGS0324035-460</v>
          </cell>
          <cell r="G1926">
            <v>6</v>
          </cell>
          <cell r="H1926" t="str">
            <v>mRNA文库</v>
          </cell>
          <cell r="I1926" t="str">
            <v>HZK</v>
          </cell>
          <cell r="J1926">
            <v>0.56999999999999995</v>
          </cell>
          <cell r="N1926" t="e">
            <v>#DIV/0!</v>
          </cell>
        </row>
        <row r="1927">
          <cell r="E1927" t="str">
            <v>HGC-Lib-2452609</v>
          </cell>
          <cell r="F1927" t="str">
            <v>NGS0324035-461</v>
          </cell>
          <cell r="G1927">
            <v>6</v>
          </cell>
          <cell r="H1927" t="str">
            <v>mRNA文库</v>
          </cell>
          <cell r="I1927" t="str">
            <v>HZK</v>
          </cell>
          <cell r="J1927">
            <v>21.8</v>
          </cell>
          <cell r="N1927" t="e">
            <v>#DIV/0!</v>
          </cell>
        </row>
        <row r="1928">
          <cell r="E1928" t="str">
            <v>HGC-Lib-2452610</v>
          </cell>
          <cell r="F1928" t="str">
            <v>NGS0324035-462</v>
          </cell>
          <cell r="G1928">
            <v>6</v>
          </cell>
          <cell r="H1928" t="str">
            <v>mRNA文库</v>
          </cell>
          <cell r="I1928" t="str">
            <v>HZK</v>
          </cell>
          <cell r="J1928">
            <v>12.7</v>
          </cell>
          <cell r="N1928" t="e">
            <v>#DIV/0!</v>
          </cell>
        </row>
        <row r="1929">
          <cell r="E1929" t="str">
            <v>HGC-Lib-2452611</v>
          </cell>
          <cell r="F1929" t="str">
            <v>NGS0324035-505</v>
          </cell>
          <cell r="G1929">
            <v>6</v>
          </cell>
          <cell r="H1929" t="str">
            <v>mRNA文库</v>
          </cell>
          <cell r="I1929" t="str">
            <v>HZK</v>
          </cell>
          <cell r="J1929">
            <v>4.4800000000000004</v>
          </cell>
          <cell r="N1929" t="e">
            <v>#DIV/0!</v>
          </cell>
        </row>
        <row r="1930">
          <cell r="E1930" t="str">
            <v>HGC-Lib-2452612</v>
          </cell>
          <cell r="F1930" t="str">
            <v>NGS0324035-506</v>
          </cell>
          <cell r="G1930">
            <v>6</v>
          </cell>
          <cell r="H1930" t="str">
            <v>mRNA文库</v>
          </cell>
          <cell r="I1930" t="str">
            <v>HZK</v>
          </cell>
          <cell r="J1930">
            <v>20.2</v>
          </cell>
          <cell r="N1930" t="e">
            <v>#DIV/0!</v>
          </cell>
        </row>
        <row r="1931">
          <cell r="E1931" t="str">
            <v>HGC-Lib-2452613</v>
          </cell>
          <cell r="F1931" t="str">
            <v>NGS0324035-463</v>
          </cell>
          <cell r="G1931">
            <v>6</v>
          </cell>
          <cell r="H1931" t="str">
            <v>mRNA文库</v>
          </cell>
          <cell r="I1931" t="str">
            <v>HZK</v>
          </cell>
          <cell r="J1931">
            <v>21</v>
          </cell>
          <cell r="N1931" t="e">
            <v>#DIV/0!</v>
          </cell>
        </row>
        <row r="1932">
          <cell r="E1932" t="str">
            <v>HGC-Lib-2452614</v>
          </cell>
          <cell r="F1932" t="str">
            <v>NGS0324035-464</v>
          </cell>
          <cell r="G1932">
            <v>6</v>
          </cell>
          <cell r="H1932" t="str">
            <v>mRNA文库</v>
          </cell>
          <cell r="I1932" t="str">
            <v>HZK</v>
          </cell>
          <cell r="J1932">
            <v>55</v>
          </cell>
          <cell r="N1932" t="e">
            <v>#DIV/0!</v>
          </cell>
        </row>
        <row r="1933">
          <cell r="E1933" t="str">
            <v>HGC-Lib-2452615</v>
          </cell>
          <cell r="F1933" t="str">
            <v>NGS0324035-465</v>
          </cell>
          <cell r="G1933">
            <v>6</v>
          </cell>
          <cell r="H1933" t="str">
            <v>mRNA文库</v>
          </cell>
          <cell r="I1933" t="str">
            <v>HZK</v>
          </cell>
          <cell r="J1933">
            <v>44</v>
          </cell>
          <cell r="N1933" t="e">
            <v>#DIV/0!</v>
          </cell>
        </row>
        <row r="1934">
          <cell r="E1934" t="str">
            <v>HGC-Lib-2452616</v>
          </cell>
          <cell r="F1934" t="str">
            <v>NGS0324035-466</v>
          </cell>
          <cell r="G1934">
            <v>6</v>
          </cell>
          <cell r="H1934" t="str">
            <v>mRNA文库</v>
          </cell>
          <cell r="I1934" t="str">
            <v>HZK</v>
          </cell>
          <cell r="J1934">
            <v>5.68</v>
          </cell>
          <cell r="N1934" t="e">
            <v>#DIV/0!</v>
          </cell>
        </row>
        <row r="1935">
          <cell r="E1935" t="str">
            <v>HGC-Lib-2452617</v>
          </cell>
          <cell r="F1935" t="str">
            <v>NGS0324035-467</v>
          </cell>
          <cell r="G1935">
            <v>6</v>
          </cell>
          <cell r="H1935" t="str">
            <v>mRNA文库</v>
          </cell>
          <cell r="I1935" t="str">
            <v>HZK</v>
          </cell>
          <cell r="J1935">
            <v>59</v>
          </cell>
          <cell r="N1935" t="e">
            <v>#DIV/0!</v>
          </cell>
        </row>
        <row r="1936">
          <cell r="E1936" t="str">
            <v>HGC-Lib-2452618</v>
          </cell>
          <cell r="F1936" t="str">
            <v>NGS0324035-468</v>
          </cell>
          <cell r="G1936">
            <v>6</v>
          </cell>
          <cell r="H1936" t="str">
            <v>mRNA文库</v>
          </cell>
          <cell r="I1936" t="str">
            <v>HZK</v>
          </cell>
          <cell r="J1936">
            <v>11.9</v>
          </cell>
          <cell r="N1936" t="e">
            <v>#DIV/0!</v>
          </cell>
        </row>
        <row r="1937">
          <cell r="E1937" t="str">
            <v>HGC-Lib-2452619</v>
          </cell>
          <cell r="F1937" t="str">
            <v>NGS0324035-469</v>
          </cell>
          <cell r="G1937">
            <v>6</v>
          </cell>
          <cell r="H1937" t="str">
            <v>mRNA文库</v>
          </cell>
          <cell r="I1937" t="str">
            <v>HZK</v>
          </cell>
          <cell r="J1937">
            <v>19.7</v>
          </cell>
          <cell r="N1937" t="e">
            <v>#DIV/0!</v>
          </cell>
        </row>
        <row r="1938">
          <cell r="E1938" t="str">
            <v>HGC-Lib-2452620</v>
          </cell>
          <cell r="F1938" t="str">
            <v>NGS0324035-470</v>
          </cell>
          <cell r="G1938">
            <v>6</v>
          </cell>
          <cell r="H1938" t="str">
            <v>mRNA文库</v>
          </cell>
          <cell r="I1938" t="str">
            <v>HZK</v>
          </cell>
          <cell r="J1938">
            <v>8.18</v>
          </cell>
          <cell r="N1938" t="e">
            <v>#DIV/0!</v>
          </cell>
        </row>
        <row r="1939">
          <cell r="E1939" t="str">
            <v>HGC-Lib-2452621</v>
          </cell>
          <cell r="F1939" t="str">
            <v>NGS0324035-471</v>
          </cell>
          <cell r="G1939">
            <v>6</v>
          </cell>
          <cell r="H1939" t="str">
            <v>mRNA文库</v>
          </cell>
          <cell r="I1939" t="str">
            <v>TY</v>
          </cell>
          <cell r="J1939">
            <v>8.4</v>
          </cell>
          <cell r="N1939" t="e">
            <v>#DIV/0!</v>
          </cell>
        </row>
        <row r="1940">
          <cell r="E1940" t="str">
            <v>HGC-Lib-2452622</v>
          </cell>
          <cell r="F1940" t="str">
            <v>NGS0324035-472</v>
          </cell>
          <cell r="G1940">
            <v>6</v>
          </cell>
          <cell r="H1940" t="str">
            <v>mRNA文库</v>
          </cell>
          <cell r="I1940" t="str">
            <v>TY</v>
          </cell>
          <cell r="J1940">
            <v>24.8</v>
          </cell>
          <cell r="N1940" t="e">
            <v>#DIV/0!</v>
          </cell>
        </row>
        <row r="1941">
          <cell r="E1941" t="str">
            <v>HGC-Lib-2452623</v>
          </cell>
          <cell r="F1941" t="str">
            <v>NGS0324035-473</v>
          </cell>
          <cell r="G1941">
            <v>6</v>
          </cell>
          <cell r="H1941" t="str">
            <v>mRNA文库</v>
          </cell>
          <cell r="I1941" t="str">
            <v>TY</v>
          </cell>
          <cell r="J1941">
            <v>13.5</v>
          </cell>
          <cell r="N1941" t="e">
            <v>#DIV/0!</v>
          </cell>
        </row>
        <row r="1942">
          <cell r="E1942" t="str">
            <v>HGC-Lib-2452624</v>
          </cell>
          <cell r="F1942" t="str">
            <v>NGS0324035-474</v>
          </cell>
          <cell r="G1942">
            <v>6</v>
          </cell>
          <cell r="H1942" t="str">
            <v>mRNA文库</v>
          </cell>
          <cell r="I1942" t="str">
            <v>TY</v>
          </cell>
          <cell r="J1942">
            <v>31.6</v>
          </cell>
          <cell r="N1942" t="e">
            <v>#DIV/0!</v>
          </cell>
        </row>
        <row r="1943">
          <cell r="E1943" t="str">
            <v>HGC-Lib-2452625</v>
          </cell>
          <cell r="F1943" t="str">
            <v>NGS0324035-475</v>
          </cell>
          <cell r="G1943">
            <v>6</v>
          </cell>
          <cell r="H1943" t="str">
            <v>mRNA文库</v>
          </cell>
          <cell r="I1943" t="str">
            <v>TY</v>
          </cell>
          <cell r="J1943">
            <v>8.86</v>
          </cell>
          <cell r="N1943" t="e">
            <v>#DIV/0!</v>
          </cell>
        </row>
        <row r="1944">
          <cell r="E1944" t="str">
            <v>HGC-Lib-2452626</v>
          </cell>
          <cell r="F1944" t="str">
            <v>NGS0324035-476</v>
          </cell>
          <cell r="G1944">
            <v>6</v>
          </cell>
          <cell r="H1944" t="str">
            <v>mRNA文库</v>
          </cell>
          <cell r="I1944" t="str">
            <v>TY</v>
          </cell>
          <cell r="J1944">
            <v>19.2</v>
          </cell>
          <cell r="N1944" t="e">
            <v>#DIV/0!</v>
          </cell>
        </row>
        <row r="1945">
          <cell r="E1945" t="str">
            <v>HGC-Lib-2452627</v>
          </cell>
          <cell r="F1945" t="str">
            <v>NGS0324035-477</v>
          </cell>
          <cell r="G1945">
            <v>6</v>
          </cell>
          <cell r="H1945" t="str">
            <v>mRNA文库</v>
          </cell>
          <cell r="I1945" t="str">
            <v>TY</v>
          </cell>
          <cell r="J1945">
            <v>35.6</v>
          </cell>
          <cell r="N1945" t="e">
            <v>#DIV/0!</v>
          </cell>
        </row>
        <row r="1946">
          <cell r="E1946" t="str">
            <v>HGC-Lib-2452628</v>
          </cell>
          <cell r="F1946" t="str">
            <v>NGS0324035-478</v>
          </cell>
          <cell r="G1946">
            <v>6</v>
          </cell>
          <cell r="H1946" t="str">
            <v>mRNA文库</v>
          </cell>
          <cell r="I1946" t="str">
            <v>TY</v>
          </cell>
          <cell r="J1946">
            <v>31.2</v>
          </cell>
          <cell r="N1946" t="e">
            <v>#DIV/0!</v>
          </cell>
        </row>
        <row r="1947">
          <cell r="E1947" t="str">
            <v>HGC-Lib-2452629</v>
          </cell>
          <cell r="F1947" t="str">
            <v>NGS0324035-479</v>
          </cell>
          <cell r="G1947">
            <v>6</v>
          </cell>
          <cell r="H1947" t="str">
            <v>mRNA文库</v>
          </cell>
          <cell r="I1947" t="str">
            <v>TY</v>
          </cell>
          <cell r="J1947">
            <v>24</v>
          </cell>
          <cell r="N1947" t="e">
            <v>#DIV/0!</v>
          </cell>
        </row>
        <row r="1948">
          <cell r="E1948" t="str">
            <v>HGC-Lib-2452630</v>
          </cell>
          <cell r="F1948" t="str">
            <v>NGS0324035-480</v>
          </cell>
          <cell r="G1948">
            <v>6</v>
          </cell>
          <cell r="H1948" t="str">
            <v>mRNA文库</v>
          </cell>
          <cell r="I1948" t="str">
            <v>TY</v>
          </cell>
          <cell r="J1948">
            <v>56.8</v>
          </cell>
          <cell r="N1948" t="e">
            <v>#DIV/0!</v>
          </cell>
        </row>
        <row r="1949">
          <cell r="E1949" t="str">
            <v>HGC-Lib-2452631</v>
          </cell>
          <cell r="F1949" t="str">
            <v>NGS0324035-481</v>
          </cell>
          <cell r="G1949">
            <v>6</v>
          </cell>
          <cell r="H1949" t="str">
            <v>mRNA文库</v>
          </cell>
          <cell r="I1949" t="str">
            <v>TY</v>
          </cell>
          <cell r="J1949">
            <v>47.8</v>
          </cell>
          <cell r="N1949" t="e">
            <v>#DIV/0!</v>
          </cell>
        </row>
        <row r="1950">
          <cell r="E1950" t="str">
            <v>HGC-Lib-2452632</v>
          </cell>
          <cell r="F1950" t="str">
            <v>NGS0324035-482</v>
          </cell>
          <cell r="G1950">
            <v>6</v>
          </cell>
          <cell r="H1950" t="str">
            <v>mRNA文库</v>
          </cell>
          <cell r="I1950" t="str">
            <v>TY</v>
          </cell>
          <cell r="J1950">
            <v>26.2</v>
          </cell>
          <cell r="N1950" t="e">
            <v>#DIV/0!</v>
          </cell>
        </row>
        <row r="1951">
          <cell r="E1951" t="str">
            <v>HGC-Lib-2452633</v>
          </cell>
          <cell r="F1951" t="str">
            <v>NGS0324035-483</v>
          </cell>
          <cell r="G1951">
            <v>6</v>
          </cell>
          <cell r="H1951" t="str">
            <v>mRNA文库</v>
          </cell>
          <cell r="I1951" t="str">
            <v>TY</v>
          </cell>
          <cell r="J1951">
            <v>7.54</v>
          </cell>
          <cell r="N1951" t="e">
            <v>#DIV/0!</v>
          </cell>
        </row>
        <row r="1952">
          <cell r="E1952" t="str">
            <v>HGC-Lib-2452634</v>
          </cell>
          <cell r="F1952" t="str">
            <v>NGS0324035-484</v>
          </cell>
          <cell r="G1952">
            <v>6</v>
          </cell>
          <cell r="H1952" t="str">
            <v>mRNA文库</v>
          </cell>
          <cell r="I1952" t="str">
            <v>TY</v>
          </cell>
          <cell r="J1952">
            <v>11.3</v>
          </cell>
          <cell r="N1952" t="e">
            <v>#DIV/0!</v>
          </cell>
        </row>
        <row r="1953">
          <cell r="E1953" t="str">
            <v>HGC-Lib-2452635</v>
          </cell>
          <cell r="F1953" t="str">
            <v>NGS0324035-485</v>
          </cell>
          <cell r="G1953">
            <v>6</v>
          </cell>
          <cell r="H1953" t="str">
            <v>mRNA文库</v>
          </cell>
          <cell r="I1953" t="str">
            <v>TY</v>
          </cell>
          <cell r="J1953">
            <v>7.44</v>
          </cell>
          <cell r="N1953" t="e">
            <v>#DIV/0!</v>
          </cell>
        </row>
        <row r="1954">
          <cell r="E1954" t="str">
            <v>HGC-Lib-2452636</v>
          </cell>
          <cell r="F1954" t="str">
            <v>NGS0324035-486</v>
          </cell>
          <cell r="G1954">
            <v>6</v>
          </cell>
          <cell r="H1954" t="str">
            <v>mRNA文库</v>
          </cell>
          <cell r="I1954" t="str">
            <v>TY</v>
          </cell>
          <cell r="J1954">
            <v>6.76</v>
          </cell>
          <cell r="N1954" t="e">
            <v>#DIV/0!</v>
          </cell>
        </row>
        <row r="1955">
          <cell r="E1955" t="str">
            <v>HGC-Lib-2452637</v>
          </cell>
          <cell r="F1955" t="str">
            <v>NGS0324035-487</v>
          </cell>
          <cell r="G1955">
            <v>6</v>
          </cell>
          <cell r="H1955" t="str">
            <v>mRNA文库</v>
          </cell>
          <cell r="I1955" t="str">
            <v>TY</v>
          </cell>
          <cell r="J1955">
            <v>2.7</v>
          </cell>
          <cell r="N1955" t="e">
            <v>#DIV/0!</v>
          </cell>
        </row>
        <row r="1956">
          <cell r="E1956" t="str">
            <v>HGC-Lib-2452638</v>
          </cell>
          <cell r="F1956" t="str">
            <v>NGS0324035-488</v>
          </cell>
          <cell r="G1956">
            <v>6</v>
          </cell>
          <cell r="H1956" t="str">
            <v>mRNA文库</v>
          </cell>
          <cell r="I1956" t="str">
            <v>TY</v>
          </cell>
          <cell r="J1956">
            <v>2.36</v>
          </cell>
          <cell r="N1956" t="e">
            <v>#DIV/0!</v>
          </cell>
        </row>
        <row r="1957">
          <cell r="E1957" t="str">
            <v>HGC-Lib-2452639</v>
          </cell>
          <cell r="F1957" t="str">
            <v>NGS0324035-489</v>
          </cell>
          <cell r="G1957">
            <v>6</v>
          </cell>
          <cell r="H1957" t="str">
            <v>mRNA文库</v>
          </cell>
          <cell r="I1957" t="str">
            <v>TY</v>
          </cell>
          <cell r="J1957">
            <v>15.2</v>
          </cell>
          <cell r="N1957" t="e">
            <v>#DIV/0!</v>
          </cell>
        </row>
        <row r="1958">
          <cell r="E1958" t="str">
            <v>HGC-Lib-2452640</v>
          </cell>
          <cell r="F1958" t="str">
            <v>NGS0324035-490</v>
          </cell>
          <cell r="G1958">
            <v>6</v>
          </cell>
          <cell r="H1958" t="str">
            <v>mRNA文库</v>
          </cell>
          <cell r="I1958" t="str">
            <v>TY</v>
          </cell>
          <cell r="J1958">
            <v>0.80800000000000005</v>
          </cell>
          <cell r="N1958" t="e">
            <v>#DIV/0!</v>
          </cell>
        </row>
        <row r="1959">
          <cell r="E1959" t="str">
            <v>HGC-Lib-2452641</v>
          </cell>
          <cell r="F1959" t="str">
            <v>NGS0324035-491</v>
          </cell>
          <cell r="G1959">
            <v>6</v>
          </cell>
          <cell r="H1959" t="str">
            <v>mRNA文库</v>
          </cell>
          <cell r="I1959" t="str">
            <v>TY</v>
          </cell>
          <cell r="J1959">
            <v>4.82</v>
          </cell>
          <cell r="N1959" t="e">
            <v>#DIV/0!</v>
          </cell>
        </row>
        <row r="1960">
          <cell r="E1960" t="str">
            <v>HGC-Lib-2452642</v>
          </cell>
          <cell r="F1960" t="str">
            <v>NGS0324035-492</v>
          </cell>
          <cell r="G1960">
            <v>6</v>
          </cell>
          <cell r="H1960" t="str">
            <v>mRNA文库</v>
          </cell>
          <cell r="I1960" t="str">
            <v>TY</v>
          </cell>
          <cell r="J1960">
            <v>3.08</v>
          </cell>
          <cell r="N1960" t="e">
            <v>#DIV/0!</v>
          </cell>
        </row>
        <row r="1961">
          <cell r="E1961" t="str">
            <v>HGC-Lib-2452643</v>
          </cell>
          <cell r="F1961" t="str">
            <v>NGS0324035-493</v>
          </cell>
          <cell r="G1961">
            <v>6</v>
          </cell>
          <cell r="H1961" t="str">
            <v>mRNA文库</v>
          </cell>
          <cell r="I1961" t="str">
            <v>TY</v>
          </cell>
          <cell r="J1961">
            <v>3.26</v>
          </cell>
          <cell r="N1961" t="e">
            <v>#DIV/0!</v>
          </cell>
        </row>
        <row r="1962">
          <cell r="E1962" t="str">
            <v>HGC-Lib-2452644</v>
          </cell>
          <cell r="F1962" t="str">
            <v>NGS0324035-494</v>
          </cell>
          <cell r="G1962">
            <v>6</v>
          </cell>
          <cell r="H1962" t="str">
            <v>mRNA文库</v>
          </cell>
          <cell r="I1962" t="str">
            <v>TY</v>
          </cell>
          <cell r="J1962">
            <v>6.52</v>
          </cell>
          <cell r="N1962" t="e">
            <v>#DIV/0!</v>
          </cell>
        </row>
        <row r="1963">
          <cell r="E1963" t="str">
            <v>HGC-Lib-2452645</v>
          </cell>
          <cell r="F1963" t="str">
            <v>NGS0324035-495</v>
          </cell>
          <cell r="G1963">
            <v>6</v>
          </cell>
          <cell r="H1963" t="str">
            <v>mRNA文库</v>
          </cell>
          <cell r="I1963" t="str">
            <v>TY</v>
          </cell>
          <cell r="J1963">
            <v>3.56</v>
          </cell>
          <cell r="N1963" t="e">
            <v>#DIV/0!</v>
          </cell>
        </row>
        <row r="1964">
          <cell r="E1964" t="str">
            <v>HGC-Lib-2452646</v>
          </cell>
          <cell r="F1964" t="str">
            <v>NGS0324035-496</v>
          </cell>
          <cell r="G1964">
            <v>6</v>
          </cell>
          <cell r="H1964" t="str">
            <v>mRNA文库</v>
          </cell>
          <cell r="I1964" t="str">
            <v>TY</v>
          </cell>
          <cell r="J1964">
            <v>2.1</v>
          </cell>
          <cell r="N1964" t="e">
            <v>#DIV/0!</v>
          </cell>
        </row>
        <row r="1965">
          <cell r="E1965" t="str">
            <v>HGC-Lib-2452647</v>
          </cell>
          <cell r="F1965" t="str">
            <v>NGS0324035-497</v>
          </cell>
          <cell r="G1965">
            <v>6</v>
          </cell>
          <cell r="H1965" t="str">
            <v>mRNA文库</v>
          </cell>
          <cell r="I1965" t="str">
            <v>TY</v>
          </cell>
          <cell r="J1965">
            <v>2.78</v>
          </cell>
          <cell r="N1965" t="e">
            <v>#DIV/0!</v>
          </cell>
        </row>
        <row r="1966">
          <cell r="E1966" t="str">
            <v>HGC-Lib-2452648</v>
          </cell>
          <cell r="F1966" t="str">
            <v>NGS0324035-498</v>
          </cell>
          <cell r="G1966">
            <v>6</v>
          </cell>
          <cell r="H1966" t="str">
            <v>mRNA文库</v>
          </cell>
          <cell r="I1966" t="str">
            <v>TY</v>
          </cell>
          <cell r="J1966">
            <v>1.53</v>
          </cell>
          <cell r="N1966" t="e">
            <v>#DIV/0!</v>
          </cell>
        </row>
        <row r="1967">
          <cell r="E1967" t="str">
            <v>HGC-Lib-2452649</v>
          </cell>
          <cell r="F1967" t="str">
            <v>NGS0324035-499</v>
          </cell>
          <cell r="G1967">
            <v>6</v>
          </cell>
          <cell r="H1967" t="str">
            <v>mRNA文库</v>
          </cell>
          <cell r="I1967" t="str">
            <v>TY</v>
          </cell>
          <cell r="J1967">
            <v>4.5999999999999996</v>
          </cell>
          <cell r="N1967" t="e">
            <v>#DIV/0!</v>
          </cell>
        </row>
        <row r="1968">
          <cell r="E1968" t="str">
            <v>HGC-Lib-2452650</v>
          </cell>
          <cell r="F1968" t="str">
            <v>NGS0324035-500</v>
          </cell>
          <cell r="G1968">
            <v>6</v>
          </cell>
          <cell r="H1968" t="str">
            <v>mRNA文库</v>
          </cell>
          <cell r="I1968" t="str">
            <v>TY</v>
          </cell>
          <cell r="J1968">
            <v>2.48</v>
          </cell>
          <cell r="N1968" t="e">
            <v>#DIV/0!</v>
          </cell>
        </row>
        <row r="1969">
          <cell r="E1969" t="str">
            <v>HGC-Lib-2452651</v>
          </cell>
          <cell r="F1969" t="str">
            <v>NGS0324035-501</v>
          </cell>
          <cell r="G1969">
            <v>6</v>
          </cell>
          <cell r="H1969" t="str">
            <v>mRNA文库</v>
          </cell>
          <cell r="I1969" t="str">
            <v>TY</v>
          </cell>
          <cell r="J1969">
            <v>2.72</v>
          </cell>
          <cell r="N1969" t="e">
            <v>#DIV/0!</v>
          </cell>
        </row>
        <row r="1970">
          <cell r="E1970" t="str">
            <v>HGC-Lib-2452652</v>
          </cell>
          <cell r="F1970" t="str">
            <v>NGS0324035-502</v>
          </cell>
          <cell r="G1970">
            <v>6</v>
          </cell>
          <cell r="H1970" t="str">
            <v>mRNA文库</v>
          </cell>
          <cell r="I1970" t="str">
            <v>TY</v>
          </cell>
          <cell r="J1970">
            <v>2.92</v>
          </cell>
          <cell r="N1970" t="e">
            <v>#DIV/0!</v>
          </cell>
        </row>
        <row r="1971">
          <cell r="E1971" t="str">
            <v>HGC-Lib-2452653</v>
          </cell>
          <cell r="F1971" t="str">
            <v>NGS0324035-503</v>
          </cell>
          <cell r="G1971">
            <v>6</v>
          </cell>
          <cell r="H1971" t="str">
            <v>mRNA文库</v>
          </cell>
          <cell r="I1971" t="str">
            <v>TY</v>
          </cell>
          <cell r="J1971">
            <v>13.2</v>
          </cell>
          <cell r="N1971" t="e">
            <v>#DIV/0!</v>
          </cell>
        </row>
        <row r="1972">
          <cell r="E1972" t="str">
            <v>HGC-Lib-2452654</v>
          </cell>
          <cell r="F1972" t="str">
            <v>NGS0324035-504</v>
          </cell>
          <cell r="G1972">
            <v>6</v>
          </cell>
          <cell r="H1972" t="str">
            <v>mRNA文库</v>
          </cell>
          <cell r="I1972" t="str">
            <v>TY</v>
          </cell>
          <cell r="J1972">
            <v>0.56999999999999995</v>
          </cell>
          <cell r="N1972" t="e">
            <v>#DIV/0!</v>
          </cell>
        </row>
        <row r="1973">
          <cell r="E1973" t="str">
            <v>HGC-Lib-2452730</v>
          </cell>
          <cell r="F1973" t="str">
            <v>T826-1</v>
          </cell>
          <cell r="G1973">
            <v>6</v>
          </cell>
          <cell r="H1973" t="str">
            <v>mRNA文库</v>
          </cell>
          <cell r="I1973" t="str">
            <v>HZK</v>
          </cell>
          <cell r="J1973">
            <v>14.1</v>
          </cell>
          <cell r="N1973" t="e">
            <v>#DIV/0!</v>
          </cell>
        </row>
        <row r="1974">
          <cell r="E1974" t="str">
            <v>HGC-Lib-2452731</v>
          </cell>
          <cell r="F1974" t="str">
            <v>T826-2</v>
          </cell>
          <cell r="G1974">
            <v>6</v>
          </cell>
          <cell r="H1974" t="str">
            <v>mRNA文库</v>
          </cell>
          <cell r="I1974" t="str">
            <v>HZK</v>
          </cell>
          <cell r="J1974">
            <v>28.2</v>
          </cell>
          <cell r="N1974" t="e">
            <v>#DIV/0!</v>
          </cell>
        </row>
        <row r="1975">
          <cell r="E1975" t="str">
            <v>HGC-Lib-2452732</v>
          </cell>
          <cell r="F1975" t="str">
            <v>T826-3</v>
          </cell>
          <cell r="G1975">
            <v>6</v>
          </cell>
          <cell r="H1975" t="str">
            <v>mRNA文库</v>
          </cell>
          <cell r="I1975" t="str">
            <v>HZK</v>
          </cell>
          <cell r="J1975">
            <v>33.799999999999997</v>
          </cell>
          <cell r="N1975" t="e">
            <v>#DIV/0!</v>
          </cell>
        </row>
        <row r="1976">
          <cell r="E1976" t="str">
            <v>HGC-Lib-2452733</v>
          </cell>
          <cell r="F1976" t="str">
            <v>T826-4</v>
          </cell>
          <cell r="G1976">
            <v>6</v>
          </cell>
          <cell r="H1976" t="str">
            <v>mRNA文库</v>
          </cell>
          <cell r="I1976" t="str">
            <v>HZK</v>
          </cell>
          <cell r="J1976">
            <v>26.6</v>
          </cell>
          <cell r="N1976" t="e">
            <v>#DIV/0!</v>
          </cell>
        </row>
        <row r="1977">
          <cell r="E1977" t="str">
            <v>HGC-Lib-2452734</v>
          </cell>
          <cell r="F1977" t="str">
            <v>T826-5</v>
          </cell>
          <cell r="G1977">
            <v>6</v>
          </cell>
          <cell r="H1977" t="str">
            <v>mRNA文库</v>
          </cell>
          <cell r="I1977" t="str">
            <v>HZK</v>
          </cell>
          <cell r="J1977">
            <v>32</v>
          </cell>
          <cell r="N1977" t="e">
            <v>#DIV/0!</v>
          </cell>
        </row>
        <row r="1978">
          <cell r="E1978" t="str">
            <v>HGC-Lib-2452735</v>
          </cell>
          <cell r="F1978" t="str">
            <v>T826-6</v>
          </cell>
          <cell r="G1978">
            <v>6</v>
          </cell>
          <cell r="H1978" t="str">
            <v>mRNA文库</v>
          </cell>
          <cell r="I1978" t="str">
            <v>HZK</v>
          </cell>
          <cell r="J1978">
            <v>24.2</v>
          </cell>
          <cell r="N1978" t="e">
            <v>#DIV/0!</v>
          </cell>
        </row>
        <row r="1979">
          <cell r="E1979" t="str">
            <v>HGC-Lib-2452736</v>
          </cell>
          <cell r="F1979" t="str">
            <v>T826-7</v>
          </cell>
          <cell r="G1979">
            <v>6</v>
          </cell>
          <cell r="H1979" t="str">
            <v>mRNA文库</v>
          </cell>
          <cell r="I1979" t="str">
            <v>HZK</v>
          </cell>
          <cell r="J1979">
            <v>18.899999999999999</v>
          </cell>
          <cell r="N1979" t="e">
            <v>#DIV/0!</v>
          </cell>
        </row>
        <row r="1980">
          <cell r="E1980" t="str">
            <v>HGC-Lib-2452737</v>
          </cell>
          <cell r="F1980" t="str">
            <v>T826-8</v>
          </cell>
          <cell r="G1980">
            <v>6</v>
          </cell>
          <cell r="H1980" t="str">
            <v>mRNA文库</v>
          </cell>
          <cell r="I1980" t="str">
            <v>HZK</v>
          </cell>
          <cell r="J1980">
            <v>17.7</v>
          </cell>
          <cell r="N1980" t="e">
            <v>#DIV/0!</v>
          </cell>
        </row>
        <row r="1981">
          <cell r="E1981" t="str">
            <v>HGC-Lib-2452738</v>
          </cell>
          <cell r="F1981" t="str">
            <v>T826-9</v>
          </cell>
          <cell r="G1981">
            <v>6</v>
          </cell>
          <cell r="H1981" t="str">
            <v>mRNA文库</v>
          </cell>
          <cell r="I1981" t="str">
            <v>HZK</v>
          </cell>
          <cell r="J1981">
            <v>20</v>
          </cell>
          <cell r="N1981" t="e">
            <v>#DIV/0!</v>
          </cell>
        </row>
        <row r="1982">
          <cell r="E1982" t="str">
            <v>HGC-Lib-2452739</v>
          </cell>
          <cell r="F1982" t="str">
            <v>T826-10</v>
          </cell>
          <cell r="G1982">
            <v>6</v>
          </cell>
          <cell r="H1982" t="str">
            <v>mRNA文库</v>
          </cell>
          <cell r="I1982" t="str">
            <v>HZK</v>
          </cell>
          <cell r="J1982">
            <v>30.8</v>
          </cell>
          <cell r="N1982" t="e">
            <v>#DIV/0!</v>
          </cell>
        </row>
        <row r="1983">
          <cell r="E1983" t="str">
            <v>HGC-Lib-2452740</v>
          </cell>
          <cell r="F1983" t="str">
            <v>T826-11</v>
          </cell>
          <cell r="G1983">
            <v>6</v>
          </cell>
          <cell r="H1983" t="str">
            <v>mRNA文库</v>
          </cell>
          <cell r="I1983" t="str">
            <v>HZK</v>
          </cell>
          <cell r="J1983">
            <v>23</v>
          </cell>
          <cell r="N1983" t="e">
            <v>#DIV/0!</v>
          </cell>
        </row>
        <row r="1984">
          <cell r="E1984" t="str">
            <v>HGC-Lib-2452741</v>
          </cell>
          <cell r="F1984" t="str">
            <v>T826-12</v>
          </cell>
          <cell r="G1984">
            <v>6</v>
          </cell>
          <cell r="H1984" t="str">
            <v>mRNA文库</v>
          </cell>
          <cell r="I1984" t="str">
            <v>HZK</v>
          </cell>
          <cell r="J1984">
            <v>15.3</v>
          </cell>
          <cell r="N1984" t="e">
            <v>#DIV/0!</v>
          </cell>
        </row>
        <row r="1985">
          <cell r="E1985" t="str">
            <v>HGC-Lib-2452742</v>
          </cell>
          <cell r="F1985" t="str">
            <v>T826-13</v>
          </cell>
          <cell r="G1985">
            <v>6</v>
          </cell>
          <cell r="H1985" t="str">
            <v>mRNA文库</v>
          </cell>
          <cell r="I1985" t="str">
            <v>HZK</v>
          </cell>
          <cell r="J1985">
            <v>16.7</v>
          </cell>
          <cell r="N1985" t="e">
            <v>#DIV/0!</v>
          </cell>
        </row>
        <row r="1986">
          <cell r="E1986" t="str">
            <v>HGC-Lib-2452743</v>
          </cell>
          <cell r="F1986" t="str">
            <v>T826-14</v>
          </cell>
          <cell r="G1986">
            <v>6</v>
          </cell>
          <cell r="H1986" t="str">
            <v>mRNA文库</v>
          </cell>
          <cell r="I1986" t="str">
            <v>HZK</v>
          </cell>
          <cell r="J1986">
            <v>20.8</v>
          </cell>
          <cell r="N1986" t="e">
            <v>#DIV/0!</v>
          </cell>
        </row>
        <row r="1987">
          <cell r="E1987" t="str">
            <v>HGC-Lib-2452744</v>
          </cell>
          <cell r="F1987" t="str">
            <v>T826-15</v>
          </cell>
          <cell r="G1987">
            <v>6</v>
          </cell>
          <cell r="H1987" t="str">
            <v>mRNA文库</v>
          </cell>
          <cell r="I1987" t="str">
            <v>HZK</v>
          </cell>
          <cell r="J1987">
            <v>29.6</v>
          </cell>
          <cell r="N1987" t="e">
            <v>#DIV/0!</v>
          </cell>
        </row>
        <row r="1988">
          <cell r="E1988" t="str">
            <v>HGC-Lib-2452745</v>
          </cell>
          <cell r="F1988" t="str">
            <v>T826-16</v>
          </cell>
          <cell r="G1988">
            <v>6</v>
          </cell>
          <cell r="H1988" t="str">
            <v>mRNA文库</v>
          </cell>
          <cell r="I1988" t="str">
            <v>HZK</v>
          </cell>
          <cell r="J1988">
            <v>18.3</v>
          </cell>
          <cell r="N1988" t="e">
            <v>#DIV/0!</v>
          </cell>
        </row>
        <row r="1989">
          <cell r="E1989" t="str">
            <v>HGC-Lib-2452746</v>
          </cell>
          <cell r="F1989" t="str">
            <v>T826-17</v>
          </cell>
          <cell r="G1989">
            <v>6</v>
          </cell>
          <cell r="H1989" t="str">
            <v>mRNA文库</v>
          </cell>
          <cell r="I1989" t="str">
            <v>HZK</v>
          </cell>
          <cell r="J1989">
            <v>26.4</v>
          </cell>
          <cell r="N1989" t="e">
            <v>#DIV/0!</v>
          </cell>
        </row>
        <row r="1990">
          <cell r="E1990" t="str">
            <v>HGC-Lib-2452747</v>
          </cell>
          <cell r="F1990" t="str">
            <v>T826-18</v>
          </cell>
          <cell r="G1990">
            <v>6</v>
          </cell>
          <cell r="H1990" t="str">
            <v>mRNA文库</v>
          </cell>
          <cell r="I1990" t="str">
            <v>HZK</v>
          </cell>
          <cell r="J1990">
            <v>16.8</v>
          </cell>
          <cell r="N1990" t="e">
            <v>#DIV/0!</v>
          </cell>
        </row>
        <row r="1991">
          <cell r="E1991" t="str">
            <v>HGC-Lib-2452748</v>
          </cell>
          <cell r="F1991" t="str">
            <v>T826-19</v>
          </cell>
          <cell r="G1991">
            <v>6</v>
          </cell>
          <cell r="H1991" t="str">
            <v>mRNA文库</v>
          </cell>
          <cell r="I1991" t="str">
            <v>HZK</v>
          </cell>
          <cell r="J1991">
            <v>23</v>
          </cell>
          <cell r="N1991" t="e">
            <v>#DIV/0!</v>
          </cell>
        </row>
        <row r="1992">
          <cell r="E1992" t="str">
            <v>HGC-Lib-2452749</v>
          </cell>
          <cell r="F1992" t="str">
            <v>T826-20</v>
          </cell>
          <cell r="G1992">
            <v>6</v>
          </cell>
          <cell r="H1992" t="str">
            <v>mRNA文库</v>
          </cell>
          <cell r="I1992" t="str">
            <v>HZK</v>
          </cell>
          <cell r="J1992">
            <v>9.98</v>
          </cell>
          <cell r="N1992" t="e">
            <v>#DIV/0!</v>
          </cell>
        </row>
        <row r="1993">
          <cell r="E1993" t="str">
            <v>HGC-Lib-2452750</v>
          </cell>
          <cell r="F1993" t="str">
            <v>T826-21</v>
          </cell>
          <cell r="G1993">
            <v>6</v>
          </cell>
          <cell r="H1993" t="str">
            <v>mRNA文库</v>
          </cell>
          <cell r="I1993" t="str">
            <v>HZK</v>
          </cell>
          <cell r="J1993">
            <v>29.8</v>
          </cell>
          <cell r="N1993" t="e">
            <v>#DIV/0!</v>
          </cell>
        </row>
        <row r="1994">
          <cell r="E1994" t="str">
            <v>HGC-Lib-2452751</v>
          </cell>
          <cell r="F1994" t="str">
            <v>T826-22</v>
          </cell>
          <cell r="G1994">
            <v>6</v>
          </cell>
          <cell r="H1994" t="str">
            <v>mRNA文库</v>
          </cell>
          <cell r="I1994" t="str">
            <v>HZK</v>
          </cell>
          <cell r="J1994">
            <v>26.8</v>
          </cell>
          <cell r="N1994" t="e">
            <v>#DIV/0!</v>
          </cell>
        </row>
        <row r="1995">
          <cell r="E1995" t="str">
            <v>HGC-Lib-2452752</v>
          </cell>
          <cell r="F1995" t="str">
            <v>T826-23</v>
          </cell>
          <cell r="G1995">
            <v>6</v>
          </cell>
          <cell r="H1995" t="str">
            <v>mRNA文库</v>
          </cell>
          <cell r="I1995" t="str">
            <v>HZK</v>
          </cell>
          <cell r="J1995">
            <v>25.6</v>
          </cell>
          <cell r="N1995" t="e">
            <v>#DIV/0!</v>
          </cell>
        </row>
        <row r="1996">
          <cell r="E1996" t="str">
            <v>HGC-Lib-2452753</v>
          </cell>
          <cell r="F1996" t="str">
            <v>T826-24</v>
          </cell>
          <cell r="G1996">
            <v>6</v>
          </cell>
          <cell r="H1996" t="str">
            <v>mRNA文库</v>
          </cell>
          <cell r="I1996" t="str">
            <v>HZK</v>
          </cell>
          <cell r="J1996">
            <v>20.399999999999999</v>
          </cell>
          <cell r="N1996" t="e">
            <v>#DIV/0!</v>
          </cell>
        </row>
        <row r="1997">
          <cell r="E1997" t="str">
            <v>HGC-Lib-2452754</v>
          </cell>
          <cell r="F1997" t="str">
            <v>T781-41</v>
          </cell>
          <cell r="G1997">
            <v>3</v>
          </cell>
          <cell r="H1997" t="str">
            <v>全基因组文库</v>
          </cell>
          <cell r="I1997" t="str">
            <v>HZK</v>
          </cell>
          <cell r="J1997">
            <v>10</v>
          </cell>
          <cell r="N1997" t="e">
            <v>#DIV/0!</v>
          </cell>
        </row>
        <row r="1998">
          <cell r="E1998" t="str">
            <v>HGC-Lib-2452755</v>
          </cell>
          <cell r="F1998" t="str">
            <v>T781-132</v>
          </cell>
          <cell r="G1998">
            <v>3</v>
          </cell>
          <cell r="H1998" t="str">
            <v>全基因组文库</v>
          </cell>
          <cell r="I1998" t="str">
            <v>HZK</v>
          </cell>
          <cell r="J1998">
            <v>7.34</v>
          </cell>
          <cell r="N1998" t="e">
            <v>#DIV/0!</v>
          </cell>
        </row>
        <row r="1999">
          <cell r="E1999" t="str">
            <v>HGC-Lib-2452756</v>
          </cell>
          <cell r="F1999" t="str">
            <v>T781-133</v>
          </cell>
          <cell r="G1999">
            <v>3</v>
          </cell>
          <cell r="H1999" t="str">
            <v>全基因组文库</v>
          </cell>
          <cell r="I1999" t="str">
            <v>HZK</v>
          </cell>
          <cell r="J1999">
            <v>7.42</v>
          </cell>
          <cell r="N1999" t="e">
            <v>#DIV/0!</v>
          </cell>
        </row>
        <row r="2000">
          <cell r="E2000" t="str">
            <v>HGC-Lib-2452757</v>
          </cell>
          <cell r="F2000" t="str">
            <v>T781-134</v>
          </cell>
          <cell r="G2000">
            <v>3</v>
          </cell>
          <cell r="H2000" t="str">
            <v>全基因组文库</v>
          </cell>
          <cell r="I2000" t="str">
            <v>HZK</v>
          </cell>
          <cell r="J2000">
            <v>11.1</v>
          </cell>
          <cell r="N2000" t="e">
            <v>#DIV/0!</v>
          </cell>
        </row>
        <row r="2001">
          <cell r="E2001" t="str">
            <v>HGC-Lib-2452758</v>
          </cell>
          <cell r="F2001" t="str">
            <v>T781-135</v>
          </cell>
          <cell r="G2001">
            <v>3</v>
          </cell>
          <cell r="H2001" t="str">
            <v>全基因组文库</v>
          </cell>
          <cell r="I2001" t="str">
            <v>HZK</v>
          </cell>
          <cell r="J2001">
            <v>11.5</v>
          </cell>
          <cell r="N2001" t="e">
            <v>#DIV/0!</v>
          </cell>
        </row>
        <row r="2002">
          <cell r="E2002" t="str">
            <v>HGC-Lib-2452759</v>
          </cell>
          <cell r="F2002" t="str">
            <v>T781-136</v>
          </cell>
          <cell r="G2002">
            <v>3</v>
          </cell>
          <cell r="H2002" t="str">
            <v>全基因组文库</v>
          </cell>
          <cell r="I2002" t="str">
            <v>HZK</v>
          </cell>
          <cell r="J2002">
            <v>10.5</v>
          </cell>
          <cell r="N2002" t="e">
            <v>#DIV/0!</v>
          </cell>
        </row>
        <row r="2003">
          <cell r="E2003" t="str">
            <v>HGC-Lib-2452760</v>
          </cell>
          <cell r="F2003" t="str">
            <v>T781-137</v>
          </cell>
          <cell r="G2003">
            <v>3</v>
          </cell>
          <cell r="H2003" t="str">
            <v>全基因组文库</v>
          </cell>
          <cell r="I2003" t="str">
            <v>HZK</v>
          </cell>
          <cell r="J2003">
            <v>12.6</v>
          </cell>
          <cell r="N2003" t="e">
            <v>#DIV/0!</v>
          </cell>
        </row>
        <row r="2004">
          <cell r="E2004" t="str">
            <v>HGC-Lib-2452761</v>
          </cell>
          <cell r="F2004" t="str">
            <v>T781-138</v>
          </cell>
          <cell r="G2004">
            <v>3</v>
          </cell>
          <cell r="H2004" t="str">
            <v>全基因组文库</v>
          </cell>
          <cell r="I2004" t="str">
            <v>HZK</v>
          </cell>
          <cell r="J2004">
            <v>10.7</v>
          </cell>
          <cell r="N2004" t="e">
            <v>#DIV/0!</v>
          </cell>
        </row>
        <row r="2005">
          <cell r="E2005" t="str">
            <v>HGC-Lib-2452762</v>
          </cell>
          <cell r="F2005" t="str">
            <v>T781-139</v>
          </cell>
          <cell r="G2005">
            <v>3</v>
          </cell>
          <cell r="H2005" t="str">
            <v>全基因组文库</v>
          </cell>
          <cell r="I2005" t="str">
            <v>HZK</v>
          </cell>
          <cell r="J2005">
            <v>9.94</v>
          </cell>
          <cell r="N2005" t="e">
            <v>#DIV/0!</v>
          </cell>
        </row>
        <row r="2006">
          <cell r="E2006" t="str">
            <v>HGC-Lib-2452763</v>
          </cell>
          <cell r="F2006" t="str">
            <v>T781-140</v>
          </cell>
          <cell r="G2006">
            <v>3</v>
          </cell>
          <cell r="H2006" t="str">
            <v>全基因组文库</v>
          </cell>
          <cell r="I2006" t="str">
            <v>HZK</v>
          </cell>
          <cell r="J2006">
            <v>2.48</v>
          </cell>
          <cell r="N2006" t="e">
            <v>#DIV/0!</v>
          </cell>
        </row>
        <row r="2007">
          <cell r="E2007" t="str">
            <v>HGC-Lib-2452764</v>
          </cell>
          <cell r="F2007" t="str">
            <v>T781-141</v>
          </cell>
          <cell r="G2007">
            <v>3</v>
          </cell>
          <cell r="H2007" t="str">
            <v>全基因组文库</v>
          </cell>
          <cell r="I2007" t="str">
            <v>HZK</v>
          </cell>
          <cell r="J2007">
            <v>8.18</v>
          </cell>
          <cell r="N2007" t="e">
            <v>#DIV/0!</v>
          </cell>
        </row>
        <row r="2008">
          <cell r="E2008" t="str">
            <v>HGC-Lib-2452765</v>
          </cell>
          <cell r="F2008" t="str">
            <v>T781-142</v>
          </cell>
          <cell r="G2008">
            <v>3</v>
          </cell>
          <cell r="H2008" t="str">
            <v>全基因组文库</v>
          </cell>
          <cell r="I2008" t="str">
            <v>HZK</v>
          </cell>
          <cell r="J2008">
            <v>10.5</v>
          </cell>
          <cell r="N2008" t="e">
            <v>#DIV/0!</v>
          </cell>
        </row>
        <row r="2009">
          <cell r="E2009" t="str">
            <v>HGC-Lib-2452766</v>
          </cell>
          <cell r="F2009" t="str">
            <v>T781-143</v>
          </cell>
          <cell r="G2009">
            <v>3</v>
          </cell>
          <cell r="H2009" t="str">
            <v>全基因组文库</v>
          </cell>
          <cell r="I2009" t="str">
            <v>HZK</v>
          </cell>
          <cell r="J2009">
            <v>6.82</v>
          </cell>
          <cell r="N2009" t="e">
            <v>#DIV/0!</v>
          </cell>
        </row>
        <row r="2010">
          <cell r="E2010" t="str">
            <v>HGC-Lib-2452767</v>
          </cell>
          <cell r="F2010" t="str">
            <v>T781-144</v>
          </cell>
          <cell r="G2010">
            <v>3</v>
          </cell>
          <cell r="H2010" t="str">
            <v>全基因组文库</v>
          </cell>
          <cell r="I2010" t="str">
            <v>HZK</v>
          </cell>
          <cell r="J2010">
            <v>4.78</v>
          </cell>
          <cell r="N2010" t="e">
            <v>#DIV/0!</v>
          </cell>
        </row>
        <row r="2011">
          <cell r="E2011" t="str">
            <v>HGC-Lib-2452768</v>
          </cell>
          <cell r="F2011" t="str">
            <v>T781-145</v>
          </cell>
          <cell r="G2011">
            <v>3</v>
          </cell>
          <cell r="H2011" t="str">
            <v>全基因组文库</v>
          </cell>
          <cell r="I2011" t="str">
            <v>HZK</v>
          </cell>
          <cell r="J2011">
            <v>6.58</v>
          </cell>
          <cell r="N2011" t="e">
            <v>#DIV/0!</v>
          </cell>
        </row>
        <row r="2012">
          <cell r="E2012" t="str">
            <v>HGC-Lib-2452769</v>
          </cell>
          <cell r="F2012" t="str">
            <v>T781-146</v>
          </cell>
          <cell r="G2012">
            <v>3</v>
          </cell>
          <cell r="H2012" t="str">
            <v>全基因组文库</v>
          </cell>
          <cell r="I2012" t="str">
            <v>HZK</v>
          </cell>
          <cell r="J2012">
            <v>7.48</v>
          </cell>
          <cell r="N2012" t="e">
            <v>#DIV/0!</v>
          </cell>
        </row>
        <row r="2013">
          <cell r="E2013" t="str">
            <v>HGC-Lib-2452803</v>
          </cell>
          <cell r="F2013" t="str">
            <v>L240614029X3</v>
          </cell>
          <cell r="G2013">
            <v>100</v>
          </cell>
          <cell r="H2013" t="str">
            <v>10X 3'转录组文库</v>
          </cell>
          <cell r="I2013" t="str">
            <v>TY</v>
          </cell>
          <cell r="J2013">
            <v>12.6</v>
          </cell>
          <cell r="N2013" t="e">
            <v>#DIV/0!</v>
          </cell>
        </row>
        <row r="2014">
          <cell r="E2014" t="str">
            <v>HGC-Lib-2452804</v>
          </cell>
          <cell r="F2014" t="str">
            <v>L240614030X3</v>
          </cell>
          <cell r="G2014">
            <v>100</v>
          </cell>
          <cell r="H2014" t="str">
            <v>10X 3'转录组文库</v>
          </cell>
          <cell r="I2014" t="str">
            <v>TY</v>
          </cell>
          <cell r="J2014">
            <v>15.9</v>
          </cell>
          <cell r="N2014" t="e">
            <v>#DIV/0!</v>
          </cell>
        </row>
        <row r="2015">
          <cell r="E2015" t="str">
            <v>HGC-Lib-2452843</v>
          </cell>
          <cell r="F2015" t="str">
            <v>L-1</v>
          </cell>
          <cell r="G2015">
            <v>16</v>
          </cell>
          <cell r="H2015" t="str">
            <v>lncRNA文库</v>
          </cell>
          <cell r="I2015" t="str">
            <v>WH</v>
          </cell>
          <cell r="J2015">
            <v>8.16</v>
          </cell>
          <cell r="N2015" t="e">
            <v>#DIV/0!</v>
          </cell>
        </row>
        <row r="2016">
          <cell r="E2016" t="str">
            <v>HGC-Lib-2452844</v>
          </cell>
          <cell r="F2016" t="str">
            <v>L-2</v>
          </cell>
          <cell r="G2016">
            <v>16</v>
          </cell>
          <cell r="H2016" t="str">
            <v>lncRNA文库</v>
          </cell>
          <cell r="I2016" t="str">
            <v>WH</v>
          </cell>
          <cell r="J2016">
            <v>7.88</v>
          </cell>
          <cell r="N2016" t="e">
            <v>#DIV/0!</v>
          </cell>
        </row>
        <row r="2017">
          <cell r="E2017" t="str">
            <v>HGC-Lib-2452845</v>
          </cell>
          <cell r="F2017" t="str">
            <v>L-3</v>
          </cell>
          <cell r="G2017">
            <v>16</v>
          </cell>
          <cell r="H2017" t="str">
            <v>lncRNA文库</v>
          </cell>
          <cell r="I2017" t="str">
            <v>WH</v>
          </cell>
          <cell r="J2017">
            <v>4.38</v>
          </cell>
          <cell r="N2017" t="e">
            <v>#DIV/0!</v>
          </cell>
        </row>
        <row r="2018">
          <cell r="E2018" t="str">
            <v>HGC-Lib-2452846</v>
          </cell>
          <cell r="F2018" t="str">
            <v>L-4</v>
          </cell>
          <cell r="G2018">
            <v>16</v>
          </cell>
          <cell r="H2018" t="str">
            <v>lncRNA文库</v>
          </cell>
          <cell r="I2018" t="str">
            <v>WH</v>
          </cell>
          <cell r="J2018">
            <v>15.1</v>
          </cell>
          <cell r="N2018" t="e">
            <v>#DIV/0!</v>
          </cell>
        </row>
        <row r="2019">
          <cell r="E2019" t="str">
            <v>HGC-Lib-2452847</v>
          </cell>
          <cell r="F2019" t="str">
            <v>L-5</v>
          </cell>
          <cell r="G2019">
            <v>16</v>
          </cell>
          <cell r="H2019" t="str">
            <v>lncRNA文库</v>
          </cell>
          <cell r="I2019" t="str">
            <v>WH</v>
          </cell>
          <cell r="J2019">
            <v>17.399999999999999</v>
          </cell>
          <cell r="N2019" t="e">
            <v>#DIV/0!</v>
          </cell>
        </row>
        <row r="2020">
          <cell r="E2020" t="str">
            <v>HGC-Lib-2452848</v>
          </cell>
          <cell r="F2020" t="str">
            <v>L-6</v>
          </cell>
          <cell r="G2020">
            <v>16</v>
          </cell>
          <cell r="H2020" t="str">
            <v>lncRNA文库</v>
          </cell>
          <cell r="I2020" t="str">
            <v>WH</v>
          </cell>
          <cell r="J2020">
            <v>19.3</v>
          </cell>
          <cell r="N2020" t="e">
            <v>#DIV/0!</v>
          </cell>
        </row>
        <row r="2021">
          <cell r="E2021" t="str">
            <v>HGC-Lib-2452849</v>
          </cell>
          <cell r="F2021" t="str">
            <v>L-7</v>
          </cell>
          <cell r="G2021">
            <v>16</v>
          </cell>
          <cell r="H2021" t="str">
            <v>lncRNA文库</v>
          </cell>
          <cell r="I2021" t="str">
            <v>WH</v>
          </cell>
          <cell r="J2021">
            <v>14.8</v>
          </cell>
          <cell r="N2021" t="e">
            <v>#DIV/0!</v>
          </cell>
        </row>
        <row r="2022">
          <cell r="E2022" t="str">
            <v>HGC-Lib-2452850</v>
          </cell>
          <cell r="F2022" t="str">
            <v>L-8</v>
          </cell>
          <cell r="G2022">
            <v>16</v>
          </cell>
          <cell r="H2022" t="str">
            <v>lncRNA文库</v>
          </cell>
          <cell r="I2022" t="str">
            <v>WH</v>
          </cell>
          <cell r="J2022">
            <v>14.4</v>
          </cell>
          <cell r="N2022" t="e">
            <v>#DIV/0!</v>
          </cell>
        </row>
        <row r="2023">
          <cell r="E2023" t="str">
            <v>HGC-Lib-2452851</v>
          </cell>
          <cell r="F2023" t="str">
            <v>L-9</v>
          </cell>
          <cell r="G2023">
            <v>16</v>
          </cell>
          <cell r="H2023" t="str">
            <v>lncRNA文库</v>
          </cell>
          <cell r="I2023" t="str">
            <v>WH</v>
          </cell>
          <cell r="J2023">
            <v>21.6</v>
          </cell>
          <cell r="N2023" t="e">
            <v>#DIV/0!</v>
          </cell>
        </row>
        <row r="2024">
          <cell r="E2024" t="str">
            <v>HGC-Lib-2452852</v>
          </cell>
          <cell r="F2024" t="str">
            <v>L-10</v>
          </cell>
          <cell r="G2024">
            <v>16</v>
          </cell>
          <cell r="H2024" t="str">
            <v>lncRNA文库</v>
          </cell>
          <cell r="I2024" t="str">
            <v>WH</v>
          </cell>
          <cell r="J2024">
            <v>3.88</v>
          </cell>
          <cell r="N2024" t="e">
            <v>#DIV/0!</v>
          </cell>
        </row>
        <row r="2025">
          <cell r="E2025" t="str">
            <v>HGC-Lib-2452853</v>
          </cell>
          <cell r="F2025" t="str">
            <v>L-11</v>
          </cell>
          <cell r="G2025">
            <v>16</v>
          </cell>
          <cell r="H2025" t="str">
            <v>lncRNA文库</v>
          </cell>
          <cell r="I2025" t="str">
            <v>WH</v>
          </cell>
          <cell r="J2025">
            <v>1.9</v>
          </cell>
          <cell r="N2025" t="e">
            <v>#DIV/0!</v>
          </cell>
        </row>
        <row r="2026">
          <cell r="E2026" t="str">
            <v>HGC-Lib-2452854</v>
          </cell>
          <cell r="F2026" t="str">
            <v>L-12</v>
          </cell>
          <cell r="G2026">
            <v>16</v>
          </cell>
          <cell r="H2026" t="str">
            <v>lncRNA文库</v>
          </cell>
          <cell r="I2026" t="str">
            <v>WH</v>
          </cell>
          <cell r="J2026">
            <v>1.33</v>
          </cell>
          <cell r="N2026" t="e">
            <v>#DIV/0!</v>
          </cell>
        </row>
        <row r="2027">
          <cell r="E2027" t="str">
            <v>HGC-Lib-2452855</v>
          </cell>
          <cell r="F2027" t="str">
            <v>L-13</v>
          </cell>
          <cell r="G2027">
            <v>16</v>
          </cell>
          <cell r="H2027" t="str">
            <v>lncRNA文库</v>
          </cell>
          <cell r="I2027" t="str">
            <v>WH</v>
          </cell>
          <cell r="J2027">
            <v>12.2</v>
          </cell>
          <cell r="N2027" t="e">
            <v>#DIV/0!</v>
          </cell>
        </row>
        <row r="2028">
          <cell r="E2028" t="str">
            <v>HGC-Lib-2452856</v>
          </cell>
          <cell r="F2028" t="str">
            <v>L-14</v>
          </cell>
          <cell r="G2028">
            <v>16</v>
          </cell>
          <cell r="H2028" t="str">
            <v>lncRNA文库</v>
          </cell>
          <cell r="I2028" t="str">
            <v>WH</v>
          </cell>
          <cell r="J2028">
            <v>30.2</v>
          </cell>
          <cell r="N2028" t="e">
            <v>#DIV/0!</v>
          </cell>
        </row>
        <row r="2029">
          <cell r="E2029" t="str">
            <v>HGC-Lib-2452857</v>
          </cell>
          <cell r="F2029" t="str">
            <v>L-15</v>
          </cell>
          <cell r="G2029">
            <v>16</v>
          </cell>
          <cell r="H2029" t="str">
            <v>lncRNA文库</v>
          </cell>
          <cell r="I2029" t="str">
            <v>WH</v>
          </cell>
          <cell r="J2029">
            <v>8.44</v>
          </cell>
          <cell r="N2029" t="e">
            <v>#DIV/0!</v>
          </cell>
        </row>
        <row r="2030">
          <cell r="E2030" t="str">
            <v>HGC-Lib-2452858</v>
          </cell>
          <cell r="F2030" t="str">
            <v>L-16</v>
          </cell>
          <cell r="G2030">
            <v>16</v>
          </cell>
          <cell r="H2030" t="str">
            <v>lncRNA文库</v>
          </cell>
          <cell r="I2030" t="str">
            <v>WH</v>
          </cell>
          <cell r="J2030">
            <v>11.3</v>
          </cell>
          <cell r="N2030" t="e">
            <v>#DIV/0!</v>
          </cell>
        </row>
        <row r="2031">
          <cell r="E2031" t="str">
            <v>HGC-Lib-2452859</v>
          </cell>
          <cell r="F2031" t="str">
            <v>L-17</v>
          </cell>
          <cell r="G2031">
            <v>16</v>
          </cell>
          <cell r="H2031" t="str">
            <v>lncRNA文库</v>
          </cell>
          <cell r="I2031" t="str">
            <v>WH</v>
          </cell>
          <cell r="J2031">
            <v>16.3</v>
          </cell>
          <cell r="N2031" t="e">
            <v>#DIV/0!</v>
          </cell>
        </row>
        <row r="2032">
          <cell r="E2032" t="str">
            <v>HGC-Lib-2452860</v>
          </cell>
          <cell r="F2032" t="str">
            <v>L-18</v>
          </cell>
          <cell r="G2032">
            <v>16</v>
          </cell>
          <cell r="H2032" t="str">
            <v>lncRNA文库</v>
          </cell>
          <cell r="I2032" t="str">
            <v>WH</v>
          </cell>
          <cell r="J2032">
            <v>12.9</v>
          </cell>
          <cell r="N2032" t="e">
            <v>#DIV/0!</v>
          </cell>
        </row>
        <row r="2033">
          <cell r="E2033" t="str">
            <v>HGC-POOL-2452863</v>
          </cell>
          <cell r="F2033" t="str">
            <v>WES24324</v>
          </cell>
          <cell r="G2033">
            <v>90</v>
          </cell>
          <cell r="H2033" t="str">
            <v>WES/panel捕获文库</v>
          </cell>
          <cell r="I2033" t="str">
            <v>WWH</v>
          </cell>
          <cell r="J2033">
            <v>4.4400000000000004</v>
          </cell>
          <cell r="K2033">
            <v>358</v>
          </cell>
          <cell r="L2033" t="str">
            <v>WH</v>
          </cell>
          <cell r="N2033">
            <v>19.0803609798023</v>
          </cell>
        </row>
        <row r="2034">
          <cell r="E2034" t="str">
            <v>HGC-Lib-2452864</v>
          </cell>
          <cell r="F2034" t="str">
            <v>LC240629019</v>
          </cell>
          <cell r="G2034">
            <v>400</v>
          </cell>
          <cell r="H2034" t="str">
            <v>singleron-3'转录组文库</v>
          </cell>
          <cell r="I2034" t="str">
            <v>WH</v>
          </cell>
          <cell r="J2034">
            <v>5.58</v>
          </cell>
          <cell r="N2034" t="e">
            <v>#DIV/0!</v>
          </cell>
        </row>
        <row r="2035">
          <cell r="E2035" t="str">
            <v>HGC-Lib-2452865</v>
          </cell>
          <cell r="F2035" t="str">
            <v>LC240630026</v>
          </cell>
          <cell r="G2035">
            <v>150</v>
          </cell>
          <cell r="H2035" t="str">
            <v>singleron-3'转录组文库</v>
          </cell>
          <cell r="I2035" t="str">
            <v>WH</v>
          </cell>
          <cell r="J2035">
            <v>8.3800000000000008</v>
          </cell>
          <cell r="N2035" t="e">
            <v>#DIV/0!</v>
          </cell>
        </row>
        <row r="2036">
          <cell r="E2036" t="str">
            <v>HGC-Lib-2452866</v>
          </cell>
          <cell r="F2036" t="str">
            <v>LPMFTBC240628039</v>
          </cell>
          <cell r="G2036">
            <v>160</v>
          </cell>
          <cell r="H2036" t="str">
            <v>singleron-3'全长转录组文库</v>
          </cell>
          <cell r="I2036" t="str">
            <v>WH</v>
          </cell>
          <cell r="J2036">
            <v>18.2</v>
          </cell>
          <cell r="N2036" t="e">
            <v>#DIV/0!</v>
          </cell>
        </row>
        <row r="2037">
          <cell r="E2037" t="str">
            <v>HGC-Lib-2452867</v>
          </cell>
          <cell r="F2037" t="str">
            <v>PMLPMFTBC240628039</v>
          </cell>
          <cell r="G2037">
            <v>12</v>
          </cell>
          <cell r="H2037" t="str">
            <v>其他碱基不平衡文库</v>
          </cell>
          <cell r="I2037" t="str">
            <v>WH</v>
          </cell>
          <cell r="J2037">
            <v>25.4</v>
          </cell>
          <cell r="N2037" t="e">
            <v>#DIV/0!</v>
          </cell>
        </row>
        <row r="2038">
          <cell r="E2038" t="str">
            <v>HGC-Lib-2452868</v>
          </cell>
          <cell r="F2038" t="str">
            <v>LC240607049AX2</v>
          </cell>
          <cell r="G2038">
            <v>95</v>
          </cell>
          <cell r="H2038" t="str">
            <v>singleron-3'转录组文库</v>
          </cell>
          <cell r="I2038" t="str">
            <v>WH</v>
          </cell>
          <cell r="J2038">
            <v>29</v>
          </cell>
          <cell r="N2038" t="e">
            <v>#DIV/0!</v>
          </cell>
        </row>
        <row r="2039">
          <cell r="E2039" t="str">
            <v>HGC-POOL-2452869</v>
          </cell>
          <cell r="F2039" t="str">
            <v>PCRD-240705-002</v>
          </cell>
          <cell r="G2039">
            <v>15</v>
          </cell>
          <cell r="H2039" t="str">
            <v>singleron-3'转录组文库</v>
          </cell>
          <cell r="I2039" t="str">
            <v>WH</v>
          </cell>
          <cell r="J2039">
            <v>11.8</v>
          </cell>
          <cell r="N2039" t="e">
            <v>#DIV/0!</v>
          </cell>
        </row>
        <row r="2040">
          <cell r="E2040" t="str">
            <v>HGC-Lib-2452870</v>
          </cell>
          <cell r="F2040" t="str">
            <v>R240705015</v>
          </cell>
          <cell r="G2040">
            <v>10</v>
          </cell>
          <cell r="H2040" t="str">
            <v>singleron-3'转录组文库</v>
          </cell>
          <cell r="I2040" t="str">
            <v>WH</v>
          </cell>
          <cell r="J2040">
            <v>10.1</v>
          </cell>
          <cell r="N2040" t="e">
            <v>#DIV/0!</v>
          </cell>
        </row>
        <row r="2041">
          <cell r="E2041" t="str">
            <v>HGC-Lib-2452885</v>
          </cell>
          <cell r="F2041" t="str">
            <v>D24050389</v>
          </cell>
          <cell r="G2041">
            <v>9</v>
          </cell>
          <cell r="H2041" t="str">
            <v>宏基因组</v>
          </cell>
          <cell r="I2041" t="str">
            <v>WWH</v>
          </cell>
          <cell r="J2041">
            <v>2.42</v>
          </cell>
          <cell r="N2041" t="e">
            <v>#DIV/0!</v>
          </cell>
        </row>
        <row r="2042">
          <cell r="E2042" t="str">
            <v>HGC-Lib-2452886</v>
          </cell>
          <cell r="F2042" t="str">
            <v>D24050390</v>
          </cell>
          <cell r="G2042">
            <v>9</v>
          </cell>
          <cell r="H2042" t="str">
            <v>宏基因组</v>
          </cell>
          <cell r="I2042" t="str">
            <v>WWH</v>
          </cell>
          <cell r="J2042">
            <v>2.06</v>
          </cell>
          <cell r="N2042" t="e">
            <v>#DIV/0!</v>
          </cell>
        </row>
        <row r="2043">
          <cell r="E2043" t="str">
            <v>HGC-Lib-2452887</v>
          </cell>
          <cell r="F2043" t="str">
            <v>D24050391</v>
          </cell>
          <cell r="G2043">
            <v>9</v>
          </cell>
          <cell r="H2043" t="str">
            <v>宏基因组</v>
          </cell>
          <cell r="I2043" t="str">
            <v>WWH</v>
          </cell>
          <cell r="J2043">
            <v>1.93</v>
          </cell>
          <cell r="N2043" t="e">
            <v>#DIV/0!</v>
          </cell>
        </row>
        <row r="2044">
          <cell r="E2044" t="str">
            <v>HGC-Lib-2452888</v>
          </cell>
          <cell r="F2044" t="str">
            <v>D24050392</v>
          </cell>
          <cell r="G2044">
            <v>9</v>
          </cell>
          <cell r="H2044" t="str">
            <v>宏基因组</v>
          </cell>
          <cell r="I2044" t="str">
            <v>WWH</v>
          </cell>
          <cell r="J2044">
            <v>3.33</v>
          </cell>
          <cell r="N2044" t="e">
            <v>#DIV/0!</v>
          </cell>
        </row>
        <row r="2045">
          <cell r="E2045" t="str">
            <v>HGC-Lib-2452889</v>
          </cell>
          <cell r="F2045" t="str">
            <v>D24050393</v>
          </cell>
          <cell r="G2045">
            <v>9</v>
          </cell>
          <cell r="H2045" t="str">
            <v>宏基因组</v>
          </cell>
          <cell r="I2045" t="str">
            <v>WWH</v>
          </cell>
          <cell r="J2045">
            <v>3.78</v>
          </cell>
          <cell r="N2045" t="e">
            <v>#DIV/0!</v>
          </cell>
        </row>
        <row r="2046">
          <cell r="E2046" t="str">
            <v>HGC-Lib-2452890</v>
          </cell>
          <cell r="F2046" t="str">
            <v>D24050394</v>
          </cell>
          <cell r="G2046">
            <v>9</v>
          </cell>
          <cell r="H2046" t="str">
            <v>宏基因组</v>
          </cell>
          <cell r="I2046" t="str">
            <v>WWH</v>
          </cell>
          <cell r="J2046">
            <v>4.72</v>
          </cell>
          <cell r="N2046" t="e">
            <v>#DIV/0!</v>
          </cell>
        </row>
        <row r="2047">
          <cell r="E2047" t="str">
            <v>HGC-Lib-2452891</v>
          </cell>
          <cell r="F2047" t="str">
            <v>D24050395</v>
          </cell>
          <cell r="G2047">
            <v>9</v>
          </cell>
          <cell r="H2047" t="str">
            <v>宏基因组</v>
          </cell>
          <cell r="I2047" t="str">
            <v>WWH</v>
          </cell>
          <cell r="J2047">
            <v>3.23</v>
          </cell>
          <cell r="N2047" t="e">
            <v>#DIV/0!</v>
          </cell>
        </row>
        <row r="2048">
          <cell r="E2048" t="str">
            <v>HGC-Lib-2452892</v>
          </cell>
          <cell r="F2048" t="str">
            <v>D24050396</v>
          </cell>
          <cell r="G2048">
            <v>9</v>
          </cell>
          <cell r="H2048" t="str">
            <v>宏基因组</v>
          </cell>
          <cell r="I2048" t="str">
            <v>WWH</v>
          </cell>
          <cell r="J2048">
            <v>4.13</v>
          </cell>
          <cell r="N2048" t="e">
            <v>#DIV/0!</v>
          </cell>
        </row>
        <row r="2049">
          <cell r="E2049" t="str">
            <v>HGC-Lib-2452893</v>
          </cell>
          <cell r="F2049" t="str">
            <v>D24050397</v>
          </cell>
          <cell r="G2049">
            <v>9</v>
          </cell>
          <cell r="H2049" t="str">
            <v>宏基因组</v>
          </cell>
          <cell r="I2049" t="str">
            <v>WWH</v>
          </cell>
          <cell r="J2049">
            <v>2.76</v>
          </cell>
          <cell r="N2049" t="e">
            <v>#DIV/0!</v>
          </cell>
        </row>
        <row r="2050">
          <cell r="E2050" t="str">
            <v>HGC-Lib-2452894</v>
          </cell>
          <cell r="F2050" t="str">
            <v>D24050398</v>
          </cell>
          <cell r="G2050">
            <v>9</v>
          </cell>
          <cell r="H2050" t="str">
            <v>宏基因组</v>
          </cell>
          <cell r="I2050" t="str">
            <v>WWH</v>
          </cell>
          <cell r="J2050">
            <v>2.71</v>
          </cell>
          <cell r="N2050" t="e">
            <v>#DIV/0!</v>
          </cell>
        </row>
        <row r="2051">
          <cell r="E2051" t="str">
            <v>HGC-Lib-2452895</v>
          </cell>
          <cell r="F2051" t="str">
            <v>D24050399</v>
          </cell>
          <cell r="G2051">
            <v>9</v>
          </cell>
          <cell r="H2051" t="str">
            <v>宏基因组</v>
          </cell>
          <cell r="I2051" t="str">
            <v>WWH</v>
          </cell>
          <cell r="J2051">
            <v>2.1</v>
          </cell>
          <cell r="N2051" t="e">
            <v>#DIV/0!</v>
          </cell>
        </row>
        <row r="2052">
          <cell r="E2052" t="str">
            <v>HGC-Lib-2452896</v>
          </cell>
          <cell r="F2052" t="str">
            <v>D24050400</v>
          </cell>
          <cell r="G2052">
            <v>9</v>
          </cell>
          <cell r="H2052" t="str">
            <v>宏基因组</v>
          </cell>
          <cell r="I2052" t="str">
            <v>WWH</v>
          </cell>
          <cell r="J2052">
            <v>2.16</v>
          </cell>
          <cell r="N2052" t="e">
            <v>#DIV/0!</v>
          </cell>
        </row>
        <row r="2053">
          <cell r="E2053" t="str">
            <v>HGC-Lib-2452897</v>
          </cell>
          <cell r="F2053" t="str">
            <v>D24050401</v>
          </cell>
          <cell r="G2053">
            <v>9</v>
          </cell>
          <cell r="H2053" t="str">
            <v>宏基因组</v>
          </cell>
          <cell r="I2053" t="str">
            <v>WWH</v>
          </cell>
          <cell r="J2053">
            <v>4.0599999999999996</v>
          </cell>
          <cell r="N2053" t="e">
            <v>#DIV/0!</v>
          </cell>
        </row>
        <row r="2054">
          <cell r="E2054" t="str">
            <v>HGC-Lib-2452898</v>
          </cell>
          <cell r="F2054" t="str">
            <v>D24050402</v>
          </cell>
          <cell r="G2054">
            <v>9</v>
          </cell>
          <cell r="H2054" t="str">
            <v>宏基因组</v>
          </cell>
          <cell r="I2054" t="str">
            <v>WWH</v>
          </cell>
          <cell r="J2054">
            <v>4.83</v>
          </cell>
          <cell r="N2054" t="e">
            <v>#DIV/0!</v>
          </cell>
        </row>
        <row r="2055">
          <cell r="E2055" t="str">
            <v>HGC-Lib-2452899</v>
          </cell>
          <cell r="F2055" t="str">
            <v>D24050403</v>
          </cell>
          <cell r="G2055">
            <v>9</v>
          </cell>
          <cell r="H2055" t="str">
            <v>宏基因组</v>
          </cell>
          <cell r="I2055" t="str">
            <v>WWH</v>
          </cell>
          <cell r="J2055">
            <v>5.07</v>
          </cell>
          <cell r="N2055" t="e">
            <v>#DIV/0!</v>
          </cell>
        </row>
        <row r="2056">
          <cell r="E2056" t="str">
            <v>HGC-Lib-2452900</v>
          </cell>
          <cell r="F2056" t="str">
            <v>D24050404</v>
          </cell>
          <cell r="G2056">
            <v>9</v>
          </cell>
          <cell r="H2056" t="str">
            <v>宏基因组</v>
          </cell>
          <cell r="I2056" t="str">
            <v>WWH</v>
          </cell>
          <cell r="J2056">
            <v>4.4000000000000004</v>
          </cell>
          <cell r="N2056" t="e">
            <v>#DIV/0!</v>
          </cell>
        </row>
        <row r="2057">
          <cell r="E2057" t="str">
            <v>HGC-Lib-2452901</v>
          </cell>
          <cell r="F2057" t="str">
            <v>D24050405</v>
          </cell>
          <cell r="G2057">
            <v>9</v>
          </cell>
          <cell r="H2057" t="str">
            <v>宏基因组</v>
          </cell>
          <cell r="I2057" t="str">
            <v>WWH</v>
          </cell>
          <cell r="J2057">
            <v>6.25</v>
          </cell>
          <cell r="N2057" t="e">
            <v>#DIV/0!</v>
          </cell>
        </row>
        <row r="2058">
          <cell r="E2058" t="str">
            <v>HGC-Lib-2452902</v>
          </cell>
          <cell r="F2058" t="str">
            <v>D24050406</v>
          </cell>
          <cell r="G2058">
            <v>9</v>
          </cell>
          <cell r="H2058" t="str">
            <v>宏基因组</v>
          </cell>
          <cell r="I2058" t="str">
            <v>WWH</v>
          </cell>
          <cell r="J2058">
            <v>5.38</v>
          </cell>
          <cell r="N2058" t="e">
            <v>#DIV/0!</v>
          </cell>
        </row>
        <row r="2059">
          <cell r="E2059" t="str">
            <v>HGC-Lib-2452903</v>
          </cell>
          <cell r="F2059" t="str">
            <v>D24050411</v>
          </cell>
          <cell r="G2059">
            <v>9</v>
          </cell>
          <cell r="H2059" t="str">
            <v>宏基因组</v>
          </cell>
          <cell r="I2059" t="str">
            <v>WWH</v>
          </cell>
          <cell r="J2059">
            <v>4.7699999999999996</v>
          </cell>
          <cell r="N2059" t="e">
            <v>#DIV/0!</v>
          </cell>
        </row>
        <row r="2060">
          <cell r="E2060" t="str">
            <v>HGC-Lib-2452904</v>
          </cell>
          <cell r="F2060" t="str">
            <v>D24050413</v>
          </cell>
          <cell r="G2060">
            <v>9</v>
          </cell>
          <cell r="H2060" t="str">
            <v>宏基因组</v>
          </cell>
          <cell r="I2060" t="str">
            <v>WWH</v>
          </cell>
          <cell r="J2060">
            <v>7.56</v>
          </cell>
          <cell r="N2060" t="e">
            <v>#DIV/0!</v>
          </cell>
        </row>
        <row r="2061">
          <cell r="E2061" t="str">
            <v>HGC-Lib-2452905</v>
          </cell>
          <cell r="F2061" t="str">
            <v>D24050414</v>
          </cell>
          <cell r="G2061">
            <v>9</v>
          </cell>
          <cell r="H2061" t="str">
            <v>宏基因组</v>
          </cell>
          <cell r="I2061" t="str">
            <v>WWH</v>
          </cell>
          <cell r="J2061">
            <v>10.54</v>
          </cell>
          <cell r="N2061" t="e">
            <v>#DIV/0!</v>
          </cell>
        </row>
        <row r="2062">
          <cell r="E2062" t="str">
            <v>HGC-Lib-2452906</v>
          </cell>
          <cell r="F2062" t="str">
            <v>D24050415</v>
          </cell>
          <cell r="G2062">
            <v>9</v>
          </cell>
          <cell r="H2062" t="str">
            <v>宏基因组</v>
          </cell>
          <cell r="I2062" t="str">
            <v>WWH</v>
          </cell>
          <cell r="J2062">
            <v>13.48</v>
          </cell>
          <cell r="N2062" t="e">
            <v>#DIV/0!</v>
          </cell>
        </row>
        <row r="2063">
          <cell r="E2063" t="str">
            <v>HGC-Lib-2452907</v>
          </cell>
          <cell r="F2063" t="str">
            <v>D24050416</v>
          </cell>
          <cell r="G2063">
            <v>9</v>
          </cell>
          <cell r="H2063" t="str">
            <v>宏基因组</v>
          </cell>
          <cell r="I2063" t="str">
            <v>WWH</v>
          </cell>
          <cell r="J2063">
            <v>11.87</v>
          </cell>
          <cell r="N2063" t="e">
            <v>#DIV/0!</v>
          </cell>
        </row>
        <row r="2064">
          <cell r="E2064" t="str">
            <v>HGC-Lib-2452908</v>
          </cell>
          <cell r="F2064" t="str">
            <v>D24050417</v>
          </cell>
          <cell r="G2064">
            <v>9</v>
          </cell>
          <cell r="H2064" t="str">
            <v>宏基因组</v>
          </cell>
          <cell r="I2064" t="str">
            <v>WWH</v>
          </cell>
          <cell r="J2064">
            <v>10.35</v>
          </cell>
          <cell r="N2064" t="e">
            <v>#DIV/0!</v>
          </cell>
        </row>
        <row r="2065">
          <cell r="E2065" t="str">
            <v>HGC-Lib-2452909</v>
          </cell>
          <cell r="F2065" t="str">
            <v>D24050418</v>
          </cell>
          <cell r="G2065">
            <v>9</v>
          </cell>
          <cell r="H2065" t="str">
            <v>宏基因组</v>
          </cell>
          <cell r="I2065" t="str">
            <v>WWH</v>
          </cell>
          <cell r="J2065">
            <v>9.92</v>
          </cell>
          <cell r="N2065" t="e">
            <v>#DIV/0!</v>
          </cell>
        </row>
        <row r="2066">
          <cell r="E2066" t="str">
            <v>HGC-Lib-2452910</v>
          </cell>
          <cell r="F2066" t="str">
            <v>D24050419</v>
          </cell>
          <cell r="G2066">
            <v>9</v>
          </cell>
          <cell r="H2066" t="str">
            <v>宏基因组</v>
          </cell>
          <cell r="I2066" t="str">
            <v>WWH</v>
          </cell>
          <cell r="J2066">
            <v>10.98</v>
          </cell>
          <cell r="N2066" t="e">
            <v>#DIV/0!</v>
          </cell>
        </row>
        <row r="2067">
          <cell r="E2067" t="str">
            <v>HGC-Lib-2452911</v>
          </cell>
          <cell r="F2067" t="str">
            <v>D24050420</v>
          </cell>
          <cell r="G2067">
            <v>9</v>
          </cell>
          <cell r="H2067" t="str">
            <v>宏基因组</v>
          </cell>
          <cell r="I2067" t="str">
            <v>WWH</v>
          </cell>
          <cell r="J2067">
            <v>11.13</v>
          </cell>
          <cell r="N2067" t="e">
            <v>#DIV/0!</v>
          </cell>
        </row>
        <row r="2068">
          <cell r="E2068" t="str">
            <v>HGC-Lib-2452912</v>
          </cell>
          <cell r="F2068" t="str">
            <v>D24050421</v>
          </cell>
          <cell r="G2068">
            <v>9</v>
          </cell>
          <cell r="H2068" t="str">
            <v>宏基因组</v>
          </cell>
          <cell r="I2068" t="str">
            <v>WWH</v>
          </cell>
          <cell r="J2068">
            <v>12.33</v>
          </cell>
          <cell r="N2068" t="e">
            <v>#DIV/0!</v>
          </cell>
        </row>
        <row r="2069">
          <cell r="E2069" t="str">
            <v>HGC-Lib-2452913</v>
          </cell>
          <cell r="F2069" t="str">
            <v>D24050422</v>
          </cell>
          <cell r="G2069">
            <v>9</v>
          </cell>
          <cell r="H2069" t="str">
            <v>宏基因组</v>
          </cell>
          <cell r="I2069" t="str">
            <v>WWH</v>
          </cell>
          <cell r="J2069">
            <v>12.01</v>
          </cell>
          <cell r="N2069" t="e">
            <v>#DIV/0!</v>
          </cell>
        </row>
        <row r="2070">
          <cell r="E2070" t="str">
            <v>HGC-Lib-2452914</v>
          </cell>
          <cell r="F2070" t="str">
            <v>D24050423</v>
          </cell>
          <cell r="G2070">
            <v>9</v>
          </cell>
          <cell r="H2070" t="str">
            <v>宏基因组</v>
          </cell>
          <cell r="I2070" t="str">
            <v>WWH</v>
          </cell>
          <cell r="J2070">
            <v>11.94</v>
          </cell>
          <cell r="N2070" t="e">
            <v>#DIV/0!</v>
          </cell>
        </row>
        <row r="2071">
          <cell r="E2071" t="str">
            <v>HGC-Lib-2452915</v>
          </cell>
          <cell r="F2071" t="str">
            <v>D24050424</v>
          </cell>
          <cell r="G2071">
            <v>9</v>
          </cell>
          <cell r="H2071" t="str">
            <v>宏基因组</v>
          </cell>
          <cell r="I2071" t="str">
            <v>WWH</v>
          </cell>
          <cell r="J2071">
            <v>12.41</v>
          </cell>
          <cell r="N2071" t="e">
            <v>#DIV/0!</v>
          </cell>
        </row>
        <row r="2072">
          <cell r="E2072" t="str">
            <v>HGC-Lib-2452916</v>
          </cell>
          <cell r="F2072" t="str">
            <v>D24050425</v>
          </cell>
          <cell r="G2072">
            <v>9</v>
          </cell>
          <cell r="H2072" t="str">
            <v>宏基因组</v>
          </cell>
          <cell r="I2072" t="str">
            <v>WWH</v>
          </cell>
          <cell r="J2072">
            <v>11.39</v>
          </cell>
          <cell r="N2072" t="e">
            <v>#DIV/0!</v>
          </cell>
        </row>
        <row r="2073">
          <cell r="E2073" t="str">
            <v>HGC-Lib-2452917</v>
          </cell>
          <cell r="F2073" t="str">
            <v>D24050426</v>
          </cell>
          <cell r="G2073">
            <v>9</v>
          </cell>
          <cell r="H2073" t="str">
            <v>宏基因组</v>
          </cell>
          <cell r="I2073" t="str">
            <v>WWH</v>
          </cell>
          <cell r="J2073">
            <v>10.44</v>
          </cell>
          <cell r="N2073" t="e">
            <v>#DIV/0!</v>
          </cell>
        </row>
        <row r="2074">
          <cell r="E2074" t="str">
            <v>HGC-Lib-2452918</v>
          </cell>
          <cell r="F2074" t="str">
            <v>D24050427</v>
          </cell>
          <cell r="G2074">
            <v>9</v>
          </cell>
          <cell r="H2074" t="str">
            <v>宏基因组</v>
          </cell>
          <cell r="I2074" t="str">
            <v>WWH</v>
          </cell>
          <cell r="J2074">
            <v>8.9700000000000006</v>
          </cell>
          <cell r="N2074" t="e">
            <v>#DIV/0!</v>
          </cell>
        </row>
        <row r="2075">
          <cell r="E2075" t="str">
            <v>HGC-Lib-2452919</v>
          </cell>
          <cell r="F2075" t="str">
            <v>D24050428</v>
          </cell>
          <cell r="G2075">
            <v>9</v>
          </cell>
          <cell r="H2075" t="str">
            <v>宏基因组</v>
          </cell>
          <cell r="I2075" t="str">
            <v>WWH</v>
          </cell>
          <cell r="J2075">
            <v>10.24</v>
          </cell>
          <cell r="N2075" t="e">
            <v>#DIV/0!</v>
          </cell>
        </row>
        <row r="2076">
          <cell r="E2076" t="str">
            <v>HGC-Lib-2452920</v>
          </cell>
          <cell r="F2076" t="str">
            <v>D24050429</v>
          </cell>
          <cell r="G2076">
            <v>9</v>
          </cell>
          <cell r="H2076" t="str">
            <v>宏基因组</v>
          </cell>
          <cell r="I2076" t="str">
            <v>WWH</v>
          </cell>
          <cell r="J2076">
            <v>9.5399999999999991</v>
          </cell>
          <cell r="N2076" t="e">
            <v>#DIV/0!</v>
          </cell>
        </row>
        <row r="2077">
          <cell r="E2077" t="str">
            <v>HGC-Lib-2452921</v>
          </cell>
          <cell r="F2077" t="str">
            <v>D24050430</v>
          </cell>
          <cell r="G2077">
            <v>9</v>
          </cell>
          <cell r="H2077" t="str">
            <v>宏基因组</v>
          </cell>
          <cell r="I2077" t="str">
            <v>WWH</v>
          </cell>
          <cell r="J2077">
            <v>10.210000000000001</v>
          </cell>
          <cell r="N2077" t="e">
            <v>#DIV/0!</v>
          </cell>
        </row>
        <row r="2078">
          <cell r="E2078" t="str">
            <v>HGC-Lib-2452922</v>
          </cell>
          <cell r="F2078" t="str">
            <v>D24050431</v>
          </cell>
          <cell r="G2078">
            <v>9</v>
          </cell>
          <cell r="H2078" t="str">
            <v>宏基因组</v>
          </cell>
          <cell r="I2078" t="str">
            <v>WWH</v>
          </cell>
          <cell r="J2078">
            <v>11.61</v>
          </cell>
          <cell r="N2078" t="e">
            <v>#DIV/0!</v>
          </cell>
        </row>
        <row r="2079">
          <cell r="E2079" t="str">
            <v>HGC-Lib-2452923</v>
          </cell>
          <cell r="F2079" t="str">
            <v>D24050432</v>
          </cell>
          <cell r="G2079">
            <v>9</v>
          </cell>
          <cell r="H2079" t="str">
            <v>宏基因组</v>
          </cell>
          <cell r="I2079" t="str">
            <v>WWH</v>
          </cell>
          <cell r="J2079">
            <v>9.94</v>
          </cell>
          <cell r="N2079" t="e">
            <v>#DIV/0!</v>
          </cell>
        </row>
        <row r="2080">
          <cell r="E2080" t="str">
            <v>HGC-Lib-2452924</v>
          </cell>
          <cell r="F2080" t="str">
            <v>D24050433</v>
          </cell>
          <cell r="G2080">
            <v>9</v>
          </cell>
          <cell r="H2080" t="str">
            <v>宏基因组</v>
          </cell>
          <cell r="I2080" t="str">
            <v>WWH</v>
          </cell>
          <cell r="J2080">
            <v>11.79</v>
          </cell>
          <cell r="N2080" t="e">
            <v>#DIV/0!</v>
          </cell>
        </row>
        <row r="2081">
          <cell r="E2081" t="str">
            <v>HGC-Lib-2452925</v>
          </cell>
          <cell r="F2081" t="str">
            <v>D24050434</v>
          </cell>
          <cell r="G2081">
            <v>9</v>
          </cell>
          <cell r="H2081" t="str">
            <v>宏基因组</v>
          </cell>
          <cell r="I2081" t="str">
            <v>WWH</v>
          </cell>
          <cell r="J2081">
            <v>11.96</v>
          </cell>
          <cell r="N2081" t="e">
            <v>#DIV/0!</v>
          </cell>
        </row>
        <row r="2082">
          <cell r="E2082" t="str">
            <v>HGC-Lib-2452926</v>
          </cell>
          <cell r="F2082" t="str">
            <v>D24050435</v>
          </cell>
          <cell r="G2082">
            <v>9</v>
          </cell>
          <cell r="H2082" t="str">
            <v>宏基因组</v>
          </cell>
          <cell r="I2082" t="str">
            <v>WWH</v>
          </cell>
          <cell r="J2082">
            <v>11.76</v>
          </cell>
          <cell r="N2082" t="e">
            <v>#DIV/0!</v>
          </cell>
        </row>
        <row r="2083">
          <cell r="E2083" t="str">
            <v>HGC-Lib-2452927</v>
          </cell>
          <cell r="F2083" t="str">
            <v>D24050436</v>
          </cell>
          <cell r="G2083">
            <v>9</v>
          </cell>
          <cell r="H2083" t="str">
            <v>宏基因组</v>
          </cell>
          <cell r="I2083" t="str">
            <v>WWH</v>
          </cell>
          <cell r="J2083">
            <v>8.81</v>
          </cell>
          <cell r="N2083" t="e">
            <v>#DIV/0!</v>
          </cell>
        </row>
        <row r="2084">
          <cell r="E2084" t="str">
            <v>HGC-Lib-2452928</v>
          </cell>
          <cell r="F2084" t="str">
            <v>D24050437</v>
          </cell>
          <cell r="G2084">
            <v>9</v>
          </cell>
          <cell r="H2084" t="str">
            <v>宏基因组</v>
          </cell>
          <cell r="I2084" t="str">
            <v>WWH</v>
          </cell>
          <cell r="J2084">
            <v>11</v>
          </cell>
          <cell r="N2084" t="e">
            <v>#DIV/0!</v>
          </cell>
        </row>
        <row r="2085">
          <cell r="E2085" t="str">
            <v>HGC-Lib-2452929</v>
          </cell>
          <cell r="F2085" t="str">
            <v>D24050438</v>
          </cell>
          <cell r="G2085">
            <v>9</v>
          </cell>
          <cell r="H2085" t="str">
            <v>宏基因组</v>
          </cell>
          <cell r="I2085" t="str">
            <v>WWH</v>
          </cell>
          <cell r="J2085">
            <v>11.54</v>
          </cell>
          <cell r="N2085" t="e">
            <v>#DIV/0!</v>
          </cell>
        </row>
        <row r="2086">
          <cell r="E2086" t="str">
            <v>HGC-Lib-2452930</v>
          </cell>
          <cell r="F2086" t="str">
            <v>D24050439</v>
          </cell>
          <cell r="G2086">
            <v>9</v>
          </cell>
          <cell r="H2086" t="str">
            <v>宏基因组</v>
          </cell>
          <cell r="I2086" t="str">
            <v>WWH</v>
          </cell>
          <cell r="J2086">
            <v>12.49</v>
          </cell>
          <cell r="N2086" t="e">
            <v>#DIV/0!</v>
          </cell>
        </row>
        <row r="2087">
          <cell r="E2087" t="str">
            <v>HGC-Lib-2452931</v>
          </cell>
          <cell r="F2087" t="str">
            <v>D24050440</v>
          </cell>
          <cell r="G2087">
            <v>9</v>
          </cell>
          <cell r="H2087" t="str">
            <v>宏基因组</v>
          </cell>
          <cell r="I2087" t="str">
            <v>WWH</v>
          </cell>
          <cell r="J2087">
            <v>11.21</v>
          </cell>
          <cell r="N2087" t="e">
            <v>#DIV/0!</v>
          </cell>
        </row>
        <row r="2088">
          <cell r="E2088" t="str">
            <v>HGC-Lib-2452932</v>
          </cell>
          <cell r="F2088" t="str">
            <v>D24050441</v>
          </cell>
          <cell r="G2088">
            <v>9</v>
          </cell>
          <cell r="H2088" t="str">
            <v>宏基因组</v>
          </cell>
          <cell r="I2088" t="str">
            <v>WWH</v>
          </cell>
          <cell r="J2088">
            <v>13.95</v>
          </cell>
          <cell r="N2088" t="e">
            <v>#DIV/0!</v>
          </cell>
        </row>
        <row r="2089">
          <cell r="E2089" t="str">
            <v>HGC-Lib-2452933</v>
          </cell>
          <cell r="F2089" t="str">
            <v>D24050442</v>
          </cell>
          <cell r="G2089">
            <v>9</v>
          </cell>
          <cell r="H2089" t="str">
            <v>宏基因组</v>
          </cell>
          <cell r="I2089" t="str">
            <v>WWH</v>
          </cell>
          <cell r="J2089">
            <v>9.6999999999999993</v>
          </cell>
          <cell r="N2089" t="e">
            <v>#DIV/0!</v>
          </cell>
        </row>
        <row r="2090">
          <cell r="E2090" t="str">
            <v>HGC-Lib-2452934</v>
          </cell>
          <cell r="F2090" t="str">
            <v>D24050443</v>
          </cell>
          <cell r="G2090">
            <v>9</v>
          </cell>
          <cell r="H2090" t="str">
            <v>宏基因组</v>
          </cell>
          <cell r="I2090" t="str">
            <v>WWH</v>
          </cell>
          <cell r="J2090">
            <v>11.6</v>
          </cell>
          <cell r="N2090" t="e">
            <v>#DIV/0!</v>
          </cell>
        </row>
        <row r="2091">
          <cell r="E2091" t="str">
            <v>HGC-Lib-2452935</v>
          </cell>
          <cell r="F2091" t="str">
            <v>D24050444</v>
          </cell>
          <cell r="G2091">
            <v>9</v>
          </cell>
          <cell r="H2091" t="str">
            <v>宏基因组</v>
          </cell>
          <cell r="I2091" t="str">
            <v>WWH</v>
          </cell>
          <cell r="J2091">
            <v>13.34</v>
          </cell>
          <cell r="N2091" t="e">
            <v>#DIV/0!</v>
          </cell>
        </row>
        <row r="2092">
          <cell r="E2092" t="str">
            <v>HGC-Lib-2452936</v>
          </cell>
          <cell r="F2092" t="str">
            <v>D24060095</v>
          </cell>
          <cell r="G2092">
            <v>9</v>
          </cell>
          <cell r="H2092" t="str">
            <v>宏基因组</v>
          </cell>
          <cell r="I2092" t="str">
            <v>WWH</v>
          </cell>
          <cell r="J2092">
            <v>11.15</v>
          </cell>
          <cell r="N2092" t="e">
            <v>#DIV/0!</v>
          </cell>
        </row>
        <row r="2093">
          <cell r="E2093" t="str">
            <v>HGC-Lib-2452937</v>
          </cell>
          <cell r="F2093" t="str">
            <v>D24060096</v>
          </cell>
          <cell r="G2093">
            <v>9</v>
          </cell>
          <cell r="H2093" t="str">
            <v>宏基因组</v>
          </cell>
          <cell r="I2093" t="str">
            <v>WWH</v>
          </cell>
          <cell r="J2093">
            <v>13.54</v>
          </cell>
          <cell r="N2093" t="e">
            <v>#DIV/0!</v>
          </cell>
        </row>
        <row r="2094">
          <cell r="E2094" t="str">
            <v>HGC-Lib-2452938</v>
          </cell>
          <cell r="F2094" t="str">
            <v>D24060097</v>
          </cell>
          <cell r="G2094">
            <v>9</v>
          </cell>
          <cell r="H2094" t="str">
            <v>宏基因组</v>
          </cell>
          <cell r="I2094" t="str">
            <v>WWH</v>
          </cell>
          <cell r="J2094">
            <v>13.17</v>
          </cell>
          <cell r="N2094" t="e">
            <v>#DIV/0!</v>
          </cell>
        </row>
        <row r="2095">
          <cell r="E2095" t="str">
            <v>HGC-Lib-2452939</v>
          </cell>
          <cell r="F2095" t="str">
            <v>D24060098</v>
          </cell>
          <cell r="G2095">
            <v>9</v>
          </cell>
          <cell r="H2095" t="str">
            <v>宏基因组</v>
          </cell>
          <cell r="I2095" t="str">
            <v>WWH</v>
          </cell>
          <cell r="J2095">
            <v>12.58</v>
          </cell>
          <cell r="N2095" t="e">
            <v>#DIV/0!</v>
          </cell>
        </row>
        <row r="2096">
          <cell r="E2096" t="str">
            <v>HGC-Lib-2452940</v>
          </cell>
          <cell r="F2096" t="str">
            <v>D24060099</v>
          </cell>
          <cell r="G2096">
            <v>9</v>
          </cell>
          <cell r="H2096" t="str">
            <v>宏基因组</v>
          </cell>
          <cell r="I2096" t="str">
            <v>WWH</v>
          </cell>
          <cell r="J2096">
            <v>11.88</v>
          </cell>
          <cell r="N2096" t="e">
            <v>#DIV/0!</v>
          </cell>
        </row>
        <row r="2097">
          <cell r="E2097" t="str">
            <v>HGC-Lib-2452941</v>
          </cell>
          <cell r="F2097" t="str">
            <v>D24060761</v>
          </cell>
          <cell r="G2097">
            <v>9</v>
          </cell>
          <cell r="H2097" t="str">
            <v>宏基因组</v>
          </cell>
          <cell r="I2097" t="str">
            <v>WWH</v>
          </cell>
          <cell r="J2097">
            <v>9.59</v>
          </cell>
          <cell r="N2097" t="e">
            <v>#DIV/0!</v>
          </cell>
        </row>
        <row r="2098">
          <cell r="E2098" t="str">
            <v>HGC-Lib-2452942</v>
          </cell>
          <cell r="F2098" t="str">
            <v>D24060762</v>
          </cell>
          <cell r="G2098">
            <v>9</v>
          </cell>
          <cell r="H2098" t="str">
            <v>宏基因组</v>
          </cell>
          <cell r="I2098" t="str">
            <v>WWH</v>
          </cell>
          <cell r="J2098">
            <v>8.5399999999999991</v>
          </cell>
          <cell r="N2098" t="e">
            <v>#DIV/0!</v>
          </cell>
        </row>
        <row r="2099">
          <cell r="E2099" t="str">
            <v>HGC-Lib-2452943</v>
          </cell>
          <cell r="F2099" t="str">
            <v>D24060763</v>
          </cell>
          <cell r="G2099">
            <v>9</v>
          </cell>
          <cell r="H2099" t="str">
            <v>宏基因组</v>
          </cell>
          <cell r="I2099" t="str">
            <v>WWH</v>
          </cell>
          <cell r="J2099">
            <v>11.43</v>
          </cell>
          <cell r="N2099" t="e">
            <v>#DIV/0!</v>
          </cell>
        </row>
        <row r="2100">
          <cell r="E2100" t="str">
            <v>HGC-Lib-2452944</v>
          </cell>
          <cell r="F2100" t="str">
            <v>D24060764</v>
          </cell>
          <cell r="G2100">
            <v>9</v>
          </cell>
          <cell r="H2100" t="str">
            <v>宏基因组</v>
          </cell>
          <cell r="I2100" t="str">
            <v>WWH</v>
          </cell>
          <cell r="J2100">
            <v>9.85</v>
          </cell>
          <cell r="N2100" t="e">
            <v>#DIV/0!</v>
          </cell>
        </row>
        <row r="2101">
          <cell r="E2101" t="str">
            <v>HGC-Lib-2452945</v>
          </cell>
          <cell r="F2101" t="str">
            <v>D24060765</v>
          </cell>
          <cell r="G2101">
            <v>9</v>
          </cell>
          <cell r="H2101" t="str">
            <v>宏基因组</v>
          </cell>
          <cell r="I2101" t="str">
            <v>WWH</v>
          </cell>
          <cell r="J2101">
            <v>9.9</v>
          </cell>
          <cell r="N2101" t="e">
            <v>#DIV/0!</v>
          </cell>
        </row>
        <row r="2102">
          <cell r="E2102" t="str">
            <v>HGC-Lib-2452946</v>
          </cell>
          <cell r="F2102" t="str">
            <v>D24060766</v>
          </cell>
          <cell r="G2102">
            <v>9</v>
          </cell>
          <cell r="H2102" t="str">
            <v>宏基因组</v>
          </cell>
          <cell r="I2102" t="str">
            <v>WWH</v>
          </cell>
          <cell r="J2102">
            <v>12.16</v>
          </cell>
          <cell r="N2102" t="e">
            <v>#DIV/0!</v>
          </cell>
        </row>
        <row r="2103">
          <cell r="E2103" t="str">
            <v>HGC-Lib-2452947</v>
          </cell>
          <cell r="F2103" t="str">
            <v>D24060767</v>
          </cell>
          <cell r="G2103">
            <v>9</v>
          </cell>
          <cell r="H2103" t="str">
            <v>宏基因组</v>
          </cell>
          <cell r="I2103" t="str">
            <v>WWH</v>
          </cell>
          <cell r="J2103">
            <v>5.27</v>
          </cell>
          <cell r="N2103" t="e">
            <v>#DIV/0!</v>
          </cell>
        </row>
        <row r="2104">
          <cell r="E2104" t="str">
            <v>HGC-Lib-2452948</v>
          </cell>
          <cell r="F2104" t="str">
            <v>D24060768</v>
          </cell>
          <cell r="G2104">
            <v>9</v>
          </cell>
          <cell r="H2104" t="str">
            <v>宏基因组</v>
          </cell>
          <cell r="I2104" t="str">
            <v>WWH</v>
          </cell>
          <cell r="J2104">
            <v>9.6</v>
          </cell>
          <cell r="N2104" t="e">
            <v>#DIV/0!</v>
          </cell>
        </row>
        <row r="2105">
          <cell r="E2105" t="str">
            <v>HGC-Lib-2452949</v>
          </cell>
          <cell r="F2105" t="str">
            <v>D24060769</v>
          </cell>
          <cell r="G2105">
            <v>9</v>
          </cell>
          <cell r="H2105" t="str">
            <v>宏基因组</v>
          </cell>
          <cell r="I2105" t="str">
            <v>WWH</v>
          </cell>
          <cell r="J2105">
            <v>10.33</v>
          </cell>
          <cell r="N2105" t="e">
            <v>#DIV/0!</v>
          </cell>
        </row>
        <row r="2106">
          <cell r="E2106" t="str">
            <v>HGC-Lib-2452950</v>
          </cell>
          <cell r="F2106" t="str">
            <v>D24060770</v>
          </cell>
          <cell r="G2106">
            <v>9</v>
          </cell>
          <cell r="H2106" t="str">
            <v>宏基因组</v>
          </cell>
          <cell r="I2106" t="str">
            <v>WWH</v>
          </cell>
          <cell r="J2106">
            <v>14.88</v>
          </cell>
          <cell r="N2106" t="e">
            <v>#DIV/0!</v>
          </cell>
        </row>
        <row r="2107">
          <cell r="E2107" t="str">
            <v>HGC-Lib-2452951</v>
          </cell>
          <cell r="F2107" t="str">
            <v>D24060771</v>
          </cell>
          <cell r="G2107">
            <v>9</v>
          </cell>
          <cell r="H2107" t="str">
            <v>宏基因组</v>
          </cell>
          <cell r="I2107" t="str">
            <v>WWH</v>
          </cell>
          <cell r="J2107">
            <v>12.43</v>
          </cell>
          <cell r="N2107" t="e">
            <v>#DIV/0!</v>
          </cell>
        </row>
        <row r="2108">
          <cell r="E2108" t="str">
            <v>HGC-Lib-2452952</v>
          </cell>
          <cell r="F2108" t="str">
            <v>D24060772</v>
          </cell>
          <cell r="G2108">
            <v>9</v>
          </cell>
          <cell r="H2108" t="str">
            <v>宏基因组</v>
          </cell>
          <cell r="I2108" t="str">
            <v>WWH</v>
          </cell>
          <cell r="J2108">
            <v>12.29</v>
          </cell>
          <cell r="N2108" t="e">
            <v>#DIV/0!</v>
          </cell>
        </row>
        <row r="2109">
          <cell r="E2109" t="str">
            <v>HGC-Lib-2452953</v>
          </cell>
          <cell r="F2109" t="str">
            <v>D24060773</v>
          </cell>
          <cell r="G2109">
            <v>9</v>
          </cell>
          <cell r="H2109" t="str">
            <v>宏基因组</v>
          </cell>
          <cell r="I2109" t="str">
            <v>WWH</v>
          </cell>
          <cell r="J2109">
            <v>4.6500000000000004</v>
          </cell>
          <cell r="N2109" t="e">
            <v>#DIV/0!</v>
          </cell>
        </row>
        <row r="2110">
          <cell r="E2110" t="str">
            <v>HGC-Lib-2452954</v>
          </cell>
          <cell r="F2110" t="str">
            <v>D24060774</v>
          </cell>
          <cell r="G2110">
            <v>9</v>
          </cell>
          <cell r="H2110" t="str">
            <v>宏基因组</v>
          </cell>
          <cell r="I2110" t="str">
            <v>WWH</v>
          </cell>
          <cell r="J2110">
            <v>4.13</v>
          </cell>
          <cell r="N2110" t="e">
            <v>#DIV/0!</v>
          </cell>
        </row>
        <row r="2111">
          <cell r="E2111" t="str">
            <v>HGC-Lib-2452955</v>
          </cell>
          <cell r="F2111" t="str">
            <v>D24060775</v>
          </cell>
          <cell r="G2111">
            <v>9</v>
          </cell>
          <cell r="H2111" t="str">
            <v>宏基因组</v>
          </cell>
          <cell r="I2111" t="str">
            <v>WWH</v>
          </cell>
          <cell r="J2111">
            <v>4.46</v>
          </cell>
          <cell r="N2111" t="e">
            <v>#DIV/0!</v>
          </cell>
        </row>
        <row r="2112">
          <cell r="E2112" t="str">
            <v>HGC-Lib-2452956</v>
          </cell>
          <cell r="F2112" t="str">
            <v>D24060776</v>
          </cell>
          <cell r="G2112">
            <v>9</v>
          </cell>
          <cell r="H2112" t="str">
            <v>宏基因组</v>
          </cell>
          <cell r="I2112" t="str">
            <v>WWH</v>
          </cell>
          <cell r="J2112">
            <v>5.71</v>
          </cell>
          <cell r="N2112" t="e">
            <v>#DIV/0!</v>
          </cell>
        </row>
        <row r="2113">
          <cell r="E2113" t="str">
            <v>HGC-Lib-2452957</v>
          </cell>
          <cell r="F2113" t="str">
            <v>D24060777</v>
          </cell>
          <cell r="G2113">
            <v>9</v>
          </cell>
          <cell r="H2113" t="str">
            <v>宏基因组</v>
          </cell>
          <cell r="I2113" t="str">
            <v>WWH</v>
          </cell>
          <cell r="J2113">
            <v>7.48</v>
          </cell>
          <cell r="N2113" t="e">
            <v>#DIV/0!</v>
          </cell>
        </row>
        <row r="2114">
          <cell r="E2114" t="str">
            <v>HGC-Lib-2452958</v>
          </cell>
          <cell r="F2114" t="str">
            <v>D24060778</v>
          </cell>
          <cell r="G2114">
            <v>9</v>
          </cell>
          <cell r="H2114" t="str">
            <v>宏基因组</v>
          </cell>
          <cell r="I2114" t="str">
            <v>WWH</v>
          </cell>
          <cell r="J2114">
            <v>8.82</v>
          </cell>
          <cell r="N2114" t="e">
            <v>#DIV/0!</v>
          </cell>
        </row>
        <row r="2115">
          <cell r="E2115" t="str">
            <v>HGC-Lib-2452959</v>
          </cell>
          <cell r="F2115" t="str">
            <v>D24060779</v>
          </cell>
          <cell r="G2115">
            <v>9</v>
          </cell>
          <cell r="H2115" t="str">
            <v>宏基因组</v>
          </cell>
          <cell r="I2115" t="str">
            <v>WWH</v>
          </cell>
          <cell r="J2115">
            <v>2.92</v>
          </cell>
          <cell r="N2115" t="e">
            <v>#DIV/0!</v>
          </cell>
        </row>
        <row r="2116">
          <cell r="E2116" t="str">
            <v>HGC-Lib-2452960</v>
          </cell>
          <cell r="F2116" t="str">
            <v>D24060780</v>
          </cell>
          <cell r="G2116">
            <v>9</v>
          </cell>
          <cell r="H2116" t="str">
            <v>宏基因组</v>
          </cell>
          <cell r="I2116" t="str">
            <v>WWH</v>
          </cell>
          <cell r="J2116">
            <v>8.99</v>
          </cell>
          <cell r="N2116" t="e">
            <v>#DIV/0!</v>
          </cell>
        </row>
        <row r="2117">
          <cell r="E2117" t="str">
            <v>HGC-Lib-2452961</v>
          </cell>
          <cell r="F2117" t="str">
            <v>D24060781</v>
          </cell>
          <cell r="G2117">
            <v>9</v>
          </cell>
          <cell r="H2117" t="str">
            <v>宏基因组</v>
          </cell>
          <cell r="I2117" t="str">
            <v>WWH</v>
          </cell>
          <cell r="J2117">
            <v>4.0999999999999996</v>
          </cell>
          <cell r="N2117" t="e">
            <v>#DIV/0!</v>
          </cell>
        </row>
        <row r="2118">
          <cell r="E2118" t="str">
            <v>HGC-Lib-2452962</v>
          </cell>
          <cell r="F2118" t="str">
            <v>D24060782</v>
          </cell>
          <cell r="G2118">
            <v>9</v>
          </cell>
          <cell r="H2118" t="str">
            <v>宏基因组</v>
          </cell>
          <cell r="I2118" t="str">
            <v>WWH</v>
          </cell>
          <cell r="J2118">
            <v>7.73</v>
          </cell>
          <cell r="N2118" t="e">
            <v>#DIV/0!</v>
          </cell>
        </row>
        <row r="2119">
          <cell r="E2119" t="str">
            <v>HGC-Lib-2452963</v>
          </cell>
          <cell r="F2119" t="str">
            <v>D24060783</v>
          </cell>
          <cell r="G2119">
            <v>9</v>
          </cell>
          <cell r="H2119" t="str">
            <v>宏基因组</v>
          </cell>
          <cell r="I2119" t="str">
            <v>WWH</v>
          </cell>
          <cell r="J2119">
            <v>10.35</v>
          </cell>
          <cell r="N2119" t="e">
            <v>#DIV/0!</v>
          </cell>
        </row>
        <row r="2120">
          <cell r="E2120" t="str">
            <v>HGC-Lib-2452964</v>
          </cell>
          <cell r="F2120" t="str">
            <v>D24060784</v>
          </cell>
          <cell r="G2120">
            <v>9</v>
          </cell>
          <cell r="H2120" t="str">
            <v>宏基因组</v>
          </cell>
          <cell r="I2120" t="str">
            <v>WWH</v>
          </cell>
          <cell r="J2120">
            <v>7.07</v>
          </cell>
          <cell r="N2120" t="e">
            <v>#DIV/0!</v>
          </cell>
        </row>
        <row r="2121">
          <cell r="E2121" t="str">
            <v>HGC-Lib-2452965</v>
          </cell>
          <cell r="F2121" t="str">
            <v>D24060785</v>
          </cell>
          <cell r="G2121">
            <v>9</v>
          </cell>
          <cell r="H2121" t="str">
            <v>宏基因组</v>
          </cell>
          <cell r="I2121" t="str">
            <v>WWH</v>
          </cell>
          <cell r="J2121">
            <v>11.47</v>
          </cell>
          <cell r="N2121" t="e">
            <v>#DIV/0!</v>
          </cell>
        </row>
        <row r="2122">
          <cell r="E2122" t="str">
            <v>HGC-Lib-2452966</v>
          </cell>
          <cell r="F2122" t="str">
            <v>D24060786</v>
          </cell>
          <cell r="G2122">
            <v>9</v>
          </cell>
          <cell r="H2122" t="str">
            <v>宏基因组</v>
          </cell>
          <cell r="I2122" t="str">
            <v>WWH</v>
          </cell>
          <cell r="J2122">
            <v>9.81</v>
          </cell>
          <cell r="N2122" t="e">
            <v>#DIV/0!</v>
          </cell>
        </row>
        <row r="2123">
          <cell r="E2123" t="str">
            <v>HGC-Lib-2452967</v>
          </cell>
          <cell r="F2123" t="str">
            <v>D24060787</v>
          </cell>
          <cell r="G2123">
            <v>9</v>
          </cell>
          <cell r="H2123" t="str">
            <v>宏基因组</v>
          </cell>
          <cell r="I2123" t="str">
            <v>WWH</v>
          </cell>
          <cell r="J2123">
            <v>10.27</v>
          </cell>
          <cell r="N2123" t="e">
            <v>#DIV/0!</v>
          </cell>
        </row>
        <row r="2124">
          <cell r="E2124" t="str">
            <v>HGC-Lib-2452968</v>
          </cell>
          <cell r="F2124" t="str">
            <v>D24060788</v>
          </cell>
          <cell r="G2124">
            <v>9</v>
          </cell>
          <cell r="H2124" t="str">
            <v>宏基因组</v>
          </cell>
          <cell r="I2124" t="str">
            <v>WWH</v>
          </cell>
          <cell r="J2124">
            <v>10.59</v>
          </cell>
          <cell r="N2124" t="e">
            <v>#DIV/0!</v>
          </cell>
        </row>
        <row r="2125">
          <cell r="E2125" t="str">
            <v>HGC-Lib-2452969</v>
          </cell>
          <cell r="F2125" t="str">
            <v>D24060789</v>
          </cell>
          <cell r="G2125">
            <v>9</v>
          </cell>
          <cell r="H2125" t="str">
            <v>宏基因组</v>
          </cell>
          <cell r="I2125" t="str">
            <v>WWH</v>
          </cell>
          <cell r="J2125">
            <v>3.11</v>
          </cell>
          <cell r="N2125" t="e">
            <v>#DIV/0!</v>
          </cell>
        </row>
        <row r="2126">
          <cell r="E2126" t="str">
            <v>HGC-Lib-2452970</v>
          </cell>
          <cell r="F2126" t="str">
            <v>D24060790</v>
          </cell>
          <cell r="G2126">
            <v>9</v>
          </cell>
          <cell r="H2126" t="str">
            <v>宏基因组</v>
          </cell>
          <cell r="I2126" t="str">
            <v>WWH</v>
          </cell>
          <cell r="J2126">
            <v>6.78</v>
          </cell>
          <cell r="N2126" t="e">
            <v>#DIV/0!</v>
          </cell>
        </row>
        <row r="2127">
          <cell r="E2127" t="str">
            <v>HGC-Lib-2452971</v>
          </cell>
          <cell r="F2127" t="str">
            <v>D24060791</v>
          </cell>
          <cell r="G2127">
            <v>9</v>
          </cell>
          <cell r="H2127" t="str">
            <v>宏基因组</v>
          </cell>
          <cell r="I2127" t="str">
            <v>WWH</v>
          </cell>
          <cell r="J2127">
            <v>3.45</v>
          </cell>
          <cell r="N2127" t="e">
            <v>#DIV/0!</v>
          </cell>
        </row>
        <row r="2128">
          <cell r="E2128" t="str">
            <v>HGC-Lib-2452972</v>
          </cell>
          <cell r="F2128" t="str">
            <v>D24060792</v>
          </cell>
          <cell r="G2128">
            <v>9</v>
          </cell>
          <cell r="H2128" t="str">
            <v>宏基因组</v>
          </cell>
          <cell r="I2128" t="str">
            <v>WWH</v>
          </cell>
          <cell r="J2128">
            <v>7.46</v>
          </cell>
          <cell r="N2128" t="e">
            <v>#DIV/0!</v>
          </cell>
        </row>
        <row r="2129">
          <cell r="E2129" t="str">
            <v>HGC-Lib-2452973</v>
          </cell>
          <cell r="F2129" t="str">
            <v>D24060793</v>
          </cell>
          <cell r="G2129">
            <v>9</v>
          </cell>
          <cell r="H2129" t="str">
            <v>宏基因组</v>
          </cell>
          <cell r="I2129" t="str">
            <v>WWH</v>
          </cell>
          <cell r="J2129">
            <v>11.21</v>
          </cell>
          <cell r="N2129" t="e">
            <v>#DIV/0!</v>
          </cell>
        </row>
        <row r="2130">
          <cell r="E2130" t="str">
            <v>HGC-Lib-2452974</v>
          </cell>
          <cell r="F2130" t="str">
            <v>D24060794</v>
          </cell>
          <cell r="G2130">
            <v>9</v>
          </cell>
          <cell r="H2130" t="str">
            <v>宏基因组</v>
          </cell>
          <cell r="I2130" t="str">
            <v>WWH</v>
          </cell>
          <cell r="J2130">
            <v>13.43</v>
          </cell>
          <cell r="N2130" t="e">
            <v>#DIV/0!</v>
          </cell>
        </row>
        <row r="2131">
          <cell r="E2131" t="str">
            <v>HGC-Lib-2452975</v>
          </cell>
          <cell r="F2131" t="str">
            <v>D24060795</v>
          </cell>
          <cell r="G2131">
            <v>9</v>
          </cell>
          <cell r="H2131" t="str">
            <v>宏基因组</v>
          </cell>
          <cell r="I2131" t="str">
            <v>WWH</v>
          </cell>
          <cell r="J2131">
            <v>11.61</v>
          </cell>
          <cell r="N2131" t="e">
            <v>#DIV/0!</v>
          </cell>
        </row>
        <row r="2132">
          <cell r="E2132" t="str">
            <v>HGC-Lib-2452976</v>
          </cell>
          <cell r="F2132" t="str">
            <v>D24060796</v>
          </cell>
          <cell r="G2132">
            <v>9</v>
          </cell>
          <cell r="H2132" t="str">
            <v>宏基因组</v>
          </cell>
          <cell r="I2132" t="str">
            <v>WWH</v>
          </cell>
          <cell r="J2132">
            <v>7.29</v>
          </cell>
          <cell r="N2132" t="e">
            <v>#DIV/0!</v>
          </cell>
        </row>
        <row r="2133">
          <cell r="E2133" t="str">
            <v>HGC-Lib-2452977</v>
          </cell>
          <cell r="F2133" t="str">
            <v>D24061101</v>
          </cell>
          <cell r="G2133">
            <v>9</v>
          </cell>
          <cell r="H2133" t="str">
            <v>宏基因组</v>
          </cell>
          <cell r="I2133" t="str">
            <v>WWH</v>
          </cell>
          <cell r="J2133">
            <v>2.42</v>
          </cell>
          <cell r="N2133" t="e">
            <v>#DIV/0!</v>
          </cell>
        </row>
        <row r="2134">
          <cell r="E2134" t="str">
            <v>HGC-Lib-2452978</v>
          </cell>
          <cell r="F2134" t="str">
            <v>D24061102</v>
          </cell>
          <cell r="G2134">
            <v>9</v>
          </cell>
          <cell r="H2134" t="str">
            <v>宏基因组</v>
          </cell>
          <cell r="I2134" t="str">
            <v>WWH</v>
          </cell>
          <cell r="J2134">
            <v>2.06</v>
          </cell>
          <cell r="N2134" t="e">
            <v>#DIV/0!</v>
          </cell>
        </row>
        <row r="2135">
          <cell r="E2135" t="str">
            <v>HGC-Lib-2452979</v>
          </cell>
          <cell r="F2135" t="str">
            <v>D24061103</v>
          </cell>
          <cell r="G2135">
            <v>9</v>
          </cell>
          <cell r="H2135" t="str">
            <v>宏基因组</v>
          </cell>
          <cell r="I2135" t="str">
            <v>WWH</v>
          </cell>
          <cell r="J2135">
            <v>1.93</v>
          </cell>
          <cell r="N2135" t="e">
            <v>#DIV/0!</v>
          </cell>
        </row>
        <row r="2136">
          <cell r="E2136" t="str">
            <v>HGC-Lib-2452980</v>
          </cell>
          <cell r="F2136" t="str">
            <v>D24061104</v>
          </cell>
          <cell r="G2136">
            <v>9</v>
          </cell>
          <cell r="H2136" t="str">
            <v>宏基因组</v>
          </cell>
          <cell r="I2136" t="str">
            <v>WWH</v>
          </cell>
          <cell r="J2136">
            <v>3.33</v>
          </cell>
          <cell r="N2136" t="e">
            <v>#DIV/0!</v>
          </cell>
        </row>
        <row r="2137">
          <cell r="E2137" t="str">
            <v>HGC-Lib-2452981</v>
          </cell>
          <cell r="F2137" t="str">
            <v>D24061105</v>
          </cell>
          <cell r="G2137">
            <v>9</v>
          </cell>
          <cell r="H2137" t="str">
            <v>宏基因组</v>
          </cell>
          <cell r="I2137" t="str">
            <v>WWH</v>
          </cell>
          <cell r="J2137">
            <v>3.78</v>
          </cell>
          <cell r="N2137" t="e">
            <v>#DIV/0!</v>
          </cell>
        </row>
        <row r="2138">
          <cell r="E2138" t="str">
            <v>HGC-Lib-2452982</v>
          </cell>
          <cell r="F2138" t="str">
            <v>D24061106</v>
          </cell>
          <cell r="G2138">
            <v>9</v>
          </cell>
          <cell r="H2138" t="str">
            <v>宏基因组</v>
          </cell>
          <cell r="I2138" t="str">
            <v>WWH</v>
          </cell>
          <cell r="J2138">
            <v>4.72</v>
          </cell>
          <cell r="N2138" t="e">
            <v>#DIV/0!</v>
          </cell>
        </row>
        <row r="2139">
          <cell r="E2139" t="str">
            <v>HGC-Lib-2452983</v>
          </cell>
          <cell r="F2139" t="str">
            <v>D24061107</v>
          </cell>
          <cell r="G2139">
            <v>9</v>
          </cell>
          <cell r="H2139" t="str">
            <v>宏基因组</v>
          </cell>
          <cell r="I2139" t="str">
            <v>WWH</v>
          </cell>
          <cell r="J2139">
            <v>3.23</v>
          </cell>
          <cell r="N2139" t="e">
            <v>#DIV/0!</v>
          </cell>
        </row>
        <row r="2140">
          <cell r="E2140" t="str">
            <v>HGC-Lib-2452984</v>
          </cell>
          <cell r="F2140" t="str">
            <v>D24061108</v>
          </cell>
          <cell r="G2140">
            <v>9</v>
          </cell>
          <cell r="H2140" t="str">
            <v>宏基因组</v>
          </cell>
          <cell r="I2140" t="str">
            <v>WWH</v>
          </cell>
          <cell r="J2140">
            <v>4.13</v>
          </cell>
          <cell r="N2140" t="e">
            <v>#DIV/0!</v>
          </cell>
        </row>
        <row r="2141">
          <cell r="E2141" t="str">
            <v>HGC-Lib-2452985</v>
          </cell>
          <cell r="F2141" t="str">
            <v>D24061109</v>
          </cell>
          <cell r="G2141">
            <v>9</v>
          </cell>
          <cell r="H2141" t="str">
            <v>宏基因组</v>
          </cell>
          <cell r="I2141" t="str">
            <v>WWH</v>
          </cell>
          <cell r="J2141">
            <v>2.76</v>
          </cell>
          <cell r="N2141" t="e">
            <v>#DIV/0!</v>
          </cell>
        </row>
        <row r="2142">
          <cell r="E2142" t="str">
            <v>HGC-Lib-2452986</v>
          </cell>
          <cell r="F2142" t="str">
            <v>D24061110</v>
          </cell>
          <cell r="G2142">
            <v>9</v>
          </cell>
          <cell r="H2142" t="str">
            <v>宏基因组</v>
          </cell>
          <cell r="I2142" t="str">
            <v>WWH</v>
          </cell>
          <cell r="J2142">
            <v>2.71</v>
          </cell>
          <cell r="N2142" t="e">
            <v>#DIV/0!</v>
          </cell>
        </row>
        <row r="2143">
          <cell r="E2143" t="str">
            <v>HGC-Lib-2452987</v>
          </cell>
          <cell r="F2143" t="str">
            <v>D24061111</v>
          </cell>
          <cell r="G2143">
            <v>9</v>
          </cell>
          <cell r="H2143" t="str">
            <v>宏基因组</v>
          </cell>
          <cell r="I2143" t="str">
            <v>WWH</v>
          </cell>
          <cell r="J2143">
            <v>2.1</v>
          </cell>
          <cell r="N2143" t="e">
            <v>#DIV/0!</v>
          </cell>
        </row>
        <row r="2144">
          <cell r="E2144" t="str">
            <v>HGC-Lib-2452988</v>
          </cell>
          <cell r="F2144" t="str">
            <v>D24061112</v>
          </cell>
          <cell r="G2144">
            <v>9</v>
          </cell>
          <cell r="H2144" t="str">
            <v>宏基因组</v>
          </cell>
          <cell r="I2144" t="str">
            <v>WWH</v>
          </cell>
          <cell r="J2144">
            <v>2.16</v>
          </cell>
          <cell r="N2144" t="e">
            <v>#DIV/0!</v>
          </cell>
        </row>
        <row r="2145">
          <cell r="E2145" t="str">
            <v>HGC-Lib-2452989</v>
          </cell>
          <cell r="F2145" t="str">
            <v>D24061113</v>
          </cell>
          <cell r="G2145">
            <v>9</v>
          </cell>
          <cell r="H2145" t="str">
            <v>宏基因组</v>
          </cell>
          <cell r="I2145" t="str">
            <v>WWH</v>
          </cell>
          <cell r="J2145">
            <v>4.0599999999999996</v>
          </cell>
          <cell r="N2145" t="e">
            <v>#DIV/0!</v>
          </cell>
        </row>
        <row r="2146">
          <cell r="E2146" t="str">
            <v>HGC-Lib-2452990</v>
          </cell>
          <cell r="F2146" t="str">
            <v>D24060270</v>
          </cell>
          <cell r="G2146">
            <v>9</v>
          </cell>
          <cell r="H2146" t="str">
            <v>宏基因组</v>
          </cell>
          <cell r="I2146" t="str">
            <v>WWH</v>
          </cell>
          <cell r="J2146">
            <v>4.83</v>
          </cell>
          <cell r="N2146" t="e">
            <v>#DIV/0!</v>
          </cell>
        </row>
        <row r="2147">
          <cell r="E2147" t="str">
            <v>HGC-Lib-2452991</v>
          </cell>
          <cell r="F2147" t="str">
            <v>D24060271</v>
          </cell>
          <cell r="G2147">
            <v>9</v>
          </cell>
          <cell r="H2147" t="str">
            <v>宏基因组</v>
          </cell>
          <cell r="I2147" t="str">
            <v>WWH</v>
          </cell>
          <cell r="J2147">
            <v>5.07</v>
          </cell>
          <cell r="N2147" t="e">
            <v>#DIV/0!</v>
          </cell>
        </row>
        <row r="2148">
          <cell r="E2148" t="str">
            <v>HGC-Lib-2452992</v>
          </cell>
          <cell r="F2148" t="str">
            <v>D24060272</v>
          </cell>
          <cell r="G2148">
            <v>9</v>
          </cell>
          <cell r="H2148" t="str">
            <v>宏基因组</v>
          </cell>
          <cell r="I2148" t="str">
            <v>WWH</v>
          </cell>
          <cell r="J2148">
            <v>4.4000000000000004</v>
          </cell>
          <cell r="N2148" t="e">
            <v>#DIV/0!</v>
          </cell>
        </row>
        <row r="2149">
          <cell r="E2149" t="str">
            <v>HGC-Lib-2452993</v>
          </cell>
          <cell r="F2149" t="str">
            <v>D24060273</v>
          </cell>
          <cell r="G2149">
            <v>9</v>
          </cell>
          <cell r="H2149" t="str">
            <v>宏基因组</v>
          </cell>
          <cell r="I2149" t="str">
            <v>WWH</v>
          </cell>
          <cell r="J2149">
            <v>6.25</v>
          </cell>
          <cell r="N2149" t="e">
            <v>#DIV/0!</v>
          </cell>
        </row>
        <row r="2150">
          <cell r="E2150" t="str">
            <v>HGC-Lib-2452994</v>
          </cell>
          <cell r="F2150" t="str">
            <v>D24060274</v>
          </cell>
          <cell r="G2150">
            <v>9</v>
          </cell>
          <cell r="H2150" t="str">
            <v>宏基因组</v>
          </cell>
          <cell r="I2150" t="str">
            <v>WWH</v>
          </cell>
          <cell r="J2150">
            <v>5.38</v>
          </cell>
          <cell r="N2150" t="e">
            <v>#DIV/0!</v>
          </cell>
        </row>
        <row r="2151">
          <cell r="E2151" t="str">
            <v>HGC-Lib-2452995</v>
          </cell>
          <cell r="F2151" t="str">
            <v>D24060275</v>
          </cell>
          <cell r="G2151">
            <v>9</v>
          </cell>
          <cell r="H2151" t="str">
            <v>宏基因组</v>
          </cell>
          <cell r="I2151" t="str">
            <v>WWH</v>
          </cell>
          <cell r="J2151">
            <v>4.7699999999999996</v>
          </cell>
          <cell r="N2151" t="e">
            <v>#DIV/0!</v>
          </cell>
        </row>
        <row r="2152">
          <cell r="E2152" t="str">
            <v>HGC-Lib-2452996</v>
          </cell>
          <cell r="F2152" t="str">
            <v>D24060276</v>
          </cell>
          <cell r="G2152">
            <v>9</v>
          </cell>
          <cell r="H2152" t="str">
            <v>宏基因组</v>
          </cell>
          <cell r="I2152" t="str">
            <v>WWH</v>
          </cell>
          <cell r="J2152">
            <v>7.56</v>
          </cell>
          <cell r="N2152" t="e">
            <v>#DIV/0!</v>
          </cell>
        </row>
        <row r="2153">
          <cell r="E2153" t="str">
            <v>HGC-Lib-2452997</v>
          </cell>
          <cell r="F2153" t="str">
            <v>D24060277</v>
          </cell>
          <cell r="G2153">
            <v>9</v>
          </cell>
          <cell r="H2153" t="str">
            <v>宏基因组</v>
          </cell>
          <cell r="I2153" t="str">
            <v>WWH</v>
          </cell>
          <cell r="J2153">
            <v>10.54</v>
          </cell>
          <cell r="N2153" t="e">
            <v>#DIV/0!</v>
          </cell>
        </row>
        <row r="2154">
          <cell r="E2154" t="str">
            <v>HGC-Lib-2452998</v>
          </cell>
          <cell r="F2154" t="str">
            <v>D24060278</v>
          </cell>
          <cell r="G2154">
            <v>9</v>
          </cell>
          <cell r="H2154" t="str">
            <v>宏基因组</v>
          </cell>
          <cell r="I2154" t="str">
            <v>WWH</v>
          </cell>
          <cell r="J2154">
            <v>13.48</v>
          </cell>
          <cell r="N2154" t="e">
            <v>#DIV/0!</v>
          </cell>
        </row>
        <row r="2155">
          <cell r="E2155" t="str">
            <v>HGC-Lib-2452999</v>
          </cell>
          <cell r="F2155" t="str">
            <v>D24060279</v>
          </cell>
          <cell r="G2155">
            <v>9</v>
          </cell>
          <cell r="H2155" t="str">
            <v>宏基因组</v>
          </cell>
          <cell r="I2155" t="str">
            <v>WWH</v>
          </cell>
          <cell r="J2155">
            <v>11.87</v>
          </cell>
          <cell r="N2155" t="e">
            <v>#DIV/0!</v>
          </cell>
        </row>
        <row r="2156">
          <cell r="E2156" t="str">
            <v>HGC-Lib-2453000</v>
          </cell>
          <cell r="F2156" t="str">
            <v>D24060282</v>
          </cell>
          <cell r="G2156">
            <v>9</v>
          </cell>
          <cell r="H2156" t="str">
            <v>宏基因组</v>
          </cell>
          <cell r="I2156" t="str">
            <v>WWH</v>
          </cell>
          <cell r="J2156">
            <v>10.35</v>
          </cell>
          <cell r="N2156" t="e">
            <v>#DIV/0!</v>
          </cell>
        </row>
        <row r="2157">
          <cell r="E2157" t="str">
            <v>HGC-Lib-2453001</v>
          </cell>
          <cell r="F2157" t="str">
            <v>D24060883</v>
          </cell>
          <cell r="G2157">
            <v>9</v>
          </cell>
          <cell r="H2157" t="str">
            <v>宏基因组</v>
          </cell>
          <cell r="I2157" t="str">
            <v>WWH</v>
          </cell>
          <cell r="J2157">
            <v>11.39</v>
          </cell>
          <cell r="N2157" t="e">
            <v>#DIV/0!</v>
          </cell>
        </row>
        <row r="2158">
          <cell r="E2158" t="str">
            <v>HGC-Lib-2453002</v>
          </cell>
          <cell r="F2158" t="str">
            <v>D24060884</v>
          </cell>
          <cell r="G2158">
            <v>9</v>
          </cell>
          <cell r="H2158" t="str">
            <v>宏基因组</v>
          </cell>
          <cell r="I2158" t="str">
            <v>WWH</v>
          </cell>
          <cell r="J2158">
            <v>10.44</v>
          </cell>
          <cell r="N2158" t="e">
            <v>#DIV/0!</v>
          </cell>
        </row>
        <row r="2159">
          <cell r="E2159" t="str">
            <v>HGC-Lib-2453003</v>
          </cell>
          <cell r="F2159" t="str">
            <v>D24060284</v>
          </cell>
          <cell r="G2159">
            <v>9</v>
          </cell>
          <cell r="H2159" t="str">
            <v>宏基因组</v>
          </cell>
          <cell r="I2159" t="str">
            <v>WWH</v>
          </cell>
          <cell r="J2159">
            <v>9.92</v>
          </cell>
          <cell r="N2159" t="e">
            <v>#DIV/0!</v>
          </cell>
        </row>
        <row r="2160">
          <cell r="E2160" t="str">
            <v>HGC-Lib-2453004</v>
          </cell>
          <cell r="F2160" t="str">
            <v>D24060881</v>
          </cell>
          <cell r="G2160">
            <v>9</v>
          </cell>
          <cell r="H2160" t="str">
            <v>宏基因组</v>
          </cell>
          <cell r="I2160" t="str">
            <v>WWH</v>
          </cell>
          <cell r="J2160">
            <v>12.41</v>
          </cell>
          <cell r="N2160" t="e">
            <v>#DIV/0!</v>
          </cell>
        </row>
        <row r="2161">
          <cell r="E2161" t="str">
            <v>HGC-Lib-2453005</v>
          </cell>
          <cell r="F2161" t="str">
            <v>D24060285</v>
          </cell>
          <cell r="G2161">
            <v>9</v>
          </cell>
          <cell r="H2161" t="str">
            <v>宏基因组</v>
          </cell>
          <cell r="I2161" t="str">
            <v>WWH</v>
          </cell>
          <cell r="J2161">
            <v>10.98</v>
          </cell>
          <cell r="N2161" t="e">
            <v>#DIV/0!</v>
          </cell>
        </row>
        <row r="2162">
          <cell r="E2162" t="str">
            <v>HGC-Lib-2453006</v>
          </cell>
          <cell r="F2162" t="str">
            <v>D24060286</v>
          </cell>
          <cell r="G2162">
            <v>9</v>
          </cell>
          <cell r="H2162" t="str">
            <v>宏基因组</v>
          </cell>
          <cell r="I2162" t="str">
            <v>WWH</v>
          </cell>
          <cell r="J2162">
            <v>11.13</v>
          </cell>
          <cell r="N2162" t="e">
            <v>#DIV/0!</v>
          </cell>
        </row>
        <row r="2163">
          <cell r="E2163" t="str">
            <v>HGC-Lib-2453007</v>
          </cell>
          <cell r="F2163" t="str">
            <v>D24060287</v>
          </cell>
          <cell r="G2163">
            <v>9</v>
          </cell>
          <cell r="H2163" t="str">
            <v>宏基因组</v>
          </cell>
          <cell r="I2163" t="str">
            <v>WWH</v>
          </cell>
          <cell r="J2163">
            <v>12.33</v>
          </cell>
          <cell r="N2163" t="e">
            <v>#DIV/0!</v>
          </cell>
        </row>
        <row r="2164">
          <cell r="E2164" t="str">
            <v>HGC-Lib-2453008</v>
          </cell>
          <cell r="F2164" t="str">
            <v>D24060288</v>
          </cell>
          <cell r="G2164">
            <v>9</v>
          </cell>
          <cell r="H2164" t="str">
            <v>宏基因组</v>
          </cell>
          <cell r="I2164" t="str">
            <v>WWH</v>
          </cell>
          <cell r="J2164">
            <v>12.01</v>
          </cell>
          <cell r="N2164" t="e">
            <v>#DIV/0!</v>
          </cell>
        </row>
        <row r="2165">
          <cell r="E2165" t="str">
            <v>HGC-Lib-2453009</v>
          </cell>
          <cell r="F2165" t="str">
            <v>D24060880</v>
          </cell>
          <cell r="G2165">
            <v>9</v>
          </cell>
          <cell r="H2165" t="str">
            <v>宏基因组</v>
          </cell>
          <cell r="I2165" t="str">
            <v>WWH</v>
          </cell>
          <cell r="J2165">
            <v>11.94</v>
          </cell>
          <cell r="N2165" t="e">
            <v>#DIV/0!</v>
          </cell>
        </row>
        <row r="2166">
          <cell r="E2166" t="str">
            <v>HGC-Lib-2452875</v>
          </cell>
          <cell r="F2166" t="str">
            <v>T824-1</v>
          </cell>
          <cell r="G2166">
            <v>8</v>
          </cell>
          <cell r="H2166" t="str">
            <v>mRNA文库</v>
          </cell>
          <cell r="I2166" t="str">
            <v>WH</v>
          </cell>
          <cell r="J2166">
            <v>25.2</v>
          </cell>
          <cell r="N2166" t="e">
            <v>#DIV/0!</v>
          </cell>
        </row>
        <row r="2167">
          <cell r="E2167" t="str">
            <v>HGC-Lib-2452876</v>
          </cell>
          <cell r="F2167" t="str">
            <v>T824-2</v>
          </cell>
          <cell r="G2167">
            <v>8</v>
          </cell>
          <cell r="H2167" t="str">
            <v>mRNA文库</v>
          </cell>
          <cell r="I2167" t="str">
            <v>WH</v>
          </cell>
          <cell r="J2167">
            <v>33.6</v>
          </cell>
          <cell r="N2167" t="e">
            <v>#DIV/0!</v>
          </cell>
        </row>
        <row r="2168">
          <cell r="E2168" t="str">
            <v>HGC-Lib-2452877</v>
          </cell>
          <cell r="F2168" t="str">
            <v>T824-3</v>
          </cell>
          <cell r="G2168">
            <v>8</v>
          </cell>
          <cell r="H2168" t="str">
            <v>mRNA文库</v>
          </cell>
          <cell r="I2168" t="str">
            <v>WH</v>
          </cell>
          <cell r="J2168">
            <v>42.6</v>
          </cell>
          <cell r="N2168" t="e">
            <v>#DIV/0!</v>
          </cell>
        </row>
        <row r="2169">
          <cell r="E2169" t="str">
            <v>HGC-Lib-2452878</v>
          </cell>
          <cell r="F2169" t="str">
            <v>T824-4</v>
          </cell>
          <cell r="G2169">
            <v>8</v>
          </cell>
          <cell r="H2169" t="str">
            <v>mRNA文库</v>
          </cell>
          <cell r="I2169" t="str">
            <v>WH</v>
          </cell>
          <cell r="J2169">
            <v>24.8</v>
          </cell>
          <cell r="N2169" t="e">
            <v>#DIV/0!</v>
          </cell>
        </row>
        <row r="2170">
          <cell r="E2170" t="str">
            <v>HGC-Lib-2452879</v>
          </cell>
          <cell r="F2170" t="str">
            <v>T824-5</v>
          </cell>
          <cell r="G2170">
            <v>8</v>
          </cell>
          <cell r="H2170" t="str">
            <v>mRNA文库</v>
          </cell>
          <cell r="I2170" t="str">
            <v>WH</v>
          </cell>
          <cell r="J2170">
            <v>19.399999999999999</v>
          </cell>
          <cell r="N2170" t="e">
            <v>#DIV/0!</v>
          </cell>
        </row>
        <row r="2171">
          <cell r="E2171" t="str">
            <v>HGC-Lib-2452880</v>
          </cell>
          <cell r="F2171" t="str">
            <v>T824-6</v>
          </cell>
          <cell r="G2171">
            <v>8</v>
          </cell>
          <cell r="H2171" t="str">
            <v>mRNA文库</v>
          </cell>
          <cell r="I2171" t="str">
            <v>WH</v>
          </cell>
          <cell r="J2171">
            <v>31.8</v>
          </cell>
          <cell r="N2171" t="e">
            <v>#DIV/0!</v>
          </cell>
        </row>
        <row r="2172">
          <cell r="E2172" t="str">
            <v>HGC-Lib-2452881</v>
          </cell>
          <cell r="F2172" t="str">
            <v>T824-7</v>
          </cell>
          <cell r="G2172">
            <v>8</v>
          </cell>
          <cell r="H2172" t="str">
            <v>mRNA文库</v>
          </cell>
          <cell r="I2172" t="str">
            <v>WH</v>
          </cell>
          <cell r="J2172">
            <v>17.600000000000001</v>
          </cell>
          <cell r="N2172" t="e">
            <v>#DIV/0!</v>
          </cell>
        </row>
        <row r="2173">
          <cell r="E2173" t="str">
            <v>HGC-Lib-2452882</v>
          </cell>
          <cell r="F2173" t="str">
            <v>T824-8</v>
          </cell>
          <cell r="G2173">
            <v>8</v>
          </cell>
          <cell r="H2173" t="str">
            <v>mRNA文库</v>
          </cell>
          <cell r="I2173" t="str">
            <v>WH</v>
          </cell>
          <cell r="J2173">
            <v>17.600000000000001</v>
          </cell>
          <cell r="N2173" t="e">
            <v>#DIV/0!</v>
          </cell>
        </row>
        <row r="2174">
          <cell r="E2174" t="str">
            <v>HGC-Lib-2452883</v>
          </cell>
          <cell r="F2174" t="str">
            <v>T825-1</v>
          </cell>
          <cell r="G2174">
            <v>6</v>
          </cell>
          <cell r="H2174" t="str">
            <v>mRNA文库</v>
          </cell>
          <cell r="I2174" t="str">
            <v>WH</v>
          </cell>
          <cell r="J2174">
            <v>23.6</v>
          </cell>
          <cell r="N2174" t="e">
            <v>#DIV/0!</v>
          </cell>
        </row>
        <row r="2175">
          <cell r="E2175" t="str">
            <v>HGC-Lib-2452884</v>
          </cell>
          <cell r="F2175" t="str">
            <v>T827-1</v>
          </cell>
          <cell r="G2175">
            <v>6</v>
          </cell>
          <cell r="H2175" t="str">
            <v>mRNA文库</v>
          </cell>
          <cell r="I2175" t="str">
            <v>WH</v>
          </cell>
          <cell r="J2175">
            <v>14.2</v>
          </cell>
          <cell r="N2175" t="e">
            <v>#DIV/0!</v>
          </cell>
        </row>
        <row r="2176">
          <cell r="E2176" t="str">
            <v>HGC-Lib-2451827</v>
          </cell>
          <cell r="F2176" t="str">
            <v>IgG-1</v>
          </cell>
          <cell r="G2176">
            <v>6</v>
          </cell>
          <cell r="H2176" t="str">
            <v>cut&amp;tag文库</v>
          </cell>
          <cell r="I2176" t="str">
            <v>TY</v>
          </cell>
          <cell r="J2176">
            <v>4.0199999999999996</v>
          </cell>
          <cell r="K2176">
            <v>404</v>
          </cell>
          <cell r="L2176" t="str">
            <v>ZZ</v>
          </cell>
          <cell r="N2176">
            <v>15.3084539223153</v>
          </cell>
        </row>
        <row r="2177">
          <cell r="E2177" t="str">
            <v>HGC-Lib-2451828</v>
          </cell>
          <cell r="F2177" t="str">
            <v>IgG-2</v>
          </cell>
          <cell r="G2177">
            <v>6</v>
          </cell>
          <cell r="H2177" t="str">
            <v>cut&amp;tag文库</v>
          </cell>
          <cell r="I2177" t="str">
            <v>TY</v>
          </cell>
          <cell r="J2177">
            <v>6.76</v>
          </cell>
          <cell r="K2177">
            <v>376</v>
          </cell>
          <cell r="L2177" t="str">
            <v>ZZ</v>
          </cell>
          <cell r="N2177">
            <v>27.659574468085101</v>
          </cell>
        </row>
        <row r="2178">
          <cell r="E2178" t="str">
            <v>HGC-Lib-2451829</v>
          </cell>
          <cell r="F2178" t="str">
            <v>His-1</v>
          </cell>
          <cell r="G2178">
            <v>6</v>
          </cell>
          <cell r="H2178" t="str">
            <v>cut&amp;tag文库</v>
          </cell>
          <cell r="I2178" t="str">
            <v>TY</v>
          </cell>
          <cell r="J2178">
            <v>15.2</v>
          </cell>
          <cell r="K2178">
            <v>380</v>
          </cell>
          <cell r="L2178" t="str">
            <v>ZZ</v>
          </cell>
          <cell r="N2178">
            <v>61.538461538461497</v>
          </cell>
        </row>
        <row r="2179">
          <cell r="E2179" t="str">
            <v>HGC-Lib-2451830</v>
          </cell>
          <cell r="F2179" t="str">
            <v>His-2</v>
          </cell>
          <cell r="G2179">
            <v>6</v>
          </cell>
          <cell r="H2179" t="str">
            <v>cut&amp;tag文库</v>
          </cell>
          <cell r="I2179" t="str">
            <v>TY</v>
          </cell>
          <cell r="J2179">
            <v>11.6</v>
          </cell>
          <cell r="K2179">
            <v>331</v>
          </cell>
          <cell r="L2179" t="str">
            <v>ZZ</v>
          </cell>
          <cell r="N2179">
            <v>53.915872646990501</v>
          </cell>
        </row>
        <row r="2180">
          <cell r="E2180" t="str">
            <v>HGC-Lib-2452217</v>
          </cell>
          <cell r="F2180" t="str">
            <v>13-31</v>
          </cell>
          <cell r="G2180">
            <v>3</v>
          </cell>
          <cell r="H2180" t="str">
            <v>PCR产物文库</v>
          </cell>
          <cell r="I2180" t="str">
            <v>TY</v>
          </cell>
          <cell r="J2180">
            <v>9.26</v>
          </cell>
          <cell r="K2180">
            <v>635</v>
          </cell>
          <cell r="L2180" t="str">
            <v>ZZ</v>
          </cell>
          <cell r="N2180">
            <v>22.434887946699</v>
          </cell>
        </row>
        <row r="2181">
          <cell r="E2181" t="str">
            <v>HGC-Lib-2452218</v>
          </cell>
          <cell r="F2181" t="str">
            <v>13-32</v>
          </cell>
          <cell r="G2181">
            <v>3</v>
          </cell>
          <cell r="H2181" t="str">
            <v>PCR产物文库</v>
          </cell>
          <cell r="I2181" t="str">
            <v>TY</v>
          </cell>
          <cell r="J2181">
            <v>10.8</v>
          </cell>
          <cell r="K2181">
            <v>562</v>
          </cell>
          <cell r="L2181" t="str">
            <v>ZZ</v>
          </cell>
          <cell r="N2181">
            <v>29.5647413085136</v>
          </cell>
        </row>
        <row r="2182">
          <cell r="E2182" t="str">
            <v>HGC-Lib-2452219</v>
          </cell>
          <cell r="F2182" t="str">
            <v>13-33</v>
          </cell>
          <cell r="G2182">
            <v>3</v>
          </cell>
          <cell r="H2182" t="str">
            <v>PCR产物文库</v>
          </cell>
          <cell r="I2182" t="str">
            <v>TY</v>
          </cell>
          <cell r="J2182">
            <v>12.4</v>
          </cell>
          <cell r="K2182">
            <v>548</v>
          </cell>
          <cell r="L2182" t="str">
            <v>ZZ</v>
          </cell>
          <cell r="N2182">
            <v>34.811903425042097</v>
          </cell>
        </row>
        <row r="2183">
          <cell r="E2183" t="str">
            <v>HGC-Lib-2452220</v>
          </cell>
          <cell r="F2183" t="str">
            <v>14-31</v>
          </cell>
          <cell r="G2183">
            <v>3</v>
          </cell>
          <cell r="H2183" t="str">
            <v>PCR产物文库</v>
          </cell>
          <cell r="I2183" t="str">
            <v>TY</v>
          </cell>
          <cell r="J2183">
            <v>9.94</v>
          </cell>
          <cell r="K2183">
            <v>596</v>
          </cell>
          <cell r="L2183" t="str">
            <v>ZZ</v>
          </cell>
          <cell r="N2183">
            <v>25.658234383066599</v>
          </cell>
        </row>
        <row r="2184">
          <cell r="E2184" t="str">
            <v>HGC-Lib-2452221</v>
          </cell>
          <cell r="F2184" t="str">
            <v>14-32</v>
          </cell>
          <cell r="G2184">
            <v>3</v>
          </cell>
          <cell r="H2184" t="str">
            <v>PCR产物文库</v>
          </cell>
          <cell r="I2184" t="str">
            <v>TY</v>
          </cell>
          <cell r="J2184">
            <v>11</v>
          </cell>
          <cell r="K2184">
            <v>579</v>
          </cell>
          <cell r="L2184" t="str">
            <v>ZZ</v>
          </cell>
          <cell r="N2184">
            <v>29.228112129666499</v>
          </cell>
        </row>
        <row r="2185">
          <cell r="E2185" t="str">
            <v>HGC-Lib-2452222</v>
          </cell>
          <cell r="F2185" t="str">
            <v>14-33</v>
          </cell>
          <cell r="G2185">
            <v>3</v>
          </cell>
          <cell r="H2185" t="str">
            <v>PCR产物文库</v>
          </cell>
          <cell r="I2185" t="str">
            <v>TY</v>
          </cell>
          <cell r="J2185">
            <v>3.92</v>
          </cell>
          <cell r="K2185">
            <v>507</v>
          </cell>
          <cell r="L2185" t="str">
            <v>ZZ</v>
          </cell>
          <cell r="N2185">
            <v>11.895008344712499</v>
          </cell>
        </row>
        <row r="2186">
          <cell r="E2186" t="str">
            <v>HGC-Lib-2452223</v>
          </cell>
          <cell r="F2186" t="str">
            <v>15-31</v>
          </cell>
          <cell r="G2186">
            <v>3</v>
          </cell>
          <cell r="H2186" t="str">
            <v>PCR产物文库</v>
          </cell>
          <cell r="I2186" t="str">
            <v>TY</v>
          </cell>
          <cell r="J2186">
            <v>6.96</v>
          </cell>
          <cell r="K2186">
            <v>507</v>
          </cell>
          <cell r="L2186" t="str">
            <v>ZZ</v>
          </cell>
          <cell r="N2186">
            <v>21.1197086936732</v>
          </cell>
        </row>
        <row r="2187">
          <cell r="E2187" t="str">
            <v>HGC-Lib-2452224</v>
          </cell>
          <cell r="F2187" t="str">
            <v>15-32</v>
          </cell>
          <cell r="G2187">
            <v>3</v>
          </cell>
          <cell r="H2187" t="str">
            <v>PCR产物文库</v>
          </cell>
          <cell r="I2187" t="str">
            <v>TY</v>
          </cell>
          <cell r="J2187">
            <v>5.64</v>
          </cell>
          <cell r="K2187">
            <v>445</v>
          </cell>
          <cell r="L2187" t="str">
            <v>ZZ</v>
          </cell>
          <cell r="N2187">
            <v>19.498703543647402</v>
          </cell>
        </row>
        <row r="2188">
          <cell r="E2188" t="str">
            <v>HGC-Lib-2452225</v>
          </cell>
          <cell r="F2188" t="str">
            <v>15-33</v>
          </cell>
          <cell r="G2188">
            <v>3</v>
          </cell>
          <cell r="H2188" t="str">
            <v>PCR产物文库</v>
          </cell>
          <cell r="I2188" t="str">
            <v>TY</v>
          </cell>
          <cell r="J2188">
            <v>7.52</v>
          </cell>
          <cell r="K2188">
            <v>581</v>
          </cell>
          <cell r="L2188" t="str">
            <v>ZZ</v>
          </cell>
          <cell r="N2188">
            <v>19.9126175029789</v>
          </cell>
        </row>
        <row r="2189">
          <cell r="E2189" t="str">
            <v>HGC-Lib-2452226</v>
          </cell>
          <cell r="F2189" t="str">
            <v>16-31</v>
          </cell>
          <cell r="G2189">
            <v>3</v>
          </cell>
          <cell r="H2189" t="str">
            <v>PCR产物文库</v>
          </cell>
          <cell r="I2189" t="str">
            <v>TY</v>
          </cell>
          <cell r="J2189">
            <v>12.8</v>
          </cell>
          <cell r="K2189">
            <v>751</v>
          </cell>
          <cell r="L2189" t="str">
            <v>ZZ</v>
          </cell>
          <cell r="N2189">
            <v>26.221448325309801</v>
          </cell>
        </row>
        <row r="2190">
          <cell r="E2190" t="str">
            <v>HGC-Lib-2452227</v>
          </cell>
          <cell r="F2190" t="str">
            <v>16-32</v>
          </cell>
          <cell r="G2190">
            <v>3</v>
          </cell>
          <cell r="H2190" t="str">
            <v>PCR产物文库</v>
          </cell>
          <cell r="I2190" t="str">
            <v>TY</v>
          </cell>
          <cell r="J2190">
            <v>10.7</v>
          </cell>
          <cell r="K2190">
            <v>821</v>
          </cell>
          <cell r="L2190" t="str">
            <v>ZZ</v>
          </cell>
          <cell r="N2190">
            <v>20.0505949592429</v>
          </cell>
        </row>
        <row r="2191">
          <cell r="E2191" t="str">
            <v>HGC-Lib-2452228</v>
          </cell>
          <cell r="F2191" t="str">
            <v>16-33</v>
          </cell>
          <cell r="G2191">
            <v>3</v>
          </cell>
          <cell r="H2191" t="str">
            <v>PCR产物文库</v>
          </cell>
          <cell r="I2191" t="str">
            <v>TY</v>
          </cell>
          <cell r="J2191">
            <v>17.399999999999999</v>
          </cell>
          <cell r="K2191">
            <v>809</v>
          </cell>
          <cell r="L2191" t="str">
            <v>ZZ</v>
          </cell>
          <cell r="N2191">
            <v>33.089284016354497</v>
          </cell>
        </row>
        <row r="2192">
          <cell r="E2192" t="str">
            <v>HGC-Lib-2452229</v>
          </cell>
          <cell r="F2192" t="str">
            <v>18-31</v>
          </cell>
          <cell r="G2192">
            <v>3</v>
          </cell>
          <cell r="H2192" t="str">
            <v>PCR产物文库</v>
          </cell>
          <cell r="I2192" t="str">
            <v>TY</v>
          </cell>
          <cell r="J2192">
            <v>13.5</v>
          </cell>
          <cell r="K2192">
            <v>676</v>
          </cell>
          <cell r="L2192" t="str">
            <v>ZZ</v>
          </cell>
          <cell r="N2192">
            <v>30.723714155666801</v>
          </cell>
        </row>
        <row r="2193">
          <cell r="E2193" t="str">
            <v>HGC-Lib-2452230</v>
          </cell>
          <cell r="F2193" t="str">
            <v>18-32</v>
          </cell>
          <cell r="G2193">
            <v>3</v>
          </cell>
          <cell r="H2193" t="str">
            <v>PCR产物文库</v>
          </cell>
          <cell r="I2193" t="str">
            <v>TY</v>
          </cell>
          <cell r="J2193">
            <v>8.14</v>
          </cell>
          <cell r="K2193">
            <v>824</v>
          </cell>
          <cell r="L2193" t="str">
            <v>ZZ</v>
          </cell>
          <cell r="N2193">
            <v>15.1979088872293</v>
          </cell>
        </row>
        <row r="2194">
          <cell r="E2194" t="str">
            <v>HGC-Lib-2452231</v>
          </cell>
          <cell r="F2194" t="str">
            <v>18-33</v>
          </cell>
          <cell r="G2194">
            <v>3</v>
          </cell>
          <cell r="H2194" t="str">
            <v>PCR产物文库</v>
          </cell>
          <cell r="I2194" t="str">
            <v>TY</v>
          </cell>
          <cell r="J2194">
            <v>5.22</v>
          </cell>
          <cell r="K2194">
            <v>762</v>
          </cell>
          <cell r="L2194" t="str">
            <v>ZZ</v>
          </cell>
          <cell r="N2194">
            <v>10.539067231980599</v>
          </cell>
        </row>
        <row r="2195">
          <cell r="E2195" t="str">
            <v>HGC-Lib-2452232</v>
          </cell>
          <cell r="F2195" t="str">
            <v>16-54</v>
          </cell>
          <cell r="G2195">
            <v>3</v>
          </cell>
          <cell r="H2195" t="str">
            <v>PCR产物文库</v>
          </cell>
          <cell r="I2195" t="str">
            <v>TY</v>
          </cell>
          <cell r="J2195">
            <v>16.100000000000001</v>
          </cell>
          <cell r="K2195">
            <v>368</v>
          </cell>
          <cell r="L2195" t="str">
            <v>ZZ</v>
          </cell>
          <cell r="N2195">
            <v>67.307692307692307</v>
          </cell>
        </row>
        <row r="2196">
          <cell r="E2196" t="str">
            <v>HGC-Lib-2452233</v>
          </cell>
          <cell r="F2196" t="str">
            <v>16-55</v>
          </cell>
          <cell r="G2196">
            <v>3</v>
          </cell>
          <cell r="H2196" t="str">
            <v>PCR产物文库</v>
          </cell>
          <cell r="I2196" t="str">
            <v>TY</v>
          </cell>
          <cell r="J2196">
            <v>16.899999999999999</v>
          </cell>
          <cell r="K2196">
            <v>607</v>
          </cell>
          <cell r="L2196" t="str">
            <v>ZZ</v>
          </cell>
          <cell r="N2196">
            <v>42.833607907743001</v>
          </cell>
        </row>
        <row r="2197">
          <cell r="E2197" t="str">
            <v>HGC-Lib-2452234</v>
          </cell>
          <cell r="F2197" t="str">
            <v>16-56</v>
          </cell>
          <cell r="G2197">
            <v>3</v>
          </cell>
          <cell r="H2197" t="str">
            <v>PCR产物文库</v>
          </cell>
          <cell r="I2197" t="str">
            <v>TY</v>
          </cell>
          <cell r="J2197">
            <v>16.600000000000001</v>
          </cell>
          <cell r="K2197">
            <v>555</v>
          </cell>
          <cell r="L2197" t="str">
            <v>ZZ</v>
          </cell>
          <cell r="N2197">
            <v>46.015246015245999</v>
          </cell>
        </row>
        <row r="2198">
          <cell r="E2198" t="str">
            <v>HGC-Lib-2452235</v>
          </cell>
          <cell r="F2198" t="str">
            <v>18-54</v>
          </cell>
          <cell r="G2198">
            <v>3</v>
          </cell>
          <cell r="H2198" t="str">
            <v>PCR产物文库</v>
          </cell>
          <cell r="I2198" t="str">
            <v>TY</v>
          </cell>
          <cell r="J2198">
            <v>12.7</v>
          </cell>
          <cell r="K2198">
            <v>646</v>
          </cell>
          <cell r="L2198" t="str">
            <v>ZZ</v>
          </cell>
          <cell r="N2198">
            <v>30.2452964991665</v>
          </cell>
        </row>
        <row r="2199">
          <cell r="E2199" t="str">
            <v>HGC-Lib-2452236</v>
          </cell>
          <cell r="F2199" t="str">
            <v>18-55</v>
          </cell>
          <cell r="G2199">
            <v>3</v>
          </cell>
          <cell r="H2199" t="str">
            <v>PCR产物文库</v>
          </cell>
          <cell r="I2199" t="str">
            <v>TY</v>
          </cell>
          <cell r="J2199">
            <v>14.4</v>
          </cell>
          <cell r="K2199">
            <v>822</v>
          </cell>
          <cell r="L2199" t="str">
            <v>ZZ</v>
          </cell>
          <cell r="N2199">
            <v>26.951151038742299</v>
          </cell>
        </row>
        <row r="2200">
          <cell r="E2200" t="str">
            <v>HGC-Lib-2452237</v>
          </cell>
          <cell r="F2200" t="str">
            <v>18-56</v>
          </cell>
          <cell r="G2200">
            <v>3</v>
          </cell>
          <cell r="H2200" t="str">
            <v>PCR产物文库</v>
          </cell>
          <cell r="I2200" t="str">
            <v>TY</v>
          </cell>
          <cell r="J2200">
            <v>14.3</v>
          </cell>
          <cell r="K2200">
            <v>749</v>
          </cell>
          <cell r="L2200" t="str">
            <v>ZZ</v>
          </cell>
          <cell r="N2200">
            <v>29.3724966622163</v>
          </cell>
        </row>
        <row r="2201">
          <cell r="E2201" t="str">
            <v>HGC-Lib-2452347</v>
          </cell>
          <cell r="F2201" t="str">
            <v>LCY-T</v>
          </cell>
          <cell r="G2201">
            <v>12</v>
          </cell>
          <cell r="H2201" t="str">
            <v>转录组文库</v>
          </cell>
          <cell r="I2201" t="str">
            <v>TY</v>
          </cell>
          <cell r="J2201">
            <v>18.7</v>
          </cell>
          <cell r="K2201">
            <v>362</v>
          </cell>
          <cell r="L2201" t="str">
            <v>ZZ</v>
          </cell>
          <cell r="N2201">
            <v>79.473013174670598</v>
          </cell>
        </row>
        <row r="2202">
          <cell r="E2202" t="str">
            <v>HGC-Lib-2452348</v>
          </cell>
          <cell r="F2202" t="str">
            <v>LCY-NT</v>
          </cell>
          <cell r="G2202">
            <v>12</v>
          </cell>
          <cell r="H2202" t="str">
            <v>转录组文库</v>
          </cell>
          <cell r="I2202" t="str">
            <v>TY</v>
          </cell>
          <cell r="J2202">
            <v>10.8</v>
          </cell>
          <cell r="K2202">
            <v>341</v>
          </cell>
          <cell r="L2202" t="str">
            <v>ZZ</v>
          </cell>
          <cell r="N2202">
            <v>48.725468080306797</v>
          </cell>
        </row>
        <row r="2203">
          <cell r="E2203" t="str">
            <v>HGC-Lib-2452349</v>
          </cell>
          <cell r="F2203" t="str">
            <v>T1</v>
          </cell>
          <cell r="G2203">
            <v>5</v>
          </cell>
          <cell r="H2203" t="str">
            <v>PCR产物文库</v>
          </cell>
          <cell r="I2203" t="str">
            <v>TY</v>
          </cell>
          <cell r="J2203">
            <v>44.8</v>
          </cell>
          <cell r="K2203">
            <v>408</v>
          </cell>
          <cell r="L2203" t="str">
            <v>ZZ</v>
          </cell>
          <cell r="N2203">
            <v>168.929110105581</v>
          </cell>
        </row>
        <row r="2204">
          <cell r="E2204" t="str">
            <v>HGC-Lib-2452350</v>
          </cell>
          <cell r="F2204" t="str">
            <v>T2</v>
          </cell>
          <cell r="G2204">
            <v>5</v>
          </cell>
          <cell r="H2204" t="str">
            <v>PCR产物文库</v>
          </cell>
          <cell r="I2204" t="str">
            <v>TY</v>
          </cell>
          <cell r="J2204">
            <v>57.8</v>
          </cell>
          <cell r="K2204">
            <v>400</v>
          </cell>
          <cell r="L2204" t="str">
            <v>ZZ</v>
          </cell>
          <cell r="N2204">
            <v>222.30769230769201</v>
          </cell>
        </row>
        <row r="2205">
          <cell r="E2205" t="str">
            <v>HGC-Lib-2452351</v>
          </cell>
          <cell r="F2205" t="str">
            <v>TZ1</v>
          </cell>
          <cell r="G2205">
            <v>5</v>
          </cell>
          <cell r="H2205" t="str">
            <v>PCR产物文库</v>
          </cell>
          <cell r="I2205" t="str">
            <v>TY</v>
          </cell>
          <cell r="J2205">
            <v>88.6</v>
          </cell>
          <cell r="K2205">
            <v>406</v>
          </cell>
          <cell r="L2205" t="str">
            <v>ZZ</v>
          </cell>
          <cell r="N2205">
            <v>335.73323228495599</v>
          </cell>
        </row>
        <row r="2206">
          <cell r="E2206" t="str">
            <v>HGC-Lib-2452352</v>
          </cell>
          <cell r="F2206" t="str">
            <v>CB-T21</v>
          </cell>
          <cell r="G2206">
            <v>5</v>
          </cell>
          <cell r="H2206" t="str">
            <v>PCR产物文库</v>
          </cell>
          <cell r="I2206" t="str">
            <v>TY</v>
          </cell>
          <cell r="J2206">
            <v>32.299999999999997</v>
          </cell>
          <cell r="K2206">
            <v>432</v>
          </cell>
          <cell r="L2206" t="str">
            <v>ZZ</v>
          </cell>
          <cell r="N2206">
            <v>115.02849002849</v>
          </cell>
        </row>
        <row r="2207">
          <cell r="E2207" t="str">
            <v>HGC-Lib-2452360</v>
          </cell>
          <cell r="F2207" t="str">
            <v>N_B_N4621-21-10X5P95</v>
          </cell>
          <cell r="G2207">
            <v>100</v>
          </cell>
          <cell r="H2207" t="str">
            <v>10x 5'单细胞</v>
          </cell>
          <cell r="I2207" t="str">
            <v>WWH</v>
          </cell>
          <cell r="J2207">
            <v>37.4</v>
          </cell>
          <cell r="N2207" t="e">
            <v>#DIV/0!</v>
          </cell>
        </row>
        <row r="2208">
          <cell r="E2208" t="str">
            <v>HGC-Lib-2452361</v>
          </cell>
          <cell r="F2208" t="str">
            <v>N_B_N4621-22-10X5P106</v>
          </cell>
          <cell r="G2208">
            <v>100</v>
          </cell>
          <cell r="H2208" t="str">
            <v>10x 5'单细胞</v>
          </cell>
          <cell r="I2208" t="str">
            <v>WWH</v>
          </cell>
          <cell r="J2208">
            <v>31.6</v>
          </cell>
          <cell r="N2208" t="e">
            <v>#DIV/0!</v>
          </cell>
        </row>
        <row r="2209">
          <cell r="E2209" t="str">
            <v>HGC-Lib-2452362</v>
          </cell>
          <cell r="F2209" t="str">
            <v>N_B_N4621-23-10X5P108</v>
          </cell>
          <cell r="G2209">
            <v>100</v>
          </cell>
          <cell r="H2209" t="str">
            <v>10x 5'单细胞</v>
          </cell>
          <cell r="I2209" t="str">
            <v>WWH</v>
          </cell>
          <cell r="J2209">
            <v>38.200000000000003</v>
          </cell>
          <cell r="N2209" t="e">
            <v>#DIV/0!</v>
          </cell>
        </row>
        <row r="2210">
          <cell r="E2210" t="str">
            <v>HGC-Lib-2452363</v>
          </cell>
          <cell r="F2210" t="str">
            <v>N_B_N4621-27-10X5P121</v>
          </cell>
          <cell r="G2210">
            <v>100</v>
          </cell>
          <cell r="H2210" t="str">
            <v>10x 5'单细胞</v>
          </cell>
          <cell r="I2210" t="str">
            <v>WWH</v>
          </cell>
          <cell r="J2210">
            <v>31.4</v>
          </cell>
          <cell r="N2210" t="e">
            <v>#DIV/0!</v>
          </cell>
        </row>
        <row r="2211">
          <cell r="E2211" t="str">
            <v>HGC-Lib-2452364</v>
          </cell>
          <cell r="F2211" t="str">
            <v>N_B_N4621-21-10X5BCRP95</v>
          </cell>
          <cell r="G2211">
            <v>20</v>
          </cell>
          <cell r="H2211" t="str">
            <v>10X5BCR</v>
          </cell>
          <cell r="I2211" t="str">
            <v>WWH</v>
          </cell>
          <cell r="J2211">
            <v>73.2</v>
          </cell>
          <cell r="N2211" t="e">
            <v>#DIV/0!</v>
          </cell>
        </row>
        <row r="2212">
          <cell r="E2212" t="str">
            <v>HGC-Lib-2452365</v>
          </cell>
          <cell r="F2212" t="str">
            <v>N_B_N4621-22-10X5BCRP106</v>
          </cell>
          <cell r="G2212">
            <v>20</v>
          </cell>
          <cell r="H2212" t="str">
            <v>10X5BCR</v>
          </cell>
          <cell r="I2212" t="str">
            <v>WWH</v>
          </cell>
          <cell r="J2212">
            <v>46.4</v>
          </cell>
          <cell r="N2212" t="e">
            <v>#DIV/0!</v>
          </cell>
        </row>
        <row r="2213">
          <cell r="E2213" t="str">
            <v>HGC-Lib-2452366</v>
          </cell>
          <cell r="F2213" t="str">
            <v>N_B_N4621-23-10X5BCRP108</v>
          </cell>
          <cell r="G2213">
            <v>20</v>
          </cell>
          <cell r="H2213" t="str">
            <v>10X5BCR</v>
          </cell>
          <cell r="I2213" t="str">
            <v>WWH</v>
          </cell>
          <cell r="J2213">
            <v>51</v>
          </cell>
          <cell r="N2213" t="e">
            <v>#DIV/0!</v>
          </cell>
        </row>
        <row r="2214">
          <cell r="E2214" t="str">
            <v>HGC-Lib-2452367</v>
          </cell>
          <cell r="F2214" t="str">
            <v>N_B_N4621-27-10X5BCRP121</v>
          </cell>
          <cell r="G2214">
            <v>20</v>
          </cell>
          <cell r="H2214" t="str">
            <v>10X5BCR</v>
          </cell>
          <cell r="I2214" t="str">
            <v>WWH</v>
          </cell>
          <cell r="J2214">
            <v>41.2</v>
          </cell>
          <cell r="N2214" t="e">
            <v>#DIV/0!</v>
          </cell>
        </row>
        <row r="2215">
          <cell r="E2215" t="str">
            <v>HGC-Lib-2452368</v>
          </cell>
          <cell r="F2215" t="str">
            <v>N_B_N4623-05-10X3Tmour-11</v>
          </cell>
          <cell r="G2215">
            <v>10</v>
          </cell>
          <cell r="H2215" t="str">
            <v>10× 3'单细胞</v>
          </cell>
          <cell r="I2215" t="str">
            <v>WWH</v>
          </cell>
          <cell r="J2215">
            <v>9.64</v>
          </cell>
          <cell r="N2215" t="e">
            <v>#DIV/0!</v>
          </cell>
        </row>
        <row r="2216">
          <cell r="E2216" t="str">
            <v>HGC-Lib-2452369</v>
          </cell>
          <cell r="F2216" t="str">
            <v>N_B_N4623-06-10X3Normal-11</v>
          </cell>
          <cell r="G2216">
            <v>10</v>
          </cell>
          <cell r="H2216" t="str">
            <v>10× 3'单细胞</v>
          </cell>
          <cell r="I2216" t="str">
            <v>WWH</v>
          </cell>
          <cell r="J2216">
            <v>25</v>
          </cell>
          <cell r="N2216" t="e">
            <v>#DIV/0!</v>
          </cell>
        </row>
        <row r="2217">
          <cell r="E2217" t="str">
            <v>HGC-Lib-2452370</v>
          </cell>
          <cell r="F2217" t="str">
            <v>N_B_N4628-0N-10X3Y7400721-T</v>
          </cell>
          <cell r="G2217">
            <v>10</v>
          </cell>
          <cell r="H2217" t="str">
            <v>10× 3'单细胞</v>
          </cell>
          <cell r="I2217" t="str">
            <v>WWH</v>
          </cell>
          <cell r="J2217">
            <v>15.4</v>
          </cell>
          <cell r="N2217" t="e">
            <v>#DIV/0!</v>
          </cell>
        </row>
        <row r="2218">
          <cell r="E2218" t="str">
            <v>HGC-Lib-2452371</v>
          </cell>
          <cell r="F2218" t="str">
            <v>N_B_N4628-0P-10X3Y7400721-P1</v>
          </cell>
          <cell r="G2218">
            <v>10</v>
          </cell>
          <cell r="H2218" t="str">
            <v>10× 3'单细胞</v>
          </cell>
          <cell r="I2218" t="str">
            <v>WWH</v>
          </cell>
          <cell r="J2218">
            <v>14.9</v>
          </cell>
          <cell r="N2218" t="e">
            <v>#DIV/0!</v>
          </cell>
        </row>
        <row r="2219">
          <cell r="E2219" t="str">
            <v>HGC-Lib-2452372</v>
          </cell>
          <cell r="F2219" t="str">
            <v>N_B_N4619-1Y-10X3FP-E90-placenta-2</v>
          </cell>
          <cell r="G2219">
            <v>100</v>
          </cell>
          <cell r="H2219" t="str">
            <v>10× 3'单细胞</v>
          </cell>
          <cell r="I2219" t="str">
            <v>WWH</v>
          </cell>
          <cell r="J2219">
            <v>20.2</v>
          </cell>
          <cell r="N2219" t="e">
            <v>#DIV/0!</v>
          </cell>
        </row>
        <row r="2220">
          <cell r="E2220" t="str">
            <v>HGC-Lib-2452373</v>
          </cell>
          <cell r="F2220" t="str">
            <v>N_B_N4619-1Z-10X3FP-E90-placenta-3</v>
          </cell>
          <cell r="G2220">
            <v>100</v>
          </cell>
          <cell r="H2220" t="str">
            <v>10× 3'单细胞</v>
          </cell>
          <cell r="I2220" t="str">
            <v>WWH</v>
          </cell>
          <cell r="J2220">
            <v>21.4</v>
          </cell>
          <cell r="N2220" t="e">
            <v>#DIV/0!</v>
          </cell>
        </row>
        <row r="2221">
          <cell r="E2221" t="str">
            <v>HGC-Lib-2452374</v>
          </cell>
          <cell r="F2221" t="str">
            <v>N_B_N4619-20-10X3FP-E90-placenta-4</v>
          </cell>
          <cell r="G2221">
            <v>100</v>
          </cell>
          <cell r="H2221" t="str">
            <v>10× 3'单细胞</v>
          </cell>
          <cell r="I2221" t="str">
            <v>WWH</v>
          </cell>
          <cell r="J2221">
            <v>18.399999999999999</v>
          </cell>
          <cell r="N2221" t="e">
            <v>#DIV/0!</v>
          </cell>
        </row>
        <row r="2222">
          <cell r="E2222" t="str">
            <v>HGC-Lib-2452375</v>
          </cell>
          <cell r="F2222" t="str">
            <v>N_B_N4619-21-10X3FP-E90-placenta-5</v>
          </cell>
          <cell r="G2222">
            <v>100</v>
          </cell>
          <cell r="H2222" t="str">
            <v>10× 3'单细胞</v>
          </cell>
          <cell r="I2222" t="str">
            <v>WWH</v>
          </cell>
          <cell r="J2222">
            <v>19.5</v>
          </cell>
          <cell r="N2222" t="e">
            <v>#DIV/0!</v>
          </cell>
        </row>
        <row r="2223">
          <cell r="E2223" t="str">
            <v>HGC-Lib-2452376</v>
          </cell>
          <cell r="F2223" t="str">
            <v>N_B_N4619-22-10X3FP-E90-spleen-2</v>
          </cell>
          <cell r="G2223">
            <v>100</v>
          </cell>
          <cell r="H2223" t="str">
            <v>10× 3'单细胞</v>
          </cell>
          <cell r="I2223" t="str">
            <v>WWH</v>
          </cell>
          <cell r="J2223">
            <v>38.200000000000003</v>
          </cell>
          <cell r="N2223" t="e">
            <v>#DIV/0!</v>
          </cell>
        </row>
        <row r="2224">
          <cell r="E2224" t="str">
            <v>HGC-Lib-2452377</v>
          </cell>
          <cell r="F2224" t="str">
            <v>N_B_N4619-23-10X3FP-E90-spleen-3</v>
          </cell>
          <cell r="G2224">
            <v>100</v>
          </cell>
          <cell r="H2224" t="str">
            <v>10× 3'单细胞</v>
          </cell>
          <cell r="I2224" t="str">
            <v>WWH</v>
          </cell>
          <cell r="J2224">
            <v>28.2</v>
          </cell>
          <cell r="N2224" t="e">
            <v>#DIV/0!</v>
          </cell>
        </row>
        <row r="2225">
          <cell r="E2225" t="str">
            <v>HGC-Lib-2452378</v>
          </cell>
          <cell r="F2225" t="str">
            <v>N_B_N4619-24-10X3FP-E90-spleen-4</v>
          </cell>
          <cell r="G2225">
            <v>100</v>
          </cell>
          <cell r="H2225" t="str">
            <v>10× 3'单细胞</v>
          </cell>
          <cell r="I2225" t="str">
            <v>WWH</v>
          </cell>
          <cell r="J2225">
            <v>34.200000000000003</v>
          </cell>
          <cell r="N2225" t="e">
            <v>#DIV/0!</v>
          </cell>
        </row>
        <row r="2226">
          <cell r="E2226" t="str">
            <v>HGC-Lib-2452379</v>
          </cell>
          <cell r="F2226" t="str">
            <v>N_B_N4619-25-10X3FP-E90-spleen-5</v>
          </cell>
          <cell r="G2226">
            <v>100</v>
          </cell>
          <cell r="H2226" t="str">
            <v>10× 3'单细胞</v>
          </cell>
          <cell r="I2226" t="str">
            <v>WWH</v>
          </cell>
          <cell r="J2226">
            <v>34.6</v>
          </cell>
          <cell r="N2226" t="e">
            <v>#DIV/0!</v>
          </cell>
        </row>
        <row r="2227">
          <cell r="E2227" t="str">
            <v>HGC-Lib-2452380</v>
          </cell>
          <cell r="F2227" t="str">
            <v>N_B_N4619-26-10X3FP-E90-testis-4</v>
          </cell>
          <cell r="G2227">
            <v>100</v>
          </cell>
          <cell r="H2227" t="str">
            <v>10× 3'单细胞</v>
          </cell>
          <cell r="I2227" t="str">
            <v>WWH</v>
          </cell>
          <cell r="J2227">
            <v>17.3</v>
          </cell>
          <cell r="N2227" t="e">
            <v>#DIV/0!</v>
          </cell>
        </row>
        <row r="2228">
          <cell r="E2228" t="str">
            <v>HGC-Lib-2452381</v>
          </cell>
          <cell r="F2228" t="str">
            <v>N_B_N4619-27-10X3FP-E90-testis-5</v>
          </cell>
          <cell r="G2228">
            <v>100</v>
          </cell>
          <cell r="H2228" t="str">
            <v>10× 3'单细胞</v>
          </cell>
          <cell r="I2228" t="str">
            <v>WWH</v>
          </cell>
          <cell r="J2228">
            <v>15.9</v>
          </cell>
          <cell r="N2228" t="e">
            <v>#DIV/0!</v>
          </cell>
        </row>
        <row r="2229">
          <cell r="E2229" t="str">
            <v>HGC-Lib-2452382</v>
          </cell>
          <cell r="F2229" t="str">
            <v>N_B_N4619-28-10X3FP-E90-ovary-2</v>
          </cell>
          <cell r="G2229">
            <v>100</v>
          </cell>
          <cell r="H2229" t="str">
            <v>10× 3'单细胞</v>
          </cell>
          <cell r="I2229" t="str">
            <v>WWH</v>
          </cell>
          <cell r="J2229">
            <v>23.8</v>
          </cell>
          <cell r="N2229" t="e">
            <v>#DIV/0!</v>
          </cell>
        </row>
        <row r="2230">
          <cell r="E2230" t="str">
            <v>HGC-Lib-2452383</v>
          </cell>
          <cell r="F2230" t="str">
            <v>N_B_N4619-29-10X3FP-E90-ovary-3</v>
          </cell>
          <cell r="G2230">
            <v>100</v>
          </cell>
          <cell r="H2230" t="str">
            <v>10× 3'单细胞</v>
          </cell>
          <cell r="I2230" t="str">
            <v>WWH</v>
          </cell>
          <cell r="J2230">
            <v>8.34</v>
          </cell>
          <cell r="N2230" t="e">
            <v>#DIV/0!</v>
          </cell>
        </row>
        <row r="2231">
          <cell r="E2231" t="str">
            <v>HGC-Lib-2452384</v>
          </cell>
          <cell r="F2231" t="str">
            <v>N_B_N4620-0M-10X5CR-hTL113</v>
          </cell>
          <cell r="G2231">
            <v>100</v>
          </cell>
          <cell r="H2231" t="str">
            <v>10x 5'单细胞</v>
          </cell>
          <cell r="I2231" t="str">
            <v>WWH</v>
          </cell>
          <cell r="J2231">
            <v>28.6</v>
          </cell>
          <cell r="N2231" t="e">
            <v>#DIV/0!</v>
          </cell>
        </row>
        <row r="2232">
          <cell r="E2232" t="str">
            <v>HGC-Lib-2452385</v>
          </cell>
          <cell r="F2232" t="str">
            <v>N_B_N4620-0M-10X5TCRCR-hTL113-2</v>
          </cell>
          <cell r="G2232">
            <v>100</v>
          </cell>
          <cell r="H2232" t="str">
            <v>10X5TCR</v>
          </cell>
          <cell r="I2232" t="str">
            <v>WWH</v>
          </cell>
          <cell r="J2232">
            <v>68.599999999999994</v>
          </cell>
          <cell r="N2232" t="e">
            <v>#DIV/0!</v>
          </cell>
        </row>
        <row r="2233">
          <cell r="E2233" t="str">
            <v>HGC-Lib-2452386</v>
          </cell>
          <cell r="F2233" t="str">
            <v>N_B_N4620-0M-10X5BCRCR-hTL113-3</v>
          </cell>
          <cell r="G2233">
            <v>100</v>
          </cell>
          <cell r="H2233" t="str">
            <v>10X5BCR</v>
          </cell>
          <cell r="I2233" t="str">
            <v>WWH</v>
          </cell>
          <cell r="J2233">
            <v>30</v>
          </cell>
          <cell r="N2233" t="e">
            <v>#DIV/0!</v>
          </cell>
        </row>
        <row r="2234">
          <cell r="E2234" t="str">
            <v>HGC-Lib-2452387</v>
          </cell>
          <cell r="F2234" t="str">
            <v>N_B_N4621-0R-10X5PI27</v>
          </cell>
          <cell r="G2234">
            <v>100</v>
          </cell>
          <cell r="H2234" t="str">
            <v>10x 5'单细胞</v>
          </cell>
          <cell r="I2234" t="str">
            <v>WWH</v>
          </cell>
          <cell r="J2234">
            <v>41.4</v>
          </cell>
          <cell r="N2234" t="e">
            <v>#DIV/0!</v>
          </cell>
        </row>
        <row r="2235">
          <cell r="E2235" t="str">
            <v>HGC-Lib-2452388</v>
          </cell>
          <cell r="F2235" t="str">
            <v>N_B_N4621-0R-10X5TCRPI27-2</v>
          </cell>
          <cell r="G2235">
            <v>10</v>
          </cell>
          <cell r="H2235" t="str">
            <v>10X5TCR</v>
          </cell>
          <cell r="I2235" t="str">
            <v>WWH</v>
          </cell>
          <cell r="J2235">
            <v>44</v>
          </cell>
          <cell r="N2235" t="e">
            <v>#DIV/0!</v>
          </cell>
        </row>
        <row r="2236">
          <cell r="E2236" t="str">
            <v>HGC-Lib-2452389</v>
          </cell>
          <cell r="F2236" t="str">
            <v>N_B_N4621-0R-10X5BCRPI27-3</v>
          </cell>
          <cell r="G2236">
            <v>10</v>
          </cell>
          <cell r="H2236" t="str">
            <v>10X5BCR</v>
          </cell>
          <cell r="I2236" t="str">
            <v>WWH</v>
          </cell>
          <cell r="J2236">
            <v>29.4</v>
          </cell>
          <cell r="N2236" t="e">
            <v>#DIV/0!</v>
          </cell>
        </row>
        <row r="2237">
          <cell r="E2237" t="str">
            <v>HGC-Lib-2452390</v>
          </cell>
          <cell r="F2237" t="str">
            <v>N_B_N4619-17-BDv2liruitaoliaozhongxue</v>
          </cell>
          <cell r="G2237">
            <v>100</v>
          </cell>
          <cell r="H2237" t="str">
            <v>BD-单细胞</v>
          </cell>
          <cell r="I2237" t="str">
            <v>WWH</v>
          </cell>
          <cell r="J2237">
            <v>14.2</v>
          </cell>
          <cell r="N2237" t="e">
            <v>#DIV/0!</v>
          </cell>
        </row>
        <row r="2238">
          <cell r="E2238" t="str">
            <v>HGC-Lib-2452391</v>
          </cell>
          <cell r="F2238" t="str">
            <v>N_B_N4619-18-BDv2caishangjieliaozhongxue</v>
          </cell>
          <cell r="G2238">
            <v>100</v>
          </cell>
          <cell r="H2238" t="str">
            <v>BD-单细胞</v>
          </cell>
          <cell r="I2238" t="str">
            <v>WWH</v>
          </cell>
          <cell r="J2238">
            <v>16</v>
          </cell>
          <cell r="N2238" t="e">
            <v>#DIV/0!</v>
          </cell>
        </row>
        <row r="2239">
          <cell r="E2239" t="str">
            <v>HGC-Lib-2452392</v>
          </cell>
          <cell r="F2239" t="str">
            <v>N_B_N4617-2P-BDv2964P1</v>
          </cell>
          <cell r="G2239">
            <v>100</v>
          </cell>
          <cell r="H2239" t="str">
            <v>BD-单细胞</v>
          </cell>
          <cell r="I2239" t="str">
            <v>WWH</v>
          </cell>
          <cell r="J2239">
            <v>18.399999999999999</v>
          </cell>
          <cell r="N2239" t="e">
            <v>#DIV/0!</v>
          </cell>
        </row>
        <row r="2240">
          <cell r="E2240" t="str">
            <v>HGC-Lib-2452393</v>
          </cell>
          <cell r="F2240" t="str">
            <v>N_B_N4621-0U-BDv2964P2</v>
          </cell>
          <cell r="G2240">
            <v>100</v>
          </cell>
          <cell r="H2240" t="str">
            <v>BD-单细胞</v>
          </cell>
          <cell r="I2240" t="str">
            <v>WWH</v>
          </cell>
          <cell r="J2240">
            <v>19.600000000000001</v>
          </cell>
          <cell r="N2240" t="e">
            <v>#DIV/0!</v>
          </cell>
        </row>
        <row r="2241">
          <cell r="E2241" t="str">
            <v>HGC-Lib-2452394</v>
          </cell>
          <cell r="F2241" t="str">
            <v>N_B_N4621-0Z-BDv2964T1</v>
          </cell>
          <cell r="G2241">
            <v>100</v>
          </cell>
          <cell r="H2241" t="str">
            <v>BD-单细胞</v>
          </cell>
          <cell r="I2241" t="str">
            <v>WWH</v>
          </cell>
          <cell r="J2241">
            <v>20.2</v>
          </cell>
          <cell r="N2241" t="e">
            <v>#DIV/0!</v>
          </cell>
        </row>
        <row r="2242">
          <cell r="E2242" t="str">
            <v>HGC-Lib-2452395</v>
          </cell>
          <cell r="F2242" t="str">
            <v>N_B_N4621-0G-BDv21923629</v>
          </cell>
          <cell r="G2242">
            <v>100</v>
          </cell>
          <cell r="H2242" t="str">
            <v>BD-单细胞</v>
          </cell>
          <cell r="I2242" t="str">
            <v>WWH</v>
          </cell>
          <cell r="J2242">
            <v>19</v>
          </cell>
          <cell r="N2242" t="e">
            <v>#DIV/0!</v>
          </cell>
        </row>
        <row r="2243">
          <cell r="E2243" t="str">
            <v>HGC-Lib-2452396</v>
          </cell>
          <cell r="F2243" t="str">
            <v>N_B_N4621-0K-BDv2SWH-YXD</v>
          </cell>
          <cell r="G2243">
            <v>200</v>
          </cell>
          <cell r="H2243" t="str">
            <v>BD-单细胞</v>
          </cell>
          <cell r="I2243" t="str">
            <v>WWH</v>
          </cell>
          <cell r="J2243">
            <v>19.899999999999999</v>
          </cell>
          <cell r="N2243" t="e">
            <v>#DIV/0!</v>
          </cell>
        </row>
        <row r="2244">
          <cell r="E2244" t="str">
            <v>HGC-Lib-2452397</v>
          </cell>
          <cell r="F2244" t="str">
            <v>N_B_N4621-0M-BDv2SWH-WZD</v>
          </cell>
          <cell r="G2244">
            <v>200</v>
          </cell>
          <cell r="H2244" t="str">
            <v>BD-单细胞</v>
          </cell>
          <cell r="I2244" t="str">
            <v>WWH</v>
          </cell>
          <cell r="J2244">
            <v>22.4</v>
          </cell>
          <cell r="N2244" t="e">
            <v>#DIV/0!</v>
          </cell>
        </row>
        <row r="2245">
          <cell r="E2245" t="str">
            <v>HGC-Lib-2452398</v>
          </cell>
          <cell r="F2245" t="str">
            <v>N_B_N4621-0N-BDv2SWH-ZYD</v>
          </cell>
          <cell r="G2245">
            <v>200</v>
          </cell>
          <cell r="H2245" t="str">
            <v>BD-单细胞</v>
          </cell>
          <cell r="I2245" t="str">
            <v>WWH</v>
          </cell>
          <cell r="J2245">
            <v>22.4</v>
          </cell>
          <cell r="N2245" t="e">
            <v>#DIV/0!</v>
          </cell>
        </row>
        <row r="2246">
          <cell r="E2246" t="str">
            <v>HGC-Lib-2452399</v>
          </cell>
          <cell r="F2246" t="str">
            <v>N_B_N4621-0J-BDv2liruitaoliaohoupifu</v>
          </cell>
          <cell r="G2246">
            <v>100</v>
          </cell>
          <cell r="H2246" t="str">
            <v>BD-单细胞</v>
          </cell>
          <cell r="I2246" t="str">
            <v>WWH</v>
          </cell>
          <cell r="J2246">
            <v>14.4</v>
          </cell>
          <cell r="N2246" t="e">
            <v>#DIV/0!</v>
          </cell>
        </row>
        <row r="2247">
          <cell r="E2247" t="str">
            <v>HGC-Lib-2452400</v>
          </cell>
          <cell r="F2247" t="str">
            <v>N_B_N4613-4F-10X3KO-2</v>
          </cell>
          <cell r="G2247">
            <v>100</v>
          </cell>
          <cell r="H2247" t="str">
            <v>10× 3'单细胞</v>
          </cell>
          <cell r="I2247" t="str">
            <v>WWH</v>
          </cell>
          <cell r="J2247">
            <v>16.8</v>
          </cell>
          <cell r="N2247" t="e">
            <v>#DIV/0!</v>
          </cell>
        </row>
        <row r="2248">
          <cell r="E2248" t="str">
            <v>HGC-Lib-2452401</v>
          </cell>
          <cell r="F2248" t="str">
            <v>N_B_N4613-4G-10X3WT-1</v>
          </cell>
          <cell r="G2248">
            <v>100</v>
          </cell>
          <cell r="H2248" t="str">
            <v>10× 3'单细胞</v>
          </cell>
          <cell r="I2248" t="str">
            <v>WWH</v>
          </cell>
          <cell r="J2248">
            <v>22.6</v>
          </cell>
          <cell r="N2248" t="e">
            <v>#DIV/0!</v>
          </cell>
        </row>
        <row r="2249">
          <cell r="E2249" t="str">
            <v>HGC-POOL-2452474</v>
          </cell>
          <cell r="F2249" t="str">
            <v>PLN233</v>
          </cell>
          <cell r="G2249">
            <v>20</v>
          </cell>
          <cell r="H2249" t="str">
            <v>Chip-Seq</v>
          </cell>
          <cell r="I2249" t="str">
            <v>TY</v>
          </cell>
          <cell r="J2249">
            <v>3.56</v>
          </cell>
          <cell r="K2249">
            <v>450</v>
          </cell>
          <cell r="L2249" t="str">
            <v>ZZ</v>
          </cell>
          <cell r="N2249">
            <v>12.170940170940201</v>
          </cell>
        </row>
        <row r="2250">
          <cell r="E2250" t="str">
            <v>HGC-Lib-2452475</v>
          </cell>
          <cell r="F2250" t="str">
            <v>HYN-240704-R3</v>
          </cell>
          <cell r="G2250">
            <v>2</v>
          </cell>
          <cell r="H2250" t="str">
            <v>PCR片段文库</v>
          </cell>
          <cell r="I2250" t="str">
            <v>TY</v>
          </cell>
          <cell r="J2250">
            <v>41.2</v>
          </cell>
          <cell r="K2250">
            <v>530</v>
          </cell>
          <cell r="L2250" t="str">
            <v>ZZ</v>
          </cell>
          <cell r="N2250">
            <v>119.59361393323699</v>
          </cell>
        </row>
        <row r="2251">
          <cell r="E2251" t="str">
            <v>HGC-Lib-2452476</v>
          </cell>
          <cell r="F2251" t="str">
            <v>HYN-240704-R4</v>
          </cell>
          <cell r="G2251">
            <v>2</v>
          </cell>
          <cell r="H2251" t="str">
            <v>PCR片段文库</v>
          </cell>
          <cell r="I2251" t="str">
            <v>TY</v>
          </cell>
          <cell r="J2251">
            <v>90.8</v>
          </cell>
          <cell r="K2251">
            <v>600</v>
          </cell>
          <cell r="L2251" t="str">
            <v>ZZ</v>
          </cell>
          <cell r="N2251">
            <v>232.82051282051299</v>
          </cell>
        </row>
        <row r="2252">
          <cell r="E2252" t="str">
            <v>HGC-Lib-2452477</v>
          </cell>
          <cell r="F2252" t="str">
            <v>HYN-240704-R5</v>
          </cell>
          <cell r="G2252">
            <v>2</v>
          </cell>
          <cell r="H2252" t="str">
            <v>PCR片段文库</v>
          </cell>
          <cell r="I2252" t="str">
            <v>TY</v>
          </cell>
          <cell r="J2252">
            <v>47.8</v>
          </cell>
          <cell r="K2252">
            <v>504</v>
          </cell>
          <cell r="L2252" t="str">
            <v>ZZ</v>
          </cell>
          <cell r="N2252">
            <v>145.909645909646</v>
          </cell>
        </row>
        <row r="2253">
          <cell r="E2253" t="str">
            <v>HGC-Lib-2452478</v>
          </cell>
          <cell r="F2253" t="str">
            <v>HYN-240704-R6</v>
          </cell>
          <cell r="G2253">
            <v>2</v>
          </cell>
          <cell r="H2253" t="str">
            <v>PCR片段文库</v>
          </cell>
          <cell r="I2253" t="str">
            <v>TY</v>
          </cell>
          <cell r="J2253">
            <v>93</v>
          </cell>
          <cell r="K2253">
            <v>393</v>
          </cell>
          <cell r="L2253" t="str">
            <v>ZZ</v>
          </cell>
          <cell r="N2253">
            <v>364.06341749853198</v>
          </cell>
        </row>
        <row r="2254">
          <cell r="E2254" t="str">
            <v>HGC-Lib-2452479</v>
          </cell>
          <cell r="F2254" t="str">
            <v>HYN-240704-R7</v>
          </cell>
          <cell r="G2254">
            <v>2</v>
          </cell>
          <cell r="H2254" t="str">
            <v>PCR片段文库</v>
          </cell>
          <cell r="I2254" t="str">
            <v>TY</v>
          </cell>
          <cell r="J2254">
            <v>62</v>
          </cell>
          <cell r="K2254">
            <v>440</v>
          </cell>
          <cell r="L2254" t="str">
            <v>ZZ</v>
          </cell>
          <cell r="N2254">
            <v>216.783216783217</v>
          </cell>
        </row>
        <row r="2255">
          <cell r="E2255" t="str">
            <v>HGC-Lib-2452481</v>
          </cell>
          <cell r="F2255" t="str">
            <v>Rat-V37MI-Hitom-01</v>
          </cell>
          <cell r="G2255">
            <v>2</v>
          </cell>
          <cell r="H2255" t="str">
            <v>PCR片段文库</v>
          </cell>
          <cell r="I2255" t="str">
            <v>TY</v>
          </cell>
          <cell r="J2255">
            <v>70.8</v>
          </cell>
          <cell r="K2255">
            <v>337</v>
          </cell>
          <cell r="L2255" t="str">
            <v>ZZ</v>
          </cell>
          <cell r="N2255">
            <v>323.21387811002103</v>
          </cell>
        </row>
        <row r="2256">
          <cell r="E2256" t="str">
            <v>HGC-Lib-2452482</v>
          </cell>
          <cell r="F2256" t="str">
            <v>YL-24-7-R11</v>
          </cell>
          <cell r="G2256">
            <v>2</v>
          </cell>
          <cell r="H2256" t="str">
            <v>PCR产物文库</v>
          </cell>
          <cell r="I2256" t="str">
            <v>TY</v>
          </cell>
          <cell r="J2256">
            <v>81.2</v>
          </cell>
          <cell r="K2256">
            <v>402</v>
          </cell>
          <cell r="L2256" t="str">
            <v>ZZ</v>
          </cell>
          <cell r="N2256">
            <v>310.75392269422099</v>
          </cell>
        </row>
        <row r="2257">
          <cell r="E2257" t="str">
            <v>HGC-Lib-2452483</v>
          </cell>
          <cell r="F2257" t="str">
            <v>YL-24-7-R12</v>
          </cell>
          <cell r="G2257">
            <v>2</v>
          </cell>
          <cell r="H2257" t="str">
            <v>PCR产物文库</v>
          </cell>
          <cell r="I2257" t="str">
            <v>TY</v>
          </cell>
          <cell r="J2257">
            <v>83.6</v>
          </cell>
          <cell r="K2257">
            <v>449</v>
          </cell>
          <cell r="L2257" t="str">
            <v>ZZ</v>
          </cell>
          <cell r="N2257">
            <v>286.44851807435299</v>
          </cell>
        </row>
        <row r="2258">
          <cell r="E2258" t="str">
            <v>HGC-Lib-2452484</v>
          </cell>
          <cell r="F2258" t="str">
            <v>YL-24-7-R13</v>
          </cell>
          <cell r="G2258">
            <v>2</v>
          </cell>
          <cell r="H2258" t="str">
            <v>PCR产物文库</v>
          </cell>
          <cell r="I2258" t="str">
            <v>TY</v>
          </cell>
          <cell r="J2258">
            <v>83.8</v>
          </cell>
          <cell r="K2258">
            <v>454</v>
          </cell>
          <cell r="L2258" t="str">
            <v>ZZ</v>
          </cell>
          <cell r="N2258">
            <v>283.97153507285702</v>
          </cell>
        </row>
        <row r="2259">
          <cell r="E2259" t="str">
            <v>HGC-Lib-2452485</v>
          </cell>
          <cell r="F2259" t="str">
            <v>YL-24-7-R14</v>
          </cell>
          <cell r="G2259">
            <v>2</v>
          </cell>
          <cell r="H2259" t="str">
            <v>PCR产物文库</v>
          </cell>
          <cell r="I2259" t="str">
            <v>TY</v>
          </cell>
          <cell r="J2259">
            <v>87.2</v>
          </cell>
          <cell r="K2259">
            <v>388</v>
          </cell>
          <cell r="L2259" t="str">
            <v>ZZ</v>
          </cell>
          <cell r="N2259">
            <v>345.75733544805701</v>
          </cell>
        </row>
        <row r="2260">
          <cell r="E2260" t="str">
            <v>HGC-Lib-2452486</v>
          </cell>
          <cell r="F2260" t="str">
            <v>YL-24-7-R15</v>
          </cell>
          <cell r="G2260">
            <v>2</v>
          </cell>
          <cell r="H2260" t="str">
            <v>PCR产物文库</v>
          </cell>
          <cell r="I2260" t="str">
            <v>TY</v>
          </cell>
          <cell r="J2260">
            <v>85.8</v>
          </cell>
          <cell r="K2260">
            <v>402</v>
          </cell>
          <cell r="L2260" t="str">
            <v>ZZ</v>
          </cell>
          <cell r="N2260">
            <v>328.35820895522397</v>
          </cell>
        </row>
        <row r="2261">
          <cell r="E2261" t="str">
            <v>HGC-Lib-2452655</v>
          </cell>
          <cell r="F2261" t="str">
            <v>Mock-Con-1</v>
          </cell>
          <cell r="G2261">
            <v>6</v>
          </cell>
          <cell r="H2261" t="str">
            <v>mRNA文库</v>
          </cell>
          <cell r="I2261" t="str">
            <v>TY</v>
          </cell>
          <cell r="J2261">
            <v>4.04</v>
          </cell>
          <cell r="K2261">
            <v>523</v>
          </cell>
          <cell r="L2261" t="str">
            <v>ZZ</v>
          </cell>
          <cell r="N2261">
            <v>11.8841006030299</v>
          </cell>
        </row>
        <row r="2262">
          <cell r="E2262" t="str">
            <v>HGC-Lib-2452656</v>
          </cell>
          <cell r="F2262" t="str">
            <v>Mock-Con-2</v>
          </cell>
          <cell r="G2262">
            <v>6</v>
          </cell>
          <cell r="H2262" t="str">
            <v>mRNA文库</v>
          </cell>
          <cell r="I2262" t="str">
            <v>TY</v>
          </cell>
          <cell r="J2262">
            <v>4.8</v>
          </cell>
          <cell r="K2262">
            <v>655</v>
          </cell>
          <cell r="L2262" t="str">
            <v>ZZ</v>
          </cell>
          <cell r="N2262">
            <v>11.2742219612449</v>
          </cell>
        </row>
        <row r="2263">
          <cell r="E2263" t="str">
            <v>HGC-Lib-2452657</v>
          </cell>
          <cell r="F2263" t="str">
            <v>Mock-Con-3</v>
          </cell>
          <cell r="G2263">
            <v>6</v>
          </cell>
          <cell r="H2263" t="str">
            <v>mRNA文库</v>
          </cell>
          <cell r="I2263" t="str">
            <v>TY</v>
          </cell>
          <cell r="J2263">
            <v>71.8</v>
          </cell>
          <cell r="K2263">
            <v>515</v>
          </cell>
          <cell r="L2263" t="str">
            <v>ZZ</v>
          </cell>
          <cell r="N2263">
            <v>214.488424197162</v>
          </cell>
        </row>
        <row r="2264">
          <cell r="E2264" t="str">
            <v>HGC-Lib-2452658</v>
          </cell>
          <cell r="F2264" t="str">
            <v>Mock-Con-4</v>
          </cell>
          <cell r="G2264">
            <v>6</v>
          </cell>
          <cell r="H2264" t="str">
            <v>mRNA文库</v>
          </cell>
          <cell r="I2264" t="str">
            <v>TY</v>
          </cell>
          <cell r="J2264">
            <v>77.8</v>
          </cell>
          <cell r="K2264">
            <v>505</v>
          </cell>
          <cell r="L2264" t="str">
            <v>ZZ</v>
          </cell>
          <cell r="N2264">
            <v>237.01447067783701</v>
          </cell>
        </row>
        <row r="2265">
          <cell r="E2265" t="str">
            <v>HGC-Lib-2452659</v>
          </cell>
          <cell r="F2265" t="str">
            <v>Mock-Con-5</v>
          </cell>
          <cell r="G2265">
            <v>6</v>
          </cell>
          <cell r="H2265" t="str">
            <v>mRNA文库</v>
          </cell>
          <cell r="I2265" t="str">
            <v>TY</v>
          </cell>
          <cell r="J2265">
            <v>77.2</v>
          </cell>
          <cell r="K2265">
            <v>555</v>
          </cell>
          <cell r="L2265" t="str">
            <v>ZZ</v>
          </cell>
          <cell r="N2265">
            <v>213.99861399861399</v>
          </cell>
        </row>
        <row r="2266">
          <cell r="E2266" t="str">
            <v>HGC-Lib-2452660</v>
          </cell>
          <cell r="F2266" t="str">
            <v>Mock-25HC-1</v>
          </cell>
          <cell r="G2266">
            <v>6</v>
          </cell>
          <cell r="H2266" t="str">
            <v>mRNA文库</v>
          </cell>
          <cell r="I2266" t="str">
            <v>ZZ</v>
          </cell>
          <cell r="J2266">
            <v>43.2</v>
          </cell>
          <cell r="K2266">
            <v>508</v>
          </cell>
          <cell r="L2266" t="str">
            <v>ZZ</v>
          </cell>
          <cell r="N2266">
            <v>130.82980012113899</v>
          </cell>
        </row>
        <row r="2267">
          <cell r="E2267" t="str">
            <v>HGC-Lib-2452661</v>
          </cell>
          <cell r="F2267" t="str">
            <v>Mock-25HC-2</v>
          </cell>
          <cell r="G2267">
            <v>6</v>
          </cell>
          <cell r="H2267" t="str">
            <v>mRNA文库</v>
          </cell>
          <cell r="I2267" t="str">
            <v>ZZ</v>
          </cell>
          <cell r="J2267">
            <v>9.5399999999999991</v>
          </cell>
          <cell r="K2267">
            <v>588</v>
          </cell>
          <cell r="L2267" t="str">
            <v>ZZ</v>
          </cell>
          <cell r="N2267">
            <v>24.9607535321821</v>
          </cell>
        </row>
        <row r="2268">
          <cell r="E2268" t="str">
            <v>HGC-Lib-2452662</v>
          </cell>
          <cell r="F2268" t="str">
            <v>Mock-25HC-3</v>
          </cell>
          <cell r="G2268">
            <v>6</v>
          </cell>
          <cell r="H2268" t="str">
            <v>mRNA文库</v>
          </cell>
          <cell r="I2268" t="str">
            <v>ZZ</v>
          </cell>
          <cell r="J2268">
            <v>35.4</v>
          </cell>
          <cell r="K2268">
            <v>516</v>
          </cell>
          <cell r="L2268" t="str">
            <v>ZZ</v>
          </cell>
          <cell r="N2268">
            <v>105.54561717352399</v>
          </cell>
        </row>
        <row r="2269">
          <cell r="E2269" t="str">
            <v>HGC-Lib-2452663</v>
          </cell>
          <cell r="F2269" t="str">
            <v>Mock-25HC-4</v>
          </cell>
          <cell r="G2269">
            <v>6</v>
          </cell>
          <cell r="H2269" t="str">
            <v>mRNA文库</v>
          </cell>
          <cell r="I2269" t="str">
            <v>ZZ</v>
          </cell>
          <cell r="J2269">
            <v>34.200000000000003</v>
          </cell>
          <cell r="K2269">
            <v>515</v>
          </cell>
          <cell r="L2269" t="str">
            <v>ZZ</v>
          </cell>
          <cell r="N2269">
            <v>102.165795369679</v>
          </cell>
        </row>
        <row r="2270">
          <cell r="E2270" t="str">
            <v>HGC-Lib-2452664</v>
          </cell>
          <cell r="F2270" t="str">
            <v>Mock-25HC-5</v>
          </cell>
          <cell r="G2270">
            <v>6</v>
          </cell>
          <cell r="H2270" t="str">
            <v>mRNA文库</v>
          </cell>
          <cell r="I2270" t="str">
            <v>HZK</v>
          </cell>
          <cell r="J2270">
            <v>52.2</v>
          </cell>
          <cell r="K2270">
            <v>505</v>
          </cell>
          <cell r="L2270" t="str">
            <v>ZZ</v>
          </cell>
          <cell r="N2270">
            <v>159.02513328255901</v>
          </cell>
        </row>
        <row r="2271">
          <cell r="E2271" t="str">
            <v>HGC-Lib-2452665</v>
          </cell>
          <cell r="F2271" t="str">
            <v>TCM-Con-1</v>
          </cell>
          <cell r="G2271">
            <v>6</v>
          </cell>
          <cell r="H2271" t="str">
            <v>mRNA文库</v>
          </cell>
          <cell r="I2271" t="str">
            <v>HZK</v>
          </cell>
          <cell r="J2271">
            <v>45</v>
          </cell>
          <cell r="K2271">
            <v>560</v>
          </cell>
          <cell r="L2271" t="str">
            <v>ZZ</v>
          </cell>
          <cell r="N2271">
            <v>123.626373626374</v>
          </cell>
        </row>
        <row r="2272">
          <cell r="E2272" t="str">
            <v>HGC-Lib-2452666</v>
          </cell>
          <cell r="F2272" t="str">
            <v>TCM-Con-2</v>
          </cell>
          <cell r="G2272">
            <v>6</v>
          </cell>
          <cell r="H2272" t="str">
            <v>mRNA文库</v>
          </cell>
          <cell r="I2272" t="str">
            <v>HZK</v>
          </cell>
          <cell r="J2272">
            <v>16.5</v>
          </cell>
          <cell r="K2272">
            <v>541</v>
          </cell>
          <cell r="L2272" t="str">
            <v>ZZ</v>
          </cell>
          <cell r="N2272">
            <v>46.921655054741898</v>
          </cell>
        </row>
        <row r="2273">
          <cell r="E2273" t="str">
            <v>HGC-Lib-2452667</v>
          </cell>
          <cell r="F2273" t="str">
            <v>TCM-Con-3</v>
          </cell>
          <cell r="G2273">
            <v>6</v>
          </cell>
          <cell r="H2273" t="str">
            <v>mRNA文库</v>
          </cell>
          <cell r="I2273" t="str">
            <v>HZK</v>
          </cell>
          <cell r="J2273">
            <v>43.2</v>
          </cell>
          <cell r="K2273">
            <v>509</v>
          </cell>
          <cell r="L2273" t="str">
            <v>ZZ</v>
          </cell>
          <cell r="N2273">
            <v>130.572767115007</v>
          </cell>
        </row>
        <row r="2274">
          <cell r="E2274" t="str">
            <v>HGC-Lib-2452668</v>
          </cell>
          <cell r="F2274" t="str">
            <v>TCM-Con-4</v>
          </cell>
          <cell r="G2274">
            <v>6</v>
          </cell>
          <cell r="H2274" t="str">
            <v>mRNA文库</v>
          </cell>
          <cell r="I2274" t="str">
            <v>HZK</v>
          </cell>
          <cell r="J2274">
            <v>38.4</v>
          </cell>
          <cell r="K2274">
            <v>411</v>
          </cell>
          <cell r="L2274" t="str">
            <v>ZZ</v>
          </cell>
          <cell r="N2274">
            <v>143.73947220662501</v>
          </cell>
        </row>
        <row r="2275">
          <cell r="E2275" t="str">
            <v>HGC-Lib-2452669</v>
          </cell>
          <cell r="F2275" t="str">
            <v>TCM-Con-5</v>
          </cell>
          <cell r="G2275">
            <v>6</v>
          </cell>
          <cell r="H2275" t="str">
            <v>mRNA文库</v>
          </cell>
          <cell r="I2275" t="str">
            <v>HZK</v>
          </cell>
          <cell r="J2275">
            <v>28.4</v>
          </cell>
          <cell r="K2275">
            <v>585</v>
          </cell>
          <cell r="L2275" t="str">
            <v>ZZ</v>
          </cell>
          <cell r="N2275">
            <v>74.6877054569362</v>
          </cell>
        </row>
        <row r="2276">
          <cell r="E2276" t="str">
            <v>HGC-Lib-2452670</v>
          </cell>
          <cell r="F2276" t="str">
            <v>TCM-25HC-1</v>
          </cell>
          <cell r="G2276">
            <v>6</v>
          </cell>
          <cell r="H2276" t="str">
            <v>mRNA文库</v>
          </cell>
          <cell r="I2276" t="str">
            <v>HZK</v>
          </cell>
          <cell r="J2276">
            <v>53.6</v>
          </cell>
          <cell r="K2276">
            <v>502</v>
          </cell>
          <cell r="L2276" t="str">
            <v>ZZ</v>
          </cell>
          <cell r="N2276">
            <v>164.26601287159099</v>
          </cell>
        </row>
        <row r="2277">
          <cell r="E2277" t="str">
            <v>HGC-Lib-2452671</v>
          </cell>
          <cell r="F2277" t="str">
            <v>TCM-25HC-2</v>
          </cell>
          <cell r="G2277">
            <v>6</v>
          </cell>
          <cell r="H2277" t="str">
            <v>mRNA文库</v>
          </cell>
          <cell r="I2277" t="str">
            <v>HZK</v>
          </cell>
          <cell r="J2277">
            <v>56.4</v>
          </cell>
          <cell r="K2277">
            <v>497</v>
          </cell>
          <cell r="L2277" t="str">
            <v>ZZ</v>
          </cell>
          <cell r="N2277">
            <v>174.585977402879</v>
          </cell>
        </row>
        <row r="2278">
          <cell r="E2278" t="str">
            <v>HGC-Lib-2452672</v>
          </cell>
          <cell r="F2278" t="str">
            <v>TCM-25HC-3</v>
          </cell>
          <cell r="G2278">
            <v>6</v>
          </cell>
          <cell r="H2278" t="str">
            <v>mRNA文库</v>
          </cell>
          <cell r="I2278" t="str">
            <v>HZK</v>
          </cell>
          <cell r="J2278">
            <v>59.4</v>
          </cell>
          <cell r="K2278">
            <v>515</v>
          </cell>
          <cell r="L2278" t="str">
            <v>ZZ</v>
          </cell>
          <cell r="N2278">
            <v>177.44585511575801</v>
          </cell>
        </row>
        <row r="2279">
          <cell r="E2279" t="str">
            <v>HGC-Lib-2452673</v>
          </cell>
          <cell r="F2279" t="str">
            <v>TCM-25HC-4</v>
          </cell>
          <cell r="G2279">
            <v>6</v>
          </cell>
          <cell r="H2279" t="str">
            <v>mRNA文库</v>
          </cell>
          <cell r="I2279" t="str">
            <v>HZK</v>
          </cell>
          <cell r="J2279">
            <v>100</v>
          </cell>
          <cell r="K2279">
            <v>502</v>
          </cell>
          <cell r="L2279" t="str">
            <v>ZZ</v>
          </cell>
          <cell r="N2279">
            <v>306.466441924609</v>
          </cell>
        </row>
        <row r="2280">
          <cell r="E2280" t="str">
            <v>HGC-Lib-2452674</v>
          </cell>
          <cell r="F2280" t="str">
            <v>TCM-25HC-5</v>
          </cell>
          <cell r="G2280">
            <v>6</v>
          </cell>
          <cell r="H2280" t="str">
            <v>mRNA文库</v>
          </cell>
          <cell r="I2280" t="str">
            <v>HZK</v>
          </cell>
          <cell r="J2280">
            <v>55.4</v>
          </cell>
          <cell r="K2280">
            <v>503</v>
          </cell>
          <cell r="L2280" t="str">
            <v>ZZ</v>
          </cell>
          <cell r="N2280">
            <v>169.44486924606201</v>
          </cell>
        </row>
        <row r="2281">
          <cell r="E2281" t="str">
            <v>HGC-Lib-2452675</v>
          </cell>
          <cell r="F2281" t="str">
            <v>NPM4-1</v>
          </cell>
          <cell r="G2281">
            <v>6</v>
          </cell>
          <cell r="H2281" t="str">
            <v>mRNA文库</v>
          </cell>
          <cell r="I2281" t="str">
            <v>HZK</v>
          </cell>
          <cell r="J2281">
            <v>17.399999999999999</v>
          </cell>
          <cell r="K2281">
            <v>461</v>
          </cell>
          <cell r="L2281" t="str">
            <v>ZZ</v>
          </cell>
          <cell r="N2281">
            <v>58.067745703320497</v>
          </cell>
        </row>
        <row r="2282">
          <cell r="E2282" t="str">
            <v>HGC-Lib-2452676</v>
          </cell>
          <cell r="F2282" t="str">
            <v>NPM4-2</v>
          </cell>
          <cell r="G2282">
            <v>6</v>
          </cell>
          <cell r="H2282" t="str">
            <v>mRNA文库</v>
          </cell>
          <cell r="I2282" t="str">
            <v>HZK</v>
          </cell>
          <cell r="J2282">
            <v>81.599999999999994</v>
          </cell>
          <cell r="K2282">
            <v>481</v>
          </cell>
          <cell r="L2282" t="str">
            <v>ZZ</v>
          </cell>
          <cell r="N2282">
            <v>260.99472253318402</v>
          </cell>
        </row>
        <row r="2283">
          <cell r="E2283" t="str">
            <v>HGC-Lib-2452677</v>
          </cell>
          <cell r="F2283" t="str">
            <v>NPM4-3</v>
          </cell>
          <cell r="G2283">
            <v>6</v>
          </cell>
          <cell r="H2283" t="str">
            <v>mRNA文库</v>
          </cell>
          <cell r="I2283" t="str">
            <v>HZK</v>
          </cell>
          <cell r="J2283">
            <v>37.6</v>
          </cell>
          <cell r="K2283">
            <v>478</v>
          </cell>
          <cell r="L2283" t="str">
            <v>ZZ</v>
          </cell>
          <cell r="N2283">
            <v>121.017058255552</v>
          </cell>
        </row>
        <row r="2284">
          <cell r="E2284" t="str">
            <v>HGC-Lib-2452678</v>
          </cell>
          <cell r="F2284" t="str">
            <v>NPM8-1</v>
          </cell>
          <cell r="G2284">
            <v>6</v>
          </cell>
          <cell r="H2284" t="str">
            <v>mRNA文库</v>
          </cell>
          <cell r="I2284" t="str">
            <v>HZK</v>
          </cell>
          <cell r="J2284">
            <v>20.8</v>
          </cell>
          <cell r="K2284">
            <v>513</v>
          </cell>
          <cell r="L2284" t="str">
            <v>ZZ</v>
          </cell>
          <cell r="N2284">
            <v>62.378167641325497</v>
          </cell>
        </row>
        <row r="2285">
          <cell r="E2285" t="str">
            <v>HGC-Lib-2452679</v>
          </cell>
          <cell r="F2285" t="str">
            <v>NPM8-2</v>
          </cell>
          <cell r="G2285">
            <v>6</v>
          </cell>
          <cell r="H2285" t="str">
            <v>mRNA文库</v>
          </cell>
          <cell r="I2285" t="str">
            <v>HZK</v>
          </cell>
          <cell r="J2285">
            <v>6.9</v>
          </cell>
          <cell r="K2285">
            <v>726</v>
          </cell>
          <cell r="L2285" t="str">
            <v>ZZ</v>
          </cell>
          <cell r="N2285">
            <v>14.621741894469199</v>
          </cell>
        </row>
        <row r="2286">
          <cell r="E2286" t="str">
            <v>HGC-Lib-2452680</v>
          </cell>
          <cell r="F2286" t="str">
            <v>NPM8-3</v>
          </cell>
          <cell r="G2286">
            <v>6</v>
          </cell>
          <cell r="H2286" t="str">
            <v>mRNA文库</v>
          </cell>
          <cell r="I2286" t="str">
            <v>HZK</v>
          </cell>
          <cell r="J2286">
            <v>13.2</v>
          </cell>
          <cell r="K2286">
            <v>511</v>
          </cell>
          <cell r="L2286" t="str">
            <v>ZZ</v>
          </cell>
          <cell r="N2286">
            <v>39.7410808369712</v>
          </cell>
        </row>
        <row r="2287">
          <cell r="E2287" t="str">
            <v>HGC-Lib-2452681</v>
          </cell>
          <cell r="F2287" t="str">
            <v>Vector_1</v>
          </cell>
          <cell r="G2287">
            <v>6</v>
          </cell>
          <cell r="H2287" t="str">
            <v>mRNA文库</v>
          </cell>
          <cell r="I2287" t="str">
            <v>HZK</v>
          </cell>
          <cell r="J2287">
            <v>52</v>
          </cell>
          <cell r="K2287">
            <v>471</v>
          </cell>
          <cell r="L2287" t="str">
            <v>ZZ</v>
          </cell>
          <cell r="N2287">
            <v>169.85138004246301</v>
          </cell>
        </row>
        <row r="2288">
          <cell r="E2288" t="str">
            <v>HGC-Lib-2452682</v>
          </cell>
          <cell r="F2288" t="str">
            <v>pCDH-PFKL_1</v>
          </cell>
          <cell r="G2288">
            <v>6</v>
          </cell>
          <cell r="H2288" t="str">
            <v>mRNA文库</v>
          </cell>
          <cell r="I2288" t="str">
            <v>HZK</v>
          </cell>
          <cell r="J2288">
            <v>53.6</v>
          </cell>
          <cell r="K2288">
            <v>469</v>
          </cell>
          <cell r="L2288" t="str">
            <v>ZZ</v>
          </cell>
          <cell r="N2288">
            <v>175.824175824176</v>
          </cell>
        </row>
        <row r="2289">
          <cell r="E2289" t="str">
            <v>HGC-Lib-2452683</v>
          </cell>
          <cell r="F2289" t="str">
            <v>Vector_2</v>
          </cell>
          <cell r="G2289">
            <v>6</v>
          </cell>
          <cell r="H2289" t="str">
            <v>mRNA文库</v>
          </cell>
          <cell r="I2289" t="str">
            <v>HZK</v>
          </cell>
          <cell r="J2289">
            <v>59.2</v>
          </cell>
          <cell r="K2289">
            <v>465</v>
          </cell>
          <cell r="L2289" t="str">
            <v>ZZ</v>
          </cell>
          <cell r="N2289">
            <v>195.86435070306001</v>
          </cell>
        </row>
        <row r="2290">
          <cell r="E2290" t="str">
            <v>HGC-Lib-2452684</v>
          </cell>
          <cell r="F2290" t="str">
            <v>pCDH-PFKL_2</v>
          </cell>
          <cell r="G2290">
            <v>6</v>
          </cell>
          <cell r="H2290" t="str">
            <v>mRNA文库</v>
          </cell>
          <cell r="I2290" t="str">
            <v>HZK</v>
          </cell>
          <cell r="J2290">
            <v>42.4</v>
          </cell>
          <cell r="K2290">
            <v>464</v>
          </cell>
          <cell r="L2290" t="str">
            <v>ZZ</v>
          </cell>
          <cell r="N2290">
            <v>140.58355437665799</v>
          </cell>
        </row>
        <row r="2291">
          <cell r="E2291" t="str">
            <v>HGC-Lib-2452685</v>
          </cell>
          <cell r="F2291" t="str">
            <v>Vector_3</v>
          </cell>
          <cell r="G2291">
            <v>6</v>
          </cell>
          <cell r="H2291" t="str">
            <v>mRNA文库</v>
          </cell>
          <cell r="I2291" t="str">
            <v>HZK</v>
          </cell>
          <cell r="J2291">
            <v>43.2</v>
          </cell>
          <cell r="K2291">
            <v>463</v>
          </cell>
          <cell r="L2291" t="str">
            <v>ZZ</v>
          </cell>
          <cell r="N2291">
            <v>143.545439441768</v>
          </cell>
        </row>
        <row r="2292">
          <cell r="E2292" t="str">
            <v>HGC-Lib-2452686</v>
          </cell>
          <cell r="F2292" t="str">
            <v>pCDH-PFKL_3</v>
          </cell>
          <cell r="G2292">
            <v>6</v>
          </cell>
          <cell r="H2292" t="str">
            <v>mRNA文库</v>
          </cell>
          <cell r="I2292" t="str">
            <v>HZK</v>
          </cell>
          <cell r="J2292">
            <v>42.8</v>
          </cell>
          <cell r="K2292">
            <v>451</v>
          </cell>
          <cell r="L2292" t="str">
            <v>ZZ</v>
          </cell>
          <cell r="N2292">
            <v>146.00034112229201</v>
          </cell>
        </row>
        <row r="2293">
          <cell r="E2293" t="str">
            <v>HGC-Lib-2452687</v>
          </cell>
          <cell r="F2293" t="str">
            <v>sh-1 4.28-1</v>
          </cell>
          <cell r="G2293">
            <v>6</v>
          </cell>
          <cell r="H2293" t="str">
            <v>mRNA文库</v>
          </cell>
          <cell r="I2293" t="str">
            <v>HZK</v>
          </cell>
          <cell r="J2293">
            <v>79.400000000000006</v>
          </cell>
          <cell r="K2293">
            <v>370</v>
          </cell>
          <cell r="L2293" t="str">
            <v>ZZ</v>
          </cell>
          <cell r="N2293">
            <v>330.14553014553002</v>
          </cell>
        </row>
        <row r="2294">
          <cell r="E2294" t="str">
            <v>HGC-Lib-2452688</v>
          </cell>
          <cell r="F2294" t="str">
            <v>sh-1 4.28-2</v>
          </cell>
          <cell r="G2294">
            <v>6</v>
          </cell>
          <cell r="H2294" t="str">
            <v>mRNA文库</v>
          </cell>
          <cell r="I2294" t="str">
            <v>HZK</v>
          </cell>
          <cell r="J2294">
            <v>70.400000000000006</v>
          </cell>
          <cell r="K2294">
            <v>644</v>
          </cell>
          <cell r="L2294" t="str">
            <v>ZZ</v>
          </cell>
          <cell r="N2294">
            <v>168.179646440516</v>
          </cell>
        </row>
        <row r="2295">
          <cell r="E2295" t="str">
            <v>HGC-Lib-2452689</v>
          </cell>
          <cell r="F2295" t="str">
            <v>DMSO-1</v>
          </cell>
          <cell r="G2295">
            <v>6</v>
          </cell>
          <cell r="H2295" t="str">
            <v>mRNA文库</v>
          </cell>
          <cell r="I2295" t="str">
            <v>HZK</v>
          </cell>
          <cell r="J2295">
            <v>94.8</v>
          </cell>
          <cell r="K2295">
            <v>435</v>
          </cell>
          <cell r="L2295" t="str">
            <v>ZZ</v>
          </cell>
          <cell r="N2295">
            <v>335.27851458885903</v>
          </cell>
        </row>
        <row r="2296">
          <cell r="E2296" t="str">
            <v>HGC-Lib-2452690</v>
          </cell>
          <cell r="F2296" t="str">
            <v>DMSO-2</v>
          </cell>
          <cell r="G2296">
            <v>6</v>
          </cell>
          <cell r="H2296" t="str">
            <v>mRNA文库</v>
          </cell>
          <cell r="I2296" t="str">
            <v>HZK</v>
          </cell>
          <cell r="J2296">
            <v>42.6</v>
          </cell>
          <cell r="K2296">
            <v>446</v>
          </cell>
          <cell r="L2296" t="str">
            <v>ZZ</v>
          </cell>
          <cell r="N2296">
            <v>146.94722318040701</v>
          </cell>
        </row>
        <row r="2297">
          <cell r="E2297" t="str">
            <v>HGC-Lib-2452691</v>
          </cell>
          <cell r="F2297" t="str">
            <v>DMSO-3</v>
          </cell>
          <cell r="G2297">
            <v>6</v>
          </cell>
          <cell r="H2297" t="str">
            <v>mRNA文库</v>
          </cell>
          <cell r="I2297" t="str">
            <v>HZK</v>
          </cell>
          <cell r="J2297">
            <v>63.4</v>
          </cell>
          <cell r="K2297">
            <v>428</v>
          </cell>
          <cell r="L2297" t="str">
            <v>ZZ</v>
          </cell>
          <cell r="N2297">
            <v>227.89360172537701</v>
          </cell>
        </row>
        <row r="2298">
          <cell r="E2298" t="str">
            <v>HGC-Lib-2452692</v>
          </cell>
          <cell r="F2298" t="str">
            <v>IFN-1</v>
          </cell>
          <cell r="G2298">
            <v>6</v>
          </cell>
          <cell r="H2298" t="str">
            <v>mRNA文库</v>
          </cell>
          <cell r="I2298" t="str">
            <v>HZK</v>
          </cell>
          <cell r="J2298">
            <v>47.4</v>
          </cell>
          <cell r="K2298">
            <v>421</v>
          </cell>
          <cell r="L2298" t="str">
            <v>ZZ</v>
          </cell>
          <cell r="N2298">
            <v>173.21395943723701</v>
          </cell>
        </row>
        <row r="2299">
          <cell r="E2299" t="str">
            <v>HGC-Lib-2452693</v>
          </cell>
          <cell r="F2299" t="str">
            <v>IFN-2</v>
          </cell>
          <cell r="G2299">
            <v>6</v>
          </cell>
          <cell r="H2299" t="str">
            <v>mRNA文库</v>
          </cell>
          <cell r="I2299" t="str">
            <v>HZK</v>
          </cell>
          <cell r="J2299">
            <v>44.4</v>
          </cell>
          <cell r="K2299">
            <v>477</v>
          </cell>
          <cell r="L2299" t="str">
            <v>ZZ</v>
          </cell>
          <cell r="N2299">
            <v>143.20270924044499</v>
          </cell>
        </row>
        <row r="2300">
          <cell r="E2300" t="str">
            <v>HGC-Lib-2452694</v>
          </cell>
          <cell r="F2300" t="str">
            <v>IFN-3</v>
          </cell>
          <cell r="G2300">
            <v>6</v>
          </cell>
          <cell r="H2300" t="str">
            <v>mRNA文库</v>
          </cell>
          <cell r="I2300" t="str">
            <v>HZK</v>
          </cell>
          <cell r="J2300">
            <v>41</v>
          </cell>
          <cell r="K2300">
            <v>438</v>
          </cell>
          <cell r="L2300" t="str">
            <v>ZZ</v>
          </cell>
          <cell r="N2300">
            <v>144.01123990165101</v>
          </cell>
        </row>
        <row r="2301">
          <cell r="E2301" t="str">
            <v>HGC-Lib-2452695</v>
          </cell>
          <cell r="F2301" t="str">
            <v>0.5-1</v>
          </cell>
          <cell r="G2301">
            <v>6</v>
          </cell>
          <cell r="H2301" t="str">
            <v>mRNA文库</v>
          </cell>
          <cell r="I2301" t="str">
            <v>HZK</v>
          </cell>
          <cell r="J2301">
            <v>14.9</v>
          </cell>
          <cell r="K2301">
            <v>441</v>
          </cell>
          <cell r="L2301" t="str">
            <v>ZZ</v>
          </cell>
          <cell r="N2301">
            <v>51.979766265480599</v>
          </cell>
        </row>
        <row r="2302">
          <cell r="E2302" t="str">
            <v>HGC-Lib-2452696</v>
          </cell>
          <cell r="F2302" t="str">
            <v>0.5-2</v>
          </cell>
          <cell r="G2302">
            <v>6</v>
          </cell>
          <cell r="H2302" t="str">
            <v>mRNA文库</v>
          </cell>
          <cell r="I2302" t="str">
            <v>HZK</v>
          </cell>
          <cell r="J2302">
            <v>65.8</v>
          </cell>
          <cell r="K2302">
            <v>412</v>
          </cell>
          <cell r="L2302" t="str">
            <v>ZZ</v>
          </cell>
          <cell r="N2302">
            <v>245.70575056011899</v>
          </cell>
        </row>
        <row r="2303">
          <cell r="E2303" t="str">
            <v>HGC-Lib-2452697</v>
          </cell>
          <cell r="F2303" t="str">
            <v>0.5-3</v>
          </cell>
          <cell r="G2303">
            <v>6</v>
          </cell>
          <cell r="H2303" t="str">
            <v>mRNA文库</v>
          </cell>
          <cell r="I2303" t="str">
            <v>HZK</v>
          </cell>
          <cell r="J2303">
            <v>10.8</v>
          </cell>
          <cell r="K2303">
            <v>447</v>
          </cell>
          <cell r="L2303" t="str">
            <v>ZZ</v>
          </cell>
          <cell r="N2303">
            <v>37.1708828084667</v>
          </cell>
        </row>
        <row r="2304">
          <cell r="E2304" t="str">
            <v>HGC-Lib-2452698</v>
          </cell>
          <cell r="F2304" t="str">
            <v>SSK-1</v>
          </cell>
          <cell r="G2304">
            <v>6</v>
          </cell>
          <cell r="H2304" t="str">
            <v>mRNA文库</v>
          </cell>
          <cell r="I2304" t="str">
            <v>HZK</v>
          </cell>
          <cell r="J2304">
            <v>69.599999999999994</v>
          </cell>
          <cell r="K2304">
            <v>469</v>
          </cell>
          <cell r="L2304" t="str">
            <v>ZZ</v>
          </cell>
          <cell r="N2304">
            <v>228.30900442840701</v>
          </cell>
        </row>
        <row r="2305">
          <cell r="E2305" t="str">
            <v>HGC-Lib-2452699</v>
          </cell>
          <cell r="F2305" t="str">
            <v>SSK-2</v>
          </cell>
          <cell r="G2305">
            <v>6</v>
          </cell>
          <cell r="H2305" t="str">
            <v>mRNA文库</v>
          </cell>
          <cell r="I2305" t="str">
            <v>HZK</v>
          </cell>
          <cell r="J2305">
            <v>47.4</v>
          </cell>
          <cell r="K2305">
            <v>426</v>
          </cell>
          <cell r="L2305" t="str">
            <v>ZZ</v>
          </cell>
          <cell r="N2305">
            <v>171.18093174431201</v>
          </cell>
        </row>
        <row r="2306">
          <cell r="E2306" t="str">
            <v>HGC-Lib-2452700</v>
          </cell>
          <cell r="F2306" t="str">
            <v>SSK-3</v>
          </cell>
          <cell r="G2306">
            <v>6</v>
          </cell>
          <cell r="H2306" t="str">
            <v>mRNA文库</v>
          </cell>
          <cell r="I2306" t="str">
            <v>HZK</v>
          </cell>
          <cell r="J2306">
            <v>43.2</v>
          </cell>
          <cell r="K2306">
            <v>435</v>
          </cell>
          <cell r="L2306" t="str">
            <v>ZZ</v>
          </cell>
          <cell r="N2306">
            <v>152.785145888594</v>
          </cell>
        </row>
        <row r="2307">
          <cell r="E2307" t="str">
            <v>HGC-Lib-2452701</v>
          </cell>
          <cell r="F2307" t="str">
            <v>KD1</v>
          </cell>
          <cell r="G2307">
            <v>6</v>
          </cell>
          <cell r="H2307" t="str">
            <v>mRNA文库</v>
          </cell>
          <cell r="I2307" t="str">
            <v>HZK</v>
          </cell>
          <cell r="J2307">
            <v>54.4</v>
          </cell>
          <cell r="K2307">
            <v>476</v>
          </cell>
          <cell r="L2307" t="str">
            <v>ZZ</v>
          </cell>
          <cell r="N2307">
            <v>175.824175824176</v>
          </cell>
        </row>
        <row r="2308">
          <cell r="E2308" t="str">
            <v>HGC-Lib-2452702</v>
          </cell>
          <cell r="F2308" t="str">
            <v>KD2</v>
          </cell>
          <cell r="G2308">
            <v>6</v>
          </cell>
          <cell r="H2308" t="str">
            <v>mRNA文库</v>
          </cell>
          <cell r="I2308" t="str">
            <v>HZK</v>
          </cell>
          <cell r="J2308">
            <v>42.8</v>
          </cell>
          <cell r="K2308">
            <v>499</v>
          </cell>
          <cell r="L2308" t="str">
            <v>ZZ</v>
          </cell>
          <cell r="N2308">
            <v>131.95622013257301</v>
          </cell>
        </row>
        <row r="2309">
          <cell r="E2309" t="str">
            <v>HGC-Lib-2452703</v>
          </cell>
          <cell r="F2309" t="str">
            <v>KD3</v>
          </cell>
          <cell r="G2309">
            <v>6</v>
          </cell>
          <cell r="H2309" t="str">
            <v>mRNA文库</v>
          </cell>
          <cell r="I2309" t="str">
            <v>HZK</v>
          </cell>
          <cell r="J2309">
            <v>60.4</v>
          </cell>
          <cell r="K2309">
            <v>445</v>
          </cell>
          <cell r="L2309" t="str">
            <v>ZZ</v>
          </cell>
          <cell r="N2309">
            <v>208.81590319792599</v>
          </cell>
        </row>
        <row r="2310">
          <cell r="E2310" t="str">
            <v>HGC-Lib-2452704</v>
          </cell>
          <cell r="F2310" t="str">
            <v>NC1</v>
          </cell>
          <cell r="G2310">
            <v>6</v>
          </cell>
          <cell r="H2310" t="str">
            <v>mRNA文库</v>
          </cell>
          <cell r="I2310" t="str">
            <v>HZK</v>
          </cell>
          <cell r="J2310">
            <v>62.8</v>
          </cell>
          <cell r="K2310">
            <v>484</v>
          </cell>
          <cell r="L2310" t="str">
            <v>ZZ</v>
          </cell>
          <cell r="N2310">
            <v>199.61856325492701</v>
          </cell>
        </row>
        <row r="2311">
          <cell r="E2311" t="str">
            <v>HGC-Lib-2452705</v>
          </cell>
          <cell r="F2311" t="str">
            <v>NC2</v>
          </cell>
          <cell r="G2311">
            <v>6</v>
          </cell>
          <cell r="H2311" t="str">
            <v>mRNA文库</v>
          </cell>
          <cell r="I2311" t="str">
            <v>HZK</v>
          </cell>
          <cell r="J2311">
            <v>17.7</v>
          </cell>
          <cell r="K2311">
            <v>433</v>
          </cell>
          <cell r="L2311" t="str">
            <v>ZZ</v>
          </cell>
          <cell r="N2311">
            <v>62.888612542192199</v>
          </cell>
        </row>
        <row r="2312">
          <cell r="E2312" t="str">
            <v>HGC-Lib-2452706</v>
          </cell>
          <cell r="F2312" t="str">
            <v>NC3</v>
          </cell>
          <cell r="G2312">
            <v>6</v>
          </cell>
          <cell r="H2312" t="str">
            <v>mRNA文库</v>
          </cell>
          <cell r="I2312" t="str">
            <v>HZK</v>
          </cell>
          <cell r="J2312">
            <v>85.6</v>
          </cell>
          <cell r="K2312">
            <v>470</v>
          </cell>
          <cell r="L2312" t="str">
            <v>ZZ</v>
          </cell>
          <cell r="N2312">
            <v>280.19639934533598</v>
          </cell>
        </row>
        <row r="2313">
          <cell r="E2313" t="str">
            <v>HGC-Lib-2452707</v>
          </cell>
          <cell r="F2313" t="str">
            <v>ST1</v>
          </cell>
          <cell r="G2313">
            <v>6</v>
          </cell>
          <cell r="H2313" t="str">
            <v>mRNA文库</v>
          </cell>
          <cell r="I2313" t="str">
            <v>HZK</v>
          </cell>
          <cell r="J2313">
            <v>2.2200000000000002</v>
          </cell>
          <cell r="K2313">
            <v>647</v>
          </cell>
          <cell r="L2313" t="str">
            <v>ZZ</v>
          </cell>
          <cell r="N2313">
            <v>5.2788015693734396</v>
          </cell>
        </row>
        <row r="2314">
          <cell r="E2314" t="str">
            <v>HGC-Lib-2452708</v>
          </cell>
          <cell r="F2314" t="str">
            <v>ST2</v>
          </cell>
          <cell r="G2314">
            <v>6</v>
          </cell>
          <cell r="H2314" t="str">
            <v>mRNA文库</v>
          </cell>
          <cell r="I2314" t="str">
            <v>HZK</v>
          </cell>
          <cell r="J2314">
            <v>3.78</v>
          </cell>
          <cell r="K2314">
            <v>565</v>
          </cell>
          <cell r="L2314" t="str">
            <v>ZZ</v>
          </cell>
          <cell r="N2314">
            <v>10.292716133424101</v>
          </cell>
        </row>
        <row r="2315">
          <cell r="E2315" t="str">
            <v>HGC-Lib-2452709</v>
          </cell>
          <cell r="F2315" t="str">
            <v>LT1</v>
          </cell>
          <cell r="G2315">
            <v>6</v>
          </cell>
          <cell r="H2315" t="str">
            <v>mRNA文库</v>
          </cell>
          <cell r="I2315" t="str">
            <v>HZK</v>
          </cell>
          <cell r="J2315">
            <v>15.1</v>
          </cell>
          <cell r="K2315">
            <v>304</v>
          </cell>
          <cell r="L2315" t="str">
            <v>ZZ</v>
          </cell>
          <cell r="N2315">
            <v>76.417004048582996</v>
          </cell>
        </row>
        <row r="2316">
          <cell r="E2316" t="str">
            <v>HGC-Lib-2452710</v>
          </cell>
          <cell r="F2316" t="str">
            <v>LT2</v>
          </cell>
          <cell r="G2316">
            <v>6</v>
          </cell>
          <cell r="H2316" t="str">
            <v>mRNA文库</v>
          </cell>
          <cell r="I2316" t="str">
            <v>HZK</v>
          </cell>
          <cell r="J2316">
            <v>4.6399999999999997</v>
          </cell>
          <cell r="K2316" t="str">
            <v>/</v>
          </cell>
          <cell r="L2316" t="str">
            <v>ZZ</v>
          </cell>
          <cell r="N2316" t="e">
            <v>#VALUE!</v>
          </cell>
        </row>
        <row r="2317">
          <cell r="E2317" t="str">
            <v>HGC-Lib-2452711</v>
          </cell>
          <cell r="F2317" t="str">
            <v>CAF_L HOXC4</v>
          </cell>
          <cell r="G2317">
            <v>6</v>
          </cell>
          <cell r="H2317" t="str">
            <v>cut&amp;tag文库</v>
          </cell>
          <cell r="I2317" t="str">
            <v>HZK</v>
          </cell>
          <cell r="J2317">
            <v>47</v>
          </cell>
          <cell r="K2317">
            <v>352</v>
          </cell>
          <cell r="L2317" t="str">
            <v>ZZ</v>
          </cell>
          <cell r="N2317">
            <v>205.41958041958</v>
          </cell>
        </row>
        <row r="2318">
          <cell r="E2318" t="str">
            <v>HGC-Lib-2452712</v>
          </cell>
          <cell r="F2318" t="str">
            <v>CAF_L IgG</v>
          </cell>
          <cell r="G2318">
            <v>6</v>
          </cell>
          <cell r="H2318" t="str">
            <v>cut&amp;tag文库</v>
          </cell>
          <cell r="I2318" t="str">
            <v>ZZ</v>
          </cell>
          <cell r="J2318">
            <v>21</v>
          </cell>
          <cell r="K2318">
            <v>338</v>
          </cell>
          <cell r="L2318" t="str">
            <v>ZZ</v>
          </cell>
          <cell r="N2318">
            <v>95.584888484296798</v>
          </cell>
        </row>
        <row r="2319">
          <cell r="E2319" t="str">
            <v>HGC-Lib-2452713</v>
          </cell>
          <cell r="F2319" t="str">
            <v>9096028 CAFs_HOXC4</v>
          </cell>
          <cell r="G2319">
            <v>6</v>
          </cell>
          <cell r="H2319" t="str">
            <v>cut&amp;tag文库</v>
          </cell>
          <cell r="I2319" t="str">
            <v>ZZ</v>
          </cell>
          <cell r="J2319">
            <v>47.4</v>
          </cell>
          <cell r="K2319">
            <v>434</v>
          </cell>
          <cell r="L2319" t="str">
            <v>ZZ</v>
          </cell>
          <cell r="N2319">
            <v>168.02552286423301</v>
          </cell>
        </row>
        <row r="2320">
          <cell r="E2320" t="str">
            <v>HGC-Lib-2452714</v>
          </cell>
          <cell r="F2320" t="str">
            <v>9096028 CAFs_IgG</v>
          </cell>
          <cell r="G2320">
            <v>6</v>
          </cell>
          <cell r="H2320" t="str">
            <v>cut&amp;tag文库</v>
          </cell>
          <cell r="I2320" t="str">
            <v>ZZ</v>
          </cell>
          <cell r="J2320">
            <v>68.2</v>
          </cell>
          <cell r="K2320">
            <v>428</v>
          </cell>
          <cell r="L2320" t="str">
            <v>ZZ</v>
          </cell>
          <cell r="N2320">
            <v>245.147375988497</v>
          </cell>
        </row>
        <row r="2321">
          <cell r="E2321" t="str">
            <v>HGC-Lib-2452715</v>
          </cell>
          <cell r="F2321" t="str">
            <v>X-1</v>
          </cell>
          <cell r="G2321">
            <v>2</v>
          </cell>
          <cell r="H2321" t="str">
            <v>PCR产物文库</v>
          </cell>
          <cell r="I2321" t="str">
            <v>ZZ</v>
          </cell>
          <cell r="J2321">
            <v>16.3</v>
          </cell>
          <cell r="K2321">
            <v>309</v>
          </cell>
          <cell r="N2321">
            <v>81.155090863828704</v>
          </cell>
        </row>
        <row r="2322">
          <cell r="E2322" t="str">
            <v>HGC-Lib-2452716</v>
          </cell>
          <cell r="F2322" t="str">
            <v>X-2</v>
          </cell>
          <cell r="G2322">
            <v>2</v>
          </cell>
          <cell r="H2322" t="str">
            <v>PCR产物文库</v>
          </cell>
          <cell r="I2322" t="str">
            <v>ZZ</v>
          </cell>
          <cell r="J2322">
            <v>11.3</v>
          </cell>
          <cell r="K2322">
            <v>322</v>
          </cell>
          <cell r="N2322">
            <v>53.989488772097502</v>
          </cell>
        </row>
        <row r="2323">
          <cell r="E2323" t="str">
            <v>HGC-Lib-2452717</v>
          </cell>
          <cell r="F2323" t="str">
            <v>W-1</v>
          </cell>
          <cell r="G2323">
            <v>2</v>
          </cell>
          <cell r="H2323" t="str">
            <v>PCR产物文库</v>
          </cell>
          <cell r="I2323" t="str">
            <v>ZZ</v>
          </cell>
          <cell r="J2323">
            <v>72.2</v>
          </cell>
          <cell r="K2323">
            <v>285</v>
          </cell>
          <cell r="N2323">
            <v>389.74358974359001</v>
          </cell>
        </row>
        <row r="2324">
          <cell r="E2324" t="str">
            <v>HGC-Lib-2452718</v>
          </cell>
          <cell r="F2324" t="str">
            <v>W-2</v>
          </cell>
          <cell r="G2324">
            <v>2</v>
          </cell>
          <cell r="H2324" t="str">
            <v>PCR产物文库</v>
          </cell>
          <cell r="I2324" t="str">
            <v>ZZ</v>
          </cell>
          <cell r="J2324">
            <v>74.400000000000006</v>
          </cell>
          <cell r="K2324">
            <v>297</v>
          </cell>
          <cell r="N2324">
            <v>385.39238539238499</v>
          </cell>
        </row>
        <row r="2325">
          <cell r="E2325" t="str">
            <v>HGC-Lib-2452719</v>
          </cell>
          <cell r="F2325" t="str">
            <v>W-3</v>
          </cell>
          <cell r="G2325">
            <v>2</v>
          </cell>
          <cell r="H2325" t="str">
            <v>PCR产物文库</v>
          </cell>
          <cell r="I2325" t="str">
            <v>ZZ</v>
          </cell>
          <cell r="J2325">
            <v>70.2</v>
          </cell>
          <cell r="K2325">
            <v>335</v>
          </cell>
          <cell r="N2325">
            <v>322.38805970149298</v>
          </cell>
        </row>
        <row r="2326">
          <cell r="E2326" t="str">
            <v>HGC-Lib-2452720</v>
          </cell>
          <cell r="F2326" t="str">
            <v>W-4</v>
          </cell>
          <cell r="G2326">
            <v>2</v>
          </cell>
          <cell r="H2326" t="str">
            <v>PCR产物文库</v>
          </cell>
          <cell r="I2326" t="str">
            <v>ZZ</v>
          </cell>
          <cell r="J2326">
            <v>64.400000000000006</v>
          </cell>
          <cell r="K2326">
            <v>341</v>
          </cell>
          <cell r="N2326">
            <v>290.54816151590302</v>
          </cell>
        </row>
        <row r="2327">
          <cell r="E2327" t="str">
            <v>HGC-Lib-2452721</v>
          </cell>
          <cell r="F2327" t="str">
            <v>F-1</v>
          </cell>
          <cell r="G2327">
            <v>18</v>
          </cell>
          <cell r="H2327" t="str">
            <v>PCR产物文库</v>
          </cell>
          <cell r="I2327" t="str">
            <v>ZZ</v>
          </cell>
          <cell r="J2327">
            <v>55.2</v>
          </cell>
          <cell r="K2327">
            <v>373</v>
          </cell>
          <cell r="N2327">
            <v>227.67580944524599</v>
          </cell>
        </row>
        <row r="2328">
          <cell r="E2328" t="str">
            <v>HGC-Lib-2452722</v>
          </cell>
          <cell r="F2328" t="str">
            <v>F-2</v>
          </cell>
          <cell r="G2328">
            <v>18</v>
          </cell>
          <cell r="H2328" t="str">
            <v>PCR产物文库</v>
          </cell>
          <cell r="I2328" t="str">
            <v>ZZ</v>
          </cell>
          <cell r="J2328">
            <v>66.400000000000006</v>
          </cell>
          <cell r="K2328">
            <v>367</v>
          </cell>
          <cell r="N2328">
            <v>278.34835464263301</v>
          </cell>
        </row>
        <row r="2329">
          <cell r="E2329" t="str">
            <v>HGC-Lib-2452723</v>
          </cell>
          <cell r="F2329" t="str">
            <v>F-3</v>
          </cell>
          <cell r="G2329">
            <v>18</v>
          </cell>
          <cell r="H2329" t="str">
            <v>PCR产物文库</v>
          </cell>
          <cell r="I2329" t="str">
            <v>ZZ</v>
          </cell>
          <cell r="J2329">
            <v>67</v>
          </cell>
          <cell r="K2329">
            <v>364</v>
          </cell>
          <cell r="N2329">
            <v>283.17836010143702</v>
          </cell>
        </row>
        <row r="2330">
          <cell r="E2330" t="str">
            <v>HGC-Lib-2452724</v>
          </cell>
          <cell r="F2330" t="str">
            <v>F-4</v>
          </cell>
          <cell r="G2330">
            <v>18</v>
          </cell>
          <cell r="H2330" t="str">
            <v>PCR产物文库</v>
          </cell>
          <cell r="I2330" t="str">
            <v>ZZ</v>
          </cell>
          <cell r="J2330">
            <v>70.8</v>
          </cell>
          <cell r="K2330">
            <v>371</v>
          </cell>
          <cell r="N2330">
            <v>293.59319925357698</v>
          </cell>
        </row>
        <row r="2331">
          <cell r="E2331" t="str">
            <v>HGC-Lib-2452725</v>
          </cell>
          <cell r="F2331" t="str">
            <v>F-5</v>
          </cell>
          <cell r="G2331">
            <v>18</v>
          </cell>
          <cell r="H2331" t="str">
            <v>PCR产物文库</v>
          </cell>
          <cell r="I2331" t="str">
            <v>ZZ</v>
          </cell>
          <cell r="J2331">
            <v>75</v>
          </cell>
          <cell r="K2331">
            <v>398</v>
          </cell>
          <cell r="N2331">
            <v>289.91109393119399</v>
          </cell>
        </row>
        <row r="2332">
          <cell r="E2332" t="str">
            <v>HGC-Lib-2452726</v>
          </cell>
          <cell r="F2332" t="str">
            <v>F-6</v>
          </cell>
          <cell r="G2332">
            <v>18</v>
          </cell>
          <cell r="H2332" t="str">
            <v>PCR产物文库</v>
          </cell>
          <cell r="I2332" t="str">
            <v>ZZ</v>
          </cell>
          <cell r="J2332">
            <v>72.400000000000006</v>
          </cell>
          <cell r="K2332">
            <v>403</v>
          </cell>
          <cell r="N2332">
            <v>276.38862378316497</v>
          </cell>
        </row>
        <row r="2333">
          <cell r="E2333" t="str">
            <v>HGC-Lib-2452727</v>
          </cell>
          <cell r="F2333" t="str">
            <v>F-7</v>
          </cell>
          <cell r="G2333">
            <v>18</v>
          </cell>
          <cell r="H2333" t="str">
            <v>PCR产物文库</v>
          </cell>
          <cell r="I2333" t="str">
            <v>ZZ</v>
          </cell>
          <cell r="J2333">
            <v>61.2</v>
          </cell>
          <cell r="K2333">
            <v>399</v>
          </cell>
          <cell r="N2333">
            <v>235.97455176402499</v>
          </cell>
        </row>
        <row r="2334">
          <cell r="E2334" t="str">
            <v>HGC-Lib-2452728</v>
          </cell>
          <cell r="F2334" t="str">
            <v>F-8</v>
          </cell>
          <cell r="G2334">
            <v>18</v>
          </cell>
          <cell r="H2334" t="str">
            <v>PCR产物文库</v>
          </cell>
          <cell r="I2334" t="str">
            <v>ZZ</v>
          </cell>
          <cell r="J2334">
            <v>67.599999999999994</v>
          </cell>
          <cell r="K2334">
            <v>413</v>
          </cell>
          <cell r="N2334">
            <v>251.81598062954001</v>
          </cell>
        </row>
        <row r="2335">
          <cell r="E2335" t="str">
            <v>HGC-POOL-2452774</v>
          </cell>
          <cell r="F2335" t="str">
            <v>ca-CD45-GEX</v>
          </cell>
          <cell r="G2335">
            <v>30</v>
          </cell>
          <cell r="H2335" t="str">
            <v>10× 3'单细胞</v>
          </cell>
          <cell r="I2335" t="str">
            <v>ZZ</v>
          </cell>
          <cell r="J2335">
            <v>13.5</v>
          </cell>
          <cell r="K2335">
            <v>526</v>
          </cell>
          <cell r="N2335">
            <v>39.485229599298002</v>
          </cell>
        </row>
        <row r="2336">
          <cell r="E2336" t="str">
            <v>HGC-POOL-2452775</v>
          </cell>
          <cell r="F2336" t="str">
            <v>ca-CD45-FB</v>
          </cell>
          <cell r="G2336">
            <v>10</v>
          </cell>
          <cell r="H2336" t="str">
            <v>10× 3'单细胞</v>
          </cell>
          <cell r="I2336" t="str">
            <v>ZZ</v>
          </cell>
          <cell r="J2336">
            <v>1.98</v>
          </cell>
          <cell r="K2336">
            <v>282</v>
          </cell>
          <cell r="N2336">
            <v>10.8019639934534</v>
          </cell>
        </row>
        <row r="2337">
          <cell r="E2337" t="str">
            <v>HGC-POOL-2452776</v>
          </cell>
          <cell r="F2337" t="str">
            <v>FGO</v>
          </cell>
          <cell r="G2337">
            <v>30</v>
          </cell>
          <cell r="H2337" t="str">
            <v>mRNA文库</v>
          </cell>
          <cell r="I2337" t="str">
            <v>ZZ</v>
          </cell>
          <cell r="J2337">
            <v>3.72</v>
          </cell>
          <cell r="K2337">
            <v>367</v>
          </cell>
          <cell r="N2337">
            <v>15.594215049255901</v>
          </cell>
        </row>
        <row r="2338">
          <cell r="E2338" t="str">
            <v>HGC-Lib-2452777</v>
          </cell>
          <cell r="F2338" t="str">
            <v>20240705-WTA-PLT1</v>
          </cell>
          <cell r="G2338">
            <v>100</v>
          </cell>
          <cell r="H2338" t="str">
            <v>BD-单细胞</v>
          </cell>
          <cell r="I2338" t="str">
            <v>ZZ</v>
          </cell>
          <cell r="J2338">
            <v>14.5</v>
          </cell>
          <cell r="K2338">
            <v>534</v>
          </cell>
          <cell r="N2338">
            <v>41.774704696053</v>
          </cell>
        </row>
        <row r="2339">
          <cell r="E2339" t="str">
            <v>HGC-Lib-2452778</v>
          </cell>
          <cell r="F2339" t="str">
            <v>20240705-WTA-GJA</v>
          </cell>
          <cell r="G2339">
            <v>200</v>
          </cell>
          <cell r="H2339" t="str">
            <v>BD-单细胞</v>
          </cell>
          <cell r="I2339" t="str">
            <v>ZZ</v>
          </cell>
          <cell r="J2339">
            <v>19.600000000000001</v>
          </cell>
          <cell r="K2339">
            <v>512</v>
          </cell>
          <cell r="N2339">
            <v>58.894230769230802</v>
          </cell>
        </row>
        <row r="2340">
          <cell r="E2340" t="str">
            <v>HGC-Lib-2452779</v>
          </cell>
          <cell r="F2340" t="str">
            <v>20240705-ST-GJA</v>
          </cell>
          <cell r="G2340">
            <v>20</v>
          </cell>
          <cell r="H2340" t="str">
            <v>BD-单细胞</v>
          </cell>
          <cell r="I2340" t="str">
            <v>ZZ</v>
          </cell>
          <cell r="J2340">
            <v>0.98799999999999999</v>
          </cell>
          <cell r="K2340">
            <v>308</v>
          </cell>
          <cell r="N2340">
            <v>4.9350649350649398</v>
          </cell>
        </row>
        <row r="2341">
          <cell r="E2341" t="str">
            <v>HGC-POOL-2452780</v>
          </cell>
          <cell r="F2341" t="str">
            <v>Library-FGQ-32</v>
          </cell>
          <cell r="G2341">
            <v>12</v>
          </cell>
          <cell r="H2341" t="str">
            <v>多重PCR产物文库</v>
          </cell>
          <cell r="I2341" t="str">
            <v>ZZ</v>
          </cell>
          <cell r="J2341">
            <v>33.4</v>
          </cell>
          <cell r="K2341">
            <v>358</v>
          </cell>
          <cell r="N2341">
            <v>143.53244520842301</v>
          </cell>
        </row>
        <row r="2342">
          <cell r="E2342" t="str">
            <v>HGC-POOL-2452781</v>
          </cell>
          <cell r="F2342" t="str">
            <v>YX20240705_1</v>
          </cell>
          <cell r="G2342">
            <v>6</v>
          </cell>
          <cell r="H2342" t="str">
            <v>全基因组文库</v>
          </cell>
          <cell r="I2342" t="str">
            <v>ZZ</v>
          </cell>
          <cell r="J2342">
            <v>2.72</v>
          </cell>
          <cell r="K2342">
            <v>469</v>
          </cell>
          <cell r="N2342">
            <v>8.9224208627193704</v>
          </cell>
        </row>
        <row r="2343">
          <cell r="E2343" t="str">
            <v>HGC-POOL-2452782</v>
          </cell>
          <cell r="F2343" t="str">
            <v>YX20240705_2</v>
          </cell>
          <cell r="G2343">
            <v>132</v>
          </cell>
          <cell r="H2343" t="str">
            <v>mRNA文库</v>
          </cell>
          <cell r="I2343" t="str">
            <v>ZZ</v>
          </cell>
          <cell r="J2343">
            <v>14.6</v>
          </cell>
          <cell r="K2343">
            <v>373</v>
          </cell>
          <cell r="N2343">
            <v>60.218601773561602</v>
          </cell>
        </row>
        <row r="2344">
          <cell r="E2344" t="str">
            <v>HGC-POOL-2452783</v>
          </cell>
          <cell r="F2344" t="str">
            <v>YX20240705_3</v>
          </cell>
          <cell r="G2344">
            <v>80</v>
          </cell>
          <cell r="H2344" t="str">
            <v>mRNA文库</v>
          </cell>
          <cell r="I2344" t="str">
            <v>ZZ</v>
          </cell>
          <cell r="J2344">
            <v>1.72</v>
          </cell>
          <cell r="K2344">
            <v>358</v>
          </cell>
          <cell r="N2344">
            <v>7.3914911903738698</v>
          </cell>
        </row>
        <row r="2345">
          <cell r="E2345" t="str">
            <v>HGC-POOL-2452784</v>
          </cell>
          <cell r="F2345" t="str">
            <v>YX20240705_4</v>
          </cell>
          <cell r="G2345">
            <v>260</v>
          </cell>
          <cell r="H2345" t="str">
            <v>mRNA文库</v>
          </cell>
          <cell r="I2345" t="str">
            <v>ZZ</v>
          </cell>
          <cell r="J2345">
            <v>39.4</v>
          </cell>
          <cell r="K2345">
            <v>404</v>
          </cell>
          <cell r="N2345">
            <v>150.03808073114999</v>
          </cell>
        </row>
        <row r="2346">
          <cell r="E2346" t="str">
            <v>HGC-POOL-2452785</v>
          </cell>
          <cell r="F2346" t="str">
            <v>YX202400703_1</v>
          </cell>
          <cell r="G2346">
            <v>8</v>
          </cell>
          <cell r="H2346" t="str">
            <v>dap-seq文库</v>
          </cell>
          <cell r="I2346" t="str">
            <v>ZZ</v>
          </cell>
          <cell r="J2346">
            <v>76.2</v>
          </cell>
          <cell r="K2346">
            <v>322</v>
          </cell>
          <cell r="N2346">
            <v>364.07071189679903</v>
          </cell>
        </row>
        <row r="2347">
          <cell r="E2347" t="str">
            <v>HGC-POOL-2452786</v>
          </cell>
          <cell r="F2347" t="str">
            <v>YX202400703_2</v>
          </cell>
          <cell r="G2347">
            <v>8</v>
          </cell>
          <cell r="H2347" t="str">
            <v>dap-seq文库</v>
          </cell>
          <cell r="I2347" t="str">
            <v>ZZ</v>
          </cell>
          <cell r="J2347">
            <v>70.8</v>
          </cell>
          <cell r="K2347">
            <v>366</v>
          </cell>
          <cell r="N2347">
            <v>297.60403530895297</v>
          </cell>
        </row>
        <row r="2348">
          <cell r="E2348" t="str">
            <v>HGC-POOL-2452787</v>
          </cell>
          <cell r="F2348" t="str">
            <v>YX202400703_3</v>
          </cell>
          <cell r="G2348">
            <v>8</v>
          </cell>
          <cell r="H2348" t="str">
            <v>dap-seq文库</v>
          </cell>
          <cell r="I2348" t="str">
            <v>ZZ</v>
          </cell>
          <cell r="J2348">
            <v>5.64</v>
          </cell>
          <cell r="K2348">
            <v>473</v>
          </cell>
          <cell r="N2348">
            <v>18.344446251423001</v>
          </cell>
        </row>
        <row r="2349">
          <cell r="E2349" t="str">
            <v>HGC-POOL-2452788</v>
          </cell>
          <cell r="F2349" t="str">
            <v>YX202400703_4</v>
          </cell>
          <cell r="G2349">
            <v>8</v>
          </cell>
          <cell r="H2349" t="str">
            <v>dap-seq文库</v>
          </cell>
          <cell r="I2349" t="str">
            <v>ZZ</v>
          </cell>
          <cell r="J2349">
            <v>88.2</v>
          </cell>
          <cell r="K2349">
            <v>398</v>
          </cell>
          <cell r="N2349">
            <v>340.93544646308499</v>
          </cell>
        </row>
        <row r="2350">
          <cell r="E2350" t="str">
            <v>HGC-POOL-2452789</v>
          </cell>
          <cell r="F2350" t="str">
            <v>YX202400703_5</v>
          </cell>
          <cell r="G2350">
            <v>8</v>
          </cell>
          <cell r="H2350" t="str">
            <v>dap-seq文库</v>
          </cell>
          <cell r="I2350" t="str">
            <v>ZZ</v>
          </cell>
          <cell r="J2350">
            <v>42</v>
          </cell>
          <cell r="K2350">
            <v>379</v>
          </cell>
          <cell r="N2350">
            <v>170.48914146539499</v>
          </cell>
        </row>
        <row r="2351">
          <cell r="E2351" t="str">
            <v>HGC-POOL-2452790</v>
          </cell>
          <cell r="F2351" t="str">
            <v>YX202400703_6</v>
          </cell>
          <cell r="G2351">
            <v>8</v>
          </cell>
          <cell r="H2351" t="str">
            <v>dap-seq文库</v>
          </cell>
          <cell r="I2351" t="str">
            <v>ZZ</v>
          </cell>
          <cell r="J2351">
            <v>22.6</v>
          </cell>
          <cell r="K2351">
            <v>421</v>
          </cell>
          <cell r="N2351">
            <v>82.587246482733406</v>
          </cell>
        </row>
        <row r="2352">
          <cell r="E2352" t="str">
            <v>HGC-POOL-2452791</v>
          </cell>
          <cell r="F2352" t="str">
            <v>YX202400703_7</v>
          </cell>
          <cell r="G2352">
            <v>8</v>
          </cell>
          <cell r="H2352" t="str">
            <v>dap-seq文库</v>
          </cell>
          <cell r="I2352" t="str">
            <v>ZZ</v>
          </cell>
          <cell r="J2352">
            <v>25.4</v>
          </cell>
          <cell r="K2352">
            <v>467</v>
          </cell>
          <cell r="N2352">
            <v>83.676494811398399</v>
          </cell>
        </row>
        <row r="2353">
          <cell r="E2353" t="str">
            <v>HGC-POOL-2452792</v>
          </cell>
          <cell r="F2353" t="str">
            <v>YX202400703_8</v>
          </cell>
          <cell r="G2353">
            <v>120</v>
          </cell>
          <cell r="H2353" t="str">
            <v>甲基化文库</v>
          </cell>
          <cell r="I2353" t="str">
            <v>ZZ</v>
          </cell>
          <cell r="J2353">
            <v>35.6</v>
          </cell>
          <cell r="K2353">
            <v>400</v>
          </cell>
          <cell r="N2353">
            <v>136.92307692307699</v>
          </cell>
        </row>
        <row r="2354">
          <cell r="E2354" t="str">
            <v>HGC-POOL-2452793</v>
          </cell>
          <cell r="F2354" t="str">
            <v>YX202400703_9</v>
          </cell>
          <cell r="G2354">
            <v>24</v>
          </cell>
          <cell r="H2354" t="str">
            <v>Chip-seq文库</v>
          </cell>
          <cell r="I2354" t="str">
            <v>ZZ</v>
          </cell>
          <cell r="J2354">
            <v>75</v>
          </cell>
          <cell r="K2354">
            <v>259</v>
          </cell>
          <cell r="N2354">
            <v>445.50044550044498</v>
          </cell>
        </row>
        <row r="2355">
          <cell r="E2355" t="str">
            <v>HGC-POOL-2452794</v>
          </cell>
          <cell r="F2355" t="str">
            <v>YX202400703_10</v>
          </cell>
          <cell r="G2355">
            <v>34</v>
          </cell>
          <cell r="H2355" t="str">
            <v>全基因组+mRNA</v>
          </cell>
          <cell r="I2355" t="str">
            <v>ZZ</v>
          </cell>
          <cell r="J2355">
            <v>12.5</v>
          </cell>
          <cell r="K2355">
            <v>371</v>
          </cell>
          <cell r="N2355">
            <v>51.834957495334798</v>
          </cell>
        </row>
        <row r="2356">
          <cell r="E2356" t="str">
            <v>HGC-POOL-2452795</v>
          </cell>
          <cell r="F2356" t="str">
            <v>YX202400703_11</v>
          </cell>
          <cell r="G2356">
            <v>125</v>
          </cell>
          <cell r="H2356" t="str">
            <v>mRNA文库</v>
          </cell>
          <cell r="I2356" t="str">
            <v>ZZ</v>
          </cell>
          <cell r="J2356">
            <v>11.3</v>
          </cell>
          <cell r="K2356">
            <v>376</v>
          </cell>
          <cell r="N2356">
            <v>46.235679214402602</v>
          </cell>
        </row>
        <row r="2357">
          <cell r="E2357" t="str">
            <v>HGC-POOL-2452796</v>
          </cell>
          <cell r="F2357" t="str">
            <v>YX202400703_12</v>
          </cell>
          <cell r="G2357">
            <v>125</v>
          </cell>
          <cell r="H2357" t="str">
            <v>mRNA文库</v>
          </cell>
          <cell r="I2357" t="str">
            <v>ZZ</v>
          </cell>
          <cell r="J2357">
            <v>10.199999999999999</v>
          </cell>
          <cell r="K2357">
            <v>375</v>
          </cell>
          <cell r="N2357">
            <v>41.846153846153797</v>
          </cell>
        </row>
        <row r="2358">
          <cell r="E2358" t="str">
            <v>HGC-Lib-2452797</v>
          </cell>
          <cell r="F2358" t="str">
            <v>Y1</v>
          </cell>
          <cell r="G2358">
            <v>6</v>
          </cell>
          <cell r="H2358" t="str">
            <v>CUTtag文库</v>
          </cell>
          <cell r="I2358" t="str">
            <v>ZZ</v>
          </cell>
          <cell r="J2358" t="str">
            <v>/</v>
          </cell>
          <cell r="K2358" t="str">
            <v>/</v>
          </cell>
          <cell r="N2358" t="e">
            <v>#VALUE!</v>
          </cell>
        </row>
        <row r="2359">
          <cell r="E2359" t="str">
            <v>HGC-Lib-2452798</v>
          </cell>
          <cell r="F2359" t="str">
            <v>Y2</v>
          </cell>
          <cell r="G2359">
            <v>6</v>
          </cell>
          <cell r="H2359" t="str">
            <v>CUTtag文库</v>
          </cell>
          <cell r="I2359" t="str">
            <v>ZZ</v>
          </cell>
          <cell r="J2359" t="str">
            <v>/</v>
          </cell>
          <cell r="K2359" t="str">
            <v>/</v>
          </cell>
          <cell r="N2359" t="e">
            <v>#VALUE!</v>
          </cell>
        </row>
        <row r="2360">
          <cell r="E2360" t="str">
            <v>HGC-Lib-2452799</v>
          </cell>
          <cell r="F2360" t="str">
            <v>Y3</v>
          </cell>
          <cell r="G2360">
            <v>6</v>
          </cell>
          <cell r="H2360" t="str">
            <v>CUTtag文库</v>
          </cell>
          <cell r="I2360" t="str">
            <v>ZZ</v>
          </cell>
          <cell r="J2360" t="str">
            <v>/</v>
          </cell>
          <cell r="K2360" t="str">
            <v>/</v>
          </cell>
          <cell r="N2360" t="e">
            <v>#VALUE!</v>
          </cell>
        </row>
        <row r="2361">
          <cell r="E2361" t="str">
            <v>HGC-Lib-2452800</v>
          </cell>
          <cell r="F2361" t="str">
            <v>Y4</v>
          </cell>
          <cell r="G2361">
            <v>6</v>
          </cell>
          <cell r="H2361" t="str">
            <v>CUTtag文库</v>
          </cell>
          <cell r="I2361" t="str">
            <v>ZZ</v>
          </cell>
          <cell r="J2361" t="str">
            <v>/</v>
          </cell>
          <cell r="K2361" t="str">
            <v>/</v>
          </cell>
          <cell r="N2361" t="e">
            <v>#VALUE!</v>
          </cell>
        </row>
        <row r="2362">
          <cell r="E2362" t="str">
            <v>HGC-Lib-2452801</v>
          </cell>
          <cell r="F2362" t="str">
            <v>Y5</v>
          </cell>
          <cell r="G2362">
            <v>6</v>
          </cell>
          <cell r="H2362" t="str">
            <v>CUTtag文库</v>
          </cell>
          <cell r="I2362" t="str">
            <v>ZZ</v>
          </cell>
          <cell r="J2362" t="str">
            <v>/</v>
          </cell>
          <cell r="K2362" t="str">
            <v>/</v>
          </cell>
          <cell r="N2362" t="e">
            <v>#VALUE!</v>
          </cell>
        </row>
        <row r="2363">
          <cell r="E2363" t="str">
            <v>HGC-Lib-2452802</v>
          </cell>
          <cell r="F2363" t="str">
            <v>Y6</v>
          </cell>
          <cell r="G2363">
            <v>6</v>
          </cell>
          <cell r="H2363" t="str">
            <v>CUTtag文库</v>
          </cell>
          <cell r="I2363" t="str">
            <v>ZZ</v>
          </cell>
          <cell r="J2363">
            <v>0.11799999999999999</v>
          </cell>
          <cell r="K2363" t="str">
            <v>/</v>
          </cell>
          <cell r="N2363" t="e">
            <v>#VALUE!</v>
          </cell>
        </row>
        <row r="2364">
          <cell r="E2364" t="str">
            <v>HGC-Lib-2452805</v>
          </cell>
          <cell r="F2364" t="str">
            <v>R3-2</v>
          </cell>
          <cell r="G2364">
            <v>5</v>
          </cell>
          <cell r="H2364" t="str">
            <v>PCR产物文库</v>
          </cell>
          <cell r="I2364" t="str">
            <v>ZZ</v>
          </cell>
          <cell r="J2364">
            <v>87.4</v>
          </cell>
          <cell r="K2364">
            <v>380</v>
          </cell>
          <cell r="N2364">
            <v>353.84615384615398</v>
          </cell>
        </row>
        <row r="2365">
          <cell r="E2365" t="str">
            <v>HGC-Lib-2452806</v>
          </cell>
          <cell r="F2365" t="str">
            <v>R4</v>
          </cell>
          <cell r="G2365">
            <v>5</v>
          </cell>
          <cell r="H2365" t="str">
            <v>PCR产物文库</v>
          </cell>
          <cell r="I2365" t="str">
            <v>ZZ</v>
          </cell>
          <cell r="J2365">
            <v>104</v>
          </cell>
          <cell r="K2365">
            <v>376</v>
          </cell>
          <cell r="N2365">
            <v>425.531914893617</v>
          </cell>
        </row>
        <row r="2366">
          <cell r="E2366" t="str">
            <v>HGC-Lib-2452807</v>
          </cell>
          <cell r="F2366" t="str">
            <v>FW2024-636-03-B4</v>
          </cell>
          <cell r="G2366">
            <v>10</v>
          </cell>
          <cell r="H2366" t="str">
            <v>寻因5'单细胞</v>
          </cell>
          <cell r="I2366" t="str">
            <v>ZZ</v>
          </cell>
          <cell r="J2366">
            <v>2.14</v>
          </cell>
          <cell r="K2366">
            <v>434</v>
          </cell>
          <cell r="N2366">
            <v>7.5859624246720996</v>
          </cell>
        </row>
        <row r="2367">
          <cell r="E2367" t="str">
            <v>HGC-Lib-2452808</v>
          </cell>
          <cell r="F2367" t="str">
            <v>FW2024-170-04-ZZQ</v>
          </cell>
          <cell r="G2367">
            <v>100</v>
          </cell>
          <cell r="H2367" t="str">
            <v>10× 3'单细胞</v>
          </cell>
          <cell r="I2367" t="str">
            <v>ZZ</v>
          </cell>
          <cell r="J2367">
            <v>21</v>
          </cell>
          <cell r="K2367">
            <v>491</v>
          </cell>
          <cell r="N2367">
            <v>65.799780667397798</v>
          </cell>
        </row>
        <row r="2368">
          <cell r="E2368" t="str">
            <v>HGC-Lib-2452809</v>
          </cell>
          <cell r="F2368" t="str">
            <v>FW2024-432-08-2395824</v>
          </cell>
          <cell r="G2368">
            <v>100</v>
          </cell>
          <cell r="H2368" t="str">
            <v>10× 3'单细胞</v>
          </cell>
          <cell r="I2368" t="str">
            <v>ZZ</v>
          </cell>
          <cell r="J2368">
            <v>22.4</v>
          </cell>
          <cell r="K2368">
            <v>519</v>
          </cell>
          <cell r="N2368">
            <v>66.399881428783104</v>
          </cell>
        </row>
        <row r="2369">
          <cell r="E2369" t="str">
            <v>HGC-Lib-2452810</v>
          </cell>
          <cell r="F2369" t="str">
            <v>FW2024-432-08-2394025</v>
          </cell>
          <cell r="G2369">
            <v>100</v>
          </cell>
          <cell r="H2369" t="str">
            <v>10× 3'单细胞</v>
          </cell>
          <cell r="I2369" t="str">
            <v>ZZ</v>
          </cell>
          <cell r="J2369">
            <v>22</v>
          </cell>
          <cell r="K2369">
            <v>518</v>
          </cell>
          <cell r="N2369">
            <v>65.340065340065294</v>
          </cell>
        </row>
        <row r="2370">
          <cell r="E2370" t="str">
            <v>HGC-Lib-2452811</v>
          </cell>
          <cell r="F2370" t="str">
            <v>FW2024-432-08-2396101</v>
          </cell>
          <cell r="G2370">
            <v>100</v>
          </cell>
          <cell r="H2370" t="str">
            <v>10× 3'单细胞</v>
          </cell>
          <cell r="I2370" t="str">
            <v>ZZ</v>
          </cell>
          <cell r="J2370">
            <v>20.6</v>
          </cell>
          <cell r="K2370">
            <v>508</v>
          </cell>
          <cell r="N2370">
            <v>62.386432465172597</v>
          </cell>
        </row>
        <row r="2371">
          <cell r="E2371" t="str">
            <v>HGC-Lib-2452812</v>
          </cell>
          <cell r="F2371" t="str">
            <v>FESC20240314-THEO-3</v>
          </cell>
          <cell r="G2371">
            <v>100</v>
          </cell>
          <cell r="H2371" t="str">
            <v>10× 3'单细胞</v>
          </cell>
          <cell r="I2371" t="str">
            <v>ZZ</v>
          </cell>
          <cell r="J2371">
            <v>25.8</v>
          </cell>
          <cell r="K2371">
            <v>519</v>
          </cell>
          <cell r="N2371">
            <v>76.478434859937707</v>
          </cell>
        </row>
        <row r="2372">
          <cell r="E2372" t="str">
            <v>HGC-Lib-2452813</v>
          </cell>
          <cell r="F2372" t="str">
            <v>FWSC20240277-inflammatory</v>
          </cell>
          <cell r="G2372">
            <v>100</v>
          </cell>
          <cell r="H2372" t="str">
            <v>10x 5'单细胞</v>
          </cell>
          <cell r="I2372" t="str">
            <v>ZZ</v>
          </cell>
          <cell r="J2372">
            <v>49</v>
          </cell>
          <cell r="K2372">
            <v>488</v>
          </cell>
          <cell r="N2372">
            <v>154.476670870113</v>
          </cell>
        </row>
        <row r="2373">
          <cell r="E2373" t="str">
            <v>HGC-Lib-2452814</v>
          </cell>
          <cell r="F2373" t="str">
            <v>FWSC20240277-Parainflammatory</v>
          </cell>
          <cell r="G2373">
            <v>100</v>
          </cell>
          <cell r="H2373" t="str">
            <v>10x 5'单细胞</v>
          </cell>
          <cell r="I2373" t="str">
            <v>ZZ</v>
          </cell>
          <cell r="J2373">
            <v>34</v>
          </cell>
          <cell r="K2373">
            <v>471</v>
          </cell>
          <cell r="N2373">
            <v>111.056671566226</v>
          </cell>
        </row>
        <row r="2374">
          <cell r="E2374" t="str">
            <v>HGC-Lib-2452815</v>
          </cell>
          <cell r="F2374" t="str">
            <v>FWSC20240277-inflammatory-TCR</v>
          </cell>
          <cell r="G2374">
            <v>10</v>
          </cell>
          <cell r="H2374" t="str">
            <v>10x TCR</v>
          </cell>
          <cell r="I2374" t="str">
            <v>ZZ</v>
          </cell>
          <cell r="J2374">
            <v>49.6</v>
          </cell>
          <cell r="K2374">
            <v>496</v>
          </cell>
          <cell r="N2374">
            <v>153.84615384615401</v>
          </cell>
        </row>
        <row r="2375">
          <cell r="E2375" t="str">
            <v>HGC-Lib-2452816</v>
          </cell>
          <cell r="F2375" t="str">
            <v>FWSC20240277-Parainflammatory-TCR</v>
          </cell>
          <cell r="G2375">
            <v>10</v>
          </cell>
          <cell r="H2375" t="str">
            <v>10x TCR</v>
          </cell>
          <cell r="I2375" t="str">
            <v>ZZ</v>
          </cell>
          <cell r="J2375">
            <v>55.8</v>
          </cell>
          <cell r="K2375">
            <v>527</v>
          </cell>
          <cell r="N2375">
            <v>162.89592760181</v>
          </cell>
        </row>
        <row r="2376">
          <cell r="E2376" t="str">
            <v>HGC-Lib-2452817</v>
          </cell>
          <cell r="F2376" t="str">
            <v>FWSC20240277-inflammatory-BCR</v>
          </cell>
          <cell r="G2376">
            <v>10</v>
          </cell>
          <cell r="H2376" t="str">
            <v>10x BCR</v>
          </cell>
          <cell r="I2376" t="str">
            <v>ZZ</v>
          </cell>
          <cell r="J2376">
            <v>35.4</v>
          </cell>
          <cell r="K2376">
            <v>520</v>
          </cell>
          <cell r="N2376">
            <v>104.733727810651</v>
          </cell>
        </row>
        <row r="2377">
          <cell r="E2377" t="str">
            <v>HGC-Lib-2452818</v>
          </cell>
          <cell r="F2377" t="str">
            <v>FWSC20240277-Parainflammatory-BCR</v>
          </cell>
          <cell r="G2377">
            <v>10</v>
          </cell>
          <cell r="H2377" t="str">
            <v>10x BCR</v>
          </cell>
          <cell r="I2377" t="str">
            <v>ZZ</v>
          </cell>
          <cell r="J2377">
            <v>32.6</v>
          </cell>
          <cell r="K2377">
            <v>559</v>
          </cell>
          <cell r="N2377">
            <v>89.720655015825002</v>
          </cell>
        </row>
        <row r="2378">
          <cell r="E2378" t="str">
            <v>HGC-Lib-2452819</v>
          </cell>
          <cell r="F2378" t="str">
            <v>FWSP20240200-disease2-disease3</v>
          </cell>
          <cell r="G2378">
            <v>150</v>
          </cell>
          <cell r="H2378" t="str">
            <v>10x空间转录组文库</v>
          </cell>
          <cell r="I2378" t="str">
            <v>ZZ</v>
          </cell>
          <cell r="J2378">
            <v>16.7</v>
          </cell>
          <cell r="K2378">
            <v>321</v>
          </cell>
          <cell r="N2378">
            <v>80.038341720584697</v>
          </cell>
        </row>
        <row r="2379">
          <cell r="E2379" t="str">
            <v>HGC-Lib-2452820</v>
          </cell>
          <cell r="F2379" t="str">
            <v>FWSP20240200-control2-disease1</v>
          </cell>
          <cell r="G2379">
            <v>150</v>
          </cell>
          <cell r="H2379" t="str">
            <v>10x空间转录组文库</v>
          </cell>
          <cell r="I2379" t="str">
            <v>ZZ</v>
          </cell>
          <cell r="J2379">
            <v>10.199999999999999</v>
          </cell>
          <cell r="K2379">
            <v>329</v>
          </cell>
          <cell r="N2379">
            <v>47.6969838671966</v>
          </cell>
        </row>
        <row r="2380">
          <cell r="E2380" t="str">
            <v>HGC-Lib-2452821</v>
          </cell>
          <cell r="F2380" t="str">
            <v>FU</v>
          </cell>
          <cell r="G2380">
            <v>50</v>
          </cell>
          <cell r="H2380" t="str">
            <v>10× 3'单细胞</v>
          </cell>
          <cell r="I2380" t="str">
            <v>ZZ</v>
          </cell>
          <cell r="J2380">
            <v>1.4</v>
          </cell>
          <cell r="K2380">
            <v>609</v>
          </cell>
          <cell r="N2380">
            <v>3.5366931918656102</v>
          </cell>
        </row>
        <row r="2381">
          <cell r="E2381" t="str">
            <v>HGC-Lib-2452822</v>
          </cell>
          <cell r="F2381" t="str">
            <v>RX20240705-1</v>
          </cell>
          <cell r="G2381">
            <v>84</v>
          </cell>
          <cell r="H2381" t="str">
            <v>mRNA文库</v>
          </cell>
          <cell r="I2381" t="str">
            <v>ZZ</v>
          </cell>
          <cell r="J2381">
            <v>8.34</v>
          </cell>
          <cell r="K2381">
            <v>377</v>
          </cell>
          <cell r="N2381">
            <v>34.033870638645197</v>
          </cell>
        </row>
        <row r="2382">
          <cell r="E2382" t="str">
            <v>HGC-Lib-2452823</v>
          </cell>
          <cell r="F2382" t="str">
            <v>RX20240705-2</v>
          </cell>
          <cell r="G2382">
            <v>26</v>
          </cell>
          <cell r="H2382" t="str">
            <v>mRNA文库</v>
          </cell>
          <cell r="I2382" t="str">
            <v>ZZ</v>
          </cell>
          <cell r="J2382">
            <v>13.7</v>
          </cell>
          <cell r="K2382">
            <v>704</v>
          </cell>
          <cell r="N2382">
            <v>29.938811188811201</v>
          </cell>
        </row>
        <row r="2383">
          <cell r="E2383" t="str">
            <v>HGC-Lib-2452824</v>
          </cell>
          <cell r="F2383" t="str">
            <v>RX20240705-3</v>
          </cell>
          <cell r="G2383">
            <v>63</v>
          </cell>
          <cell r="H2383" t="str">
            <v>mRNA文库</v>
          </cell>
          <cell r="I2383" t="str">
            <v>ZZ</v>
          </cell>
          <cell r="J2383">
            <v>6.8</v>
          </cell>
          <cell r="K2383">
            <v>357</v>
          </cell>
          <cell r="N2383">
            <v>29.304029304029299</v>
          </cell>
        </row>
        <row r="2384">
          <cell r="E2384" t="str">
            <v>HGC-Lib-2452825</v>
          </cell>
          <cell r="F2384" t="str">
            <v>RX20240705-4</v>
          </cell>
          <cell r="G2384">
            <v>63</v>
          </cell>
          <cell r="H2384" t="str">
            <v>mRNA文库</v>
          </cell>
          <cell r="I2384" t="str">
            <v>ZZ</v>
          </cell>
          <cell r="J2384">
            <v>7.82</v>
          </cell>
          <cell r="K2384">
            <v>369</v>
          </cell>
          <cell r="N2384">
            <v>32.603710652491102</v>
          </cell>
        </row>
        <row r="2385">
          <cell r="E2385" t="str">
            <v>HGC-Lib-2452826</v>
          </cell>
          <cell r="F2385" t="str">
            <v>RX20240705-5</v>
          </cell>
          <cell r="G2385">
            <v>21</v>
          </cell>
          <cell r="H2385" t="str">
            <v>mRNA文库</v>
          </cell>
          <cell r="I2385" t="str">
            <v>ZZ</v>
          </cell>
          <cell r="J2385">
            <v>13.3</v>
          </cell>
          <cell r="K2385">
            <v>314</v>
          </cell>
          <cell r="N2385">
            <v>65.164135227829505</v>
          </cell>
        </row>
        <row r="2386">
          <cell r="E2386" t="str">
            <v>HGC-Lib-2452827</v>
          </cell>
          <cell r="F2386" t="str">
            <v>RX20240705-6</v>
          </cell>
          <cell r="G2386">
            <v>11</v>
          </cell>
          <cell r="H2386" t="str">
            <v>RIP-seq文库</v>
          </cell>
          <cell r="I2386" t="str">
            <v>ZZ</v>
          </cell>
          <cell r="J2386">
            <v>11.7</v>
          </cell>
          <cell r="K2386">
            <v>344</v>
          </cell>
          <cell r="N2386">
            <v>52.325581395348799</v>
          </cell>
        </row>
        <row r="2387">
          <cell r="E2387" t="str">
            <v>HGC-Lib-2452828</v>
          </cell>
          <cell r="F2387" t="str">
            <v>RX20240705-7</v>
          </cell>
          <cell r="G2387">
            <v>20</v>
          </cell>
          <cell r="H2387" t="str">
            <v>mRNA文库</v>
          </cell>
          <cell r="I2387" t="str">
            <v>ZZ</v>
          </cell>
          <cell r="J2387">
            <v>4.16</v>
          </cell>
          <cell r="K2387">
            <v>329</v>
          </cell>
          <cell r="N2387">
            <v>19.452887537993899</v>
          </cell>
        </row>
        <row r="2388">
          <cell r="E2388" t="str">
            <v>HGC-Lib-2452829</v>
          </cell>
          <cell r="F2388" t="str">
            <v>RX20240705-8</v>
          </cell>
          <cell r="G2388">
            <v>100</v>
          </cell>
          <cell r="H2388" t="str">
            <v>单细胞全序列转录组测序</v>
          </cell>
          <cell r="I2388" t="str">
            <v>ZZ</v>
          </cell>
          <cell r="J2388">
            <v>5.44</v>
          </cell>
          <cell r="K2388">
            <v>693</v>
          </cell>
          <cell r="N2388">
            <v>12.0768120768121</v>
          </cell>
        </row>
        <row r="2389">
          <cell r="E2389" t="str">
            <v>HGC-Lib-2452830</v>
          </cell>
          <cell r="F2389" t="str">
            <v>RX20240705-9</v>
          </cell>
          <cell r="G2389">
            <v>100</v>
          </cell>
          <cell r="H2389" t="str">
            <v>单细胞全序列转录组测序</v>
          </cell>
          <cell r="I2389" t="str">
            <v>ZZ</v>
          </cell>
          <cell r="J2389">
            <v>10.6</v>
          </cell>
          <cell r="K2389">
            <v>693</v>
          </cell>
          <cell r="N2389">
            <v>23.532023532023501</v>
          </cell>
        </row>
        <row r="2390">
          <cell r="E2390" t="str">
            <v>HGC-Lib-2452831</v>
          </cell>
          <cell r="F2390" t="str">
            <v>RX20240705-10</v>
          </cell>
          <cell r="G2390">
            <v>100</v>
          </cell>
          <cell r="H2390" t="str">
            <v>单细胞全序列转录组测序</v>
          </cell>
          <cell r="I2390" t="str">
            <v>ZZ</v>
          </cell>
          <cell r="J2390">
            <v>6.54</v>
          </cell>
          <cell r="K2390">
            <v>710</v>
          </cell>
          <cell r="N2390">
            <v>14.171180931744299</v>
          </cell>
        </row>
        <row r="2391">
          <cell r="E2391" t="str">
            <v>HGC-Lib-2452832</v>
          </cell>
          <cell r="F2391" t="str">
            <v>RX20240705-11</v>
          </cell>
          <cell r="G2391">
            <v>100</v>
          </cell>
          <cell r="H2391" t="str">
            <v>单细胞全序列转录组测序</v>
          </cell>
          <cell r="I2391" t="str">
            <v>ZZ</v>
          </cell>
          <cell r="J2391">
            <v>6.48</v>
          </cell>
          <cell r="K2391">
            <v>717</v>
          </cell>
          <cell r="N2391">
            <v>13.904087544254899</v>
          </cell>
        </row>
        <row r="2392">
          <cell r="E2392" t="str">
            <v>HGC-Lib-2452833</v>
          </cell>
          <cell r="F2392" t="str">
            <v>RX20240705-12</v>
          </cell>
          <cell r="G2392">
            <v>100</v>
          </cell>
          <cell r="H2392" t="str">
            <v>单细胞全序列转录组测序</v>
          </cell>
          <cell r="I2392" t="str">
            <v>ZZ</v>
          </cell>
          <cell r="J2392">
            <v>4.22</v>
          </cell>
          <cell r="K2392">
            <v>749</v>
          </cell>
          <cell r="N2392">
            <v>8.6679675464722195</v>
          </cell>
        </row>
        <row r="2393">
          <cell r="E2393" t="str">
            <v>HGC-POOL-2452834</v>
          </cell>
          <cell r="F2393" t="str">
            <v>ICG855</v>
          </cell>
          <cell r="G2393">
            <v>84</v>
          </cell>
          <cell r="H2393" t="str">
            <v>宏基因组文库</v>
          </cell>
          <cell r="I2393" t="str">
            <v>ZZ</v>
          </cell>
          <cell r="J2393">
            <v>16.3</v>
          </cell>
          <cell r="K2393">
            <v>356</v>
          </cell>
          <cell r="N2393">
            <v>70.440795159896297</v>
          </cell>
        </row>
        <row r="2394">
          <cell r="E2394" t="str">
            <v>HGC-POOL-2452835</v>
          </cell>
          <cell r="F2394" t="str">
            <v>ICG876</v>
          </cell>
          <cell r="G2394">
            <v>12</v>
          </cell>
          <cell r="H2394" t="str">
            <v>宏基因组文库</v>
          </cell>
          <cell r="I2394" t="str">
            <v>ZZ</v>
          </cell>
          <cell r="J2394">
            <v>5.82</v>
          </cell>
          <cell r="K2394">
            <v>574</v>
          </cell>
          <cell r="N2394">
            <v>15.599035111230201</v>
          </cell>
        </row>
        <row r="2395">
          <cell r="E2395" t="str">
            <v>HGC-POOL-2452836</v>
          </cell>
          <cell r="F2395" t="str">
            <v>rHG6libs</v>
          </cell>
          <cell r="G2395">
            <v>55</v>
          </cell>
          <cell r="H2395" t="str">
            <v>ATAC-Seq文库</v>
          </cell>
          <cell r="I2395" t="str">
            <v>ZZ</v>
          </cell>
          <cell r="J2395">
            <v>0.49399999999999999</v>
          </cell>
          <cell r="K2395">
            <v>313</v>
          </cell>
          <cell r="N2395">
            <v>2.42811501597444</v>
          </cell>
        </row>
        <row r="2396">
          <cell r="E2396" t="str">
            <v>HGC-POOL-2452837</v>
          </cell>
          <cell r="F2396" t="str">
            <v>JYZ-HT240705A</v>
          </cell>
          <cell r="G2396">
            <v>5</v>
          </cell>
          <cell r="H2396" t="str">
            <v>宏基因组文库</v>
          </cell>
          <cell r="I2396" t="str">
            <v>ZZ</v>
          </cell>
          <cell r="J2396">
            <v>4.32</v>
          </cell>
          <cell r="K2396">
            <v>447</v>
          </cell>
          <cell r="N2396">
            <v>14.868353123386701</v>
          </cell>
        </row>
        <row r="2397">
          <cell r="E2397" t="str">
            <v>HGC-POOL-2452838</v>
          </cell>
          <cell r="F2397" t="str">
            <v>ZLZ-HT240705C</v>
          </cell>
          <cell r="G2397">
            <v>152</v>
          </cell>
          <cell r="H2397" t="str">
            <v>mRNA文库</v>
          </cell>
          <cell r="I2397" t="str">
            <v>ZZ</v>
          </cell>
          <cell r="J2397">
            <v>18.600000000000001</v>
          </cell>
          <cell r="K2397">
            <v>453</v>
          </cell>
          <cell r="N2397">
            <v>63.168619460010198</v>
          </cell>
        </row>
        <row r="2398">
          <cell r="E2398" t="str">
            <v>HGC-POOL-2452839</v>
          </cell>
          <cell r="F2398" t="str">
            <v>JYZ-HT240705D</v>
          </cell>
          <cell r="G2398">
            <v>36</v>
          </cell>
          <cell r="H2398" t="str">
            <v>宏基因组文库</v>
          </cell>
          <cell r="I2398" t="str">
            <v>ZZ</v>
          </cell>
          <cell r="J2398">
            <v>35</v>
          </cell>
          <cell r="K2398">
            <v>458</v>
          </cell>
          <cell r="N2398">
            <v>117.568021498153</v>
          </cell>
        </row>
        <row r="2399">
          <cell r="E2399" t="str">
            <v>HGC-POOL-2452840</v>
          </cell>
          <cell r="F2399" t="str">
            <v>JYZ-HT240705H</v>
          </cell>
          <cell r="G2399">
            <v>79</v>
          </cell>
          <cell r="H2399" t="str">
            <v>宏基因组文库</v>
          </cell>
          <cell r="I2399" t="str">
            <v>ZZ</v>
          </cell>
          <cell r="J2399">
            <v>2.08</v>
          </cell>
          <cell r="K2399">
            <v>420</v>
          </cell>
          <cell r="N2399">
            <v>7.6190476190476204</v>
          </cell>
        </row>
        <row r="2400">
          <cell r="E2400" t="str">
            <v>HGC-POOL-2452841</v>
          </cell>
          <cell r="F2400" t="str">
            <v>ZLZ-HT240705I</v>
          </cell>
          <cell r="G2400">
            <v>86</v>
          </cell>
          <cell r="H2400" t="str">
            <v>mRNA文库</v>
          </cell>
          <cell r="I2400" t="str">
            <v>ZZ</v>
          </cell>
          <cell r="J2400">
            <v>18.2</v>
          </cell>
          <cell r="K2400">
            <v>478</v>
          </cell>
          <cell r="N2400">
            <v>58.577405857740601</v>
          </cell>
        </row>
        <row r="2401">
          <cell r="E2401" t="str">
            <v>HGC-POOL-2452842</v>
          </cell>
          <cell r="F2401" t="str">
            <v>ZLZ-HT240705J</v>
          </cell>
          <cell r="G2401">
            <v>73</v>
          </cell>
          <cell r="H2401" t="str">
            <v>mRNA文库</v>
          </cell>
          <cell r="I2401" t="str">
            <v>ZZ</v>
          </cell>
          <cell r="J2401">
            <v>6.7</v>
          </cell>
          <cell r="K2401">
            <v>447</v>
          </cell>
          <cell r="N2401">
            <v>23.059714334882099</v>
          </cell>
        </row>
        <row r="2402">
          <cell r="E2402" t="str">
            <v>HGC-POOL-2452861</v>
          </cell>
          <cell r="F2402" t="str">
            <v>YWY-elf6-K27-0704</v>
          </cell>
          <cell r="G2402">
            <v>10</v>
          </cell>
          <cell r="H2402" t="str">
            <v>Chip-Seq</v>
          </cell>
          <cell r="I2402" t="str">
            <v>ZZ</v>
          </cell>
          <cell r="J2402">
            <v>1.94</v>
          </cell>
          <cell r="K2402">
            <v>314</v>
          </cell>
          <cell r="N2402">
            <v>9.5051445369916703</v>
          </cell>
        </row>
        <row r="2403">
          <cell r="E2403" t="str">
            <v>HGC-POOL-2452862</v>
          </cell>
          <cell r="F2403" t="str">
            <v>YWY-jmj13-K27-0704</v>
          </cell>
          <cell r="G2403">
            <v>22</v>
          </cell>
          <cell r="H2403" t="str">
            <v>Chip-Seq</v>
          </cell>
          <cell r="I2403" t="str">
            <v>ZZ</v>
          </cell>
          <cell r="J2403">
            <v>1.66</v>
          </cell>
          <cell r="K2403">
            <v>365</v>
          </cell>
          <cell r="N2403">
            <v>6.99683877766069</v>
          </cell>
        </row>
        <row r="2404">
          <cell r="E2404" t="str">
            <v>HGC-Lib-2452871</v>
          </cell>
          <cell r="F2404" t="str">
            <v>y0702-R1</v>
          </cell>
          <cell r="G2404">
            <v>2</v>
          </cell>
          <cell r="H2404" t="str">
            <v>多重PCR产物文库</v>
          </cell>
          <cell r="I2404" t="str">
            <v>ZZ</v>
          </cell>
          <cell r="J2404">
            <v>61.4</v>
          </cell>
          <cell r="K2404">
            <v>422</v>
          </cell>
          <cell r="N2404">
            <v>223.84250820269801</v>
          </cell>
        </row>
        <row r="2405">
          <cell r="E2405" t="str">
            <v>HGC-Lib-2452872</v>
          </cell>
          <cell r="F2405" t="str">
            <v>y0702-R2</v>
          </cell>
          <cell r="G2405">
            <v>2</v>
          </cell>
          <cell r="H2405" t="str">
            <v>多重PCR产物文库</v>
          </cell>
          <cell r="I2405" t="str">
            <v>ZZ</v>
          </cell>
          <cell r="J2405">
            <v>85.2</v>
          </cell>
          <cell r="K2405">
            <v>450</v>
          </cell>
          <cell r="N2405">
            <v>291.28205128205099</v>
          </cell>
        </row>
        <row r="2406">
          <cell r="E2406" t="str">
            <v>HGC-Lib-2452873</v>
          </cell>
          <cell r="F2406" t="str">
            <v>y0702-R3</v>
          </cell>
          <cell r="G2406">
            <v>2</v>
          </cell>
          <cell r="H2406" t="str">
            <v>多重PCR产物文库</v>
          </cell>
          <cell r="I2406" t="str">
            <v>ZZ</v>
          </cell>
          <cell r="J2406">
            <v>78.2</v>
          </cell>
          <cell r="K2406">
            <v>426</v>
          </cell>
          <cell r="N2406">
            <v>282.41242325749403</v>
          </cell>
        </row>
        <row r="2407">
          <cell r="E2407" t="str">
            <v>HGC-Lib-2452874</v>
          </cell>
          <cell r="F2407" t="str">
            <v>y0702-R4</v>
          </cell>
          <cell r="G2407">
            <v>2</v>
          </cell>
          <cell r="H2407" t="str">
            <v>多重PCR产物文库</v>
          </cell>
          <cell r="I2407" t="str">
            <v>ZZ</v>
          </cell>
          <cell r="J2407">
            <v>58.4</v>
          </cell>
          <cell r="K2407">
            <v>614</v>
          </cell>
          <cell r="N2407">
            <v>146.32924079178201</v>
          </cell>
        </row>
        <row r="2408">
          <cell r="E2408" t="str">
            <v>HGC-Lib-2453010</v>
          </cell>
          <cell r="F2408" t="str">
            <v>V0-K9</v>
          </cell>
          <cell r="G2408">
            <v>200</v>
          </cell>
          <cell r="H2408" t="str">
            <v>DNA文库</v>
          </cell>
          <cell r="I2408" t="str">
            <v>ZZ</v>
          </cell>
          <cell r="J2408">
            <v>3.74</v>
          </cell>
          <cell r="K2408">
            <v>423</v>
          </cell>
          <cell r="N2408">
            <v>13.602473176941301</v>
          </cell>
        </row>
        <row r="2409">
          <cell r="E2409" t="str">
            <v>HGC-Lib-2453030</v>
          </cell>
          <cell r="F2409" t="str">
            <v>WK0704-1</v>
          </cell>
          <cell r="G2409">
            <v>35</v>
          </cell>
          <cell r="H2409" t="str">
            <v>WES/panel捕获文库</v>
          </cell>
          <cell r="I2409" t="str">
            <v>DY</v>
          </cell>
          <cell r="J2409" t="str">
            <v>/</v>
          </cell>
          <cell r="K2409">
            <v>399</v>
          </cell>
          <cell r="N2409" t="e">
            <v>#VALUE!</v>
          </cell>
        </row>
        <row r="2410">
          <cell r="E2410" t="str">
            <v>HGC-Lib-2453092</v>
          </cell>
          <cell r="F2410" t="str">
            <v>LA240702064</v>
          </cell>
          <cell r="G2410">
            <v>20</v>
          </cell>
          <cell r="H2410" t="str">
            <v>singleron-3'转录组文库</v>
          </cell>
          <cell r="I2410" t="str">
            <v>DY</v>
          </cell>
          <cell r="J2410">
            <v>22.2</v>
          </cell>
          <cell r="N2410" t="e">
            <v>#DIV/0!</v>
          </cell>
        </row>
        <row r="2411">
          <cell r="E2411" t="str">
            <v>HGC-Lib-2453093</v>
          </cell>
          <cell r="F2411" t="str">
            <v>LC240702040</v>
          </cell>
          <cell r="G2411">
            <v>100</v>
          </cell>
          <cell r="H2411" t="str">
            <v>singleron-3'转录组文库</v>
          </cell>
          <cell r="I2411" t="str">
            <v>DY</v>
          </cell>
          <cell r="J2411">
            <v>22.2</v>
          </cell>
          <cell r="N2411" t="e">
            <v>#DIV/0!</v>
          </cell>
        </row>
        <row r="2412">
          <cell r="E2412" t="str">
            <v>HGC-Lib-2453094</v>
          </cell>
          <cell r="F2412" t="str">
            <v>LC240702044</v>
          </cell>
          <cell r="G2412">
            <v>100</v>
          </cell>
          <cell r="H2412" t="str">
            <v>singleron-3'转录组文库</v>
          </cell>
          <cell r="I2412" t="str">
            <v>DY</v>
          </cell>
          <cell r="J2412">
            <v>38</v>
          </cell>
          <cell r="N2412" t="e">
            <v>#DIV/0!</v>
          </cell>
        </row>
        <row r="2413">
          <cell r="E2413" t="str">
            <v>HGC-Lib-2453095</v>
          </cell>
          <cell r="F2413" t="str">
            <v>LPROHC240628002</v>
          </cell>
          <cell r="G2413">
            <v>150</v>
          </cell>
          <cell r="H2413" t="str">
            <v>singleron-3'转录组文库</v>
          </cell>
          <cell r="I2413" t="str">
            <v>DY</v>
          </cell>
          <cell r="J2413">
            <v>20.8</v>
          </cell>
          <cell r="N2413" t="e">
            <v>#DIV/0!</v>
          </cell>
        </row>
        <row r="2414">
          <cell r="E2414" t="str">
            <v>HGC-Lib-2453096</v>
          </cell>
          <cell r="F2414" t="str">
            <v>PROLPROHC240628002</v>
          </cell>
          <cell r="G2414">
            <v>32</v>
          </cell>
          <cell r="H2414" t="str">
            <v>其他碱基不平衡文库</v>
          </cell>
          <cell r="I2414" t="str">
            <v>DY</v>
          </cell>
          <cell r="J2414">
            <v>17.100000000000001</v>
          </cell>
          <cell r="N2414" t="e">
            <v>#DIV/0!</v>
          </cell>
        </row>
        <row r="2415">
          <cell r="E2415" t="str">
            <v>HGC-Lib-2453097</v>
          </cell>
          <cell r="F2415" t="str">
            <v>PROLPROHC240628003</v>
          </cell>
          <cell r="G2415">
            <v>32</v>
          </cell>
          <cell r="H2415" t="str">
            <v>其他碱基不平衡文库</v>
          </cell>
          <cell r="I2415" t="str">
            <v>DY</v>
          </cell>
          <cell r="J2415">
            <v>20.6</v>
          </cell>
          <cell r="N2415" t="e">
            <v>#DIV/0!</v>
          </cell>
        </row>
        <row r="2416">
          <cell r="E2416" t="str">
            <v>HGC-Lib-2453098</v>
          </cell>
          <cell r="F2416" t="str">
            <v>LPROHC240628001</v>
          </cell>
          <cell r="G2416">
            <v>150</v>
          </cell>
          <cell r="H2416" t="str">
            <v>singleron-3'转录组文库</v>
          </cell>
          <cell r="I2416" t="str">
            <v>DY</v>
          </cell>
          <cell r="J2416">
            <v>18.7</v>
          </cell>
          <cell r="N2416" t="e">
            <v>#DIV/0!</v>
          </cell>
        </row>
        <row r="2417">
          <cell r="E2417" t="str">
            <v>HGC-Lib-2453099</v>
          </cell>
          <cell r="F2417" t="str">
            <v>PROLPROHC240628004</v>
          </cell>
          <cell r="G2417">
            <v>32</v>
          </cell>
          <cell r="H2417" t="str">
            <v>其他碱基不平衡文库</v>
          </cell>
          <cell r="I2417" t="str">
            <v>DY</v>
          </cell>
          <cell r="J2417">
            <v>20.6</v>
          </cell>
          <cell r="N2417" t="e">
            <v>#DIV/0!</v>
          </cell>
        </row>
        <row r="2418">
          <cell r="E2418" t="str">
            <v>HGC-Lib-2453100</v>
          </cell>
          <cell r="F2418" t="str">
            <v>PROLPROHC240628001</v>
          </cell>
          <cell r="G2418">
            <v>32</v>
          </cell>
          <cell r="H2418" t="str">
            <v>其他碱基不平衡文库</v>
          </cell>
          <cell r="I2418" t="str">
            <v>DY</v>
          </cell>
          <cell r="J2418">
            <v>15.2</v>
          </cell>
          <cell r="N2418" t="e">
            <v>#DIV/0!</v>
          </cell>
        </row>
        <row r="2419">
          <cell r="E2419" t="str">
            <v>HGC-Lib-2453101</v>
          </cell>
          <cell r="F2419" t="str">
            <v>LPROHC240628004</v>
          </cell>
          <cell r="G2419">
            <v>150</v>
          </cell>
          <cell r="H2419" t="str">
            <v>singleron-3'转录组文库</v>
          </cell>
          <cell r="I2419" t="str">
            <v>DY</v>
          </cell>
          <cell r="J2419">
            <v>18.2</v>
          </cell>
          <cell r="N2419" t="e">
            <v>#DIV/0!</v>
          </cell>
        </row>
        <row r="2420">
          <cell r="E2420" t="str">
            <v>HGC-Lib-2453102</v>
          </cell>
          <cell r="F2420" t="str">
            <v>LPROHC240628003</v>
          </cell>
          <cell r="G2420">
            <v>150</v>
          </cell>
          <cell r="H2420" t="str">
            <v>singleron-3'转录组文库</v>
          </cell>
          <cell r="I2420" t="str">
            <v>DY</v>
          </cell>
          <cell r="J2420">
            <v>23.6</v>
          </cell>
          <cell r="N2420" t="e">
            <v>#DIV/0!</v>
          </cell>
        </row>
        <row r="2421">
          <cell r="E2421" t="str">
            <v>HGC-Lib-2453103</v>
          </cell>
          <cell r="F2421" t="str">
            <v>LC240626083</v>
          </cell>
          <cell r="G2421">
            <v>100</v>
          </cell>
          <cell r="H2421" t="str">
            <v>singleron-3'转录组文库</v>
          </cell>
          <cell r="I2421" t="str">
            <v>DY</v>
          </cell>
          <cell r="J2421">
            <v>21.8</v>
          </cell>
          <cell r="N2421" t="e">
            <v>#DIV/0!</v>
          </cell>
        </row>
        <row r="2422">
          <cell r="E2422" t="str">
            <v>HGC-Lib-2452208</v>
          </cell>
          <cell r="F2422" t="str">
            <v>B1-1</v>
          </cell>
          <cell r="G2422">
            <v>10</v>
          </cell>
          <cell r="H2422" t="str">
            <v>ATAC-Seq文库</v>
          </cell>
          <cell r="I2422" t="str">
            <v>WWH</v>
          </cell>
          <cell r="J2422">
            <v>0.39200000000000002</v>
          </cell>
          <cell r="K2422">
            <v>432</v>
          </cell>
          <cell r="L2422" t="str">
            <v>WH</v>
          </cell>
          <cell r="N2422">
            <v>1.3960113960114</v>
          </cell>
        </row>
        <row r="2423">
          <cell r="E2423" t="str">
            <v>HGC-Lib-2452209</v>
          </cell>
          <cell r="F2423" t="str">
            <v>B1-2</v>
          </cell>
          <cell r="G2423">
            <v>10</v>
          </cell>
          <cell r="H2423" t="str">
            <v>ATAC-Seq文库</v>
          </cell>
          <cell r="I2423" t="str">
            <v>WWH</v>
          </cell>
          <cell r="J2423">
            <v>0.38400000000000001</v>
          </cell>
          <cell r="K2423">
            <v>447</v>
          </cell>
          <cell r="L2423" t="str">
            <v>WH</v>
          </cell>
          <cell r="N2423">
            <v>1.32163138874548</v>
          </cell>
        </row>
        <row r="2424">
          <cell r="E2424" t="str">
            <v>HGC-Lib-2452210</v>
          </cell>
          <cell r="F2424" t="str">
            <v>B1-3</v>
          </cell>
          <cell r="G2424">
            <v>10</v>
          </cell>
          <cell r="H2424" t="str">
            <v>ATAC-Seq文库</v>
          </cell>
          <cell r="I2424" t="str">
            <v>WWH</v>
          </cell>
          <cell r="J2424">
            <v>0.316</v>
          </cell>
          <cell r="K2424">
            <v>436</v>
          </cell>
          <cell r="L2424" t="str">
            <v>WH</v>
          </cell>
          <cell r="N2424">
            <v>1.1150317572335899</v>
          </cell>
        </row>
        <row r="2425">
          <cell r="E2425" t="str">
            <v>HGC-Lib-2452211</v>
          </cell>
          <cell r="F2425" t="str">
            <v>B2-1</v>
          </cell>
          <cell r="G2425">
            <v>10</v>
          </cell>
          <cell r="H2425" t="str">
            <v>ATAC-Seq文库</v>
          </cell>
          <cell r="I2425" t="str">
            <v>WWH</v>
          </cell>
          <cell r="J2425" t="str">
            <v>/</v>
          </cell>
          <cell r="K2425">
            <v>295</v>
          </cell>
          <cell r="L2425" t="str">
            <v>WH</v>
          </cell>
          <cell r="N2425" t="e">
            <v>#VALUE!</v>
          </cell>
        </row>
        <row r="2426">
          <cell r="E2426" t="str">
            <v>HGC-Lib-2452212</v>
          </cell>
          <cell r="F2426" t="str">
            <v>B2-2</v>
          </cell>
          <cell r="G2426">
            <v>10</v>
          </cell>
          <cell r="H2426" t="str">
            <v>ATAC-Seq文库</v>
          </cell>
          <cell r="I2426" t="str">
            <v>WWH</v>
          </cell>
          <cell r="J2426" t="str">
            <v>/</v>
          </cell>
          <cell r="K2426">
            <v>284</v>
          </cell>
          <cell r="L2426" t="str">
            <v>WH</v>
          </cell>
          <cell r="N2426" t="e">
            <v>#VALUE!</v>
          </cell>
        </row>
        <row r="2427">
          <cell r="E2427" t="str">
            <v>HGC-Lib-2452213</v>
          </cell>
          <cell r="F2427" t="str">
            <v>B3-1</v>
          </cell>
          <cell r="G2427">
            <v>10</v>
          </cell>
          <cell r="H2427" t="str">
            <v>ATAC-Seq文库</v>
          </cell>
          <cell r="I2427" t="str">
            <v>WWH</v>
          </cell>
          <cell r="J2427">
            <v>0.31</v>
          </cell>
          <cell r="K2427">
            <v>325</v>
          </cell>
          <cell r="L2427" t="str">
            <v>WH</v>
          </cell>
          <cell r="N2427">
            <v>1.46745562130178</v>
          </cell>
        </row>
        <row r="2428">
          <cell r="E2428" t="str">
            <v>HGC-Lib-2452214</v>
          </cell>
          <cell r="F2428" t="str">
            <v>B3'-1</v>
          </cell>
          <cell r="G2428">
            <v>10</v>
          </cell>
          <cell r="H2428" t="str">
            <v>ATAC-Seq文库</v>
          </cell>
          <cell r="I2428" t="str">
            <v>WWH</v>
          </cell>
          <cell r="J2428">
            <v>0.17199999999999999</v>
          </cell>
          <cell r="K2428">
            <v>493</v>
          </cell>
          <cell r="L2428" t="str">
            <v>WH</v>
          </cell>
          <cell r="N2428">
            <v>0.53674520205960397</v>
          </cell>
        </row>
        <row r="2429">
          <cell r="E2429" t="str">
            <v>HGC-Lib-2452215</v>
          </cell>
          <cell r="F2429" t="str">
            <v>B4-1</v>
          </cell>
          <cell r="G2429">
            <v>10</v>
          </cell>
          <cell r="H2429" t="str">
            <v>ATAC-Seq文库</v>
          </cell>
          <cell r="I2429" t="str">
            <v>WWH</v>
          </cell>
          <cell r="J2429">
            <v>0.17599999999999999</v>
          </cell>
          <cell r="K2429">
            <v>257</v>
          </cell>
          <cell r="L2429" t="str">
            <v>WH</v>
          </cell>
          <cell r="N2429">
            <v>1.0535767734211301</v>
          </cell>
        </row>
        <row r="2430">
          <cell r="E2430" t="str">
            <v>HGC-Lib-2452216</v>
          </cell>
          <cell r="F2430" t="str">
            <v>B5</v>
          </cell>
          <cell r="G2430">
            <v>10</v>
          </cell>
          <cell r="H2430" t="str">
            <v>ATAC-Seq文库</v>
          </cell>
          <cell r="I2430" t="str">
            <v>WWH</v>
          </cell>
          <cell r="J2430">
            <v>0.35599999999999998</v>
          </cell>
          <cell r="K2430">
            <v>422</v>
          </cell>
          <cell r="L2430" t="str">
            <v>WH</v>
          </cell>
          <cell r="N2430">
            <v>1.29784907036092</v>
          </cell>
        </row>
        <row r="2431">
          <cell r="E2431" t="str">
            <v>HGC-Lib-2452410</v>
          </cell>
          <cell r="F2431" t="str">
            <v>N_B_N4701-0P-Poly-AShNC-1</v>
          </cell>
          <cell r="G2431">
            <v>6</v>
          </cell>
          <cell r="H2431" t="str">
            <v>N_B_N4701-0P-Poly-AShNC-1</v>
          </cell>
          <cell r="I2431" t="str">
            <v>HZK</v>
          </cell>
          <cell r="J2431">
            <v>33.4</v>
          </cell>
          <cell r="N2431" t="e">
            <v>#DIV/0!</v>
          </cell>
        </row>
        <row r="2432">
          <cell r="E2432" t="str">
            <v>HGC-Lib-2452411</v>
          </cell>
          <cell r="F2432" t="str">
            <v>N_B_N4701-0Q-Poly-AShNC-2</v>
          </cell>
          <cell r="G2432">
            <v>6</v>
          </cell>
          <cell r="H2432" t="str">
            <v>N_B_N4701-0Q-Poly-AShNC-2</v>
          </cell>
          <cell r="I2432" t="str">
            <v>HZK</v>
          </cell>
          <cell r="J2432">
            <v>32.6</v>
          </cell>
          <cell r="N2432" t="e">
            <v>#DIV/0!</v>
          </cell>
        </row>
        <row r="2433">
          <cell r="E2433" t="str">
            <v>HGC-Lib-2452412</v>
          </cell>
          <cell r="F2433" t="str">
            <v>N_B_N4701-0R-Poly-AShNC-3</v>
          </cell>
          <cell r="G2433">
            <v>6</v>
          </cell>
          <cell r="H2433" t="str">
            <v>N_B_N4701-0R-Poly-AShNC-3</v>
          </cell>
          <cell r="I2433" t="str">
            <v>HZK</v>
          </cell>
          <cell r="J2433">
            <v>33.4</v>
          </cell>
          <cell r="N2433" t="e">
            <v>#DIV/0!</v>
          </cell>
        </row>
        <row r="2434">
          <cell r="E2434" t="str">
            <v>HGC-Lib-2452413</v>
          </cell>
          <cell r="F2434" t="str">
            <v>N_B_N4701-0U-Poly-ASha-1</v>
          </cell>
          <cell r="G2434">
            <v>6</v>
          </cell>
          <cell r="H2434" t="str">
            <v>N_B_N4701-0U-Poly-ASha-1</v>
          </cell>
          <cell r="I2434" t="str">
            <v>HZK</v>
          </cell>
          <cell r="J2434">
            <v>35.799999999999997</v>
          </cell>
          <cell r="N2434" t="e">
            <v>#DIV/0!</v>
          </cell>
        </row>
        <row r="2435">
          <cell r="E2435" t="str">
            <v>HGC-Lib-2452414</v>
          </cell>
          <cell r="F2435" t="str">
            <v>N_B_N4701-0V-Poly-ASha-2</v>
          </cell>
          <cell r="G2435">
            <v>6</v>
          </cell>
          <cell r="H2435" t="str">
            <v>N_B_N4701-0V-Poly-ASha-2</v>
          </cell>
          <cell r="I2435" t="str">
            <v>HZK</v>
          </cell>
          <cell r="J2435">
            <v>37.4</v>
          </cell>
          <cell r="N2435" t="e">
            <v>#DIV/0!</v>
          </cell>
        </row>
        <row r="2436">
          <cell r="E2436" t="str">
            <v>HGC-Lib-2452415</v>
          </cell>
          <cell r="F2436" t="str">
            <v>N_B_N4701-0W-Poly-ASha-3</v>
          </cell>
          <cell r="G2436">
            <v>6</v>
          </cell>
          <cell r="H2436" t="str">
            <v>N_B_N4701-0W-Poly-ASha-3</v>
          </cell>
          <cell r="I2436" t="str">
            <v>HZK</v>
          </cell>
          <cell r="J2436">
            <v>3.6</v>
          </cell>
          <cell r="N2436" t="e">
            <v>#DIV/0!</v>
          </cell>
        </row>
        <row r="2437">
          <cell r="E2437" t="str">
            <v>HGC-Lib-2452416</v>
          </cell>
          <cell r="F2437" t="str">
            <v>N_B_N4701-0Z-Poly-AShb-1</v>
          </cell>
          <cell r="G2437">
            <v>6</v>
          </cell>
          <cell r="H2437" t="str">
            <v>N_B_N4701-0Z-Poly-AShb-1</v>
          </cell>
          <cell r="I2437" t="str">
            <v>HZK</v>
          </cell>
          <cell r="J2437">
            <v>21.6</v>
          </cell>
          <cell r="N2437" t="e">
            <v>#DIV/0!</v>
          </cell>
        </row>
        <row r="2438">
          <cell r="E2438" t="str">
            <v>HGC-Lib-2452417</v>
          </cell>
          <cell r="F2438" t="str">
            <v>N_B_N4701-10-Poly-AShb-2</v>
          </cell>
          <cell r="G2438">
            <v>6</v>
          </cell>
          <cell r="H2438" t="str">
            <v>N_B_N4701-10-Poly-AShb-2</v>
          </cell>
          <cell r="I2438" t="str">
            <v>HZK</v>
          </cell>
          <cell r="J2438">
            <v>36</v>
          </cell>
          <cell r="N2438" t="e">
            <v>#DIV/0!</v>
          </cell>
        </row>
        <row r="2439">
          <cell r="E2439" t="str">
            <v>HGC-Lib-2452418</v>
          </cell>
          <cell r="F2439" t="str">
            <v>N_B_N4701-11-Poly-AShb-3</v>
          </cell>
          <cell r="G2439">
            <v>6</v>
          </cell>
          <cell r="H2439" t="str">
            <v>N_B_N4701-11-Poly-AShb-3</v>
          </cell>
          <cell r="I2439" t="str">
            <v>HZK</v>
          </cell>
          <cell r="J2439">
            <v>43.4</v>
          </cell>
          <cell r="N2439" t="e">
            <v>#DIV/0!</v>
          </cell>
        </row>
        <row r="2440">
          <cell r="E2440" t="str">
            <v>HGC-Lib-2452419</v>
          </cell>
          <cell r="F2440" t="str">
            <v>N_B_N4701-14-Poly-AShc-1</v>
          </cell>
          <cell r="G2440">
            <v>6</v>
          </cell>
          <cell r="H2440" t="str">
            <v>N_B_N4701-14-Poly-AShc-1</v>
          </cell>
          <cell r="I2440" t="str">
            <v>HZK</v>
          </cell>
          <cell r="J2440">
            <v>41.6</v>
          </cell>
          <cell r="N2440" t="e">
            <v>#DIV/0!</v>
          </cell>
        </row>
        <row r="2441">
          <cell r="E2441" t="str">
            <v>HGC-Lib-2452420</v>
          </cell>
          <cell r="F2441" t="str">
            <v>N_B_N4701-15-Poly-AShc-2</v>
          </cell>
          <cell r="G2441">
            <v>6</v>
          </cell>
          <cell r="H2441" t="str">
            <v>N_B_N4701-15-Poly-AShc-2</v>
          </cell>
          <cell r="I2441" t="str">
            <v>HZK</v>
          </cell>
          <cell r="J2441">
            <v>38</v>
          </cell>
          <cell r="N2441" t="e">
            <v>#DIV/0!</v>
          </cell>
        </row>
        <row r="2442">
          <cell r="E2442" t="str">
            <v>HGC-Lib-2452421</v>
          </cell>
          <cell r="F2442" t="str">
            <v>N_B_N4701-16-Poly-AShc-3</v>
          </cell>
          <cell r="G2442">
            <v>6</v>
          </cell>
          <cell r="H2442" t="str">
            <v>N_B_N4701-16-Poly-AShc-3</v>
          </cell>
          <cell r="I2442" t="str">
            <v>HZK</v>
          </cell>
          <cell r="J2442">
            <v>44.4</v>
          </cell>
          <cell r="N2442" t="e">
            <v>#DIV/0!</v>
          </cell>
        </row>
        <row r="2443">
          <cell r="E2443" t="str">
            <v>HGC-Lib-2452422</v>
          </cell>
          <cell r="F2443" t="str">
            <v>Naïve_KO_P14_RNA_1</v>
          </cell>
          <cell r="G2443">
            <v>8</v>
          </cell>
          <cell r="H2443" t="str">
            <v>RNA-seq文库</v>
          </cell>
          <cell r="I2443" t="str">
            <v>HZK</v>
          </cell>
          <cell r="J2443">
            <v>38.799999999999997</v>
          </cell>
          <cell r="K2443">
            <v>475</v>
          </cell>
          <cell r="N2443">
            <v>125.668016194332</v>
          </cell>
        </row>
        <row r="2444">
          <cell r="E2444" t="str">
            <v>HGC-Lib-2452423</v>
          </cell>
          <cell r="F2444" t="str">
            <v>Naïve_WT_P14_RNA_1</v>
          </cell>
          <cell r="G2444">
            <v>8</v>
          </cell>
          <cell r="H2444" t="str">
            <v>RNA-seq文库</v>
          </cell>
          <cell r="I2444" t="str">
            <v>HZK</v>
          </cell>
          <cell r="J2444">
            <v>36</v>
          </cell>
          <cell r="K2444">
            <v>317</v>
          </cell>
          <cell r="N2444">
            <v>174.714875030332</v>
          </cell>
        </row>
        <row r="2445">
          <cell r="E2445" t="str">
            <v>HGC-Lib-2452424</v>
          </cell>
          <cell r="F2445" t="str">
            <v>Arm_D3_KO_P14_RNA_1</v>
          </cell>
          <cell r="G2445">
            <v>8</v>
          </cell>
          <cell r="H2445" t="str">
            <v>RNA-seq文库</v>
          </cell>
          <cell r="I2445" t="str">
            <v>HZK</v>
          </cell>
          <cell r="J2445">
            <v>31.2</v>
          </cell>
          <cell r="K2445">
            <v>354</v>
          </cell>
          <cell r="L2445" t="str">
            <v>ZZ</v>
          </cell>
          <cell r="N2445">
            <v>135.593220338983</v>
          </cell>
        </row>
        <row r="2446">
          <cell r="E2446" t="str">
            <v>HGC-Lib-2452425</v>
          </cell>
          <cell r="F2446" t="str">
            <v>Arm_D3_WT_P14_RNA_1</v>
          </cell>
          <cell r="G2446">
            <v>8</v>
          </cell>
          <cell r="H2446" t="str">
            <v>RNA-seq文库</v>
          </cell>
          <cell r="I2446" t="str">
            <v>HZK</v>
          </cell>
          <cell r="J2446">
            <v>50.2</v>
          </cell>
          <cell r="K2446">
            <v>305</v>
          </cell>
          <cell r="L2446" t="str">
            <v>ZZ</v>
          </cell>
          <cell r="N2446">
            <v>253.215636822194</v>
          </cell>
        </row>
        <row r="2447">
          <cell r="E2447" t="str">
            <v>HGC-Lib-2452426</v>
          </cell>
          <cell r="F2447" t="str">
            <v>Arm_D8_KO_P14_RNA_1</v>
          </cell>
          <cell r="G2447">
            <v>8</v>
          </cell>
          <cell r="H2447" t="str">
            <v>RNA-seq文库</v>
          </cell>
          <cell r="I2447" t="str">
            <v>HZK</v>
          </cell>
          <cell r="J2447">
            <v>38.799999999999997</v>
          </cell>
          <cell r="K2447">
            <v>320</v>
          </cell>
          <cell r="L2447" t="str">
            <v>ZZ</v>
          </cell>
          <cell r="N2447">
            <v>186.538461538462</v>
          </cell>
        </row>
        <row r="2448">
          <cell r="E2448" t="str">
            <v>HGC-Lib-2452427</v>
          </cell>
          <cell r="F2448" t="str">
            <v>Arm_D8_WT_P14_RNA_1</v>
          </cell>
          <cell r="G2448">
            <v>8</v>
          </cell>
          <cell r="H2448" t="str">
            <v>RNA-seq文库</v>
          </cell>
          <cell r="I2448" t="str">
            <v>HZK</v>
          </cell>
          <cell r="J2448">
            <v>38.4</v>
          </cell>
          <cell r="K2448">
            <v>321</v>
          </cell>
          <cell r="L2448" t="str">
            <v>ZZ</v>
          </cell>
          <cell r="N2448">
            <v>184.04025880661399</v>
          </cell>
        </row>
        <row r="2449">
          <cell r="E2449" t="str">
            <v>HGC-Lib-2452428</v>
          </cell>
          <cell r="F2449" t="str">
            <v>Arm_Mem_KO_P14_RNA_1</v>
          </cell>
          <cell r="G2449">
            <v>8</v>
          </cell>
          <cell r="H2449" t="str">
            <v>RNA-seq文库</v>
          </cell>
          <cell r="I2449" t="str">
            <v>HZK</v>
          </cell>
          <cell r="J2449">
            <v>39.200000000000003</v>
          </cell>
          <cell r="K2449">
            <v>324</v>
          </cell>
          <cell r="L2449" t="str">
            <v>ZZ</v>
          </cell>
          <cell r="N2449">
            <v>186.134852801519</v>
          </cell>
        </row>
        <row r="2450">
          <cell r="E2450" t="str">
            <v>HGC-Lib-2452429</v>
          </cell>
          <cell r="F2450" t="str">
            <v>Arm_Mem_WT_P14_RNA_1</v>
          </cell>
          <cell r="G2450">
            <v>8</v>
          </cell>
          <cell r="H2450" t="str">
            <v>RNA-seq文库</v>
          </cell>
          <cell r="I2450" t="str">
            <v>HZK</v>
          </cell>
          <cell r="J2450">
            <v>38.4</v>
          </cell>
          <cell r="K2450">
            <v>320</v>
          </cell>
          <cell r="L2450" t="str">
            <v>ZZ</v>
          </cell>
          <cell r="N2450">
            <v>184.61538461538501</v>
          </cell>
        </row>
        <row r="2451">
          <cell r="E2451" t="str">
            <v>HGC-Lib-2452430</v>
          </cell>
          <cell r="F2451" t="str">
            <v>Arm_D3_GZMB_P14_RNA_1</v>
          </cell>
          <cell r="G2451">
            <v>8</v>
          </cell>
          <cell r="H2451" t="str">
            <v>RNA-seq文库</v>
          </cell>
          <cell r="I2451" t="str">
            <v>HZK</v>
          </cell>
          <cell r="J2451">
            <v>36.200000000000003</v>
          </cell>
          <cell r="K2451">
            <v>307</v>
          </cell>
          <cell r="L2451" t="str">
            <v>ZZ</v>
          </cell>
          <cell r="N2451">
            <v>181.408168378852</v>
          </cell>
        </row>
        <row r="2452">
          <cell r="E2452" t="str">
            <v>HGC-Lib-2452431</v>
          </cell>
          <cell r="F2452" t="str">
            <v>Arm_D8_GZMB_P14_RNA_1</v>
          </cell>
          <cell r="G2452">
            <v>8</v>
          </cell>
          <cell r="H2452" t="str">
            <v>RNA-seq文库</v>
          </cell>
          <cell r="I2452" t="str">
            <v>HZK</v>
          </cell>
          <cell r="J2452">
            <v>16.2</v>
          </cell>
          <cell r="K2452">
            <v>475</v>
          </cell>
          <cell r="L2452" t="str">
            <v>ZZ</v>
          </cell>
          <cell r="N2452">
            <v>52.469635627530401</v>
          </cell>
        </row>
        <row r="2453">
          <cell r="E2453" t="str">
            <v>HGC-Lib-2452432</v>
          </cell>
          <cell r="F2453" t="str">
            <v>TdLN_KO_TTSM_P14_RNA_1</v>
          </cell>
          <cell r="G2453">
            <v>8</v>
          </cell>
          <cell r="H2453" t="str">
            <v>RNA-seq文库</v>
          </cell>
          <cell r="I2453" t="str">
            <v>HZK</v>
          </cell>
          <cell r="J2453">
            <v>31.4</v>
          </cell>
          <cell r="K2453">
            <v>386</v>
          </cell>
          <cell r="L2453" t="str">
            <v>ZZ</v>
          </cell>
          <cell r="N2453">
            <v>125.149461937027</v>
          </cell>
        </row>
        <row r="2454">
          <cell r="E2454" t="str">
            <v>HGC-Lib-2452433</v>
          </cell>
          <cell r="F2454" t="str">
            <v>TdLN_WT_TTSM_P14_RNA_1</v>
          </cell>
          <cell r="G2454">
            <v>8</v>
          </cell>
          <cell r="H2454" t="str">
            <v>RNA-seq文库</v>
          </cell>
          <cell r="I2454" t="str">
            <v>HZK</v>
          </cell>
          <cell r="J2454">
            <v>47.2</v>
          </cell>
          <cell r="K2454">
            <v>342</v>
          </cell>
          <cell r="L2454" t="str">
            <v>ZZ</v>
          </cell>
          <cell r="N2454">
            <v>212.325686009897</v>
          </cell>
        </row>
        <row r="2455">
          <cell r="E2455" t="str">
            <v>HGC-Lib-2452434</v>
          </cell>
          <cell r="F2455" t="str">
            <v>TdLN_KO_TPEX_P14_RNA_1</v>
          </cell>
          <cell r="G2455">
            <v>8</v>
          </cell>
          <cell r="H2455" t="str">
            <v>RNA-seq文库</v>
          </cell>
          <cell r="I2455" t="str">
            <v>HZK</v>
          </cell>
          <cell r="J2455">
            <v>39.6</v>
          </cell>
          <cell r="K2455">
            <v>324</v>
          </cell>
          <cell r="L2455" t="str">
            <v>ZZ</v>
          </cell>
          <cell r="N2455">
            <v>188.03418803418799</v>
          </cell>
        </row>
        <row r="2456">
          <cell r="E2456" t="str">
            <v>HGC-Lib-2452435</v>
          </cell>
          <cell r="F2456" t="str">
            <v>TdLN_WT_TPEX_P14_RNA_1</v>
          </cell>
          <cell r="G2456">
            <v>8</v>
          </cell>
          <cell r="H2456" t="str">
            <v>RNA-seq文库</v>
          </cell>
          <cell r="I2456" t="str">
            <v>HZK</v>
          </cell>
          <cell r="J2456">
            <v>44.6</v>
          </cell>
          <cell r="K2456">
            <v>315</v>
          </cell>
          <cell r="L2456" t="str">
            <v>ZZ</v>
          </cell>
          <cell r="N2456">
            <v>217.82661782661799</v>
          </cell>
        </row>
        <row r="2457">
          <cell r="E2457" t="str">
            <v>HGC-Lib-2452436</v>
          </cell>
          <cell r="F2457" t="str">
            <v>TME_KO_P14_RNA_1</v>
          </cell>
          <cell r="G2457">
            <v>8</v>
          </cell>
          <cell r="H2457" t="str">
            <v>RNA-seq文库</v>
          </cell>
          <cell r="I2457" t="str">
            <v>HZK</v>
          </cell>
          <cell r="J2457">
            <v>31.2</v>
          </cell>
          <cell r="K2457">
            <v>342</v>
          </cell>
          <cell r="L2457" t="str">
            <v>ZZ</v>
          </cell>
          <cell r="N2457">
            <v>140.35087719298201</v>
          </cell>
        </row>
        <row r="2458">
          <cell r="E2458" t="str">
            <v>HGC-Lib-2452437</v>
          </cell>
          <cell r="F2458" t="str">
            <v>TME_WT_P14_RNA_1</v>
          </cell>
          <cell r="G2458">
            <v>8</v>
          </cell>
          <cell r="H2458" t="str">
            <v>RNA-seq文库</v>
          </cell>
          <cell r="I2458" t="str">
            <v>HZK</v>
          </cell>
          <cell r="J2458">
            <v>40.6</v>
          </cell>
          <cell r="K2458">
            <v>319</v>
          </cell>
          <cell r="L2458" t="str">
            <v>ZZ</v>
          </cell>
          <cell r="N2458">
            <v>195.80419580419601</v>
          </cell>
        </row>
        <row r="2459">
          <cell r="E2459" t="str">
            <v>HGC-Lib-2452438</v>
          </cell>
          <cell r="F2459" t="str">
            <v>scramble-1</v>
          </cell>
          <cell r="G2459">
            <v>6</v>
          </cell>
          <cell r="H2459" t="str">
            <v>ATAC-Seq文库</v>
          </cell>
          <cell r="I2459" t="str">
            <v>HZK</v>
          </cell>
          <cell r="J2459">
            <v>62.8</v>
          </cell>
          <cell r="K2459">
            <v>373</v>
          </cell>
          <cell r="L2459" t="str">
            <v>ZZ</v>
          </cell>
          <cell r="N2459">
            <v>259.02247886162098</v>
          </cell>
        </row>
        <row r="2460">
          <cell r="E2460" t="str">
            <v>HGC-Lib-2452439</v>
          </cell>
          <cell r="F2460" t="str">
            <v>scramble-2</v>
          </cell>
          <cell r="G2460">
            <v>6</v>
          </cell>
          <cell r="H2460" t="str">
            <v>ATAC-Seq文库</v>
          </cell>
          <cell r="I2460" t="str">
            <v>HZK</v>
          </cell>
          <cell r="J2460">
            <v>66.599999999999994</v>
          </cell>
          <cell r="K2460">
            <v>388</v>
          </cell>
          <cell r="L2460" t="str">
            <v>ZZ</v>
          </cell>
          <cell r="N2460">
            <v>264.07613005551099</v>
          </cell>
        </row>
        <row r="2461">
          <cell r="E2461" t="str">
            <v>HGC-Lib-2452440</v>
          </cell>
          <cell r="F2461" t="str">
            <v>scramble-3</v>
          </cell>
          <cell r="G2461">
            <v>6</v>
          </cell>
          <cell r="H2461" t="str">
            <v>ATAC-Seq文库</v>
          </cell>
          <cell r="I2461" t="str">
            <v>HZK</v>
          </cell>
          <cell r="J2461">
            <v>51.6</v>
          </cell>
          <cell r="K2461">
            <v>371</v>
          </cell>
          <cell r="L2461" t="str">
            <v>ZZ</v>
          </cell>
          <cell r="N2461">
            <v>213.97470454074201</v>
          </cell>
        </row>
        <row r="2462">
          <cell r="E2462" t="str">
            <v>HGC-Lib-2452441</v>
          </cell>
          <cell r="F2462" t="str">
            <v>A3KD-1</v>
          </cell>
          <cell r="G2462">
            <v>6</v>
          </cell>
          <cell r="H2462" t="str">
            <v>ATAC-Seq文库</v>
          </cell>
          <cell r="I2462" t="str">
            <v>HZK</v>
          </cell>
          <cell r="J2462">
            <v>70.2</v>
          </cell>
          <cell r="K2462">
            <v>349</v>
          </cell>
          <cell r="L2462" t="str">
            <v>ZZ</v>
          </cell>
          <cell r="N2462">
            <v>309.45558739255</v>
          </cell>
        </row>
        <row r="2463">
          <cell r="E2463" t="str">
            <v>HGC-Lib-2452442</v>
          </cell>
          <cell r="F2463" t="str">
            <v>A3KD-2</v>
          </cell>
          <cell r="G2463">
            <v>6</v>
          </cell>
          <cell r="H2463" t="str">
            <v>ATAC-Seq文库</v>
          </cell>
          <cell r="I2463" t="str">
            <v>HZK</v>
          </cell>
          <cell r="J2463">
            <v>63</v>
          </cell>
          <cell r="K2463">
            <v>345</v>
          </cell>
          <cell r="L2463" t="str">
            <v>ZZ</v>
          </cell>
          <cell r="N2463">
            <v>280.93645484949798</v>
          </cell>
        </row>
        <row r="2464">
          <cell r="E2464" t="str">
            <v>HGC-Lib-2452443</v>
          </cell>
          <cell r="F2464" t="str">
            <v>A3KD-3</v>
          </cell>
          <cell r="G2464">
            <v>6</v>
          </cell>
          <cell r="H2464" t="str">
            <v>ATAC-Seq文库</v>
          </cell>
          <cell r="I2464" t="str">
            <v>HZK</v>
          </cell>
          <cell r="J2464">
            <v>52.6</v>
          </cell>
          <cell r="K2464">
            <v>366</v>
          </cell>
          <cell r="L2464" t="str">
            <v>ZZ</v>
          </cell>
          <cell r="N2464">
            <v>221.10130306851599</v>
          </cell>
        </row>
        <row r="2465">
          <cell r="E2465" t="str">
            <v>HGC-Lib-2452444</v>
          </cell>
          <cell r="F2465" t="str">
            <v>H9-cas9-1-m6a</v>
          </cell>
          <cell r="G2465">
            <v>6</v>
          </cell>
          <cell r="H2465" t="str">
            <v>m6A甲基化文库</v>
          </cell>
          <cell r="I2465" t="str">
            <v>HZK</v>
          </cell>
          <cell r="J2465">
            <v>2.3199999999999998</v>
          </cell>
          <cell r="K2465">
            <v>463</v>
          </cell>
          <cell r="L2465" t="str">
            <v>WH</v>
          </cell>
          <cell r="N2465">
            <v>7.70892174779864</v>
          </cell>
        </row>
        <row r="2466">
          <cell r="E2466" t="str">
            <v>HGC-Lib-2452445</v>
          </cell>
          <cell r="F2466" t="str">
            <v>H9-cas9-2-m6a</v>
          </cell>
          <cell r="G2466">
            <v>6</v>
          </cell>
          <cell r="H2466" t="str">
            <v>m6A甲基化文库</v>
          </cell>
          <cell r="I2466" t="str">
            <v>HZK</v>
          </cell>
          <cell r="J2466">
            <v>5.3</v>
          </cell>
          <cell r="K2466">
            <v>412</v>
          </cell>
          <cell r="L2466" t="str">
            <v>WH</v>
          </cell>
          <cell r="N2466">
            <v>19.790888722927601</v>
          </cell>
        </row>
        <row r="2467">
          <cell r="E2467" t="str">
            <v>HGC-Lib-2452446</v>
          </cell>
          <cell r="F2467" t="str">
            <v>me3-sh1-1-m6a</v>
          </cell>
          <cell r="G2467">
            <v>6</v>
          </cell>
          <cell r="H2467" t="str">
            <v>m6A甲基化文库</v>
          </cell>
          <cell r="I2467" t="str">
            <v>HZK</v>
          </cell>
          <cell r="J2467">
            <v>2.78</v>
          </cell>
          <cell r="K2467">
            <v>406</v>
          </cell>
          <cell r="L2467" t="str">
            <v>WH</v>
          </cell>
          <cell r="N2467">
            <v>10.534293292914001</v>
          </cell>
        </row>
        <row r="2468">
          <cell r="E2468" t="str">
            <v>HGC-Lib-2452447</v>
          </cell>
          <cell r="F2468" t="str">
            <v>me3-sh1-2-m6a</v>
          </cell>
          <cell r="G2468">
            <v>6</v>
          </cell>
          <cell r="H2468" t="str">
            <v>m6A甲基化文库</v>
          </cell>
          <cell r="I2468" t="str">
            <v>HZK</v>
          </cell>
          <cell r="J2468">
            <v>11.7</v>
          </cell>
          <cell r="K2468">
            <v>413</v>
          </cell>
          <cell r="L2468" t="str">
            <v>ZZ</v>
          </cell>
          <cell r="N2468">
            <v>43.583535108958799</v>
          </cell>
        </row>
        <row r="2469">
          <cell r="E2469" t="str">
            <v>HGC-Lib-2452448</v>
          </cell>
          <cell r="F2469" t="str">
            <v>me3-sh2-1-m6a</v>
          </cell>
          <cell r="G2469">
            <v>6</v>
          </cell>
          <cell r="H2469" t="str">
            <v>m6A甲基化文库</v>
          </cell>
          <cell r="I2469" t="str">
            <v>HZK</v>
          </cell>
          <cell r="J2469">
            <v>7.74</v>
          </cell>
          <cell r="K2469">
            <v>371</v>
          </cell>
          <cell r="L2469" t="str">
            <v>WH</v>
          </cell>
          <cell r="N2469">
            <v>32.0962056811113</v>
          </cell>
        </row>
        <row r="2470">
          <cell r="E2470" t="str">
            <v>HGC-Lib-2452449</v>
          </cell>
          <cell r="F2470" t="str">
            <v>me3-sh2-2-m6a</v>
          </cell>
          <cell r="G2470">
            <v>6</v>
          </cell>
          <cell r="H2470" t="str">
            <v>m6A甲基化文库</v>
          </cell>
          <cell r="I2470" t="str">
            <v>HZK</v>
          </cell>
          <cell r="J2470">
            <v>9.86</v>
          </cell>
          <cell r="K2470">
            <v>427</v>
          </cell>
          <cell r="L2470" t="str">
            <v>WH</v>
          </cell>
          <cell r="N2470">
            <v>35.5251306070978</v>
          </cell>
        </row>
        <row r="2471">
          <cell r="E2471" t="str">
            <v>HGC-Lib-2452450</v>
          </cell>
          <cell r="F2471" t="str">
            <v>me3-sh3-1-m6a</v>
          </cell>
          <cell r="G2471">
            <v>6</v>
          </cell>
          <cell r="H2471" t="str">
            <v>m6A甲基化文库</v>
          </cell>
          <cell r="I2471" t="str">
            <v>HZK</v>
          </cell>
          <cell r="J2471">
            <v>1.53</v>
          </cell>
          <cell r="K2471">
            <v>533</v>
          </cell>
          <cell r="L2471" t="str">
            <v>WH</v>
          </cell>
          <cell r="N2471">
            <v>4.4162216770096698</v>
          </cell>
        </row>
        <row r="2472">
          <cell r="E2472" t="str">
            <v>HGC-Lib-2452451</v>
          </cell>
          <cell r="F2472" t="str">
            <v>me3-sh3-2-m6a</v>
          </cell>
          <cell r="G2472">
            <v>6</v>
          </cell>
          <cell r="H2472" t="str">
            <v>m6A甲基化文库</v>
          </cell>
          <cell r="I2472" t="str">
            <v>HZK</v>
          </cell>
          <cell r="J2472">
            <v>2.1</v>
          </cell>
          <cell r="K2472">
            <v>753</v>
          </cell>
          <cell r="L2472" t="str">
            <v>WH</v>
          </cell>
          <cell r="N2472">
            <v>4.2905301869445296</v>
          </cell>
        </row>
        <row r="2473">
          <cell r="E2473" t="str">
            <v>HGC-Lib-2452452</v>
          </cell>
          <cell r="F2473" t="str">
            <v>H9-cas9-input</v>
          </cell>
          <cell r="G2473">
            <v>6</v>
          </cell>
          <cell r="H2473" t="str">
            <v>mRNA文库</v>
          </cell>
          <cell r="I2473" t="str">
            <v>HZK</v>
          </cell>
          <cell r="J2473">
            <v>10.199999999999999</v>
          </cell>
          <cell r="K2473">
            <v>400</v>
          </cell>
          <cell r="L2473" t="str">
            <v>ZZ</v>
          </cell>
          <cell r="N2473">
            <v>39.230769230769198</v>
          </cell>
        </row>
        <row r="2474">
          <cell r="E2474" t="str">
            <v>HGC-Lib-2452453</v>
          </cell>
          <cell r="F2474" t="str">
            <v>me3-sh1-input</v>
          </cell>
          <cell r="G2474">
            <v>6</v>
          </cell>
          <cell r="H2474" t="str">
            <v>mRNA文库</v>
          </cell>
          <cell r="I2474" t="str">
            <v>HZK</v>
          </cell>
          <cell r="J2474">
            <v>7</v>
          </cell>
          <cell r="K2474">
            <v>333</v>
          </cell>
          <cell r="L2474" t="str">
            <v>WH</v>
          </cell>
          <cell r="N2474">
            <v>32.340032340032302</v>
          </cell>
        </row>
        <row r="2475">
          <cell r="E2475" t="str">
            <v>HGC-Lib-2452454</v>
          </cell>
          <cell r="F2475" t="str">
            <v>me3-sh2-input</v>
          </cell>
          <cell r="G2475">
            <v>6</v>
          </cell>
          <cell r="H2475" t="str">
            <v>mRNA文库</v>
          </cell>
          <cell r="I2475" t="str">
            <v>HZK</v>
          </cell>
          <cell r="J2475">
            <v>4.16</v>
          </cell>
          <cell r="K2475">
            <v>391</v>
          </cell>
          <cell r="L2475" t="str">
            <v>WH</v>
          </cell>
          <cell r="N2475">
            <v>16.368286445012799</v>
          </cell>
        </row>
        <row r="2476">
          <cell r="E2476" t="str">
            <v>HGC-Lib-2452455</v>
          </cell>
          <cell r="F2476" t="str">
            <v>me3-sh3-input</v>
          </cell>
          <cell r="G2476">
            <v>6</v>
          </cell>
          <cell r="H2476" t="str">
            <v>mRNA文库</v>
          </cell>
          <cell r="I2476" t="str">
            <v>HZK</v>
          </cell>
          <cell r="J2476">
            <v>1.43</v>
          </cell>
          <cell r="K2476">
            <v>666</v>
          </cell>
          <cell r="L2476" t="str">
            <v>WH</v>
          </cell>
          <cell r="N2476">
            <v>3.3033033033032999</v>
          </cell>
        </row>
        <row r="2477">
          <cell r="E2477" t="str">
            <v>HGC-Lib-2452456</v>
          </cell>
          <cell r="F2477" t="str">
            <v>TH-toti1</v>
          </cell>
          <cell r="G2477">
            <v>6</v>
          </cell>
          <cell r="H2477" t="str">
            <v>mRNA文库</v>
          </cell>
          <cell r="I2477" t="str">
            <v>HZK</v>
          </cell>
          <cell r="J2477">
            <v>18.5</v>
          </cell>
          <cell r="K2477">
            <v>378</v>
          </cell>
          <cell r="L2477" t="str">
            <v>ZZ</v>
          </cell>
          <cell r="N2477">
            <v>75.295075295075307</v>
          </cell>
        </row>
        <row r="2478">
          <cell r="E2478" t="str">
            <v>HGC-Lib-2452457</v>
          </cell>
          <cell r="F2478" t="str">
            <v>TH-toti2</v>
          </cell>
          <cell r="G2478">
            <v>6</v>
          </cell>
          <cell r="H2478" t="str">
            <v>mRNA文库</v>
          </cell>
          <cell r="I2478" t="str">
            <v>HZK</v>
          </cell>
          <cell r="J2478">
            <v>58.4</v>
          </cell>
          <cell r="K2478">
            <v>318</v>
          </cell>
          <cell r="L2478" t="str">
            <v>ZZ</v>
          </cell>
          <cell r="N2478">
            <v>282.53507498790498</v>
          </cell>
        </row>
        <row r="2479">
          <cell r="E2479" t="str">
            <v>HGC-Lib-2452458</v>
          </cell>
          <cell r="F2479" t="str">
            <v>plv-g1-1</v>
          </cell>
          <cell r="G2479">
            <v>6</v>
          </cell>
          <cell r="H2479" t="str">
            <v>mRNA文库</v>
          </cell>
          <cell r="I2479" t="str">
            <v>WH</v>
          </cell>
          <cell r="J2479">
            <v>14.3</v>
          </cell>
          <cell r="K2479">
            <v>463</v>
          </cell>
          <cell r="L2479" t="str">
            <v>ZZ</v>
          </cell>
          <cell r="N2479">
            <v>47.516198704103701</v>
          </cell>
        </row>
        <row r="2480">
          <cell r="E2480" t="str">
            <v>HGC-Lib-2452459</v>
          </cell>
          <cell r="F2480" t="str">
            <v>plv-g1-2</v>
          </cell>
          <cell r="G2480">
            <v>6</v>
          </cell>
          <cell r="H2480" t="str">
            <v>mRNA文库</v>
          </cell>
          <cell r="I2480" t="str">
            <v>WH</v>
          </cell>
          <cell r="J2480">
            <v>44.8</v>
          </cell>
          <cell r="K2480">
            <v>311</v>
          </cell>
          <cell r="L2480" t="str">
            <v>ZZ</v>
          </cell>
          <cell r="N2480">
            <v>221.61761068513499</v>
          </cell>
        </row>
        <row r="2481">
          <cell r="E2481" t="str">
            <v>HGC-Lib-2452460</v>
          </cell>
          <cell r="F2481" t="str">
            <v>plv-g2-1</v>
          </cell>
          <cell r="G2481">
            <v>6</v>
          </cell>
          <cell r="H2481" t="str">
            <v>mRNA文库</v>
          </cell>
          <cell r="I2481" t="str">
            <v>WH</v>
          </cell>
          <cell r="J2481">
            <v>9.9</v>
          </cell>
          <cell r="K2481">
            <v>390</v>
          </cell>
          <cell r="L2481" t="str">
            <v>WH</v>
          </cell>
          <cell r="N2481">
            <v>39.053254437869803</v>
          </cell>
        </row>
        <row r="2482">
          <cell r="E2482" t="str">
            <v>HGC-Lib-2452461</v>
          </cell>
          <cell r="F2482" t="str">
            <v>plv-g2-2</v>
          </cell>
          <cell r="G2482">
            <v>6</v>
          </cell>
          <cell r="H2482" t="str">
            <v>mRNA文库</v>
          </cell>
          <cell r="I2482" t="str">
            <v>WH</v>
          </cell>
          <cell r="J2482">
            <v>54.4</v>
          </cell>
          <cell r="K2482">
            <v>383</v>
          </cell>
          <cell r="L2482" t="str">
            <v>ZZ</v>
          </cell>
          <cell r="N2482">
            <v>218.51777465354499</v>
          </cell>
        </row>
        <row r="2483">
          <cell r="E2483" t="str">
            <v>HGC-Lib-2452462</v>
          </cell>
          <cell r="F2483" t="str">
            <v>lenti-sh1-1</v>
          </cell>
          <cell r="G2483">
            <v>6</v>
          </cell>
          <cell r="H2483" t="str">
            <v>mRNA文库</v>
          </cell>
          <cell r="I2483" t="str">
            <v>WH</v>
          </cell>
          <cell r="J2483">
            <v>67.400000000000006</v>
          </cell>
          <cell r="K2483">
            <v>361</v>
          </cell>
          <cell r="L2483" t="str">
            <v>ZZ</v>
          </cell>
          <cell r="N2483">
            <v>287.23630939697398</v>
          </cell>
        </row>
        <row r="2484">
          <cell r="E2484" t="str">
            <v>HGC-Lib-2452463</v>
          </cell>
          <cell r="F2484" t="str">
            <v>lenti-sh1-2</v>
          </cell>
          <cell r="G2484">
            <v>6</v>
          </cell>
          <cell r="H2484" t="str">
            <v>mRNA文库</v>
          </cell>
          <cell r="I2484" t="str">
            <v>WH</v>
          </cell>
          <cell r="J2484">
            <v>13.5</v>
          </cell>
          <cell r="K2484">
            <v>463</v>
          </cell>
          <cell r="L2484" t="str">
            <v>ZZ</v>
          </cell>
          <cell r="N2484">
            <v>44.857949825552403</v>
          </cell>
        </row>
        <row r="2485">
          <cell r="E2485" t="str">
            <v>HGC-Lib-2452464</v>
          </cell>
          <cell r="F2485" t="str">
            <v>lenti-sh2-1</v>
          </cell>
          <cell r="G2485">
            <v>6</v>
          </cell>
          <cell r="H2485" t="str">
            <v>mRNA文库</v>
          </cell>
          <cell r="I2485" t="str">
            <v>WH</v>
          </cell>
          <cell r="J2485">
            <v>18.8</v>
          </cell>
          <cell r="K2485">
            <v>422</v>
          </cell>
          <cell r="L2485" t="str">
            <v>ZZ</v>
          </cell>
          <cell r="N2485">
            <v>68.538096974115902</v>
          </cell>
        </row>
        <row r="2486">
          <cell r="E2486" t="str">
            <v>HGC-Lib-2452465</v>
          </cell>
          <cell r="F2486" t="str">
            <v>lenti-sh2-2</v>
          </cell>
          <cell r="G2486">
            <v>6</v>
          </cell>
          <cell r="H2486" t="str">
            <v>mRNA文库</v>
          </cell>
          <cell r="I2486" t="str">
            <v>WH</v>
          </cell>
          <cell r="J2486">
            <v>27.8</v>
          </cell>
          <cell r="K2486">
            <v>455</v>
          </cell>
          <cell r="L2486" t="str">
            <v>ZZ</v>
          </cell>
          <cell r="N2486">
            <v>93.998309382924802</v>
          </cell>
        </row>
        <row r="2487">
          <cell r="E2487" t="str">
            <v>HGC-Lib-2452466</v>
          </cell>
          <cell r="F2487" t="str">
            <v>H9-cas9-1</v>
          </cell>
          <cell r="G2487">
            <v>6</v>
          </cell>
          <cell r="H2487" t="str">
            <v>mRNA文库</v>
          </cell>
          <cell r="I2487" t="str">
            <v>WH</v>
          </cell>
          <cell r="J2487">
            <v>47.6</v>
          </cell>
          <cell r="K2487">
            <v>364</v>
          </cell>
          <cell r="L2487" t="str">
            <v>ZZ</v>
          </cell>
          <cell r="N2487">
            <v>201.183431952663</v>
          </cell>
        </row>
        <row r="2488">
          <cell r="E2488" t="str">
            <v>HGC-Lib-2452467</v>
          </cell>
          <cell r="F2488" t="str">
            <v>H9-cas9-2</v>
          </cell>
          <cell r="G2488">
            <v>6</v>
          </cell>
          <cell r="H2488" t="str">
            <v>mRNA文库</v>
          </cell>
          <cell r="I2488" t="str">
            <v>WH</v>
          </cell>
          <cell r="J2488">
            <v>112</v>
          </cell>
          <cell r="K2488">
            <v>358</v>
          </cell>
          <cell r="L2488" t="str">
            <v>ZZ</v>
          </cell>
          <cell r="N2488">
            <v>481.30640309411302</v>
          </cell>
        </row>
        <row r="2489">
          <cell r="E2489" t="str">
            <v>HGC-Lib-2452468</v>
          </cell>
          <cell r="F2489" t="str">
            <v>me3-sh1-1</v>
          </cell>
          <cell r="G2489">
            <v>6</v>
          </cell>
          <cell r="H2489" t="str">
            <v>mRNA文库</v>
          </cell>
          <cell r="I2489" t="str">
            <v>WH</v>
          </cell>
          <cell r="J2489">
            <v>99.2</v>
          </cell>
          <cell r="K2489">
            <v>393</v>
          </cell>
          <cell r="L2489" t="str">
            <v>ZZ</v>
          </cell>
          <cell r="N2489">
            <v>388.33431199843398</v>
          </cell>
        </row>
        <row r="2490">
          <cell r="E2490" t="str">
            <v>HGC-Lib-2452469</v>
          </cell>
          <cell r="F2490" t="str">
            <v>me3-sh1-2</v>
          </cell>
          <cell r="G2490">
            <v>6</v>
          </cell>
          <cell r="H2490" t="str">
            <v>mRNA文库</v>
          </cell>
          <cell r="I2490" t="str">
            <v>WH</v>
          </cell>
          <cell r="J2490">
            <v>40.799999999999997</v>
          </cell>
          <cell r="K2490">
            <v>370</v>
          </cell>
          <cell r="L2490" t="str">
            <v>ZZ</v>
          </cell>
          <cell r="N2490">
            <v>169.64656964656999</v>
          </cell>
        </row>
        <row r="2491">
          <cell r="E2491" t="str">
            <v>HGC-Lib-2452470</v>
          </cell>
          <cell r="F2491" t="str">
            <v>me3-sh2-1</v>
          </cell>
          <cell r="G2491">
            <v>6</v>
          </cell>
          <cell r="H2491" t="str">
            <v>mRNA文库</v>
          </cell>
          <cell r="I2491" t="str">
            <v>WH</v>
          </cell>
          <cell r="J2491">
            <v>18.600000000000001</v>
          </cell>
          <cell r="K2491">
            <v>407</v>
          </cell>
          <cell r="L2491" t="str">
            <v>ZZ</v>
          </cell>
          <cell r="N2491">
            <v>70.308070308070299</v>
          </cell>
        </row>
        <row r="2492">
          <cell r="E2492" t="str">
            <v>HGC-Lib-2452471</v>
          </cell>
          <cell r="F2492" t="str">
            <v>me3-sh2-2</v>
          </cell>
          <cell r="G2492">
            <v>6</v>
          </cell>
          <cell r="H2492" t="str">
            <v>mRNA文库</v>
          </cell>
          <cell r="I2492" t="str">
            <v>WH</v>
          </cell>
          <cell r="J2492">
            <v>19.8</v>
          </cell>
          <cell r="K2492">
            <v>399</v>
          </cell>
          <cell r="L2492" t="str">
            <v>ZZ</v>
          </cell>
          <cell r="N2492">
            <v>76.344707923655307</v>
          </cell>
        </row>
        <row r="2493">
          <cell r="E2493" t="str">
            <v>HGC-Lib-2452472</v>
          </cell>
          <cell r="F2493" t="str">
            <v>me3-sh3-1</v>
          </cell>
          <cell r="G2493">
            <v>6</v>
          </cell>
          <cell r="H2493" t="str">
            <v>mRNA文库</v>
          </cell>
          <cell r="I2493" t="str">
            <v>WH</v>
          </cell>
          <cell r="J2493">
            <v>75.599999999999994</v>
          </cell>
          <cell r="K2493">
            <v>362</v>
          </cell>
          <cell r="L2493" t="str">
            <v>ZZ</v>
          </cell>
          <cell r="N2493">
            <v>321.29196770080699</v>
          </cell>
        </row>
        <row r="2494">
          <cell r="E2494" t="str">
            <v>HGC-Lib-2452473</v>
          </cell>
          <cell r="F2494" t="str">
            <v>me3-sh3-2</v>
          </cell>
          <cell r="G2494">
            <v>6</v>
          </cell>
          <cell r="H2494" t="str">
            <v>mRNA文库</v>
          </cell>
          <cell r="I2494" t="str">
            <v>WH</v>
          </cell>
          <cell r="J2494">
            <v>34.4</v>
          </cell>
          <cell r="K2494">
            <v>390</v>
          </cell>
          <cell r="L2494" t="str">
            <v>ZZ</v>
          </cell>
          <cell r="N2494">
            <v>135.700197238659</v>
          </cell>
        </row>
        <row r="2495">
          <cell r="E2495" t="str">
            <v>HGC-Lib-2452729</v>
          </cell>
          <cell r="F2495" t="str">
            <v>RRT</v>
          </cell>
          <cell r="G2495">
            <v>8</v>
          </cell>
          <cell r="H2495" t="str">
            <v>mRNA文库</v>
          </cell>
          <cell r="I2495" t="str">
            <v>WH</v>
          </cell>
          <cell r="J2495">
            <v>0.92800000000000005</v>
          </cell>
          <cell r="K2495">
            <v>262</v>
          </cell>
          <cell r="L2495" t="str">
            <v>WH</v>
          </cell>
          <cell r="N2495">
            <v>5.4492072812683503</v>
          </cell>
        </row>
        <row r="2496">
          <cell r="E2496" t="str">
            <v>HGC-Lib-2453011</v>
          </cell>
          <cell r="F2496" t="str">
            <v>ND5-Hela-CRISPR-sgRNA-20240703</v>
          </cell>
          <cell r="G2496">
            <v>10</v>
          </cell>
          <cell r="H2496" t="str">
            <v>宏转录组文库</v>
          </cell>
          <cell r="I2496" t="str">
            <v>WH</v>
          </cell>
          <cell r="J2496">
            <v>35.799999999999997</v>
          </cell>
          <cell r="K2496">
            <v>401</v>
          </cell>
          <cell r="N2496">
            <v>137.348935353923</v>
          </cell>
        </row>
        <row r="2497">
          <cell r="E2497" t="str">
            <v>HGC-Lib-2453012</v>
          </cell>
          <cell r="F2497" t="str">
            <v>ND7-Hela-CRISPR-sgRNA-20240703</v>
          </cell>
          <cell r="G2497">
            <v>10</v>
          </cell>
          <cell r="H2497" t="str">
            <v>宏转录组文库</v>
          </cell>
          <cell r="I2497" t="str">
            <v>WH</v>
          </cell>
          <cell r="J2497">
            <v>35.6</v>
          </cell>
          <cell r="K2497">
            <v>433</v>
          </cell>
          <cell r="N2497">
            <v>126.487830875822</v>
          </cell>
        </row>
        <row r="2498">
          <cell r="E2498" t="str">
            <v>HGC-Lib-2453013</v>
          </cell>
          <cell r="F2498" t="str">
            <v>ND6-Hela-CRISPR-sgRNA(ch)-20240704</v>
          </cell>
          <cell r="G2498">
            <v>10</v>
          </cell>
          <cell r="H2498" t="str">
            <v>宏转录组文库</v>
          </cell>
          <cell r="I2498" t="str">
            <v>WH</v>
          </cell>
          <cell r="J2498">
            <v>15.3</v>
          </cell>
          <cell r="K2498">
            <v>481</v>
          </cell>
          <cell r="N2498">
            <v>48.936510474972003</v>
          </cell>
        </row>
        <row r="2499">
          <cell r="E2499" t="str">
            <v>HGC-Lib-2453014</v>
          </cell>
          <cell r="F2499" t="str">
            <v>ND7-Hela-CRISPR-sgRNA(ch)-20240704</v>
          </cell>
          <cell r="G2499">
            <v>10</v>
          </cell>
          <cell r="H2499" t="str">
            <v>宏转录组文库</v>
          </cell>
          <cell r="I2499" t="str">
            <v>WH</v>
          </cell>
          <cell r="J2499">
            <v>17.7</v>
          </cell>
          <cell r="K2499">
            <v>454</v>
          </cell>
          <cell r="N2499">
            <v>59.979667909183298</v>
          </cell>
        </row>
        <row r="2500">
          <cell r="E2500" t="str">
            <v>HGC-Lib-2453015</v>
          </cell>
          <cell r="F2500" t="str">
            <v>HY-N0001C-DNA</v>
          </cell>
          <cell r="G2500">
            <v>10</v>
          </cell>
          <cell r="H2500" t="str">
            <v>宏基因组文库</v>
          </cell>
          <cell r="I2500" t="str">
            <v>WH</v>
          </cell>
          <cell r="J2500">
            <v>3.22</v>
          </cell>
          <cell r="K2500">
            <v>518</v>
          </cell>
          <cell r="L2500" t="str">
            <v>WH</v>
          </cell>
          <cell r="N2500">
            <v>9.5634095634095608</v>
          </cell>
        </row>
        <row r="2501">
          <cell r="E2501" t="str">
            <v>HGC-Lib-2453016</v>
          </cell>
          <cell r="F2501" t="str">
            <v>HY-N0006C-DNA</v>
          </cell>
          <cell r="G2501">
            <v>10</v>
          </cell>
          <cell r="H2501" t="str">
            <v>宏基因组文库</v>
          </cell>
          <cell r="I2501" t="str">
            <v>WH</v>
          </cell>
          <cell r="J2501">
            <v>6.46</v>
          </cell>
          <cell r="K2501">
            <v>402</v>
          </cell>
          <cell r="L2501" t="str">
            <v>WH</v>
          </cell>
          <cell r="N2501">
            <v>24.7225411404516</v>
          </cell>
        </row>
        <row r="2502">
          <cell r="E2502" t="str">
            <v>HGC-Lib-2453017</v>
          </cell>
          <cell r="F2502" t="str">
            <v>HY-PAQ0083C-DNA</v>
          </cell>
          <cell r="G2502">
            <v>10</v>
          </cell>
          <cell r="H2502" t="str">
            <v>宏基因组文库</v>
          </cell>
          <cell r="I2502" t="str">
            <v>WH</v>
          </cell>
          <cell r="J2502">
            <v>2.04</v>
          </cell>
          <cell r="K2502">
            <v>576</v>
          </cell>
          <cell r="L2502" t="str">
            <v>WH</v>
          </cell>
          <cell r="N2502">
            <v>5.4487179487179498</v>
          </cell>
        </row>
        <row r="2503">
          <cell r="E2503" t="str">
            <v>HGC-Lib-2453018</v>
          </cell>
          <cell r="F2503" t="str">
            <v>HY-PAQ0085C-DNA</v>
          </cell>
          <cell r="G2503">
            <v>10</v>
          </cell>
          <cell r="H2503" t="str">
            <v>宏基因组文库</v>
          </cell>
          <cell r="I2503" t="str">
            <v>WH</v>
          </cell>
          <cell r="J2503">
            <v>1.77</v>
          </cell>
          <cell r="K2503">
            <v>827</v>
          </cell>
          <cell r="L2503" t="str">
            <v>WH</v>
          </cell>
          <cell r="N2503">
            <v>3.2927169565621801</v>
          </cell>
        </row>
        <row r="2504">
          <cell r="E2504" t="str">
            <v>HGC-Lib-2453019</v>
          </cell>
          <cell r="F2504" t="str">
            <v>HY-PAQ0088C-DNA</v>
          </cell>
          <cell r="G2504">
            <v>10</v>
          </cell>
          <cell r="H2504" t="str">
            <v>宏基因组文库</v>
          </cell>
          <cell r="I2504" t="str">
            <v>WH</v>
          </cell>
          <cell r="J2504">
            <v>0.35399999999999998</v>
          </cell>
          <cell r="K2504">
            <v>415</v>
          </cell>
          <cell r="L2504" t="str">
            <v>WH</v>
          </cell>
          <cell r="N2504">
            <v>1.3123262279888801</v>
          </cell>
        </row>
        <row r="2505">
          <cell r="E2505" t="str">
            <v>HGC-Lib-2453020</v>
          </cell>
          <cell r="F2505" t="str">
            <v>HY-PAQ0092C-DNA</v>
          </cell>
          <cell r="G2505">
            <v>10</v>
          </cell>
          <cell r="H2505" t="str">
            <v>宏基因组文库</v>
          </cell>
          <cell r="I2505" t="str">
            <v>WH</v>
          </cell>
          <cell r="J2505">
            <v>5.98</v>
          </cell>
          <cell r="K2505">
            <v>473</v>
          </cell>
          <cell r="L2505" t="str">
            <v>WH</v>
          </cell>
          <cell r="N2505">
            <v>19.450317124735701</v>
          </cell>
        </row>
        <row r="2506">
          <cell r="E2506" t="str">
            <v>HGC-Lib-2453021</v>
          </cell>
          <cell r="F2506" t="str">
            <v>HY-PAQ0100C-DNA</v>
          </cell>
          <cell r="G2506">
            <v>10</v>
          </cell>
          <cell r="H2506" t="str">
            <v>宏基因组文库</v>
          </cell>
          <cell r="I2506" t="str">
            <v>WH</v>
          </cell>
          <cell r="J2506">
            <v>5.26</v>
          </cell>
          <cell r="K2506">
            <v>396</v>
          </cell>
          <cell r="L2506" t="str">
            <v>WH</v>
          </cell>
          <cell r="N2506">
            <v>20.4351204351204</v>
          </cell>
        </row>
        <row r="2507">
          <cell r="E2507" t="str">
            <v>HGC-Lib-2453022</v>
          </cell>
          <cell r="F2507" t="str">
            <v>HY-PAQ0081C-DNA</v>
          </cell>
          <cell r="G2507">
            <v>10</v>
          </cell>
          <cell r="H2507" t="str">
            <v>宏基因组文库</v>
          </cell>
          <cell r="I2507" t="str">
            <v>WH</v>
          </cell>
          <cell r="J2507">
            <v>2.62</v>
          </cell>
          <cell r="K2507">
            <v>499</v>
          </cell>
          <cell r="L2507" t="str">
            <v>WH</v>
          </cell>
          <cell r="N2507">
            <v>8.0776938492369297</v>
          </cell>
        </row>
        <row r="2508">
          <cell r="E2508" t="str">
            <v>HGC-Lib-2453023</v>
          </cell>
          <cell r="F2508" t="str">
            <v>HY-PAQ0082C-DNA</v>
          </cell>
          <cell r="G2508">
            <v>10</v>
          </cell>
          <cell r="H2508" t="str">
            <v>宏基因组文库</v>
          </cell>
          <cell r="I2508" t="str">
            <v>WH</v>
          </cell>
          <cell r="J2508">
            <v>0.23200000000000001</v>
          </cell>
          <cell r="K2508">
            <v>426</v>
          </cell>
          <cell r="L2508" t="str">
            <v>WH</v>
          </cell>
          <cell r="N2508">
            <v>0.837847598410979</v>
          </cell>
        </row>
        <row r="2509">
          <cell r="E2509" t="str">
            <v>HGC-Lib-2453024</v>
          </cell>
          <cell r="F2509" t="str">
            <v>HY-PAQ0087C-DNA</v>
          </cell>
          <cell r="G2509">
            <v>10</v>
          </cell>
          <cell r="H2509" t="str">
            <v>宏基因组文库</v>
          </cell>
          <cell r="I2509" t="str">
            <v>WH</v>
          </cell>
          <cell r="J2509">
            <v>13.5</v>
          </cell>
          <cell r="K2509">
            <v>421</v>
          </cell>
          <cell r="L2509" t="str">
            <v>WH</v>
          </cell>
          <cell r="N2509">
            <v>49.333089713137198</v>
          </cell>
        </row>
        <row r="2510">
          <cell r="E2510" t="str">
            <v>HGC-Lib-2453025</v>
          </cell>
          <cell r="F2510" t="str">
            <v>HY-PAQ0089C-DNA</v>
          </cell>
          <cell r="G2510">
            <v>10</v>
          </cell>
          <cell r="H2510" t="str">
            <v>宏基因组文库</v>
          </cell>
          <cell r="I2510" t="str">
            <v>WH</v>
          </cell>
          <cell r="J2510">
            <v>8.4600000000000009</v>
          </cell>
          <cell r="K2510">
            <v>394</v>
          </cell>
          <cell r="L2510" t="str">
            <v>WH</v>
          </cell>
          <cell r="N2510">
            <v>33.033971105037097</v>
          </cell>
        </row>
        <row r="2511">
          <cell r="E2511" t="str">
            <v>HGC-Lib-2453026</v>
          </cell>
          <cell r="F2511" t="str">
            <v>HY-PAQ0090C-DNA</v>
          </cell>
          <cell r="G2511">
            <v>10</v>
          </cell>
          <cell r="H2511" t="str">
            <v>宏基因组文库</v>
          </cell>
          <cell r="I2511" t="str">
            <v>WH</v>
          </cell>
          <cell r="J2511">
            <v>3.78</v>
          </cell>
          <cell r="K2511">
            <v>787</v>
          </cell>
          <cell r="L2511" t="str">
            <v>WH</v>
          </cell>
          <cell r="N2511">
            <v>7.3893070081126</v>
          </cell>
        </row>
        <row r="2512">
          <cell r="E2512" t="str">
            <v>HGC-Lib-2453027</v>
          </cell>
          <cell r="F2512" t="str">
            <v>HitomXNN381</v>
          </cell>
          <cell r="G2512">
            <v>2</v>
          </cell>
          <cell r="H2512" t="str">
            <v>PCR片段文库</v>
          </cell>
          <cell r="I2512" t="str">
            <v>WH</v>
          </cell>
          <cell r="J2512">
            <v>73</v>
          </cell>
          <cell r="K2512">
            <v>470</v>
          </cell>
          <cell r="N2512">
            <v>238.952536824877</v>
          </cell>
        </row>
        <row r="2513">
          <cell r="E2513" t="str">
            <v>HGC-Lib-2453028</v>
          </cell>
          <cell r="F2513" t="str">
            <v>HitomXNN382</v>
          </cell>
          <cell r="G2513">
            <v>2</v>
          </cell>
          <cell r="H2513" t="str">
            <v>PCR片段文库</v>
          </cell>
          <cell r="I2513" t="str">
            <v>WH</v>
          </cell>
          <cell r="J2513">
            <v>89.2</v>
          </cell>
          <cell r="K2513">
            <v>443</v>
          </cell>
          <cell r="N2513">
            <v>309.77600277826002</v>
          </cell>
        </row>
        <row r="2514">
          <cell r="E2514" t="str">
            <v>HGC-Lib-2453029</v>
          </cell>
          <cell r="F2514" t="str">
            <v>HitomXNN383</v>
          </cell>
          <cell r="G2514">
            <v>2</v>
          </cell>
          <cell r="H2514" t="str">
            <v>PCR片段文库</v>
          </cell>
          <cell r="I2514" t="str">
            <v>WH</v>
          </cell>
          <cell r="J2514">
            <v>93.8</v>
          </cell>
          <cell r="K2514">
            <v>586</v>
          </cell>
          <cell r="N2514">
            <v>246.258860593332</v>
          </cell>
        </row>
        <row r="2515">
          <cell r="E2515" t="str">
            <v>HGC-Lib-2453031</v>
          </cell>
          <cell r="F2515">
            <v>34</v>
          </cell>
          <cell r="G2515">
            <v>6</v>
          </cell>
          <cell r="H2515" t="str">
            <v>ATAC-Seq文库</v>
          </cell>
          <cell r="I2515" t="str">
            <v>WH</v>
          </cell>
          <cell r="J2515">
            <v>10.7</v>
          </cell>
          <cell r="K2515">
            <v>473</v>
          </cell>
          <cell r="N2515">
            <v>34.802406895430103</v>
          </cell>
        </row>
        <row r="2516">
          <cell r="E2516" t="str">
            <v>HGC-Lib-2453032</v>
          </cell>
          <cell r="F2516" t="str">
            <v>34A</v>
          </cell>
          <cell r="G2516">
            <v>6</v>
          </cell>
          <cell r="H2516" t="str">
            <v>ATAC-Seq文库</v>
          </cell>
          <cell r="I2516" t="str">
            <v>WH</v>
          </cell>
          <cell r="J2516">
            <v>15.7</v>
          </cell>
          <cell r="K2516">
            <v>474</v>
          </cell>
          <cell r="N2516">
            <v>50.957481337228202</v>
          </cell>
        </row>
        <row r="2517">
          <cell r="E2517" t="str">
            <v>HGC-Lib-2453033</v>
          </cell>
          <cell r="F2517">
            <v>19</v>
          </cell>
          <cell r="G2517">
            <v>6</v>
          </cell>
          <cell r="H2517" t="str">
            <v>ATAC-Seq文库</v>
          </cell>
          <cell r="I2517" t="str">
            <v>WH</v>
          </cell>
          <cell r="J2517">
            <v>3.16</v>
          </cell>
          <cell r="K2517">
            <v>416</v>
          </cell>
          <cell r="L2517" t="str">
            <v>WH</v>
          </cell>
          <cell r="N2517">
            <v>11.686390532544401</v>
          </cell>
        </row>
        <row r="2518">
          <cell r="E2518" t="str">
            <v>HGC-Lib-2453034</v>
          </cell>
          <cell r="F2518">
            <v>22</v>
          </cell>
          <cell r="G2518">
            <v>6</v>
          </cell>
          <cell r="H2518" t="str">
            <v>ATAC-Seq文库</v>
          </cell>
          <cell r="I2518" t="str">
            <v>WH</v>
          </cell>
          <cell r="J2518">
            <v>2.4</v>
          </cell>
          <cell r="K2518">
            <v>437</v>
          </cell>
          <cell r="L2518" t="str">
            <v>WH</v>
          </cell>
          <cell r="N2518">
            <v>8.4492166872029593</v>
          </cell>
        </row>
        <row r="2519">
          <cell r="E2519" t="str">
            <v>HGC-Lib-2453035</v>
          </cell>
          <cell r="F2519">
            <v>18</v>
          </cell>
          <cell r="G2519">
            <v>6</v>
          </cell>
          <cell r="H2519" t="str">
            <v>ATAC-Seq文库</v>
          </cell>
          <cell r="I2519" t="str">
            <v>WH</v>
          </cell>
          <cell r="J2519">
            <v>3.16</v>
          </cell>
          <cell r="K2519">
            <v>488</v>
          </cell>
          <cell r="L2519" t="str">
            <v>WH</v>
          </cell>
          <cell r="N2519">
            <v>9.9621689785624206</v>
          </cell>
        </row>
        <row r="2520">
          <cell r="E2520" t="str">
            <v>HGC-Lib-2453036</v>
          </cell>
          <cell r="F2520">
            <v>50</v>
          </cell>
          <cell r="G2520">
            <v>6</v>
          </cell>
          <cell r="H2520" t="str">
            <v>ATAC-Seq文库</v>
          </cell>
          <cell r="I2520" t="str">
            <v>WH</v>
          </cell>
          <cell r="J2520">
            <v>5.62</v>
          </cell>
          <cell r="K2520">
            <v>471</v>
          </cell>
          <cell r="L2520" t="str">
            <v>WH</v>
          </cell>
          <cell r="N2520">
            <v>18.357014535358498</v>
          </cell>
        </row>
        <row r="2521">
          <cell r="E2521" t="str">
            <v>HGC-Lib-2453037</v>
          </cell>
          <cell r="F2521">
            <v>4</v>
          </cell>
          <cell r="G2521">
            <v>6</v>
          </cell>
          <cell r="H2521" t="str">
            <v>ATAC-Seq文库</v>
          </cell>
          <cell r="I2521" t="str">
            <v>WH</v>
          </cell>
          <cell r="J2521">
            <v>7.96</v>
          </cell>
          <cell r="K2521">
            <v>518</v>
          </cell>
          <cell r="L2521" t="str">
            <v>WH</v>
          </cell>
          <cell r="N2521">
            <v>23.641223641223601</v>
          </cell>
        </row>
        <row r="2522">
          <cell r="E2522" t="str">
            <v>HGC-Lib-2453038</v>
          </cell>
          <cell r="F2522">
            <v>3</v>
          </cell>
          <cell r="G2522">
            <v>6</v>
          </cell>
          <cell r="H2522" t="str">
            <v>ATAC-Seq文库</v>
          </cell>
          <cell r="I2522" t="str">
            <v>WH</v>
          </cell>
          <cell r="J2522">
            <v>0.93799999999999994</v>
          </cell>
          <cell r="K2522">
            <v>418</v>
          </cell>
          <cell r="L2522" t="str">
            <v>WH</v>
          </cell>
          <cell r="N2522">
            <v>3.4523371365476598</v>
          </cell>
        </row>
        <row r="2523">
          <cell r="E2523" t="str">
            <v>HGC-Lib-2453039</v>
          </cell>
          <cell r="F2523">
            <v>31</v>
          </cell>
          <cell r="G2523">
            <v>6</v>
          </cell>
          <cell r="H2523" t="str">
            <v>ATAC-Seq文库</v>
          </cell>
          <cell r="I2523" t="str">
            <v>WH</v>
          </cell>
          <cell r="J2523">
            <v>7</v>
          </cell>
          <cell r="K2523">
            <v>470</v>
          </cell>
          <cell r="L2523" t="str">
            <v>WH</v>
          </cell>
          <cell r="N2523">
            <v>22.913256955810098</v>
          </cell>
        </row>
        <row r="2524">
          <cell r="E2524" t="str">
            <v>HGC-Lib-2453040</v>
          </cell>
          <cell r="F2524">
            <v>77</v>
          </cell>
          <cell r="G2524">
            <v>6</v>
          </cell>
          <cell r="H2524" t="str">
            <v>ATAC-Seq文库</v>
          </cell>
          <cell r="I2524" t="str">
            <v>WH</v>
          </cell>
          <cell r="J2524">
            <v>22.4</v>
          </cell>
          <cell r="K2524">
            <v>462</v>
          </cell>
          <cell r="N2524">
            <v>74.592074592074596</v>
          </cell>
        </row>
        <row r="2525">
          <cell r="E2525" t="str">
            <v>HGC-Lib-2453041</v>
          </cell>
          <cell r="F2525">
            <v>57</v>
          </cell>
          <cell r="G2525">
            <v>6</v>
          </cell>
          <cell r="H2525" t="str">
            <v>ATAC-Seq文库</v>
          </cell>
          <cell r="I2525" t="str">
            <v>WH</v>
          </cell>
          <cell r="J2525">
            <v>4.04</v>
          </cell>
          <cell r="K2525">
            <v>387</v>
          </cell>
          <cell r="L2525" t="str">
            <v>WH</v>
          </cell>
          <cell r="N2525">
            <v>16.060425362750902</v>
          </cell>
        </row>
        <row r="2526">
          <cell r="E2526" t="str">
            <v>HGC-Lib-2453042</v>
          </cell>
          <cell r="F2526">
            <v>54</v>
          </cell>
          <cell r="G2526">
            <v>6</v>
          </cell>
          <cell r="H2526" t="str">
            <v>ATAC-Seq文库</v>
          </cell>
          <cell r="I2526" t="str">
            <v>WH</v>
          </cell>
          <cell r="J2526">
            <v>15.1</v>
          </cell>
          <cell r="K2526">
            <v>425</v>
          </cell>
          <cell r="N2526">
            <v>54.660633484162901</v>
          </cell>
        </row>
        <row r="2527">
          <cell r="E2527" t="str">
            <v>HGC-Lib-2453104</v>
          </cell>
          <cell r="F2527" t="str">
            <v>XGSZ055</v>
          </cell>
          <cell r="G2527">
            <v>4</v>
          </cell>
          <cell r="H2527" t="str">
            <v>其他类型文库</v>
          </cell>
          <cell r="I2527" t="str">
            <v>WWH</v>
          </cell>
          <cell r="J2527" t="str">
            <v>/</v>
          </cell>
          <cell r="K2527">
            <v>307</v>
          </cell>
          <cell r="L2527" t="str">
            <v>WH</v>
          </cell>
          <cell r="N2527" t="e">
            <v>#VALUE!</v>
          </cell>
        </row>
        <row r="2528">
          <cell r="E2528" t="str">
            <v>HGC-Lib-2453105</v>
          </cell>
          <cell r="F2528" t="str">
            <v>XGSZ056</v>
          </cell>
          <cell r="G2528">
            <v>4</v>
          </cell>
          <cell r="H2528" t="str">
            <v>其他类型文库</v>
          </cell>
          <cell r="I2528" t="str">
            <v>WWH</v>
          </cell>
          <cell r="J2528">
            <v>2.88</v>
          </cell>
          <cell r="K2528">
            <v>335</v>
          </cell>
          <cell r="L2528" t="str">
            <v>WH</v>
          </cell>
          <cell r="N2528">
            <v>13.2261768082664</v>
          </cell>
        </row>
        <row r="2529">
          <cell r="E2529" t="str">
            <v>HGC-Lib-2453043</v>
          </cell>
          <cell r="F2529" t="str">
            <v>32-1-1</v>
          </cell>
          <cell r="G2529">
            <v>6</v>
          </cell>
          <cell r="H2529" t="str">
            <v>mRNA文库</v>
          </cell>
          <cell r="I2529" t="str">
            <v>HZK</v>
          </cell>
          <cell r="J2529">
            <v>20.2</v>
          </cell>
          <cell r="N2529" t="e">
            <v>#DIV/0!</v>
          </cell>
        </row>
        <row r="2530">
          <cell r="E2530" t="str">
            <v>HGC-Lib-2453044</v>
          </cell>
          <cell r="F2530" t="str">
            <v>32-1-2</v>
          </cell>
          <cell r="G2530">
            <v>6</v>
          </cell>
          <cell r="H2530" t="str">
            <v>mRNA文库</v>
          </cell>
          <cell r="I2530" t="str">
            <v>HZK</v>
          </cell>
          <cell r="J2530">
            <v>2.2999999999999998</v>
          </cell>
          <cell r="N2530" t="e">
            <v>#DIV/0!</v>
          </cell>
        </row>
        <row r="2531">
          <cell r="E2531" t="str">
            <v>HGC-Lib-2453045</v>
          </cell>
          <cell r="F2531" t="str">
            <v>32-1-3</v>
          </cell>
          <cell r="G2531">
            <v>6</v>
          </cell>
          <cell r="H2531" t="str">
            <v>mRNA文库</v>
          </cell>
          <cell r="I2531" t="str">
            <v>HZK</v>
          </cell>
          <cell r="J2531">
            <v>19.2</v>
          </cell>
          <cell r="N2531" t="e">
            <v>#DIV/0!</v>
          </cell>
        </row>
        <row r="2532">
          <cell r="E2532" t="str">
            <v>HGC-Lib-2453046</v>
          </cell>
          <cell r="F2532" t="str">
            <v>32-1-4</v>
          </cell>
          <cell r="G2532">
            <v>6</v>
          </cell>
          <cell r="H2532" t="str">
            <v>mRNA文库</v>
          </cell>
          <cell r="I2532" t="str">
            <v>HZK</v>
          </cell>
          <cell r="J2532">
            <v>10.4</v>
          </cell>
          <cell r="N2532" t="e">
            <v>#DIV/0!</v>
          </cell>
        </row>
        <row r="2533">
          <cell r="E2533" t="str">
            <v>HGC-Lib-2453047</v>
          </cell>
          <cell r="F2533" t="str">
            <v>32-1-5</v>
          </cell>
          <cell r="G2533">
            <v>6</v>
          </cell>
          <cell r="H2533" t="str">
            <v>mRNA文库</v>
          </cell>
          <cell r="I2533" t="str">
            <v>HZK</v>
          </cell>
          <cell r="J2533">
            <v>18.899999999999999</v>
          </cell>
          <cell r="N2533" t="e">
            <v>#DIV/0!</v>
          </cell>
        </row>
        <row r="2534">
          <cell r="E2534" t="str">
            <v>HGC-Lib-2453048</v>
          </cell>
          <cell r="F2534" t="str">
            <v>32-1-6</v>
          </cell>
          <cell r="G2534">
            <v>6</v>
          </cell>
          <cell r="H2534" t="str">
            <v>mRNA文库</v>
          </cell>
          <cell r="I2534" t="str">
            <v>HZK</v>
          </cell>
          <cell r="J2534">
            <v>51</v>
          </cell>
          <cell r="N2534" t="e">
            <v>#DIV/0!</v>
          </cell>
        </row>
        <row r="2535">
          <cell r="E2535" t="str">
            <v>HGC-Lib-2453049</v>
          </cell>
          <cell r="F2535" t="str">
            <v>25-1</v>
          </cell>
          <cell r="G2535">
            <v>6</v>
          </cell>
          <cell r="H2535" t="str">
            <v>mRNA文库</v>
          </cell>
          <cell r="I2535" t="str">
            <v>HZK</v>
          </cell>
          <cell r="J2535">
            <v>50.6</v>
          </cell>
          <cell r="N2535" t="e">
            <v>#DIV/0!</v>
          </cell>
        </row>
        <row r="2536">
          <cell r="E2536" t="str">
            <v>HGC-Lib-2453050</v>
          </cell>
          <cell r="F2536" t="str">
            <v>25-2</v>
          </cell>
          <cell r="G2536">
            <v>6</v>
          </cell>
          <cell r="H2536" t="str">
            <v>mRNA文库</v>
          </cell>
          <cell r="I2536" t="str">
            <v>HZK</v>
          </cell>
          <cell r="J2536">
            <v>51.4</v>
          </cell>
          <cell r="N2536" t="e">
            <v>#DIV/0!</v>
          </cell>
        </row>
        <row r="2537">
          <cell r="E2537" t="str">
            <v>HGC-Lib-2453051</v>
          </cell>
          <cell r="F2537" t="str">
            <v>25-3</v>
          </cell>
          <cell r="G2537">
            <v>6</v>
          </cell>
          <cell r="H2537" t="str">
            <v>mRNA文库</v>
          </cell>
          <cell r="I2537" t="str">
            <v>HZK</v>
          </cell>
          <cell r="J2537">
            <v>29.8</v>
          </cell>
          <cell r="N2537" t="e">
            <v>#DIV/0!</v>
          </cell>
        </row>
        <row r="2538">
          <cell r="E2538" t="str">
            <v>HGC-Lib-2453052</v>
          </cell>
          <cell r="F2538" t="str">
            <v>25-4</v>
          </cell>
          <cell r="G2538">
            <v>6</v>
          </cell>
          <cell r="H2538" t="str">
            <v>mRNA文库</v>
          </cell>
          <cell r="I2538" t="str">
            <v>HZK</v>
          </cell>
          <cell r="J2538">
            <v>16.899999999999999</v>
          </cell>
          <cell r="N2538" t="e">
            <v>#DIV/0!</v>
          </cell>
        </row>
        <row r="2539">
          <cell r="E2539" t="str">
            <v>HGC-Lib-2453053</v>
          </cell>
          <cell r="F2539" t="str">
            <v>25-5</v>
          </cell>
          <cell r="G2539">
            <v>6</v>
          </cell>
          <cell r="H2539" t="str">
            <v>mRNA文库</v>
          </cell>
          <cell r="I2539" t="str">
            <v>HZK</v>
          </cell>
          <cell r="J2539">
            <v>53.8</v>
          </cell>
          <cell r="N2539" t="e">
            <v>#DIV/0!</v>
          </cell>
        </row>
        <row r="2540">
          <cell r="E2540" t="str">
            <v>HGC-Lib-2453054</v>
          </cell>
          <cell r="F2540" t="str">
            <v>25-6</v>
          </cell>
          <cell r="G2540">
            <v>6</v>
          </cell>
          <cell r="H2540" t="str">
            <v>mRNA文库</v>
          </cell>
          <cell r="I2540" t="str">
            <v>HZK</v>
          </cell>
          <cell r="J2540">
            <v>53</v>
          </cell>
          <cell r="N2540" t="e">
            <v>#DIV/0!</v>
          </cell>
        </row>
        <row r="2541">
          <cell r="E2541" t="str">
            <v>HGC-Lib-2453055</v>
          </cell>
          <cell r="F2541" t="str">
            <v>25-7</v>
          </cell>
          <cell r="G2541">
            <v>6</v>
          </cell>
          <cell r="H2541" t="str">
            <v>mRNA文库</v>
          </cell>
          <cell r="I2541" t="str">
            <v>HZK</v>
          </cell>
          <cell r="J2541">
            <v>51.8</v>
          </cell>
          <cell r="N2541" t="e">
            <v>#DIV/0!</v>
          </cell>
        </row>
        <row r="2542">
          <cell r="E2542" t="str">
            <v>HGC-Lib-2453056</v>
          </cell>
          <cell r="F2542" t="str">
            <v>25-8</v>
          </cell>
          <cell r="G2542">
            <v>6</v>
          </cell>
          <cell r="H2542" t="str">
            <v>mRNA文库</v>
          </cell>
          <cell r="I2542" t="str">
            <v>HZK</v>
          </cell>
          <cell r="J2542">
            <v>20.8</v>
          </cell>
          <cell r="N2542" t="e">
            <v>#DIV/0!</v>
          </cell>
        </row>
        <row r="2543">
          <cell r="E2543" t="str">
            <v>HGC-Lib-2453057</v>
          </cell>
          <cell r="F2543" t="str">
            <v>25-20</v>
          </cell>
          <cell r="G2543">
            <v>6</v>
          </cell>
          <cell r="H2543" t="str">
            <v>mRNA文库</v>
          </cell>
          <cell r="I2543" t="str">
            <v>HZK</v>
          </cell>
          <cell r="J2543">
            <v>36.200000000000003</v>
          </cell>
          <cell r="N2543" t="e">
            <v>#DIV/0!</v>
          </cell>
        </row>
        <row r="2544">
          <cell r="E2544" t="str">
            <v>HGC-Lib-2453058</v>
          </cell>
          <cell r="F2544" t="str">
            <v>25-21</v>
          </cell>
          <cell r="G2544">
            <v>6</v>
          </cell>
          <cell r="H2544" t="str">
            <v>mRNA文库</v>
          </cell>
          <cell r="I2544" t="str">
            <v>HZK</v>
          </cell>
          <cell r="J2544">
            <v>23</v>
          </cell>
          <cell r="N2544" t="e">
            <v>#DIV/0!</v>
          </cell>
        </row>
        <row r="2545">
          <cell r="E2545" t="str">
            <v>HGC-Lib-2453059</v>
          </cell>
          <cell r="F2545" t="str">
            <v>25-22</v>
          </cell>
          <cell r="G2545">
            <v>6</v>
          </cell>
          <cell r="H2545" t="str">
            <v>mRNA文库</v>
          </cell>
          <cell r="I2545" t="str">
            <v>HZK</v>
          </cell>
          <cell r="J2545">
            <v>57.4</v>
          </cell>
          <cell r="N2545" t="e">
            <v>#DIV/0!</v>
          </cell>
        </row>
        <row r="2546">
          <cell r="E2546" t="str">
            <v>HGC-Lib-2453060</v>
          </cell>
          <cell r="F2546" t="str">
            <v>25-23</v>
          </cell>
          <cell r="G2546">
            <v>6</v>
          </cell>
          <cell r="H2546" t="str">
            <v>mRNA文库</v>
          </cell>
          <cell r="I2546" t="str">
            <v>HZK</v>
          </cell>
          <cell r="J2546">
            <v>49.6</v>
          </cell>
          <cell r="N2546" t="e">
            <v>#DIV/0!</v>
          </cell>
        </row>
        <row r="2547">
          <cell r="E2547" t="str">
            <v>HGC-Lib-2453061</v>
          </cell>
          <cell r="F2547" t="str">
            <v>25-24</v>
          </cell>
          <cell r="G2547">
            <v>6</v>
          </cell>
          <cell r="H2547" t="str">
            <v>mRNA文库</v>
          </cell>
          <cell r="I2547" t="str">
            <v>HZK</v>
          </cell>
          <cell r="J2547">
            <v>24.4</v>
          </cell>
          <cell r="N2547" t="e">
            <v>#DIV/0!</v>
          </cell>
        </row>
        <row r="2548">
          <cell r="E2548" t="str">
            <v>HGC-Lib-2453062</v>
          </cell>
          <cell r="F2548" t="str">
            <v>25-25</v>
          </cell>
          <cell r="G2548">
            <v>6</v>
          </cell>
          <cell r="H2548" t="str">
            <v>mRNA文库</v>
          </cell>
          <cell r="I2548" t="str">
            <v>HZK</v>
          </cell>
          <cell r="J2548">
            <v>52</v>
          </cell>
          <cell r="N2548" t="e">
            <v>#DIV/0!</v>
          </cell>
        </row>
        <row r="2549">
          <cell r="E2549" t="str">
            <v>HGC-Lib-2453063</v>
          </cell>
          <cell r="F2549" t="str">
            <v>25-26</v>
          </cell>
          <cell r="G2549">
            <v>6</v>
          </cell>
          <cell r="H2549" t="str">
            <v>mRNA文库</v>
          </cell>
          <cell r="I2549" t="str">
            <v>HZK</v>
          </cell>
          <cell r="J2549">
            <v>47</v>
          </cell>
          <cell r="N2549" t="e">
            <v>#DIV/0!</v>
          </cell>
        </row>
        <row r="2550">
          <cell r="E2550" t="str">
            <v>HGC-Lib-2453064</v>
          </cell>
          <cell r="F2550" t="str">
            <v>25-27</v>
          </cell>
          <cell r="G2550">
            <v>6</v>
          </cell>
          <cell r="H2550" t="str">
            <v>mRNA文库</v>
          </cell>
          <cell r="I2550" t="str">
            <v>HZK</v>
          </cell>
          <cell r="J2550">
            <v>11.4</v>
          </cell>
          <cell r="N2550" t="e">
            <v>#DIV/0!</v>
          </cell>
        </row>
        <row r="2551">
          <cell r="E2551" t="str">
            <v>HGC-Lib-2453065</v>
          </cell>
          <cell r="F2551" t="str">
            <v>25-28</v>
          </cell>
          <cell r="G2551">
            <v>6</v>
          </cell>
          <cell r="H2551" t="str">
            <v>mRNA文库</v>
          </cell>
          <cell r="I2551" t="str">
            <v>HZK</v>
          </cell>
          <cell r="J2551">
            <v>15.5</v>
          </cell>
          <cell r="N2551" t="e">
            <v>#DIV/0!</v>
          </cell>
        </row>
        <row r="2552">
          <cell r="E2552" t="str">
            <v>HGC-Lib-2453066</v>
          </cell>
          <cell r="F2552" t="str">
            <v>25-29</v>
          </cell>
          <cell r="G2552">
            <v>6</v>
          </cell>
          <cell r="H2552" t="str">
            <v>mRNA文库</v>
          </cell>
          <cell r="I2552" t="str">
            <v>HZK</v>
          </cell>
          <cell r="J2552">
            <v>21</v>
          </cell>
          <cell r="N2552" t="e">
            <v>#DIV/0!</v>
          </cell>
        </row>
        <row r="2553">
          <cell r="E2553" t="str">
            <v>HGC-Lib-2453067</v>
          </cell>
          <cell r="F2553" t="str">
            <v>25-30</v>
          </cell>
          <cell r="G2553">
            <v>6</v>
          </cell>
          <cell r="H2553" t="str">
            <v>mRNA文库</v>
          </cell>
          <cell r="I2553" t="str">
            <v>HZK</v>
          </cell>
          <cell r="J2553">
            <v>7.58</v>
          </cell>
          <cell r="N2553" t="e">
            <v>#DIV/0!</v>
          </cell>
        </row>
        <row r="2554">
          <cell r="E2554" t="str">
            <v>HGC-Lib-2453068</v>
          </cell>
          <cell r="F2554" t="str">
            <v>25-31</v>
          </cell>
          <cell r="G2554">
            <v>6</v>
          </cell>
          <cell r="H2554" t="str">
            <v>mRNA文库</v>
          </cell>
          <cell r="I2554" t="str">
            <v>HZK</v>
          </cell>
          <cell r="J2554">
            <v>52</v>
          </cell>
          <cell r="N2554" t="e">
            <v>#DIV/0!</v>
          </cell>
        </row>
        <row r="2555">
          <cell r="E2555" t="str">
            <v>HGC-Lib-2453069</v>
          </cell>
          <cell r="F2555" t="str">
            <v>23-1</v>
          </cell>
          <cell r="G2555">
            <v>6</v>
          </cell>
          <cell r="H2555" t="str">
            <v>mRNA文库</v>
          </cell>
          <cell r="I2555" t="str">
            <v>HZK</v>
          </cell>
          <cell r="J2555">
            <v>37</v>
          </cell>
          <cell r="N2555" t="e">
            <v>#DIV/0!</v>
          </cell>
        </row>
        <row r="2556">
          <cell r="E2556" t="str">
            <v>HGC-Lib-2453070</v>
          </cell>
          <cell r="F2556" t="str">
            <v>23-2</v>
          </cell>
          <cell r="G2556">
            <v>6</v>
          </cell>
          <cell r="H2556" t="str">
            <v>mRNA文库</v>
          </cell>
          <cell r="I2556" t="str">
            <v>HZK</v>
          </cell>
          <cell r="J2556">
            <v>25.6</v>
          </cell>
          <cell r="N2556" t="e">
            <v>#DIV/0!</v>
          </cell>
        </row>
        <row r="2557">
          <cell r="E2557" t="str">
            <v>HGC-Lib-2453071</v>
          </cell>
          <cell r="F2557" t="str">
            <v>23-3</v>
          </cell>
          <cell r="G2557">
            <v>6</v>
          </cell>
          <cell r="H2557" t="str">
            <v>mRNA文库</v>
          </cell>
          <cell r="I2557" t="str">
            <v>HZK</v>
          </cell>
          <cell r="J2557">
            <v>14.3</v>
          </cell>
          <cell r="N2557" t="e">
            <v>#DIV/0!</v>
          </cell>
        </row>
        <row r="2558">
          <cell r="E2558" t="str">
            <v>HGC-Lib-2453072</v>
          </cell>
          <cell r="F2558" t="str">
            <v>23-4</v>
          </cell>
          <cell r="G2558">
            <v>6</v>
          </cell>
          <cell r="H2558" t="str">
            <v>mRNA文库</v>
          </cell>
          <cell r="I2558" t="str">
            <v>HZK</v>
          </cell>
          <cell r="J2558">
            <v>38</v>
          </cell>
          <cell r="N2558" t="e">
            <v>#DIV/0!</v>
          </cell>
        </row>
        <row r="2559">
          <cell r="E2559" t="str">
            <v>HGC-Lib-2453073</v>
          </cell>
          <cell r="F2559" t="str">
            <v>23-5</v>
          </cell>
          <cell r="G2559">
            <v>6</v>
          </cell>
          <cell r="H2559" t="str">
            <v>mRNA文库</v>
          </cell>
          <cell r="I2559" t="str">
            <v>HZK</v>
          </cell>
          <cell r="J2559">
            <v>40.4</v>
          </cell>
          <cell r="N2559" t="e">
            <v>#DIV/0!</v>
          </cell>
        </row>
        <row r="2560">
          <cell r="E2560" t="str">
            <v>HGC-Lib-2453074</v>
          </cell>
          <cell r="F2560" t="str">
            <v>23-6</v>
          </cell>
          <cell r="G2560">
            <v>6</v>
          </cell>
          <cell r="H2560" t="str">
            <v>mRNA文库</v>
          </cell>
          <cell r="I2560" t="str">
            <v>HZK</v>
          </cell>
          <cell r="J2560">
            <v>29.4</v>
          </cell>
          <cell r="N2560" t="e">
            <v>#DIV/0!</v>
          </cell>
        </row>
        <row r="2561">
          <cell r="E2561" t="str">
            <v>HGC-Lib-2453075</v>
          </cell>
          <cell r="F2561" t="str">
            <v>23-7</v>
          </cell>
          <cell r="G2561">
            <v>6</v>
          </cell>
          <cell r="H2561" t="str">
            <v>mRNA文库</v>
          </cell>
          <cell r="I2561" t="str">
            <v>HZK</v>
          </cell>
          <cell r="J2561">
            <v>7</v>
          </cell>
          <cell r="N2561" t="e">
            <v>#DIV/0!</v>
          </cell>
        </row>
        <row r="2562">
          <cell r="E2562" t="str">
            <v>HGC-Lib-2453076</v>
          </cell>
          <cell r="F2562" t="str">
            <v>23-8</v>
          </cell>
          <cell r="G2562">
            <v>6</v>
          </cell>
          <cell r="H2562" t="str">
            <v>mRNA文库</v>
          </cell>
          <cell r="I2562" t="str">
            <v>HZK</v>
          </cell>
          <cell r="J2562">
            <v>2.08</v>
          </cell>
          <cell r="N2562" t="e">
            <v>#DIV/0!</v>
          </cell>
        </row>
        <row r="2563">
          <cell r="E2563" t="str">
            <v>HGC-Lib-2453077</v>
          </cell>
          <cell r="F2563" t="str">
            <v>23-9</v>
          </cell>
          <cell r="G2563">
            <v>6</v>
          </cell>
          <cell r="H2563" t="str">
            <v>mRNA文库</v>
          </cell>
          <cell r="I2563" t="str">
            <v>HZK</v>
          </cell>
          <cell r="J2563">
            <v>5.58</v>
          </cell>
          <cell r="N2563" t="e">
            <v>#DIV/0!</v>
          </cell>
        </row>
        <row r="2564">
          <cell r="E2564" t="str">
            <v>HGC-Lib-2453078</v>
          </cell>
          <cell r="F2564" t="str">
            <v>23-10</v>
          </cell>
          <cell r="G2564">
            <v>6</v>
          </cell>
          <cell r="H2564" t="str">
            <v>mRNA文库</v>
          </cell>
          <cell r="I2564" t="str">
            <v>HZK</v>
          </cell>
          <cell r="J2564">
            <v>24</v>
          </cell>
          <cell r="N2564" t="e">
            <v>#DIV/0!</v>
          </cell>
        </row>
        <row r="2565">
          <cell r="E2565" t="str">
            <v>HGC-Lib-2453079</v>
          </cell>
          <cell r="F2565" t="str">
            <v>23-11</v>
          </cell>
          <cell r="G2565">
            <v>6</v>
          </cell>
          <cell r="H2565" t="str">
            <v>mRNA文库</v>
          </cell>
          <cell r="I2565" t="str">
            <v>HZK</v>
          </cell>
          <cell r="J2565">
            <v>5.12</v>
          </cell>
          <cell r="N2565" t="e">
            <v>#DIV/0!</v>
          </cell>
        </row>
        <row r="2566">
          <cell r="E2566" t="str">
            <v>HGC-Lib-2453080</v>
          </cell>
          <cell r="F2566" t="str">
            <v>23-12</v>
          </cell>
          <cell r="G2566">
            <v>6</v>
          </cell>
          <cell r="H2566" t="str">
            <v>mRNA文库</v>
          </cell>
          <cell r="I2566" t="str">
            <v>HZK</v>
          </cell>
          <cell r="J2566">
            <v>34.4</v>
          </cell>
          <cell r="N2566" t="e">
            <v>#DIV/0!</v>
          </cell>
        </row>
        <row r="2567">
          <cell r="E2567" t="str">
            <v>HGC-Lib-2453081</v>
          </cell>
          <cell r="F2567" t="str">
            <v>23-13</v>
          </cell>
          <cell r="G2567">
            <v>6</v>
          </cell>
          <cell r="H2567" t="str">
            <v>mRNA文库</v>
          </cell>
          <cell r="I2567" t="str">
            <v>HZK</v>
          </cell>
          <cell r="J2567">
            <v>32.6</v>
          </cell>
          <cell r="N2567" t="e">
            <v>#DIV/0!</v>
          </cell>
        </row>
        <row r="2568">
          <cell r="E2568" t="str">
            <v>HGC-Lib-2453082</v>
          </cell>
          <cell r="F2568" t="str">
            <v>23-14</v>
          </cell>
          <cell r="G2568">
            <v>6</v>
          </cell>
          <cell r="H2568" t="str">
            <v>mRNA文库</v>
          </cell>
          <cell r="I2568" t="str">
            <v>HZK</v>
          </cell>
          <cell r="J2568">
            <v>3.66</v>
          </cell>
          <cell r="N2568" t="e">
            <v>#DIV/0!</v>
          </cell>
        </row>
        <row r="2569">
          <cell r="E2569" t="str">
            <v>HGC-Lib-2453083</v>
          </cell>
          <cell r="F2569" t="str">
            <v>23-15</v>
          </cell>
          <cell r="G2569">
            <v>6</v>
          </cell>
          <cell r="H2569" t="str">
            <v>mRNA文库</v>
          </cell>
          <cell r="I2569" t="str">
            <v>HZK</v>
          </cell>
          <cell r="J2569">
            <v>0.16600000000000001</v>
          </cell>
          <cell r="N2569" t="e">
            <v>#DIV/0!</v>
          </cell>
        </row>
        <row r="2570">
          <cell r="E2570" t="str">
            <v>HGC-Lib-2453084</v>
          </cell>
          <cell r="F2570" t="str">
            <v>23-16</v>
          </cell>
          <cell r="G2570">
            <v>6</v>
          </cell>
          <cell r="H2570" t="str">
            <v>mRNA文库</v>
          </cell>
          <cell r="I2570" t="str">
            <v>HZK</v>
          </cell>
          <cell r="J2570">
            <v>0.39800000000000002</v>
          </cell>
          <cell r="N2570" t="e">
            <v>#DIV/0!</v>
          </cell>
        </row>
        <row r="2571">
          <cell r="E2571" t="str">
            <v>HGC-Lib-2453085</v>
          </cell>
          <cell r="F2571" t="str">
            <v>23-17</v>
          </cell>
          <cell r="G2571">
            <v>6</v>
          </cell>
          <cell r="H2571" t="str">
            <v>mRNA文库</v>
          </cell>
          <cell r="I2571" t="str">
            <v>HZK</v>
          </cell>
          <cell r="J2571">
            <v>0.26200000000000001</v>
          </cell>
          <cell r="N2571" t="e">
            <v>#DIV/0!</v>
          </cell>
        </row>
        <row r="2572">
          <cell r="E2572" t="str">
            <v>HGC-Lib-2453086</v>
          </cell>
          <cell r="F2572" t="str">
            <v>23-18</v>
          </cell>
          <cell r="G2572">
            <v>6</v>
          </cell>
          <cell r="H2572" t="str">
            <v>mRNA文库</v>
          </cell>
          <cell r="I2572" t="str">
            <v>HZK</v>
          </cell>
          <cell r="J2572">
            <v>43</v>
          </cell>
          <cell r="N2572" t="e">
            <v>#DIV/0!</v>
          </cell>
        </row>
        <row r="2573">
          <cell r="E2573" t="str">
            <v>HGC-Lib-2453087</v>
          </cell>
          <cell r="F2573" t="str">
            <v>23-19</v>
          </cell>
          <cell r="G2573">
            <v>6</v>
          </cell>
          <cell r="H2573" t="str">
            <v>mRNA文库</v>
          </cell>
          <cell r="I2573" t="str">
            <v>HZK</v>
          </cell>
          <cell r="J2573">
            <v>22.6</v>
          </cell>
          <cell r="N2573" t="e">
            <v>#DIV/0!</v>
          </cell>
        </row>
        <row r="2574">
          <cell r="E2574" t="str">
            <v>HGC-Lib-2453088</v>
          </cell>
          <cell r="F2574" t="str">
            <v>23-20</v>
          </cell>
          <cell r="G2574">
            <v>6</v>
          </cell>
          <cell r="H2574" t="str">
            <v>mRNA文库</v>
          </cell>
          <cell r="I2574" t="str">
            <v>HZK</v>
          </cell>
          <cell r="J2574">
            <v>22.2</v>
          </cell>
          <cell r="N2574" t="e">
            <v>#DIV/0!</v>
          </cell>
        </row>
        <row r="2575">
          <cell r="E2575" t="str">
            <v>HGC-Lib-2453089</v>
          </cell>
          <cell r="F2575" t="str">
            <v>23-21</v>
          </cell>
          <cell r="G2575">
            <v>6</v>
          </cell>
          <cell r="H2575" t="str">
            <v>mRNA文库</v>
          </cell>
          <cell r="I2575" t="str">
            <v>HZK</v>
          </cell>
          <cell r="J2575">
            <v>23.4</v>
          </cell>
          <cell r="N2575" t="e">
            <v>#DIV/0!</v>
          </cell>
        </row>
        <row r="2576">
          <cell r="E2576" t="str">
            <v>HGC-Lib-2453106</v>
          </cell>
          <cell r="F2576" t="str">
            <v>Tilapia_fin_H3K27ac</v>
          </cell>
          <cell r="G2576">
            <v>7</v>
          </cell>
          <cell r="H2576" t="str">
            <v>cut&amp;tag文库</v>
          </cell>
          <cell r="I2576" t="str">
            <v>WH</v>
          </cell>
          <cell r="J2576">
            <v>13.4</v>
          </cell>
          <cell r="K2576">
            <v>388</v>
          </cell>
          <cell r="L2576" t="str">
            <v>ZZ</v>
          </cell>
          <cell r="N2576">
            <v>53.132434575733498</v>
          </cell>
        </row>
        <row r="2577">
          <cell r="E2577" t="str">
            <v>HGC-Lib-2453107</v>
          </cell>
          <cell r="F2577" t="str">
            <v>Tilapia_fin_H3K27me3</v>
          </cell>
          <cell r="G2577">
            <v>7</v>
          </cell>
          <cell r="H2577" t="str">
            <v>cut&amp;tag文库</v>
          </cell>
          <cell r="I2577" t="str">
            <v>WH</v>
          </cell>
          <cell r="J2577">
            <v>8.8000000000000007</v>
          </cell>
          <cell r="K2577">
            <v>433</v>
          </cell>
          <cell r="L2577" t="str">
            <v>ZZ</v>
          </cell>
          <cell r="N2577">
            <v>31.266654823236799</v>
          </cell>
        </row>
        <row r="2578">
          <cell r="E2578" t="str">
            <v>HGC-Lib-2453108</v>
          </cell>
          <cell r="F2578" t="str">
            <v>Tilapia_fin_H3K4me1</v>
          </cell>
          <cell r="G2578">
            <v>7</v>
          </cell>
          <cell r="H2578" t="str">
            <v>cut&amp;tag文库</v>
          </cell>
          <cell r="I2578" t="str">
            <v>WH</v>
          </cell>
          <cell r="J2578">
            <v>10.5</v>
          </cell>
          <cell r="K2578">
            <v>414</v>
          </cell>
          <cell r="L2578" t="str">
            <v>ZZ</v>
          </cell>
          <cell r="N2578">
            <v>39.018952062430301</v>
          </cell>
        </row>
        <row r="2579">
          <cell r="E2579" t="str">
            <v>HGC-Lib-2453109</v>
          </cell>
          <cell r="F2579" t="str">
            <v>Tilapia_fin_H3K4me3</v>
          </cell>
          <cell r="G2579">
            <v>7</v>
          </cell>
          <cell r="H2579" t="str">
            <v>cut&amp;tag文库</v>
          </cell>
          <cell r="I2579" t="str">
            <v>WH</v>
          </cell>
          <cell r="J2579">
            <v>11.3</v>
          </cell>
          <cell r="K2579">
            <v>412</v>
          </cell>
          <cell r="L2579" t="str">
            <v>ZZ</v>
          </cell>
          <cell r="N2579">
            <v>42.195668409260598</v>
          </cell>
        </row>
        <row r="2580">
          <cell r="E2580" t="str">
            <v>HGC-Lib-2453110</v>
          </cell>
          <cell r="F2580" t="str">
            <v>Tilapia_fin_IgG</v>
          </cell>
          <cell r="G2580">
            <v>7</v>
          </cell>
          <cell r="H2580" t="str">
            <v>cut&amp;tag文库</v>
          </cell>
          <cell r="I2580" t="str">
            <v>WH</v>
          </cell>
          <cell r="J2580">
            <v>0.20599999999999999</v>
          </cell>
          <cell r="K2580">
            <v>438</v>
          </cell>
          <cell r="L2580" t="str">
            <v>WH</v>
          </cell>
          <cell r="N2580">
            <v>0.72356866877414805</v>
          </cell>
        </row>
        <row r="2581">
          <cell r="E2581" t="str">
            <v>HGC-Lib-2453111</v>
          </cell>
          <cell r="F2581" t="str">
            <v>Tilapia_skin_H3K27ac</v>
          </cell>
          <cell r="G2581">
            <v>7</v>
          </cell>
          <cell r="H2581" t="str">
            <v>cut&amp;tag文库</v>
          </cell>
          <cell r="I2581" t="str">
            <v>WH</v>
          </cell>
          <cell r="J2581">
            <v>12</v>
          </cell>
          <cell r="K2581">
            <v>392</v>
          </cell>
          <cell r="L2581" t="str">
            <v>ZZ</v>
          </cell>
          <cell r="N2581">
            <v>47.095761381475697</v>
          </cell>
        </row>
        <row r="2582">
          <cell r="E2582" t="str">
            <v>HGC-Lib-2453112</v>
          </cell>
          <cell r="F2582" t="str">
            <v>Tilapia_skin_H3K27me3</v>
          </cell>
          <cell r="G2582">
            <v>7</v>
          </cell>
          <cell r="H2582" t="str">
            <v>cut&amp;tag文库</v>
          </cell>
          <cell r="I2582" t="str">
            <v>WH</v>
          </cell>
          <cell r="J2582">
            <v>9.4</v>
          </cell>
          <cell r="K2582">
            <v>391</v>
          </cell>
          <cell r="L2582" t="str">
            <v>ZZ</v>
          </cell>
          <cell r="N2582">
            <v>36.986031870942398</v>
          </cell>
        </row>
        <row r="2583">
          <cell r="E2583" t="str">
            <v>HGC-Lib-2453113</v>
          </cell>
          <cell r="F2583" t="str">
            <v>Tilapia_skin_H3K4me1</v>
          </cell>
          <cell r="G2583">
            <v>7</v>
          </cell>
          <cell r="H2583" t="str">
            <v>cut&amp;tag文库</v>
          </cell>
          <cell r="I2583" t="str">
            <v>WH</v>
          </cell>
          <cell r="J2583">
            <v>10.6</v>
          </cell>
          <cell r="K2583">
            <v>386</v>
          </cell>
          <cell r="L2583" t="str">
            <v>ZZ</v>
          </cell>
          <cell r="N2583">
            <v>42.247907532881598</v>
          </cell>
        </row>
        <row r="2584">
          <cell r="E2584" t="str">
            <v>HGC-Lib-2453114</v>
          </cell>
          <cell r="F2584" t="str">
            <v>Tilapia_skin_H3K4me3</v>
          </cell>
          <cell r="G2584">
            <v>7</v>
          </cell>
          <cell r="H2584" t="str">
            <v>cut&amp;tag文库</v>
          </cell>
          <cell r="I2584" t="str">
            <v>WH</v>
          </cell>
          <cell r="J2584">
            <v>8.66</v>
          </cell>
          <cell r="K2584">
            <v>389</v>
          </cell>
          <cell r="L2584" t="str">
            <v>ZZ</v>
          </cell>
          <cell r="N2584">
            <v>34.249555072177202</v>
          </cell>
        </row>
        <row r="2585">
          <cell r="E2585" t="str">
            <v>HGC-Lib-2453115</v>
          </cell>
          <cell r="F2585" t="str">
            <v>Tilapia_skin_IgG</v>
          </cell>
          <cell r="G2585">
            <v>7</v>
          </cell>
          <cell r="H2585" t="str">
            <v>cut&amp;tag文库</v>
          </cell>
          <cell r="I2585" t="str">
            <v>WH</v>
          </cell>
          <cell r="J2585">
            <v>0.13200000000000001</v>
          </cell>
          <cell r="K2585">
            <v>430</v>
          </cell>
          <cell r="L2585" t="str">
            <v>WH</v>
          </cell>
          <cell r="N2585">
            <v>0.47227191413237901</v>
          </cell>
        </row>
        <row r="2586">
          <cell r="E2586" t="str">
            <v>HGC-Lib-2453116</v>
          </cell>
          <cell r="F2586" t="str">
            <v>Tilapia_eye_H3K27ac</v>
          </cell>
          <cell r="G2586">
            <v>7</v>
          </cell>
          <cell r="H2586" t="str">
            <v>cut&amp;tag文库</v>
          </cell>
          <cell r="I2586" t="str">
            <v>WH</v>
          </cell>
          <cell r="J2586">
            <v>8.14</v>
          </cell>
          <cell r="K2586">
            <v>428</v>
          </cell>
          <cell r="L2586" t="str">
            <v>ZZ</v>
          </cell>
          <cell r="N2586">
            <v>29.259525521207799</v>
          </cell>
        </row>
        <row r="2587">
          <cell r="E2587" t="str">
            <v>HGC-Lib-2453117</v>
          </cell>
          <cell r="F2587" t="str">
            <v>Tilapia_eye_H3K27me3</v>
          </cell>
          <cell r="G2587">
            <v>7</v>
          </cell>
          <cell r="H2587" t="str">
            <v>cut&amp;tag文库</v>
          </cell>
          <cell r="I2587" t="str">
            <v>WH</v>
          </cell>
          <cell r="J2587">
            <v>12.7</v>
          </cell>
          <cell r="K2587">
            <v>420</v>
          </cell>
          <cell r="L2587" t="str">
            <v>ZZ</v>
          </cell>
          <cell r="N2587">
            <v>46.520146520146497</v>
          </cell>
        </row>
        <row r="2588">
          <cell r="E2588" t="str">
            <v>HGC-Lib-2453118</v>
          </cell>
          <cell r="F2588" t="str">
            <v>Tilapia_eye_H3K4me1</v>
          </cell>
          <cell r="G2588">
            <v>7</v>
          </cell>
          <cell r="H2588" t="str">
            <v>cut&amp;tag文库</v>
          </cell>
          <cell r="I2588" t="str">
            <v>WH</v>
          </cell>
          <cell r="J2588">
            <v>11.5</v>
          </cell>
          <cell r="K2588">
            <v>381</v>
          </cell>
          <cell r="L2588" t="str">
            <v>ZZ</v>
          </cell>
          <cell r="N2588">
            <v>46.436503129416501</v>
          </cell>
        </row>
        <row r="2589">
          <cell r="E2589" t="str">
            <v>HGC-Lib-2453119</v>
          </cell>
          <cell r="F2589" t="str">
            <v>Tilapia_eye_H3K4me3</v>
          </cell>
          <cell r="G2589">
            <v>7</v>
          </cell>
          <cell r="H2589" t="str">
            <v>cut&amp;tag文库</v>
          </cell>
          <cell r="I2589" t="str">
            <v>WH</v>
          </cell>
          <cell r="J2589">
            <v>10.6</v>
          </cell>
          <cell r="K2589">
            <v>427</v>
          </cell>
          <cell r="L2589" t="str">
            <v>ZZ</v>
          </cell>
          <cell r="N2589">
            <v>38.191316879841501</v>
          </cell>
        </row>
        <row r="2590">
          <cell r="E2590" t="str">
            <v>HGC-Lib-2453120</v>
          </cell>
          <cell r="F2590" t="str">
            <v>Tilapia_eye_IgG</v>
          </cell>
          <cell r="G2590">
            <v>7</v>
          </cell>
          <cell r="H2590" t="str">
            <v>cut&amp;tag文库</v>
          </cell>
          <cell r="I2590" t="str">
            <v>WH</v>
          </cell>
          <cell r="J2590" t="str">
            <v>/</v>
          </cell>
          <cell r="K2590">
            <v>446</v>
          </cell>
          <cell r="L2590" t="str">
            <v>WH</v>
          </cell>
          <cell r="N2590" t="e">
            <v>#VALUE!</v>
          </cell>
        </row>
        <row r="2591">
          <cell r="E2591" t="str">
            <v>HGC-Lib-2453121</v>
          </cell>
          <cell r="F2591" t="str">
            <v>Tilapia_swimmingbladder_H3K27ac</v>
          </cell>
          <cell r="G2591">
            <v>7</v>
          </cell>
          <cell r="H2591" t="str">
            <v>cut&amp;tag文库</v>
          </cell>
          <cell r="I2591" t="str">
            <v>WH</v>
          </cell>
          <cell r="J2591">
            <v>9.8000000000000007</v>
          </cell>
          <cell r="K2591">
            <v>442</v>
          </cell>
          <cell r="L2591" t="str">
            <v>ZZ</v>
          </cell>
          <cell r="N2591">
            <v>34.110685694396103</v>
          </cell>
        </row>
        <row r="2592">
          <cell r="E2592" t="str">
            <v>HGC-Lib-2453122</v>
          </cell>
          <cell r="F2592" t="str">
            <v>Tilapia_swimmingbladder_H3K27me3</v>
          </cell>
          <cell r="G2592">
            <v>7</v>
          </cell>
          <cell r="H2592" t="str">
            <v>cut&amp;tag文库</v>
          </cell>
          <cell r="I2592" t="str">
            <v>WH</v>
          </cell>
          <cell r="J2592">
            <v>12</v>
          </cell>
          <cell r="K2592">
            <v>435</v>
          </cell>
          <cell r="L2592" t="str">
            <v>ZZ</v>
          </cell>
          <cell r="N2592">
            <v>42.440318302387297</v>
          </cell>
        </row>
        <row r="2593">
          <cell r="E2593" t="str">
            <v>HGC-Lib-2453123</v>
          </cell>
          <cell r="F2593" t="str">
            <v>Tilapia_swimmingbladder_H3K4me1</v>
          </cell>
          <cell r="G2593">
            <v>7</v>
          </cell>
          <cell r="H2593" t="str">
            <v>cut&amp;tag文库</v>
          </cell>
          <cell r="I2593" t="str">
            <v>WH</v>
          </cell>
          <cell r="J2593">
            <v>11.5</v>
          </cell>
          <cell r="K2593">
            <v>379</v>
          </cell>
          <cell r="L2593" t="str">
            <v>ZZ</v>
          </cell>
          <cell r="N2593">
            <v>46.681550639334297</v>
          </cell>
        </row>
        <row r="2594">
          <cell r="E2594" t="str">
            <v>HGC-Lib-2453124</v>
          </cell>
          <cell r="F2594" t="str">
            <v>Tilapia_swimmingbladder_H3K4me3</v>
          </cell>
          <cell r="G2594">
            <v>7</v>
          </cell>
          <cell r="H2594" t="str">
            <v>cut&amp;tag文库</v>
          </cell>
          <cell r="I2594" t="str">
            <v>WH</v>
          </cell>
          <cell r="J2594">
            <v>11.3</v>
          </cell>
          <cell r="K2594">
            <v>430</v>
          </cell>
          <cell r="L2594" t="str">
            <v>ZZ</v>
          </cell>
          <cell r="N2594">
            <v>40.429338103756699</v>
          </cell>
        </row>
        <row r="2595">
          <cell r="E2595" t="str">
            <v>HGC-Lib-2453125</v>
          </cell>
          <cell r="F2595" t="str">
            <v>Tilapia_swimmingbladder_IgG</v>
          </cell>
          <cell r="G2595">
            <v>7</v>
          </cell>
          <cell r="H2595" t="str">
            <v>cut&amp;tag文库</v>
          </cell>
          <cell r="I2595" t="str">
            <v>WH</v>
          </cell>
          <cell r="J2595">
            <v>0.24</v>
          </cell>
          <cell r="K2595">
            <v>420</v>
          </cell>
          <cell r="L2595" t="str">
            <v>WH</v>
          </cell>
          <cell r="N2595">
            <v>0.879120879120879</v>
          </cell>
        </row>
        <row r="2596">
          <cell r="E2596" t="str">
            <v>HGC-POOL-2453126</v>
          </cell>
          <cell r="F2596" t="str">
            <v>240705 eMag dimer</v>
          </cell>
          <cell r="G2596">
            <v>12</v>
          </cell>
          <cell r="H2596" t="str">
            <v>mRNA文库</v>
          </cell>
          <cell r="I2596" t="str">
            <v>WH</v>
          </cell>
          <cell r="J2596">
            <v>25.2</v>
          </cell>
          <cell r="K2596">
            <v>438</v>
          </cell>
          <cell r="L2596" t="str">
            <v>ZZ</v>
          </cell>
          <cell r="N2596">
            <v>88.514225500526905</v>
          </cell>
        </row>
        <row r="2597">
          <cell r="E2597" t="str">
            <v>HGC-Lib-2453127</v>
          </cell>
          <cell r="F2597" t="str">
            <v>HTLib-20240706</v>
          </cell>
          <cell r="G2597">
            <v>12</v>
          </cell>
          <cell r="H2597" t="str">
            <v>mRNA文库</v>
          </cell>
          <cell r="I2597" t="str">
            <v>WH</v>
          </cell>
          <cell r="J2597">
            <v>2.96</v>
          </cell>
          <cell r="K2597">
            <v>337</v>
          </cell>
          <cell r="L2597" t="str">
            <v>WH</v>
          </cell>
          <cell r="N2597">
            <v>13.51289659895</v>
          </cell>
        </row>
        <row r="2598">
          <cell r="E2598" t="str">
            <v>HGC-Lib-2453128</v>
          </cell>
          <cell r="F2598" t="str">
            <v>L1</v>
          </cell>
          <cell r="G2598">
            <v>2</v>
          </cell>
          <cell r="H2598" t="str">
            <v>PCR产物文库</v>
          </cell>
          <cell r="I2598" t="str">
            <v>WH</v>
          </cell>
          <cell r="J2598">
            <v>13.3</v>
          </cell>
          <cell r="K2598">
            <v>495</v>
          </cell>
          <cell r="L2598" t="str">
            <v>ZZ</v>
          </cell>
          <cell r="N2598">
            <v>41.336441336441297</v>
          </cell>
        </row>
        <row r="2599">
          <cell r="E2599" t="str">
            <v>HGC-Lib-2453129</v>
          </cell>
          <cell r="F2599" t="str">
            <v>L2</v>
          </cell>
          <cell r="G2599">
            <v>2</v>
          </cell>
          <cell r="H2599" t="str">
            <v>PCR产物文库</v>
          </cell>
          <cell r="I2599" t="str">
            <v>WH</v>
          </cell>
          <cell r="J2599">
            <v>32.6</v>
          </cell>
          <cell r="K2599">
            <v>401</v>
          </cell>
          <cell r="L2599" t="str">
            <v>ZZ</v>
          </cell>
          <cell r="N2599">
            <v>125.071935545751</v>
          </cell>
        </row>
        <row r="2600">
          <cell r="E2600" t="str">
            <v>HGC-Lib-2453130</v>
          </cell>
          <cell r="F2600" t="str">
            <v>L3</v>
          </cell>
          <cell r="G2600">
            <v>2</v>
          </cell>
          <cell r="H2600" t="str">
            <v>PCR产物文库</v>
          </cell>
          <cell r="I2600" t="str">
            <v>WH</v>
          </cell>
          <cell r="J2600">
            <v>33</v>
          </cell>
          <cell r="K2600">
            <v>409</v>
          </cell>
          <cell r="L2600" t="str">
            <v>ZZ</v>
          </cell>
          <cell r="N2600">
            <v>124.130148580026</v>
          </cell>
        </row>
        <row r="2601">
          <cell r="E2601" t="str">
            <v>HGC-Lib-2453131</v>
          </cell>
          <cell r="F2601" t="str">
            <v>L4</v>
          </cell>
          <cell r="G2601">
            <v>2</v>
          </cell>
          <cell r="H2601" t="str">
            <v>PCR产物文库</v>
          </cell>
          <cell r="I2601" t="str">
            <v>WH</v>
          </cell>
          <cell r="J2601">
            <v>36.4</v>
          </cell>
          <cell r="K2601">
            <v>411</v>
          </cell>
          <cell r="L2601" t="str">
            <v>ZZ</v>
          </cell>
          <cell r="N2601">
            <v>136.25304136253001</v>
          </cell>
        </row>
        <row r="2602">
          <cell r="E2602" t="str">
            <v>HGC-Lib-2453132</v>
          </cell>
          <cell r="F2602" t="str">
            <v>L5</v>
          </cell>
          <cell r="G2602">
            <v>2</v>
          </cell>
          <cell r="H2602" t="str">
            <v>PCR产物文库</v>
          </cell>
          <cell r="I2602" t="str">
            <v>WH</v>
          </cell>
          <cell r="J2602">
            <v>36.799999999999997</v>
          </cell>
          <cell r="K2602">
            <v>396</v>
          </cell>
          <cell r="L2602" t="str">
            <v>ZZ</v>
          </cell>
          <cell r="N2602">
            <v>142.96814296814301</v>
          </cell>
        </row>
        <row r="2603">
          <cell r="E2603" t="str">
            <v>HGC-Lib-2453133</v>
          </cell>
          <cell r="F2603" t="str">
            <v>L6</v>
          </cell>
          <cell r="G2603">
            <v>2</v>
          </cell>
          <cell r="H2603" t="str">
            <v>PCR产物文库</v>
          </cell>
          <cell r="I2603" t="str">
            <v>WH</v>
          </cell>
          <cell r="J2603">
            <v>32.200000000000003</v>
          </cell>
          <cell r="K2603">
            <v>414</v>
          </cell>
          <cell r="L2603" t="str">
            <v>ZZ</v>
          </cell>
          <cell r="N2603">
            <v>119.65811965812</v>
          </cell>
        </row>
        <row r="2604">
          <cell r="E2604" t="str">
            <v>HGC-Lib-2453134</v>
          </cell>
          <cell r="F2604" t="str">
            <v>L7</v>
          </cell>
          <cell r="G2604">
            <v>2</v>
          </cell>
          <cell r="H2604" t="str">
            <v>PCR产物文库</v>
          </cell>
          <cell r="I2604" t="str">
            <v>WH</v>
          </cell>
          <cell r="J2604">
            <v>13.3</v>
          </cell>
          <cell r="K2604">
            <v>444</v>
          </cell>
          <cell r="L2604" t="str">
            <v>ZZ</v>
          </cell>
          <cell r="N2604">
            <v>46.084546084546098</v>
          </cell>
        </row>
        <row r="2605">
          <cell r="E2605" t="str">
            <v>HGC-Lib-2453135</v>
          </cell>
          <cell r="F2605" t="str">
            <v>L8</v>
          </cell>
          <cell r="G2605">
            <v>2</v>
          </cell>
          <cell r="H2605" t="str">
            <v>PCR产物文库</v>
          </cell>
          <cell r="I2605" t="str">
            <v>WH</v>
          </cell>
          <cell r="J2605">
            <v>9.8000000000000007</v>
          </cell>
          <cell r="K2605">
            <v>561</v>
          </cell>
          <cell r="L2605" t="str">
            <v>ZZ</v>
          </cell>
          <cell r="N2605">
            <v>26.875085698615099</v>
          </cell>
        </row>
        <row r="2606">
          <cell r="E2606" t="str">
            <v>HGC-Lib-2453136</v>
          </cell>
          <cell r="F2606" t="str">
            <v>L9</v>
          </cell>
          <cell r="G2606">
            <v>2</v>
          </cell>
          <cell r="H2606" t="str">
            <v>PCR产物文库</v>
          </cell>
          <cell r="I2606" t="str">
            <v>WH</v>
          </cell>
          <cell r="J2606">
            <v>10.6</v>
          </cell>
          <cell r="K2606">
            <v>479</v>
          </cell>
          <cell r="L2606" t="str">
            <v>ZZ</v>
          </cell>
          <cell r="N2606">
            <v>34.045286654889999</v>
          </cell>
        </row>
        <row r="2607">
          <cell r="E2607" t="str">
            <v>HGC-Lib-2453137</v>
          </cell>
          <cell r="F2607" t="str">
            <v>L10</v>
          </cell>
          <cell r="G2607">
            <v>2</v>
          </cell>
          <cell r="H2607" t="str">
            <v>PCR产物文库</v>
          </cell>
          <cell r="I2607" t="str">
            <v>WH</v>
          </cell>
          <cell r="J2607">
            <v>33.799999999999997</v>
          </cell>
          <cell r="K2607">
            <v>400</v>
          </cell>
          <cell r="L2607" t="str">
            <v>ZZ</v>
          </cell>
          <cell r="N2607">
            <v>130</v>
          </cell>
        </row>
        <row r="2608">
          <cell r="E2608" t="str">
            <v>HGC-Lib-2453138</v>
          </cell>
          <cell r="F2608" t="str">
            <v>L11</v>
          </cell>
          <cell r="G2608">
            <v>2</v>
          </cell>
          <cell r="H2608" t="str">
            <v>PCR产物文库</v>
          </cell>
          <cell r="I2608" t="str">
            <v>WH</v>
          </cell>
          <cell r="J2608">
            <v>27.6</v>
          </cell>
          <cell r="K2608">
            <v>416</v>
          </cell>
          <cell r="L2608" t="str">
            <v>ZZ</v>
          </cell>
          <cell r="N2608">
            <v>102.07100591715999</v>
          </cell>
        </row>
        <row r="2609">
          <cell r="E2609" t="str">
            <v>HGC-Lib-2453139</v>
          </cell>
          <cell r="F2609" t="str">
            <v>L12</v>
          </cell>
          <cell r="G2609">
            <v>2</v>
          </cell>
          <cell r="H2609" t="str">
            <v>PCR产物文库</v>
          </cell>
          <cell r="I2609" t="str">
            <v>WH</v>
          </cell>
          <cell r="J2609">
            <v>11.8</v>
          </cell>
          <cell r="K2609">
            <v>571</v>
          </cell>
          <cell r="L2609" t="str">
            <v>ZZ</v>
          </cell>
          <cell r="N2609">
            <v>31.793075575912699</v>
          </cell>
        </row>
        <row r="2610">
          <cell r="E2610" t="str">
            <v>HGC-Lib-2453140</v>
          </cell>
          <cell r="F2610" t="str">
            <v>L13</v>
          </cell>
          <cell r="G2610">
            <v>2</v>
          </cell>
          <cell r="H2610" t="str">
            <v>PCR产物文库</v>
          </cell>
          <cell r="I2610" t="str">
            <v>WH</v>
          </cell>
          <cell r="J2610">
            <v>16.3</v>
          </cell>
          <cell r="K2610">
            <v>437</v>
          </cell>
          <cell r="L2610" t="str">
            <v>ZZ</v>
          </cell>
          <cell r="N2610">
            <v>57.384263333920103</v>
          </cell>
        </row>
        <row r="2611">
          <cell r="E2611" t="str">
            <v>HGC-Lib-2453141</v>
          </cell>
          <cell r="F2611" t="str">
            <v>L14</v>
          </cell>
          <cell r="G2611">
            <v>2</v>
          </cell>
          <cell r="H2611" t="str">
            <v>PCR产物文库</v>
          </cell>
          <cell r="I2611" t="str">
            <v>WH</v>
          </cell>
          <cell r="J2611">
            <v>34.6</v>
          </cell>
          <cell r="K2611">
            <v>407</v>
          </cell>
          <cell r="L2611" t="str">
            <v>ZZ</v>
          </cell>
          <cell r="N2611">
            <v>130.78813078813101</v>
          </cell>
        </row>
        <row r="2612">
          <cell r="E2612" t="str">
            <v>HGC-Lib-2453142</v>
          </cell>
          <cell r="F2612" t="str">
            <v>L15</v>
          </cell>
          <cell r="G2612">
            <v>2</v>
          </cell>
          <cell r="H2612" t="str">
            <v>PCR产物文库</v>
          </cell>
          <cell r="I2612" t="str">
            <v>WH</v>
          </cell>
          <cell r="J2612">
            <v>10.3</v>
          </cell>
          <cell r="K2612">
            <v>453</v>
          </cell>
          <cell r="L2612" t="str">
            <v>ZZ</v>
          </cell>
          <cell r="N2612">
            <v>34.980472066564801</v>
          </cell>
        </row>
        <row r="2613">
          <cell r="E2613" t="str">
            <v>HGC-Lib-2453143</v>
          </cell>
          <cell r="F2613" t="str">
            <v>L16</v>
          </cell>
          <cell r="G2613">
            <v>2</v>
          </cell>
          <cell r="H2613" t="str">
            <v>PCR产物文库</v>
          </cell>
          <cell r="I2613" t="str">
            <v>WH</v>
          </cell>
          <cell r="J2613">
            <v>46.4</v>
          </cell>
          <cell r="K2613">
            <v>401</v>
          </cell>
          <cell r="L2613" t="str">
            <v>ZZ</v>
          </cell>
          <cell r="N2613">
            <v>178.01649721849199</v>
          </cell>
        </row>
        <row r="2614">
          <cell r="E2614" t="str">
            <v>HGC-Lib-2453144</v>
          </cell>
          <cell r="F2614" t="str">
            <v>L17</v>
          </cell>
          <cell r="G2614">
            <v>2</v>
          </cell>
          <cell r="H2614" t="str">
            <v>PCR产物文库</v>
          </cell>
          <cell r="I2614" t="str">
            <v>WH</v>
          </cell>
          <cell r="J2614">
            <v>18.2</v>
          </cell>
          <cell r="K2614">
            <v>404</v>
          </cell>
          <cell r="L2614" t="str">
            <v>ZZ</v>
          </cell>
          <cell r="N2614">
            <v>69.306930693069305</v>
          </cell>
        </row>
        <row r="2615">
          <cell r="E2615" t="str">
            <v>HGC-Lib-2453145</v>
          </cell>
          <cell r="F2615" t="str">
            <v>L18</v>
          </cell>
          <cell r="G2615">
            <v>2</v>
          </cell>
          <cell r="H2615" t="str">
            <v>PCR产物文库</v>
          </cell>
          <cell r="I2615" t="str">
            <v>WH</v>
          </cell>
          <cell r="J2615">
            <v>39.799999999999997</v>
          </cell>
          <cell r="K2615">
            <v>401</v>
          </cell>
          <cell r="L2615" t="str">
            <v>ZZ</v>
          </cell>
          <cell r="N2615">
            <v>152.69518511413801</v>
          </cell>
        </row>
        <row r="2616">
          <cell r="E2616" t="str">
            <v>HGC-Lib-2453146</v>
          </cell>
          <cell r="F2616" t="str">
            <v>L19</v>
          </cell>
          <cell r="G2616">
            <v>2</v>
          </cell>
          <cell r="H2616" t="str">
            <v>PCR产物文库</v>
          </cell>
          <cell r="I2616" t="str">
            <v>WH</v>
          </cell>
          <cell r="J2616">
            <v>51.6</v>
          </cell>
          <cell r="K2616">
            <v>384</v>
          </cell>
          <cell r="L2616" t="str">
            <v>ZZ</v>
          </cell>
          <cell r="N2616">
            <v>206.730769230769</v>
          </cell>
        </row>
        <row r="2617">
          <cell r="E2617" t="str">
            <v>HGC-Lib-2453147</v>
          </cell>
          <cell r="F2617" t="str">
            <v>L20</v>
          </cell>
          <cell r="G2617">
            <v>2</v>
          </cell>
          <cell r="H2617" t="str">
            <v>PCR产物文库</v>
          </cell>
          <cell r="I2617" t="str">
            <v>WH</v>
          </cell>
          <cell r="J2617">
            <v>24.2</v>
          </cell>
          <cell r="K2617">
            <v>409</v>
          </cell>
          <cell r="L2617" t="str">
            <v>ZZ</v>
          </cell>
          <cell r="N2617">
            <v>91.028775625352594</v>
          </cell>
        </row>
        <row r="2618">
          <cell r="E2618" t="str">
            <v>HGC-Lib-2453148</v>
          </cell>
          <cell r="F2618" t="str">
            <v>L21</v>
          </cell>
          <cell r="G2618">
            <v>2</v>
          </cell>
          <cell r="H2618" t="str">
            <v>PCR产物文库</v>
          </cell>
          <cell r="I2618" t="str">
            <v>WH</v>
          </cell>
          <cell r="J2618">
            <v>39</v>
          </cell>
          <cell r="K2618">
            <v>383</v>
          </cell>
          <cell r="L2618" t="str">
            <v>ZZ</v>
          </cell>
          <cell r="N2618">
            <v>156.65796344647501</v>
          </cell>
        </row>
        <row r="2619">
          <cell r="E2619" t="str">
            <v>HGC-Lib-2453149</v>
          </cell>
          <cell r="F2619" t="str">
            <v>N1</v>
          </cell>
          <cell r="G2619">
            <v>2</v>
          </cell>
          <cell r="H2619" t="str">
            <v>PCR产物文库</v>
          </cell>
          <cell r="I2619" t="str">
            <v>WH</v>
          </cell>
          <cell r="J2619">
            <v>102</v>
          </cell>
          <cell r="K2619">
            <v>596</v>
          </cell>
          <cell r="L2619" t="str">
            <v>ZZ</v>
          </cell>
          <cell r="N2619">
            <v>263.29375322663901</v>
          </cell>
        </row>
        <row r="2620">
          <cell r="E2620" t="str">
            <v>HGC-Lib-2453150</v>
          </cell>
          <cell r="F2620" t="str">
            <v>N2</v>
          </cell>
          <cell r="G2620">
            <v>2</v>
          </cell>
          <cell r="H2620" t="str">
            <v>PCR产物文库</v>
          </cell>
          <cell r="I2620" t="str">
            <v>WH</v>
          </cell>
          <cell r="J2620">
            <v>76.599999999999994</v>
          </cell>
          <cell r="K2620">
            <v>286</v>
          </cell>
          <cell r="L2620" t="str">
            <v>ZZ</v>
          </cell>
          <cell r="N2620">
            <v>412.049488972566</v>
          </cell>
        </row>
        <row r="2621">
          <cell r="E2621" t="str">
            <v>HGC-Lib-2453151</v>
          </cell>
          <cell r="F2621" t="str">
            <v>B-G-1</v>
          </cell>
          <cell r="G2621">
            <v>2</v>
          </cell>
          <cell r="H2621" t="str">
            <v>mRNA文库</v>
          </cell>
          <cell r="I2621" t="str">
            <v>WH</v>
          </cell>
          <cell r="J2621">
            <v>2.76</v>
          </cell>
          <cell r="K2621">
            <v>360</v>
          </cell>
          <cell r="L2621" t="str">
            <v>WH</v>
          </cell>
          <cell r="N2621">
            <v>11.794871794871799</v>
          </cell>
        </row>
        <row r="2622">
          <cell r="E2622" t="str">
            <v>HGC-Lib-2453152</v>
          </cell>
          <cell r="F2622" t="str">
            <v>B-SRG-2</v>
          </cell>
          <cell r="G2622">
            <v>2</v>
          </cell>
          <cell r="H2622" t="str">
            <v>mRNA文库</v>
          </cell>
          <cell r="I2622" t="str">
            <v>WH</v>
          </cell>
          <cell r="J2622">
            <v>5.0199999999999996</v>
          </cell>
          <cell r="K2622">
            <v>344</v>
          </cell>
          <cell r="L2622" t="str">
            <v>WH</v>
          </cell>
          <cell r="N2622">
            <v>22.450805008944499</v>
          </cell>
        </row>
        <row r="2623">
          <cell r="E2623" t="str">
            <v>HGC-POOL-2453153</v>
          </cell>
          <cell r="F2623" t="str">
            <v>TYF0704</v>
          </cell>
          <cell r="G2623">
            <v>6</v>
          </cell>
          <cell r="H2623" t="str">
            <v>Chip-Seq</v>
          </cell>
          <cell r="I2623" t="str">
            <v>WH</v>
          </cell>
          <cell r="J2623">
            <v>1.2</v>
          </cell>
          <cell r="K2623">
            <v>323</v>
          </cell>
          <cell r="L2623" t="str">
            <v>WH</v>
          </cell>
          <cell r="N2623">
            <v>5.7156465825196499</v>
          </cell>
        </row>
        <row r="2624">
          <cell r="E2624" t="str">
            <v>HGC-Lib-2453154</v>
          </cell>
          <cell r="F2624" t="str">
            <v>SG-Lib-A-EX1</v>
          </cell>
          <cell r="G2624">
            <v>2</v>
          </cell>
          <cell r="H2624" t="str">
            <v>PCR产物文库</v>
          </cell>
          <cell r="I2624" t="str">
            <v>HZK</v>
          </cell>
          <cell r="J2624" t="str">
            <v>/</v>
          </cell>
          <cell r="K2624" t="str">
            <v>/</v>
          </cell>
          <cell r="L2624" t="str">
            <v>WH</v>
          </cell>
          <cell r="N2624" t="e">
            <v>#VALUE!</v>
          </cell>
        </row>
        <row r="2625">
          <cell r="E2625" t="str">
            <v>HGC-Lib-2453155</v>
          </cell>
          <cell r="F2625" t="str">
            <v>SG-Lib-A-EX2</v>
          </cell>
          <cell r="G2625">
            <v>2</v>
          </cell>
          <cell r="H2625" t="str">
            <v>PCR产物文库</v>
          </cell>
          <cell r="I2625" t="str">
            <v>HZK</v>
          </cell>
          <cell r="J2625" t="str">
            <v>/</v>
          </cell>
          <cell r="K2625" t="str">
            <v>/</v>
          </cell>
          <cell r="L2625" t="str">
            <v>WH</v>
          </cell>
          <cell r="N2625" t="e">
            <v>#VALUE!</v>
          </cell>
        </row>
        <row r="2626">
          <cell r="E2626" t="str">
            <v>HGC-Lib-2453156</v>
          </cell>
          <cell r="F2626" t="str">
            <v>SG-Lib-A-EX3</v>
          </cell>
          <cell r="G2626">
            <v>2</v>
          </cell>
          <cell r="H2626" t="str">
            <v>PCR产物文库</v>
          </cell>
          <cell r="I2626" t="str">
            <v>HZK</v>
          </cell>
          <cell r="J2626" t="str">
            <v>/</v>
          </cell>
          <cell r="K2626" t="str">
            <v>/</v>
          </cell>
          <cell r="L2626" t="str">
            <v>WH</v>
          </cell>
          <cell r="N2626" t="e">
            <v>#VALUE!</v>
          </cell>
        </row>
        <row r="2627">
          <cell r="E2627" t="str">
            <v>HGC-Lib-2453157</v>
          </cell>
          <cell r="F2627" t="str">
            <v>SG-Lib-A-NC</v>
          </cell>
          <cell r="G2627">
            <v>2</v>
          </cell>
          <cell r="H2627" t="str">
            <v>PCR产物文库</v>
          </cell>
          <cell r="I2627" t="str">
            <v>HZK</v>
          </cell>
          <cell r="J2627" t="str">
            <v>/</v>
          </cell>
          <cell r="K2627" t="str">
            <v>/</v>
          </cell>
          <cell r="L2627" t="str">
            <v>WH</v>
          </cell>
          <cell r="N2627" t="e">
            <v>#VALUE!</v>
          </cell>
        </row>
        <row r="2628">
          <cell r="E2628" t="str">
            <v>HGC-2453218</v>
          </cell>
          <cell r="F2628" t="str">
            <v>Mc38-RR</v>
          </cell>
          <cell r="G2628" t="str">
            <v>100G</v>
          </cell>
          <cell r="H2628" t="str">
            <v>10X转录组文库</v>
          </cell>
          <cell r="I2628" t="str">
            <v>HZK</v>
          </cell>
          <cell r="J2628">
            <v>22</v>
          </cell>
          <cell r="K2628">
            <v>522</v>
          </cell>
          <cell r="L2628" t="str">
            <v>ZZ</v>
          </cell>
          <cell r="N2628">
            <v>64.839375184202794</v>
          </cell>
        </row>
        <row r="2629">
          <cell r="E2629" t="str">
            <v>HGC-Lib-2453225</v>
          </cell>
          <cell r="F2629">
            <v>1</v>
          </cell>
          <cell r="G2629">
            <v>30</v>
          </cell>
          <cell r="H2629" t="str">
            <v>mRNA文库</v>
          </cell>
          <cell r="I2629" t="str">
            <v>HZK</v>
          </cell>
          <cell r="J2629" t="str">
            <v>/</v>
          </cell>
          <cell r="K2629" t="str">
            <v>/</v>
          </cell>
          <cell r="L2629" t="str">
            <v>WH</v>
          </cell>
          <cell r="N2629" t="e">
            <v>#VALUE!</v>
          </cell>
        </row>
        <row r="2630">
          <cell r="E2630" t="str">
            <v>HGC-Lib-2453235</v>
          </cell>
          <cell r="F2630" t="str">
            <v>LD240604O-2068A</v>
          </cell>
          <cell r="G2630">
            <v>10</v>
          </cell>
          <cell r="H2630" t="str">
            <v>RNA病毒组文库</v>
          </cell>
          <cell r="I2630" t="str">
            <v>HZK</v>
          </cell>
          <cell r="J2630">
            <v>43.8</v>
          </cell>
          <cell r="N2630" t="e">
            <v>#DIV/0!</v>
          </cell>
        </row>
        <row r="2631">
          <cell r="E2631" t="str">
            <v>HGC-Lib-2453236</v>
          </cell>
          <cell r="F2631" t="str">
            <v>LD240604O-2069A</v>
          </cell>
          <cell r="G2631">
            <v>10</v>
          </cell>
          <cell r="H2631" t="str">
            <v>RNA病毒组文库</v>
          </cell>
          <cell r="I2631" t="str">
            <v>HZK</v>
          </cell>
          <cell r="J2631">
            <v>110</v>
          </cell>
          <cell r="N2631" t="e">
            <v>#DIV/0!</v>
          </cell>
        </row>
        <row r="2632">
          <cell r="E2632" t="str">
            <v>HGC-Lib-2453237</v>
          </cell>
          <cell r="F2632" t="str">
            <v>LD240604O-2070A</v>
          </cell>
          <cell r="G2632">
            <v>10</v>
          </cell>
          <cell r="H2632" t="str">
            <v>RNA病毒组文库</v>
          </cell>
          <cell r="I2632" t="str">
            <v>HZK</v>
          </cell>
          <cell r="J2632">
            <v>84.2</v>
          </cell>
          <cell r="N2632" t="e">
            <v>#DIV/0!</v>
          </cell>
        </row>
        <row r="2633">
          <cell r="E2633" t="str">
            <v>HGC-Lib-2453238</v>
          </cell>
          <cell r="F2633" t="str">
            <v>LD240604O-2071A</v>
          </cell>
          <cell r="G2633">
            <v>10</v>
          </cell>
          <cell r="H2633" t="str">
            <v>RNA病毒组文库</v>
          </cell>
          <cell r="I2633" t="str">
            <v>HZK</v>
          </cell>
          <cell r="J2633">
            <v>65.400000000000006</v>
          </cell>
          <cell r="N2633" t="e">
            <v>#DIV/0!</v>
          </cell>
        </row>
        <row r="2634">
          <cell r="E2634" t="str">
            <v>HGC-Lib-2453239</v>
          </cell>
          <cell r="F2634" t="str">
            <v>LD240604O-2072A</v>
          </cell>
          <cell r="G2634">
            <v>10</v>
          </cell>
          <cell r="H2634" t="str">
            <v>RNA病毒组文库</v>
          </cell>
          <cell r="I2634" t="str">
            <v>HZK</v>
          </cell>
          <cell r="J2634">
            <v>42.6</v>
          </cell>
          <cell r="N2634" t="e">
            <v>#DIV/0!</v>
          </cell>
        </row>
        <row r="2635">
          <cell r="E2635" t="str">
            <v>HGC-Lib-2453240</v>
          </cell>
          <cell r="F2635" t="str">
            <v>LD240604O-2073A</v>
          </cell>
          <cell r="G2635">
            <v>10</v>
          </cell>
          <cell r="H2635" t="str">
            <v>RNA病毒组文库</v>
          </cell>
          <cell r="I2635" t="str">
            <v>HZK</v>
          </cell>
          <cell r="J2635">
            <v>54.2</v>
          </cell>
          <cell r="N2635" t="e">
            <v>#DIV/0!</v>
          </cell>
        </row>
        <row r="2636">
          <cell r="E2636" t="str">
            <v>HGC-Lib-2453241</v>
          </cell>
          <cell r="F2636" t="str">
            <v>LD240604O-2074A</v>
          </cell>
          <cell r="G2636">
            <v>10</v>
          </cell>
          <cell r="H2636" t="str">
            <v>RNA病毒组文库</v>
          </cell>
          <cell r="I2636" t="str">
            <v>HZK</v>
          </cell>
          <cell r="J2636">
            <v>42.6</v>
          </cell>
          <cell r="N2636" t="e">
            <v>#DIV/0!</v>
          </cell>
        </row>
        <row r="2637">
          <cell r="E2637" t="str">
            <v>HGC-Lib-2453242</v>
          </cell>
          <cell r="F2637" t="str">
            <v>LD240604O-2075A</v>
          </cell>
          <cell r="G2637">
            <v>10</v>
          </cell>
          <cell r="H2637" t="str">
            <v>RNA病毒组文库</v>
          </cell>
          <cell r="I2637" t="str">
            <v>HZK</v>
          </cell>
          <cell r="J2637">
            <v>41.4</v>
          </cell>
          <cell r="N2637" t="e">
            <v>#DIV/0!</v>
          </cell>
        </row>
        <row r="2638">
          <cell r="E2638" t="str">
            <v>HGC-Lib-2453243</v>
          </cell>
          <cell r="F2638" t="str">
            <v>LD240604O-2076A</v>
          </cell>
          <cell r="G2638">
            <v>10</v>
          </cell>
          <cell r="H2638" t="str">
            <v>RNA病毒组文库</v>
          </cell>
          <cell r="I2638" t="str">
            <v>HZK</v>
          </cell>
          <cell r="J2638">
            <v>95.2</v>
          </cell>
          <cell r="N2638" t="e">
            <v>#DIV/0!</v>
          </cell>
        </row>
        <row r="2639">
          <cell r="E2639" t="str">
            <v>HGC-Lib-2453244</v>
          </cell>
          <cell r="F2639" t="str">
            <v>LD240604O-2077A</v>
          </cell>
          <cell r="G2639">
            <v>10</v>
          </cell>
          <cell r="H2639" t="str">
            <v>RNA病毒组文库</v>
          </cell>
          <cell r="I2639" t="str">
            <v>HZK</v>
          </cell>
          <cell r="J2639">
            <v>70</v>
          </cell>
          <cell r="N2639" t="e">
            <v>#DIV/0!</v>
          </cell>
        </row>
        <row r="2640">
          <cell r="E2640" t="str">
            <v>HGC-Lib-2453245</v>
          </cell>
          <cell r="F2640" t="str">
            <v>LD240604O-2078A</v>
          </cell>
          <cell r="G2640">
            <v>10</v>
          </cell>
          <cell r="H2640" t="str">
            <v>RNA病毒组文库</v>
          </cell>
          <cell r="I2640" t="str">
            <v>HZK</v>
          </cell>
          <cell r="J2640">
            <v>59</v>
          </cell>
          <cell r="N2640" t="e">
            <v>#DIV/0!</v>
          </cell>
        </row>
        <row r="2641">
          <cell r="E2641" t="str">
            <v>HGC-Lib-2453246</v>
          </cell>
          <cell r="F2641" t="str">
            <v>LD240604O-2079A</v>
          </cell>
          <cell r="G2641">
            <v>10</v>
          </cell>
          <cell r="H2641" t="str">
            <v>RNA病毒组文库</v>
          </cell>
          <cell r="I2641" t="str">
            <v>HZK</v>
          </cell>
          <cell r="J2641">
            <v>57.2</v>
          </cell>
          <cell r="N2641" t="e">
            <v>#DIV/0!</v>
          </cell>
        </row>
        <row r="2642">
          <cell r="E2642" t="str">
            <v>HGC-Lib-2453247</v>
          </cell>
          <cell r="F2642" t="str">
            <v>LD240604O-2080A</v>
          </cell>
          <cell r="G2642">
            <v>10</v>
          </cell>
          <cell r="H2642" t="str">
            <v>RNA病毒组文库</v>
          </cell>
          <cell r="I2642" t="str">
            <v>HZK</v>
          </cell>
          <cell r="J2642">
            <v>82.4</v>
          </cell>
          <cell r="N2642" t="e">
            <v>#DIV/0!</v>
          </cell>
        </row>
        <row r="2643">
          <cell r="E2643" t="str">
            <v>HGC-Lib-2453248</v>
          </cell>
          <cell r="F2643" t="str">
            <v>LD240604O-2081A</v>
          </cell>
          <cell r="G2643">
            <v>10</v>
          </cell>
          <cell r="H2643" t="str">
            <v>RNA病毒组文库</v>
          </cell>
          <cell r="I2643" t="str">
            <v>HZK</v>
          </cell>
          <cell r="J2643">
            <v>90.8</v>
          </cell>
          <cell r="N2643" t="e">
            <v>#DIV/0!</v>
          </cell>
        </row>
        <row r="2644">
          <cell r="E2644" t="str">
            <v>HGC-Lib-2453286</v>
          </cell>
          <cell r="F2644" t="str">
            <v>1_5.5hpf-#2</v>
          </cell>
          <cell r="G2644">
            <v>50</v>
          </cell>
          <cell r="H2644" t="str">
            <v>mRNA文库</v>
          </cell>
          <cell r="I2644" t="str">
            <v>HZK</v>
          </cell>
          <cell r="J2644">
            <v>1.1499999999999999</v>
          </cell>
          <cell r="K2644">
            <v>619</v>
          </cell>
          <cell r="L2644" t="str">
            <v>WH</v>
          </cell>
          <cell r="N2644">
            <v>2.8582080278364601</v>
          </cell>
        </row>
        <row r="2645">
          <cell r="E2645" t="str">
            <v>HGC-Lib-2453287</v>
          </cell>
          <cell r="F2645" t="str">
            <v>2_5.5hpf-#3</v>
          </cell>
          <cell r="G2645">
            <v>50</v>
          </cell>
          <cell r="H2645" t="str">
            <v>mRNA文库</v>
          </cell>
          <cell r="I2645" t="str">
            <v>HZK</v>
          </cell>
          <cell r="J2645">
            <v>1.75</v>
          </cell>
          <cell r="K2645">
            <v>632</v>
          </cell>
          <cell r="L2645" t="str">
            <v>WH</v>
          </cell>
          <cell r="N2645">
            <v>4.2599805258033099</v>
          </cell>
        </row>
        <row r="2646">
          <cell r="E2646" t="str">
            <v>HGC-Lib-2453288</v>
          </cell>
          <cell r="F2646" t="str">
            <v>3_5.5hpf-#2</v>
          </cell>
          <cell r="G2646">
            <v>50</v>
          </cell>
          <cell r="H2646" t="str">
            <v>mRNA文库</v>
          </cell>
          <cell r="I2646" t="str">
            <v>HZK</v>
          </cell>
          <cell r="J2646">
            <v>1.31</v>
          </cell>
          <cell r="K2646">
            <v>623</v>
          </cell>
          <cell r="L2646" t="str">
            <v>WH</v>
          </cell>
          <cell r="N2646">
            <v>3.2349672799110998</v>
          </cell>
        </row>
        <row r="2647">
          <cell r="E2647" t="str">
            <v>HGC-Lib-2453289</v>
          </cell>
          <cell r="F2647" t="str">
            <v>4_5.5hpf-#3</v>
          </cell>
          <cell r="G2647">
            <v>50</v>
          </cell>
          <cell r="H2647" t="str">
            <v>mRNA文库</v>
          </cell>
          <cell r="I2647" t="str">
            <v>HZK</v>
          </cell>
          <cell r="J2647">
            <v>2.38</v>
          </cell>
          <cell r="K2647">
            <v>627</v>
          </cell>
          <cell r="L2647" t="str">
            <v>WH</v>
          </cell>
          <cell r="N2647">
            <v>5.8397742608268901</v>
          </cell>
        </row>
        <row r="2648">
          <cell r="E2648" t="str">
            <v>HGC-Lib-2453290</v>
          </cell>
          <cell r="F2648" t="str">
            <v>5_5.5hpf-#2-550pg</v>
          </cell>
          <cell r="G2648">
            <v>50</v>
          </cell>
          <cell r="H2648" t="str">
            <v>mRNA文库</v>
          </cell>
          <cell r="I2648" t="str">
            <v>HZK</v>
          </cell>
          <cell r="J2648">
            <v>0.84399999999999997</v>
          </cell>
          <cell r="K2648">
            <v>658</v>
          </cell>
          <cell r="L2648" t="str">
            <v>WH</v>
          </cell>
          <cell r="N2648">
            <v>1.97334580313304</v>
          </cell>
        </row>
        <row r="2649">
          <cell r="E2649" t="str">
            <v>HGC-Lib-2453291</v>
          </cell>
          <cell r="F2649" t="str">
            <v>6_5.5hpf-#3-550pg</v>
          </cell>
          <cell r="G2649">
            <v>50</v>
          </cell>
          <cell r="H2649" t="str">
            <v>mRNA文库</v>
          </cell>
          <cell r="I2649" t="str">
            <v>HZK</v>
          </cell>
          <cell r="J2649">
            <v>1.68</v>
          </cell>
          <cell r="K2649">
            <v>671</v>
          </cell>
          <cell r="L2649" t="str">
            <v>WH</v>
          </cell>
          <cell r="N2649">
            <v>3.8518858190989298</v>
          </cell>
        </row>
        <row r="2650">
          <cell r="E2650" t="str">
            <v>HGC-Lib-2453292</v>
          </cell>
          <cell r="F2650" t="str">
            <v>7_5.5hpf-#2-500pg</v>
          </cell>
          <cell r="G2650">
            <v>50</v>
          </cell>
          <cell r="H2650" t="str">
            <v>mRNA文库</v>
          </cell>
          <cell r="I2650" t="str">
            <v>HZK</v>
          </cell>
          <cell r="J2650">
            <v>0.56999999999999995</v>
          </cell>
          <cell r="K2650">
            <v>668</v>
          </cell>
          <cell r="L2650" t="str">
            <v>WH</v>
          </cell>
          <cell r="N2650">
            <v>1.3127590971902301</v>
          </cell>
        </row>
        <row r="2651">
          <cell r="E2651" t="str">
            <v>HGC-Lib-2453293</v>
          </cell>
          <cell r="F2651" t="str">
            <v>8_5.5hpf-#3-500pg</v>
          </cell>
          <cell r="G2651">
            <v>50</v>
          </cell>
          <cell r="H2651" t="str">
            <v>mRNA文库</v>
          </cell>
          <cell r="I2651" t="str">
            <v>HZK</v>
          </cell>
          <cell r="J2651">
            <v>1.2</v>
          </cell>
          <cell r="K2651">
            <v>674</v>
          </cell>
          <cell r="L2651" t="str">
            <v>WH</v>
          </cell>
          <cell r="N2651">
            <v>2.7391006619493301</v>
          </cell>
        </row>
        <row r="2652">
          <cell r="E2652" t="str">
            <v>HGC-Lib-2453297</v>
          </cell>
          <cell r="F2652" t="str">
            <v>LC240703068</v>
          </cell>
          <cell r="G2652">
            <v>10</v>
          </cell>
          <cell r="H2652" t="str">
            <v>singleron-3'转录组文库</v>
          </cell>
          <cell r="I2652" t="str">
            <v>HZK</v>
          </cell>
          <cell r="J2652">
            <v>17.899999999999999</v>
          </cell>
          <cell r="N2652" t="e">
            <v>#DIV/0!</v>
          </cell>
        </row>
        <row r="2653">
          <cell r="E2653" t="str">
            <v>HGC-Lib-2453298</v>
          </cell>
          <cell r="F2653" t="str">
            <v>LC240703070</v>
          </cell>
          <cell r="G2653">
            <v>10</v>
          </cell>
          <cell r="H2653" t="str">
            <v>singleron-3'转录组文库</v>
          </cell>
          <cell r="I2653" t="str">
            <v>HZK</v>
          </cell>
          <cell r="J2653">
            <v>15.5</v>
          </cell>
          <cell r="N2653" t="e">
            <v>#DIV/0!</v>
          </cell>
        </row>
        <row r="2654">
          <cell r="E2654" t="str">
            <v>HGC-Lib-2453299</v>
          </cell>
          <cell r="F2654" t="str">
            <v>LC240703066</v>
          </cell>
          <cell r="G2654">
            <v>100</v>
          </cell>
          <cell r="H2654" t="str">
            <v>singleron-3'转录组文库</v>
          </cell>
          <cell r="I2654" t="str">
            <v>HZK</v>
          </cell>
          <cell r="J2654">
            <v>19.2</v>
          </cell>
          <cell r="N2654" t="e">
            <v>#DIV/0!</v>
          </cell>
        </row>
        <row r="2655">
          <cell r="E2655" t="str">
            <v>HGC-Lib-2453300</v>
          </cell>
          <cell r="F2655" t="str">
            <v>LC240703074</v>
          </cell>
          <cell r="G2655">
            <v>100</v>
          </cell>
          <cell r="H2655" t="str">
            <v>singleron-3'转录组文库</v>
          </cell>
          <cell r="I2655" t="str">
            <v>HZK</v>
          </cell>
          <cell r="J2655">
            <v>18.8</v>
          </cell>
          <cell r="N2655" t="e">
            <v>#DIV/0!</v>
          </cell>
        </row>
        <row r="2656">
          <cell r="E2656" t="str">
            <v>HGC-Lib-2453301</v>
          </cell>
          <cell r="F2656" t="str">
            <v>LC240703072</v>
          </cell>
          <cell r="G2656">
            <v>100</v>
          </cell>
          <cell r="H2656" t="str">
            <v>singleron-3'转录组文库</v>
          </cell>
          <cell r="I2656" t="str">
            <v>HZK</v>
          </cell>
          <cell r="J2656">
            <v>21</v>
          </cell>
          <cell r="N2656" t="e">
            <v>#DIV/0!</v>
          </cell>
        </row>
        <row r="2657">
          <cell r="E2657" t="str">
            <v>HGC-Lib-2453302</v>
          </cell>
          <cell r="F2657" t="str">
            <v>LC240702092</v>
          </cell>
          <cell r="G2657">
            <v>100</v>
          </cell>
          <cell r="H2657" t="str">
            <v>singleron-3'转录组文库</v>
          </cell>
          <cell r="I2657" t="str">
            <v>HZK</v>
          </cell>
          <cell r="J2657">
            <v>23.2</v>
          </cell>
          <cell r="N2657" t="e">
            <v>#DIV/0!</v>
          </cell>
        </row>
        <row r="2658">
          <cell r="E2658" t="str">
            <v>HGC-Lib-2453303</v>
          </cell>
          <cell r="F2658" t="str">
            <v>LC240702093</v>
          </cell>
          <cell r="G2658">
            <v>100</v>
          </cell>
          <cell r="H2658" t="str">
            <v>singleron-3'转录组文库</v>
          </cell>
          <cell r="I2658" t="str">
            <v>HZK</v>
          </cell>
          <cell r="J2658">
            <v>24.8</v>
          </cell>
          <cell r="N2658" t="e">
            <v>#DIV/0!</v>
          </cell>
        </row>
        <row r="2659">
          <cell r="E2659" t="str">
            <v>HGC-Lib-2453304</v>
          </cell>
          <cell r="F2659" t="str">
            <v>PMLPMC240702053</v>
          </cell>
          <cell r="G2659">
            <v>12</v>
          </cell>
          <cell r="H2659" t="str">
            <v>其他碱基不平衡文库</v>
          </cell>
          <cell r="I2659" t="str">
            <v>HZK</v>
          </cell>
          <cell r="J2659">
            <v>10.7</v>
          </cell>
          <cell r="N2659" t="e">
            <v>#DIV/0!</v>
          </cell>
        </row>
        <row r="2660">
          <cell r="E2660" t="str">
            <v>HGC-Lib-2453305</v>
          </cell>
          <cell r="F2660" t="str">
            <v>LPMC240702053</v>
          </cell>
          <cell r="G2660">
            <v>100</v>
          </cell>
          <cell r="H2660" t="str">
            <v>singleron-3'转录组文库</v>
          </cell>
          <cell r="I2660" t="str">
            <v>HZK</v>
          </cell>
          <cell r="J2660">
            <v>22.4</v>
          </cell>
          <cell r="N2660" t="e">
            <v>#DIV/0!</v>
          </cell>
        </row>
        <row r="2661">
          <cell r="E2661" t="str">
            <v>HGC-POOL-2453371</v>
          </cell>
          <cell r="F2661" t="str">
            <v>IP-LJJ</v>
          </cell>
          <cell r="G2661">
            <v>12</v>
          </cell>
          <cell r="H2661" t="str">
            <v>Chip-Seq</v>
          </cell>
          <cell r="I2661" t="str">
            <v>YHT</v>
          </cell>
          <cell r="J2661">
            <v>2.44</v>
          </cell>
          <cell r="K2661">
            <v>378</v>
          </cell>
          <cell r="L2661" t="str">
            <v>YHT</v>
          </cell>
          <cell r="N2661">
            <v>9.9308099308099305</v>
          </cell>
        </row>
        <row r="2662">
          <cell r="E2662" t="str">
            <v>HGC-Lib-2453269</v>
          </cell>
          <cell r="F2662" t="str">
            <v>159-all</v>
          </cell>
          <cell r="G2662" t="str">
            <v>6G</v>
          </cell>
          <cell r="H2662" t="str">
            <v>PCR产物文库</v>
          </cell>
          <cell r="I2662" t="str">
            <v>WH</v>
          </cell>
          <cell r="J2662">
            <v>6.14</v>
          </cell>
          <cell r="K2662">
            <v>273</v>
          </cell>
          <cell r="L2662" t="str">
            <v>WH</v>
          </cell>
          <cell r="N2662">
            <v>34.6012961397577</v>
          </cell>
        </row>
        <row r="2663">
          <cell r="E2663" t="str">
            <v>HGC-Lib-2453270</v>
          </cell>
          <cell r="F2663" t="str">
            <v>159-nc</v>
          </cell>
          <cell r="G2663" t="str">
            <v>6G</v>
          </cell>
          <cell r="H2663" t="str">
            <v>PCR产物文库</v>
          </cell>
          <cell r="I2663" t="str">
            <v>WH</v>
          </cell>
          <cell r="J2663">
            <v>11.7</v>
          </cell>
          <cell r="K2663">
            <v>378</v>
          </cell>
          <cell r="L2663" t="str">
            <v>WH</v>
          </cell>
          <cell r="N2663">
            <v>47.619047619047599</v>
          </cell>
        </row>
        <row r="2664">
          <cell r="E2664" t="str">
            <v>HGC-Lib-2453271</v>
          </cell>
          <cell r="F2664" t="str">
            <v>159-sgUb</v>
          </cell>
          <cell r="G2664" t="str">
            <v>6G</v>
          </cell>
          <cell r="H2664" t="str">
            <v>PCR产物文库</v>
          </cell>
          <cell r="I2664" t="str">
            <v>WH</v>
          </cell>
          <cell r="J2664">
            <v>16.899999999999999</v>
          </cell>
          <cell r="K2664">
            <v>385</v>
          </cell>
          <cell r="L2664" t="str">
            <v>WH</v>
          </cell>
          <cell r="N2664">
            <v>67.532467532467507</v>
          </cell>
        </row>
        <row r="2665">
          <cell r="E2665" t="str">
            <v>HGC-Lib-2453272</v>
          </cell>
          <cell r="F2665" t="str">
            <v>1</v>
          </cell>
          <cell r="G2665">
            <v>6</v>
          </cell>
          <cell r="H2665" t="str">
            <v>cut&amp;tag文库</v>
          </cell>
          <cell r="I2665" t="str">
            <v>WH</v>
          </cell>
          <cell r="J2665" t="str">
            <v>/</v>
          </cell>
          <cell r="K2665">
            <v>438</v>
          </cell>
          <cell r="L2665" t="str">
            <v>WH</v>
          </cell>
          <cell r="N2665" t="e">
            <v>#VALUE!</v>
          </cell>
        </row>
        <row r="2666">
          <cell r="E2666" t="str">
            <v>HGC-POOL-2453273</v>
          </cell>
          <cell r="F2666">
            <v>2</v>
          </cell>
          <cell r="G2666">
            <v>36</v>
          </cell>
          <cell r="H2666" t="str">
            <v>cut&amp;tag文库</v>
          </cell>
          <cell r="I2666" t="str">
            <v>WH</v>
          </cell>
          <cell r="J2666">
            <v>30.8</v>
          </cell>
          <cell r="K2666">
            <v>443</v>
          </cell>
          <cell r="L2666" t="str">
            <v>WH</v>
          </cell>
          <cell r="N2666">
            <v>106.963014412224</v>
          </cell>
        </row>
        <row r="2667">
          <cell r="E2667" t="str">
            <v>HGC-Lib-2453306</v>
          </cell>
          <cell r="F2667" t="str">
            <v>CON</v>
          </cell>
          <cell r="G2667">
            <v>2</v>
          </cell>
          <cell r="H2667" t="str">
            <v>全基因组文库</v>
          </cell>
          <cell r="I2667" t="str">
            <v>WH</v>
          </cell>
          <cell r="J2667">
            <v>32.200000000000003</v>
          </cell>
          <cell r="K2667">
            <v>454</v>
          </cell>
          <cell r="L2667" t="str">
            <v>WH</v>
          </cell>
          <cell r="N2667">
            <v>109.11555404947499</v>
          </cell>
        </row>
        <row r="2668">
          <cell r="E2668" t="str">
            <v>HGC-Lib-2453307</v>
          </cell>
          <cell r="F2668" t="str">
            <v>1TF</v>
          </cell>
          <cell r="G2668">
            <v>2</v>
          </cell>
          <cell r="H2668" t="str">
            <v>全基因组文库</v>
          </cell>
          <cell r="I2668" t="str">
            <v>WH</v>
          </cell>
          <cell r="J2668">
            <v>52.4</v>
          </cell>
          <cell r="K2668">
            <v>433</v>
          </cell>
          <cell r="L2668" t="str">
            <v>WH</v>
          </cell>
          <cell r="N2668">
            <v>186.178717356546</v>
          </cell>
        </row>
        <row r="2669">
          <cell r="E2669" t="str">
            <v>HGC-Lib-2453308</v>
          </cell>
          <cell r="F2669" t="str">
            <v>2TF</v>
          </cell>
          <cell r="G2669">
            <v>2</v>
          </cell>
          <cell r="H2669" t="str">
            <v>全基因组文库</v>
          </cell>
          <cell r="I2669" t="str">
            <v>WH</v>
          </cell>
          <cell r="J2669">
            <v>66.599999999999994</v>
          </cell>
          <cell r="K2669">
            <v>482</v>
          </cell>
          <cell r="L2669" t="str">
            <v>WH</v>
          </cell>
          <cell r="N2669">
            <v>212.575805936802</v>
          </cell>
        </row>
        <row r="2670">
          <cell r="E2670" t="str">
            <v>HGC-Lib-2453323</v>
          </cell>
          <cell r="F2670" t="str">
            <v>p4</v>
          </cell>
          <cell r="G2670">
            <v>2</v>
          </cell>
          <cell r="H2670" t="str">
            <v>PCR产物文库</v>
          </cell>
          <cell r="I2670" t="str">
            <v>WH</v>
          </cell>
          <cell r="J2670">
            <v>114</v>
          </cell>
          <cell r="K2670">
            <v>404</v>
          </cell>
          <cell r="L2670" t="str">
            <v>WH</v>
          </cell>
          <cell r="N2670">
            <v>434.12033511043398</v>
          </cell>
        </row>
        <row r="2671">
          <cell r="E2671" t="str">
            <v>HGC-Lib-2453344</v>
          </cell>
          <cell r="F2671" t="str">
            <v>1HCHE165_SAN3_rep3_ATAC</v>
          </cell>
          <cell r="G2671">
            <v>10</v>
          </cell>
          <cell r="H2671" t="str">
            <v>ATAC-Seq文库</v>
          </cell>
          <cell r="I2671" t="str">
            <v>WH</v>
          </cell>
          <cell r="J2671">
            <v>61.8</v>
          </cell>
          <cell r="K2671">
            <v>298</v>
          </cell>
          <cell r="L2671" t="str">
            <v>WH</v>
          </cell>
          <cell r="N2671">
            <v>319.05007743933902</v>
          </cell>
        </row>
        <row r="2672">
          <cell r="E2672" t="str">
            <v>HGC-Lib-2453345</v>
          </cell>
          <cell r="F2672" t="str">
            <v>2 HE165_SAN3_rep3_ATAC</v>
          </cell>
          <cell r="G2672">
            <v>10</v>
          </cell>
          <cell r="H2672" t="str">
            <v>ATAC-Seq文库</v>
          </cell>
          <cell r="I2672" t="str">
            <v>WH</v>
          </cell>
          <cell r="J2672">
            <v>79.2</v>
          </cell>
          <cell r="K2672">
            <v>291</v>
          </cell>
          <cell r="L2672" t="str">
            <v>WH</v>
          </cell>
          <cell r="N2672">
            <v>418.71530531324402</v>
          </cell>
        </row>
        <row r="2673">
          <cell r="E2673" t="str">
            <v>HGC-Lib-2453346</v>
          </cell>
          <cell r="F2673" t="str">
            <v>3HCHE165_SAN1_rep1</v>
          </cell>
          <cell r="G2673">
            <v>10</v>
          </cell>
          <cell r="H2673" t="str">
            <v>mRNA文库</v>
          </cell>
          <cell r="I2673" t="str">
            <v>WH</v>
          </cell>
          <cell r="J2673">
            <v>35</v>
          </cell>
          <cell r="K2673">
            <v>451</v>
          </cell>
          <cell r="L2673" t="str">
            <v>WH</v>
          </cell>
          <cell r="N2673">
            <v>119.392802319632</v>
          </cell>
        </row>
        <row r="2674">
          <cell r="E2674" t="str">
            <v>HGC-Lib-2453347</v>
          </cell>
          <cell r="F2674" t="str">
            <v>5HCHE165_SAN2_rep2</v>
          </cell>
          <cell r="G2674">
            <v>10</v>
          </cell>
          <cell r="H2674" t="str">
            <v>mRNA文库</v>
          </cell>
          <cell r="I2674" t="str">
            <v>WH</v>
          </cell>
          <cell r="J2674">
            <v>83.8</v>
          </cell>
          <cell r="K2674">
            <v>524</v>
          </cell>
          <cell r="L2674" t="str">
            <v>WH</v>
          </cell>
          <cell r="N2674">
            <v>246.03640634174999</v>
          </cell>
        </row>
        <row r="2675">
          <cell r="E2675" t="str">
            <v>HGC-Lib-2453348</v>
          </cell>
          <cell r="F2675" t="str">
            <v>6HE165_SAN2_rep2</v>
          </cell>
          <cell r="G2675">
            <v>10</v>
          </cell>
          <cell r="H2675" t="str">
            <v>mRNA文库</v>
          </cell>
          <cell r="I2675" t="str">
            <v>WH</v>
          </cell>
          <cell r="J2675">
            <v>40.4</v>
          </cell>
          <cell r="K2675">
            <v>355</v>
          </cell>
          <cell r="L2675" t="str">
            <v>WH</v>
          </cell>
          <cell r="N2675">
            <v>175.08125677139799</v>
          </cell>
        </row>
        <row r="2676">
          <cell r="E2676" t="str">
            <v>HGC-POOL-2453349</v>
          </cell>
          <cell r="F2676" t="str">
            <v>HYZ-0707-L1</v>
          </cell>
          <cell r="G2676">
            <v>24</v>
          </cell>
          <cell r="H2676" t="str">
            <v>PCR产物文库</v>
          </cell>
          <cell r="I2676" t="str">
            <v>WH</v>
          </cell>
          <cell r="J2676">
            <v>31.6</v>
          </cell>
          <cell r="K2676">
            <v>457</v>
          </cell>
          <cell r="L2676" t="str">
            <v>WH</v>
          </cell>
          <cell r="N2676">
            <v>106.379397407844</v>
          </cell>
        </row>
        <row r="2677">
          <cell r="E2677" t="str">
            <v>HGC-POOL-2453350</v>
          </cell>
          <cell r="F2677" t="str">
            <v>HYZ-0707-L2</v>
          </cell>
          <cell r="G2677">
            <v>24</v>
          </cell>
          <cell r="H2677" t="str">
            <v>PCR产物文库</v>
          </cell>
          <cell r="I2677" t="str">
            <v>WH</v>
          </cell>
          <cell r="J2677">
            <v>39.799999999999997</v>
          </cell>
          <cell r="K2677">
            <v>444</v>
          </cell>
          <cell r="L2677" t="str">
            <v>WH</v>
          </cell>
          <cell r="N2677">
            <v>137.90713790713801</v>
          </cell>
        </row>
        <row r="2678">
          <cell r="E2678" t="str">
            <v>HGC-POOL-2453351</v>
          </cell>
          <cell r="F2678" t="str">
            <v>HYZ-0707-L3</v>
          </cell>
          <cell r="G2678">
            <v>24</v>
          </cell>
          <cell r="H2678" t="str">
            <v>PCR产物文库</v>
          </cell>
          <cell r="I2678" t="str">
            <v>WH</v>
          </cell>
          <cell r="J2678">
            <v>55</v>
          </cell>
          <cell r="K2678">
            <v>431</v>
          </cell>
          <cell r="L2678" t="str">
            <v>WH</v>
          </cell>
          <cell r="N2678">
            <v>196.32339817954701</v>
          </cell>
        </row>
        <row r="2679">
          <cell r="E2679" t="str">
            <v>HGC-POOL-2453352</v>
          </cell>
          <cell r="F2679" t="str">
            <v>HYZ-0707-L4</v>
          </cell>
          <cell r="G2679">
            <v>24</v>
          </cell>
          <cell r="H2679" t="str">
            <v>PCR产物文库</v>
          </cell>
          <cell r="I2679" t="str">
            <v>WH</v>
          </cell>
          <cell r="J2679">
            <v>44.8</v>
          </cell>
          <cell r="K2679">
            <v>453</v>
          </cell>
          <cell r="L2679" t="str">
            <v>WH</v>
          </cell>
          <cell r="N2679">
            <v>152.14807267787401</v>
          </cell>
        </row>
        <row r="2680">
          <cell r="E2680" t="str">
            <v>HGC-Lib-2453360</v>
          </cell>
          <cell r="F2680" t="str">
            <v>S30-1</v>
          </cell>
          <cell r="G2680">
            <v>6</v>
          </cell>
          <cell r="H2680" t="str">
            <v>ATAC-Seq文库</v>
          </cell>
          <cell r="I2680" t="str">
            <v>WH</v>
          </cell>
          <cell r="J2680">
            <v>57.6</v>
          </cell>
          <cell r="K2680">
            <v>523</v>
          </cell>
          <cell r="L2680" t="str">
            <v>WH</v>
          </cell>
          <cell r="N2680">
            <v>169.43668186497999</v>
          </cell>
        </row>
        <row r="2681">
          <cell r="E2681" t="str">
            <v>HGC-Lib-2453361</v>
          </cell>
          <cell r="F2681" t="str">
            <v>S30-2</v>
          </cell>
          <cell r="G2681">
            <v>6</v>
          </cell>
          <cell r="H2681" t="str">
            <v>ATAC-Seq文库</v>
          </cell>
          <cell r="I2681" t="str">
            <v>WH</v>
          </cell>
          <cell r="J2681">
            <v>28.2</v>
          </cell>
          <cell r="K2681">
            <v>395</v>
          </cell>
          <cell r="L2681" t="str">
            <v>WH</v>
          </cell>
          <cell r="N2681">
            <v>109.83446932814</v>
          </cell>
        </row>
        <row r="2682">
          <cell r="E2682" t="str">
            <v>HGC-Lib-2453362</v>
          </cell>
          <cell r="F2682" t="str">
            <v>S35-1</v>
          </cell>
          <cell r="G2682">
            <v>6</v>
          </cell>
          <cell r="H2682" t="str">
            <v>ATAC-Seq文库</v>
          </cell>
          <cell r="I2682" t="str">
            <v>WH</v>
          </cell>
          <cell r="J2682">
            <v>45.2</v>
          </cell>
          <cell r="K2682">
            <v>502</v>
          </cell>
          <cell r="L2682" t="str">
            <v>WH</v>
          </cell>
          <cell r="N2682">
            <v>138.522831749923</v>
          </cell>
        </row>
        <row r="2683">
          <cell r="E2683" t="str">
            <v>HGC-Lib-2453363</v>
          </cell>
          <cell r="F2683" t="str">
            <v>S35-2</v>
          </cell>
          <cell r="G2683">
            <v>6</v>
          </cell>
          <cell r="H2683" t="str">
            <v>ATAC-Seq文库</v>
          </cell>
          <cell r="I2683" t="str">
            <v>WH</v>
          </cell>
          <cell r="J2683">
            <v>34</v>
          </cell>
          <cell r="K2683">
            <v>553</v>
          </cell>
          <cell r="L2683" t="str">
            <v>WH</v>
          </cell>
          <cell r="N2683">
            <v>94.588955348449005</v>
          </cell>
        </row>
        <row r="2684">
          <cell r="E2684" t="str">
            <v>HGC-Lib-2453364</v>
          </cell>
          <cell r="F2684" t="str">
            <v>S8</v>
          </cell>
          <cell r="G2684">
            <v>6</v>
          </cell>
          <cell r="H2684" t="str">
            <v>ATAC-Seq文库</v>
          </cell>
          <cell r="I2684" t="str">
            <v>WH</v>
          </cell>
          <cell r="J2684">
            <v>72.599999999999994</v>
          </cell>
          <cell r="K2684">
            <v>563</v>
          </cell>
          <cell r="L2684" t="str">
            <v>WH</v>
          </cell>
          <cell r="N2684">
            <v>198.38775789042199</v>
          </cell>
        </row>
        <row r="2685">
          <cell r="E2685" t="str">
            <v>HGC-Lib-2453365</v>
          </cell>
          <cell r="F2685" t="str">
            <v>A-1</v>
          </cell>
          <cell r="G2685">
            <v>6</v>
          </cell>
          <cell r="H2685" t="str">
            <v>ATAC-Seq文库</v>
          </cell>
          <cell r="I2685" t="str">
            <v>WH</v>
          </cell>
          <cell r="J2685">
            <v>38.4</v>
          </cell>
          <cell r="K2685">
            <v>267</v>
          </cell>
          <cell r="L2685" t="str">
            <v>WH</v>
          </cell>
          <cell r="N2685">
            <v>221.26188418323201</v>
          </cell>
        </row>
        <row r="2686">
          <cell r="E2686" t="str">
            <v>HGC-Lib-2453366</v>
          </cell>
          <cell r="F2686" t="str">
            <v>A-2</v>
          </cell>
          <cell r="G2686">
            <v>6</v>
          </cell>
          <cell r="H2686" t="str">
            <v>ATAC-Seq文库</v>
          </cell>
          <cell r="I2686" t="str">
            <v>WH</v>
          </cell>
          <cell r="J2686">
            <v>35</v>
          </cell>
          <cell r="K2686">
            <v>257</v>
          </cell>
          <cell r="L2686" t="str">
            <v>WH</v>
          </cell>
          <cell r="N2686">
            <v>209.518108350793</v>
          </cell>
        </row>
        <row r="2687">
          <cell r="E2687" t="str">
            <v>HGC-Lib-2453367</v>
          </cell>
          <cell r="F2687" t="str">
            <v>B-1</v>
          </cell>
          <cell r="G2687">
            <v>6</v>
          </cell>
          <cell r="H2687" t="str">
            <v>ATAC-Seq文库</v>
          </cell>
          <cell r="I2687" t="str">
            <v>WH</v>
          </cell>
          <cell r="J2687">
            <v>37</v>
          </cell>
          <cell r="K2687">
            <v>241</v>
          </cell>
          <cell r="L2687" t="str">
            <v>WH</v>
          </cell>
          <cell r="N2687">
            <v>236.19533992978</v>
          </cell>
        </row>
        <row r="2688">
          <cell r="E2688" t="str">
            <v>HGC-Lib-2453368</v>
          </cell>
          <cell r="F2688" t="str">
            <v>B-2</v>
          </cell>
          <cell r="G2688">
            <v>6</v>
          </cell>
          <cell r="H2688" t="str">
            <v>ATAC-Seq文库</v>
          </cell>
          <cell r="I2688" t="str">
            <v>WH</v>
          </cell>
          <cell r="J2688">
            <v>28.2</v>
          </cell>
          <cell r="K2688">
            <v>252</v>
          </cell>
          <cell r="L2688" t="str">
            <v>WH</v>
          </cell>
          <cell r="N2688">
            <v>172.161172161172</v>
          </cell>
        </row>
        <row r="2689">
          <cell r="E2689" t="str">
            <v>HGC-Lib-2453369</v>
          </cell>
          <cell r="F2689" t="str">
            <v>C1</v>
          </cell>
          <cell r="G2689">
            <v>6</v>
          </cell>
          <cell r="H2689" t="str">
            <v>cut&amp;tag文库</v>
          </cell>
          <cell r="I2689" t="str">
            <v>WH</v>
          </cell>
          <cell r="J2689">
            <v>19.3</v>
          </cell>
          <cell r="K2689">
            <v>430</v>
          </cell>
          <cell r="L2689" t="str">
            <v>WH</v>
          </cell>
          <cell r="N2689">
            <v>69.051878354203893</v>
          </cell>
        </row>
        <row r="2690">
          <cell r="E2690" t="str">
            <v>HGC-Lib-2453370</v>
          </cell>
          <cell r="F2690" t="str">
            <v>C2</v>
          </cell>
          <cell r="G2690">
            <v>6</v>
          </cell>
          <cell r="H2690" t="str">
            <v>cut&amp;tag文库</v>
          </cell>
          <cell r="I2690" t="str">
            <v>WH</v>
          </cell>
          <cell r="J2690">
            <v>4.5</v>
          </cell>
          <cell r="K2690">
            <v>447</v>
          </cell>
          <cell r="L2690" t="str">
            <v>WH</v>
          </cell>
          <cell r="N2690">
            <v>15.487867836861099</v>
          </cell>
        </row>
        <row r="2691">
          <cell r="E2691" t="str">
            <v>HGC-Lib-2453376</v>
          </cell>
          <cell r="F2691" t="str">
            <v>PCL20240704</v>
          </cell>
          <cell r="G2691">
            <v>3</v>
          </cell>
          <cell r="H2691" t="str">
            <v>small RNA文库</v>
          </cell>
          <cell r="I2691" t="str">
            <v>WH</v>
          </cell>
          <cell r="J2691">
            <v>18.3</v>
          </cell>
          <cell r="K2691">
            <v>239</v>
          </cell>
          <cell r="L2691" t="str">
            <v>WH</v>
          </cell>
          <cell r="N2691">
            <v>117.79851947216</v>
          </cell>
        </row>
        <row r="2692">
          <cell r="E2692" t="str">
            <v>HGC-Lib-2453377</v>
          </cell>
          <cell r="F2692" t="str">
            <v>CCL20240704</v>
          </cell>
          <cell r="G2692">
            <v>3</v>
          </cell>
          <cell r="H2692" t="str">
            <v>small RNA文库</v>
          </cell>
          <cell r="I2692" t="str">
            <v>WH</v>
          </cell>
          <cell r="J2692">
            <v>8.82</v>
          </cell>
          <cell r="K2692">
            <v>226</v>
          </cell>
          <cell r="L2692" t="str">
            <v>WH</v>
          </cell>
          <cell r="N2692">
            <v>60.040844111640602</v>
          </cell>
        </row>
        <row r="2693">
          <cell r="E2693" t="str">
            <v>HGC-POOL-2453380</v>
          </cell>
          <cell r="F2693" t="str">
            <v>DZY-240705-Di19</v>
          </cell>
          <cell r="G2693">
            <v>27</v>
          </cell>
          <cell r="H2693" t="str">
            <v>Chip-Seq</v>
          </cell>
          <cell r="I2693" t="str">
            <v>WH</v>
          </cell>
          <cell r="J2693">
            <v>3.16</v>
          </cell>
          <cell r="K2693">
            <v>392</v>
          </cell>
          <cell r="L2693" t="str">
            <v>WH</v>
          </cell>
          <cell r="N2693">
            <v>12.401883830455301</v>
          </cell>
        </row>
        <row r="2694">
          <cell r="E2694" t="str">
            <v>HGC-POOL-2453381</v>
          </cell>
          <cell r="F2694" t="str">
            <v>DZY-240705-TF</v>
          </cell>
          <cell r="G2694">
            <v>18</v>
          </cell>
          <cell r="H2694" t="str">
            <v>Chip-Seq</v>
          </cell>
          <cell r="I2694" t="str">
            <v>WH</v>
          </cell>
          <cell r="J2694">
            <v>1.1200000000000001</v>
          </cell>
          <cell r="K2694">
            <v>639</v>
          </cell>
          <cell r="L2694" t="str">
            <v>WH</v>
          </cell>
          <cell r="N2694">
            <v>2.6965210063801601</v>
          </cell>
        </row>
        <row r="2695">
          <cell r="E2695" t="str">
            <v>HGC-POOL-2453382</v>
          </cell>
          <cell r="F2695" t="str">
            <v>DZY-240705-W56</v>
          </cell>
          <cell r="G2695">
            <v>27</v>
          </cell>
          <cell r="H2695" t="str">
            <v>Chip-Seq</v>
          </cell>
          <cell r="I2695" t="str">
            <v>WH</v>
          </cell>
          <cell r="J2695">
            <v>2.1800000000000002</v>
          </cell>
          <cell r="K2695">
            <v>446</v>
          </cell>
          <cell r="L2695" t="str">
            <v>WH</v>
          </cell>
          <cell r="N2695">
            <v>7.5198344256640199</v>
          </cell>
        </row>
        <row r="2696">
          <cell r="E2696" t="str">
            <v>HGC-POOL-2453383</v>
          </cell>
          <cell r="F2696" t="str">
            <v>DZY-240705-HB7&amp;BH4</v>
          </cell>
          <cell r="G2696">
            <v>36</v>
          </cell>
          <cell r="H2696" t="str">
            <v>Chip-Seq</v>
          </cell>
          <cell r="I2696" t="str">
            <v>WH</v>
          </cell>
          <cell r="J2696">
            <v>5.12</v>
          </cell>
          <cell r="K2696">
            <v>496</v>
          </cell>
          <cell r="L2696" t="str">
            <v>WH</v>
          </cell>
          <cell r="N2696">
            <v>15.880893300248101</v>
          </cell>
        </row>
        <row r="2697">
          <cell r="E2697" t="str">
            <v>HGC-POOL-2453384</v>
          </cell>
          <cell r="F2697" t="str">
            <v>DZY-240705-TAP</v>
          </cell>
          <cell r="G2697">
            <v>27</v>
          </cell>
          <cell r="H2697" t="str">
            <v>Chip-Seq</v>
          </cell>
          <cell r="I2697" t="str">
            <v>WH</v>
          </cell>
          <cell r="J2697">
            <v>7.4</v>
          </cell>
          <cell r="K2697">
            <v>417</v>
          </cell>
          <cell r="L2697" t="str">
            <v>WH</v>
          </cell>
          <cell r="N2697">
            <v>27.301235934329501</v>
          </cell>
        </row>
        <row r="2698">
          <cell r="E2698" t="str">
            <v>HGC-POOL-2453385</v>
          </cell>
          <cell r="F2698" t="str">
            <v>DZY-240705-NAC025</v>
          </cell>
          <cell r="G2698">
            <v>27</v>
          </cell>
          <cell r="H2698" t="str">
            <v>Chip-Seq</v>
          </cell>
          <cell r="I2698" t="str">
            <v>WH</v>
          </cell>
          <cell r="J2698">
            <v>1.44</v>
          </cell>
          <cell r="K2698">
            <v>487</v>
          </cell>
          <cell r="L2698" t="str">
            <v>WH</v>
          </cell>
          <cell r="N2698">
            <v>4.5490443847733397</v>
          </cell>
        </row>
        <row r="2699">
          <cell r="E2699" t="str">
            <v>HGC-POOL-2453386</v>
          </cell>
          <cell r="F2699" t="str">
            <v>DZY-240705-wrky53</v>
          </cell>
          <cell r="G2699">
            <v>27</v>
          </cell>
          <cell r="H2699" t="str">
            <v>Chip-Seq</v>
          </cell>
          <cell r="I2699" t="str">
            <v>WH</v>
          </cell>
          <cell r="J2699">
            <v>8.58</v>
          </cell>
          <cell r="K2699">
            <v>393</v>
          </cell>
          <cell r="L2699" t="str">
            <v>WH</v>
          </cell>
          <cell r="N2699">
            <v>33.587786259542</v>
          </cell>
        </row>
        <row r="2700">
          <cell r="E2700" t="str">
            <v>HGC-POOL-2453387</v>
          </cell>
          <cell r="F2700" t="str">
            <v>DZY-240705-AATF</v>
          </cell>
          <cell r="G2700">
            <v>27</v>
          </cell>
          <cell r="H2700" t="str">
            <v>Chip-Seq</v>
          </cell>
          <cell r="I2700" t="str">
            <v>WH</v>
          </cell>
          <cell r="J2700">
            <v>4.74</v>
          </cell>
          <cell r="K2700">
            <v>388</v>
          </cell>
          <cell r="L2700" t="str">
            <v>WH</v>
          </cell>
          <cell r="N2700">
            <v>18.794607454401302</v>
          </cell>
        </row>
        <row r="2701">
          <cell r="E2701" t="str">
            <v>HGC-Lib-2453405</v>
          </cell>
          <cell r="F2701" t="str">
            <v>N_B_N4621-1C-10X5TCRCR-hTL114-4</v>
          </cell>
          <cell r="G2701">
            <v>10</v>
          </cell>
          <cell r="H2701" t="str">
            <v>10X5TCR</v>
          </cell>
          <cell r="I2701" t="str">
            <v>YHT</v>
          </cell>
          <cell r="J2701">
            <v>51.2</v>
          </cell>
          <cell r="N2701" t="e">
            <v>#DIV/0!</v>
          </cell>
        </row>
        <row r="2702">
          <cell r="E2702" t="str">
            <v>HGC-Lib-2453406</v>
          </cell>
          <cell r="F2702" t="str">
            <v>N_B_N4621-1C-10X5BCRCR-hTL114-5</v>
          </cell>
          <cell r="G2702">
            <v>10</v>
          </cell>
          <cell r="H2702" t="str">
            <v>10X5BCR</v>
          </cell>
          <cell r="I2702" t="str">
            <v>YHT</v>
          </cell>
          <cell r="J2702">
            <v>1.59</v>
          </cell>
          <cell r="N2702" t="e">
            <v>#DIV/0!</v>
          </cell>
        </row>
        <row r="2703">
          <cell r="E2703" t="str">
            <v>HGC-Lib-2453407</v>
          </cell>
          <cell r="F2703" t="str">
            <v>N_B_N4620-0J-10X5MRLMpj1</v>
          </cell>
          <cell r="G2703">
            <v>100</v>
          </cell>
          <cell r="H2703" t="str">
            <v>10X5'单细胞</v>
          </cell>
          <cell r="I2703" t="str">
            <v>YHT</v>
          </cell>
          <cell r="J2703">
            <v>58.2</v>
          </cell>
          <cell r="N2703" t="e">
            <v>#DIV/0!</v>
          </cell>
        </row>
        <row r="2704">
          <cell r="E2704" t="str">
            <v>HGC-Lib-2453408</v>
          </cell>
          <cell r="F2704" t="str">
            <v>N_B_N4620-0J-10X5TCRMRLMpj1-2</v>
          </cell>
          <cell r="G2704">
            <v>10</v>
          </cell>
          <cell r="H2704" t="str">
            <v>10X5TCR</v>
          </cell>
          <cell r="I2704" t="str">
            <v>YHT</v>
          </cell>
          <cell r="J2704">
            <v>49.4</v>
          </cell>
          <cell r="N2704" t="e">
            <v>#DIV/0!</v>
          </cell>
        </row>
        <row r="2705">
          <cell r="E2705" t="str">
            <v>HGC-Lib-2453409</v>
          </cell>
          <cell r="F2705" t="str">
            <v>N_B_N4517-01-10X5-2p1-2</v>
          </cell>
          <cell r="G2705">
            <v>100</v>
          </cell>
          <cell r="H2705" t="str">
            <v>10X5'单细胞</v>
          </cell>
          <cell r="I2705" t="str">
            <v>YHT</v>
          </cell>
          <cell r="J2705">
            <v>52.4</v>
          </cell>
          <cell r="N2705" t="e">
            <v>#DIV/0!</v>
          </cell>
        </row>
        <row r="2706">
          <cell r="E2706" t="str">
            <v>HGC-Lib-2453410</v>
          </cell>
          <cell r="F2706" t="str">
            <v>N_B_N4624-5P-10X5PI28</v>
          </cell>
          <cell r="G2706">
            <v>100</v>
          </cell>
          <cell r="H2706" t="str">
            <v>10X5'单细胞</v>
          </cell>
          <cell r="I2706" t="str">
            <v>YHT</v>
          </cell>
          <cell r="J2706">
            <v>40.200000000000003</v>
          </cell>
          <cell r="N2706" t="e">
            <v>#DIV/0!</v>
          </cell>
        </row>
        <row r="2707">
          <cell r="E2707" t="str">
            <v>HGC-Lib-2453411</v>
          </cell>
          <cell r="F2707" t="str">
            <v>N_B_N4624-5P-10X5TCRPI28-2</v>
          </cell>
          <cell r="G2707">
            <v>10</v>
          </cell>
          <cell r="H2707" t="str">
            <v>10X5TCR</v>
          </cell>
          <cell r="I2707" t="str">
            <v>YHT</v>
          </cell>
          <cell r="J2707">
            <v>48.4</v>
          </cell>
          <cell r="N2707" t="e">
            <v>#DIV/0!</v>
          </cell>
        </row>
        <row r="2708">
          <cell r="E2708" t="str">
            <v>HGC-Lib-2453412</v>
          </cell>
          <cell r="F2708" t="str">
            <v>N_B_N4624-5P-10X5BCRPI28-3</v>
          </cell>
          <cell r="G2708">
            <v>10</v>
          </cell>
          <cell r="H2708" t="str">
            <v>10X5BCR</v>
          </cell>
          <cell r="I2708" t="str">
            <v>YHT</v>
          </cell>
          <cell r="J2708">
            <v>40</v>
          </cell>
          <cell r="N2708" t="e">
            <v>#DIV/0!</v>
          </cell>
        </row>
        <row r="2709">
          <cell r="E2709" t="str">
            <v>HGC-Lib-2453413</v>
          </cell>
          <cell r="F2709" t="str">
            <v>N_B_N4625-08-10X5PI29</v>
          </cell>
          <cell r="G2709">
            <v>100</v>
          </cell>
          <cell r="H2709" t="str">
            <v>10X5'单细胞</v>
          </cell>
          <cell r="I2709" t="str">
            <v>YHT</v>
          </cell>
          <cell r="J2709">
            <v>42.8</v>
          </cell>
          <cell r="N2709" t="e">
            <v>#DIV/0!</v>
          </cell>
        </row>
        <row r="2710">
          <cell r="E2710" t="str">
            <v>HGC-Lib-2453414</v>
          </cell>
          <cell r="F2710" t="str">
            <v>N_B_N4625-08-10X5TCRPI29-2</v>
          </cell>
          <cell r="G2710">
            <v>10</v>
          </cell>
          <cell r="H2710" t="str">
            <v>10X5TCR</v>
          </cell>
          <cell r="I2710" t="str">
            <v>YHT</v>
          </cell>
          <cell r="J2710">
            <v>74.8</v>
          </cell>
          <cell r="N2710" t="e">
            <v>#DIV/0!</v>
          </cell>
        </row>
        <row r="2711">
          <cell r="E2711" t="str">
            <v>HGC-Lib-2453415</v>
          </cell>
          <cell r="F2711" t="str">
            <v>N_B_N4625-08-10X5BCRPI29-3</v>
          </cell>
          <cell r="G2711">
            <v>10</v>
          </cell>
          <cell r="H2711" t="str">
            <v>10X5BCR</v>
          </cell>
          <cell r="I2711" t="str">
            <v>YHT</v>
          </cell>
          <cell r="J2711">
            <v>75.2</v>
          </cell>
          <cell r="N2711" t="e">
            <v>#DIV/0!</v>
          </cell>
        </row>
        <row r="2712">
          <cell r="E2712" t="str">
            <v>HGC-Lib-2453416</v>
          </cell>
          <cell r="F2712" t="str">
            <v>N_B_N4626-10-10X5pv-single2</v>
          </cell>
          <cell r="G2712">
            <v>100</v>
          </cell>
          <cell r="H2712" t="str">
            <v>10X5'单细胞</v>
          </cell>
          <cell r="I2712" t="str">
            <v>YHT</v>
          </cell>
          <cell r="J2712">
            <v>40.200000000000003</v>
          </cell>
          <cell r="N2712" t="e">
            <v>#DIV/0!</v>
          </cell>
        </row>
        <row r="2713">
          <cell r="E2713" t="str">
            <v>HGC-Lib-2453417</v>
          </cell>
          <cell r="F2713" t="str">
            <v>N_B_N4626-10-10X5TCRpv-single2-2</v>
          </cell>
          <cell r="G2713">
            <v>10</v>
          </cell>
          <cell r="H2713" t="str">
            <v>10X5TCR</v>
          </cell>
          <cell r="I2713" t="str">
            <v>YHT</v>
          </cell>
          <cell r="J2713">
            <v>76.400000000000006</v>
          </cell>
          <cell r="N2713" t="e">
            <v>#DIV/0!</v>
          </cell>
        </row>
        <row r="2714">
          <cell r="E2714" t="str">
            <v>HGC-Lib-2453418</v>
          </cell>
          <cell r="F2714" t="str">
            <v>N_B_N4626-10-10X5BCRpv-single2-3</v>
          </cell>
          <cell r="G2714">
            <v>10</v>
          </cell>
          <cell r="H2714" t="str">
            <v>10X5BCR</v>
          </cell>
          <cell r="I2714" t="str">
            <v>YHT</v>
          </cell>
          <cell r="J2714">
            <v>53.8</v>
          </cell>
          <cell r="N2714" t="e">
            <v>#DIV/0!</v>
          </cell>
        </row>
        <row r="2715">
          <cell r="E2715" t="str">
            <v>HGC-Lib-2453419</v>
          </cell>
          <cell r="F2715" t="str">
            <v>N_B_N4625-19-10X5YZZL20240625ZMM-1</v>
          </cell>
          <cell r="G2715">
            <v>100</v>
          </cell>
          <cell r="H2715" t="str">
            <v>10X5'单细胞</v>
          </cell>
          <cell r="I2715" t="str">
            <v>YHT</v>
          </cell>
          <cell r="J2715">
            <v>39</v>
          </cell>
          <cell r="N2715" t="e">
            <v>#DIV/0!</v>
          </cell>
        </row>
        <row r="2716">
          <cell r="E2716" t="str">
            <v>HGC-Lib-2453420</v>
          </cell>
          <cell r="F2716" t="str">
            <v>N_B_N4625-19-10X5TCRYZZL20240625ZMM-1-2</v>
          </cell>
          <cell r="G2716">
            <v>10</v>
          </cell>
          <cell r="H2716" t="str">
            <v>10X5TCR</v>
          </cell>
          <cell r="I2716" t="str">
            <v>YHT</v>
          </cell>
          <cell r="J2716">
            <v>108</v>
          </cell>
          <cell r="N2716" t="e">
            <v>#DIV/0!</v>
          </cell>
        </row>
        <row r="2717">
          <cell r="E2717" t="str">
            <v>HGC-Lib-2453421</v>
          </cell>
          <cell r="F2717" t="str">
            <v>N_B_N4625-19-10X5BCRYZZL20240625ZMM-1-3</v>
          </cell>
          <cell r="G2717">
            <v>10</v>
          </cell>
          <cell r="H2717" t="str">
            <v>10X5BCR</v>
          </cell>
          <cell r="I2717" t="str">
            <v>YHT</v>
          </cell>
          <cell r="J2717">
            <v>75.2</v>
          </cell>
          <cell r="N2717" t="e">
            <v>#DIV/0!</v>
          </cell>
        </row>
        <row r="2718">
          <cell r="E2718" t="str">
            <v>HGC-Lib-2453422</v>
          </cell>
          <cell r="F2718" t="str">
            <v>N_B_N4625-1M-10X5MRLMpj-2</v>
          </cell>
          <cell r="G2718">
            <v>100</v>
          </cell>
          <cell r="H2718" t="str">
            <v>10X5'单细胞</v>
          </cell>
          <cell r="I2718" t="str">
            <v>YHT</v>
          </cell>
          <cell r="J2718">
            <v>39</v>
          </cell>
          <cell r="N2718" t="e">
            <v>#DIV/0!</v>
          </cell>
        </row>
        <row r="2719">
          <cell r="E2719" t="str">
            <v>HGC-Lib-2453423</v>
          </cell>
          <cell r="F2719" t="str">
            <v>N_B_N4625-1M-10X5TCRMRLMpj-2-2</v>
          </cell>
          <cell r="G2719">
            <v>10</v>
          </cell>
          <cell r="H2719" t="str">
            <v>10X5TCR</v>
          </cell>
          <cell r="I2719" t="str">
            <v>YHT</v>
          </cell>
          <cell r="J2719">
            <v>116</v>
          </cell>
          <cell r="N2719" t="e">
            <v>#DIV/0!</v>
          </cell>
        </row>
        <row r="2720">
          <cell r="E2720" t="str">
            <v>HGC-Lib-2453424</v>
          </cell>
          <cell r="F2720" t="str">
            <v>N_B_N4624-2J-10X3C2CHW</v>
          </cell>
          <cell r="G2720">
            <v>100</v>
          </cell>
          <cell r="H2720" t="str">
            <v>10X3'单细胞</v>
          </cell>
          <cell r="I2720" t="str">
            <v>YHT</v>
          </cell>
          <cell r="J2720">
            <v>15.8</v>
          </cell>
          <cell r="N2720" t="e">
            <v>#DIV/0!</v>
          </cell>
        </row>
        <row r="2721">
          <cell r="E2721" t="str">
            <v>HGC-Lib-2453425</v>
          </cell>
          <cell r="F2721" t="str">
            <v>N_B_N4624-2K-10X32yeZHH</v>
          </cell>
          <cell r="G2721">
            <v>100</v>
          </cell>
          <cell r="H2721" t="str">
            <v>10X3'单细胞</v>
          </cell>
          <cell r="I2721" t="str">
            <v>YHT</v>
          </cell>
          <cell r="J2721">
            <v>21.6</v>
          </cell>
          <cell r="N2721" t="e">
            <v>#DIV/0!</v>
          </cell>
        </row>
        <row r="2722">
          <cell r="E2722" t="str">
            <v>HGC-Lib-2453426</v>
          </cell>
          <cell r="F2722" t="str">
            <v>N_B_N4625-09-10X3CR-hBO194</v>
          </cell>
          <cell r="G2722">
            <v>100</v>
          </cell>
          <cell r="H2722" t="str">
            <v>10X3'单细胞</v>
          </cell>
          <cell r="I2722" t="str">
            <v>YHT</v>
          </cell>
          <cell r="J2722">
            <v>18.3</v>
          </cell>
          <cell r="N2722" t="e">
            <v>#DIV/0!</v>
          </cell>
        </row>
        <row r="2723">
          <cell r="E2723" t="str">
            <v>HGC-Lib-2453427</v>
          </cell>
          <cell r="F2723" t="str">
            <v>N_B_N4625-25-10X3DP-E75-spleen-2</v>
          </cell>
          <cell r="G2723">
            <v>100</v>
          </cell>
          <cell r="H2723" t="str">
            <v>10X3'单细胞</v>
          </cell>
          <cell r="I2723" t="str">
            <v>YHT</v>
          </cell>
          <cell r="J2723">
            <v>27.6</v>
          </cell>
          <cell r="N2723" t="e">
            <v>#DIV/0!</v>
          </cell>
        </row>
        <row r="2724">
          <cell r="E2724" t="str">
            <v>HGC-Lib-2453428</v>
          </cell>
          <cell r="F2724" t="str">
            <v>N_B_N4625-26-10X3DP-E75-spleen-3</v>
          </cell>
          <cell r="G2724">
            <v>100</v>
          </cell>
          <cell r="H2724" t="str">
            <v>10X3'单细胞</v>
          </cell>
          <cell r="I2724" t="str">
            <v>YHT</v>
          </cell>
          <cell r="J2724">
            <v>27.6</v>
          </cell>
          <cell r="N2724" t="e">
            <v>#DIV/0!</v>
          </cell>
        </row>
        <row r="2725">
          <cell r="E2725" t="str">
            <v>HGC-Lib-2453429</v>
          </cell>
          <cell r="F2725" t="str">
            <v>N_B_N4625-27-10X3DP-E75-spleen-4</v>
          </cell>
          <cell r="G2725">
            <v>100</v>
          </cell>
          <cell r="H2725" t="str">
            <v>10X3'单细胞</v>
          </cell>
          <cell r="I2725" t="str">
            <v>YHT</v>
          </cell>
          <cell r="J2725">
            <v>27.4</v>
          </cell>
          <cell r="N2725" t="e">
            <v>#DIV/0!</v>
          </cell>
        </row>
        <row r="2726">
          <cell r="E2726" t="str">
            <v>HGC-Lib-2453430</v>
          </cell>
          <cell r="F2726" t="str">
            <v>N_B_N4625-28-10X3DP-E75-spleen-5</v>
          </cell>
          <cell r="G2726">
            <v>100</v>
          </cell>
          <cell r="H2726" t="str">
            <v>10X3'单细胞</v>
          </cell>
          <cell r="I2726" t="str">
            <v>YHT</v>
          </cell>
          <cell r="J2726">
            <v>32.799999999999997</v>
          </cell>
          <cell r="N2726" t="e">
            <v>#DIV/0!</v>
          </cell>
        </row>
        <row r="2727">
          <cell r="E2727" t="str">
            <v>HGC-Lib-2453431</v>
          </cell>
          <cell r="F2727" t="str">
            <v>N_B_N4625-29-10X3DP-E75-testis-3</v>
          </cell>
          <cell r="G2727">
            <v>100</v>
          </cell>
          <cell r="H2727" t="str">
            <v>10X3'单细胞</v>
          </cell>
          <cell r="I2727" t="str">
            <v>YHT</v>
          </cell>
          <cell r="J2727">
            <v>34.799999999999997</v>
          </cell>
          <cell r="N2727" t="e">
            <v>#DIV/0!</v>
          </cell>
        </row>
        <row r="2728">
          <cell r="E2728" t="str">
            <v>HGC-Lib-2453432</v>
          </cell>
          <cell r="F2728" t="str">
            <v>N_B_N4625-2A-10X3DP-E75-testis-4</v>
          </cell>
          <cell r="G2728">
            <v>100</v>
          </cell>
          <cell r="H2728" t="str">
            <v>10X3'单细胞</v>
          </cell>
          <cell r="I2728" t="str">
            <v>YHT</v>
          </cell>
          <cell r="J2728">
            <v>36.200000000000003</v>
          </cell>
          <cell r="N2728" t="e">
            <v>#DIV/0!</v>
          </cell>
        </row>
        <row r="2729">
          <cell r="E2729" t="str">
            <v>HGC-Lib-2453433</v>
          </cell>
          <cell r="F2729" t="str">
            <v>N_B_N4625-2B-10X3DP-E75-ovary-2</v>
          </cell>
          <cell r="G2729">
            <v>100</v>
          </cell>
          <cell r="H2729" t="str">
            <v>10X3'单细胞</v>
          </cell>
          <cell r="I2729" t="str">
            <v>YHT</v>
          </cell>
          <cell r="J2729">
            <v>19.399999999999999</v>
          </cell>
          <cell r="N2729" t="e">
            <v>#DIV/0!</v>
          </cell>
        </row>
        <row r="2730">
          <cell r="E2730" t="str">
            <v>HGC-Lib-2453434</v>
          </cell>
          <cell r="F2730" t="str">
            <v>N_B_N4625-2C-10X3DP-E75-ovary-5</v>
          </cell>
          <cell r="G2730">
            <v>100</v>
          </cell>
          <cell r="H2730" t="str">
            <v>10X3'单细胞</v>
          </cell>
          <cell r="I2730" t="str">
            <v>YHT</v>
          </cell>
          <cell r="J2730">
            <v>36.6</v>
          </cell>
          <cell r="N2730" t="e">
            <v>#DIV/0!</v>
          </cell>
        </row>
        <row r="2731">
          <cell r="E2731" t="str">
            <v>HGC-Lib-2453435</v>
          </cell>
          <cell r="F2731" t="str">
            <v>N_B_N4624-0K-BDv2liruitaoliaohouxue</v>
          </cell>
          <cell r="G2731">
            <v>100</v>
          </cell>
          <cell r="H2731" t="str">
            <v>BD单细胞文库</v>
          </cell>
          <cell r="I2731" t="str">
            <v>YHT</v>
          </cell>
          <cell r="J2731">
            <v>20.399999999999999</v>
          </cell>
          <cell r="N2731" t="e">
            <v>#DIV/0!</v>
          </cell>
        </row>
        <row r="2732">
          <cell r="E2732" t="str">
            <v>HGC-Lib-2453436</v>
          </cell>
          <cell r="F2732" t="str">
            <v>N_B_N4624-1T-BDv2null</v>
          </cell>
          <cell r="G2732">
            <v>100</v>
          </cell>
          <cell r="H2732" t="str">
            <v>BD单细胞文库</v>
          </cell>
          <cell r="I2732" t="str">
            <v>YHT</v>
          </cell>
          <cell r="J2732">
            <v>13.6</v>
          </cell>
          <cell r="N2732" t="e">
            <v>#DIV/0!</v>
          </cell>
        </row>
        <row r="2733">
          <cell r="E2733" t="str">
            <v>HGC-Lib-2453437</v>
          </cell>
          <cell r="F2733" t="str">
            <v>N_B_N4624-27-BDv2B5-Day21-1CA</v>
          </cell>
          <cell r="G2733">
            <v>100</v>
          </cell>
          <cell r="H2733" t="str">
            <v>BD单细胞文库</v>
          </cell>
          <cell r="I2733" t="str">
            <v>YHT</v>
          </cell>
          <cell r="J2733">
            <v>25.4</v>
          </cell>
          <cell r="N2733" t="e">
            <v>#DIV/0!</v>
          </cell>
        </row>
        <row r="2734">
          <cell r="E2734" t="str">
            <v>HGC-Lib-2453438</v>
          </cell>
          <cell r="F2734" t="str">
            <v>N_B_N4625-05-BDv2LQQ</v>
          </cell>
          <cell r="G2734">
            <v>100</v>
          </cell>
          <cell r="H2734" t="str">
            <v>BD单细胞文库</v>
          </cell>
          <cell r="I2734" t="str">
            <v>YHT</v>
          </cell>
          <cell r="J2734">
            <v>23.4</v>
          </cell>
          <cell r="N2734" t="e">
            <v>#DIV/0!</v>
          </cell>
        </row>
        <row r="2735">
          <cell r="E2735" t="str">
            <v>HGC-Lib-2453439</v>
          </cell>
          <cell r="F2735" t="str">
            <v>N_B_N4625-06-BDv2WWY</v>
          </cell>
          <cell r="G2735">
            <v>100</v>
          </cell>
          <cell r="H2735" t="str">
            <v>BD单细胞文库</v>
          </cell>
          <cell r="I2735" t="str">
            <v>YHT</v>
          </cell>
          <cell r="J2735">
            <v>25</v>
          </cell>
          <cell r="N2735" t="e">
            <v>#DIV/0!</v>
          </cell>
        </row>
        <row r="2736">
          <cell r="E2736" t="str">
            <v>HGC-Lib-2453440</v>
          </cell>
          <cell r="F2736" t="str">
            <v>N_B_N4625-07-BDv2MY</v>
          </cell>
          <cell r="G2736">
            <v>100</v>
          </cell>
          <cell r="H2736" t="str">
            <v>BD单细胞文库</v>
          </cell>
          <cell r="I2736" t="str">
            <v>YHT</v>
          </cell>
          <cell r="J2736">
            <v>24.2</v>
          </cell>
          <cell r="N2736" t="e">
            <v>#DIV/0!</v>
          </cell>
        </row>
        <row r="2737">
          <cell r="E2737" t="str">
            <v>HGC-Lib-2453441</v>
          </cell>
          <cell r="F2737" t="str">
            <v>N_B_N4626-05-BDv2LM12</v>
          </cell>
          <cell r="G2737">
            <v>100</v>
          </cell>
          <cell r="H2737" t="str">
            <v>BD单细胞文库</v>
          </cell>
          <cell r="I2737" t="str">
            <v>YHT</v>
          </cell>
          <cell r="J2737">
            <v>17.3</v>
          </cell>
          <cell r="N2737" t="e">
            <v>#DIV/0!</v>
          </cell>
        </row>
        <row r="2738">
          <cell r="E2738" t="str">
            <v>HGC-Lib-2453442</v>
          </cell>
          <cell r="F2738" t="str">
            <v>N_B_N4626-0A-BDv2LM7</v>
          </cell>
          <cell r="G2738">
            <v>100</v>
          </cell>
          <cell r="H2738" t="str">
            <v>BD单细胞文库</v>
          </cell>
          <cell r="I2738" t="str">
            <v>YHT</v>
          </cell>
          <cell r="J2738">
            <v>19.8</v>
          </cell>
          <cell r="N2738" t="e">
            <v>#DIV/0!</v>
          </cell>
        </row>
        <row r="2739">
          <cell r="E2739" t="str">
            <v>HGC-Lib-2453443</v>
          </cell>
          <cell r="F2739" t="str">
            <v>N_B_N4627-08-BDv2LM15</v>
          </cell>
          <cell r="G2739">
            <v>100</v>
          </cell>
          <cell r="H2739" t="str">
            <v>BD单细胞文库</v>
          </cell>
          <cell r="I2739" t="str">
            <v>YHT</v>
          </cell>
          <cell r="J2739">
            <v>22.2</v>
          </cell>
          <cell r="N2739" t="e">
            <v>#DIV/0!</v>
          </cell>
        </row>
        <row r="2740">
          <cell r="E2740" t="str">
            <v>HGC-Lib-2453444</v>
          </cell>
          <cell r="F2740" t="str">
            <v>N_B_N4625-01-BDv22238576</v>
          </cell>
          <cell r="G2740">
            <v>100</v>
          </cell>
          <cell r="H2740" t="str">
            <v>BD单细胞文库</v>
          </cell>
          <cell r="I2740" t="str">
            <v>YHT</v>
          </cell>
          <cell r="J2740">
            <v>21.8</v>
          </cell>
          <cell r="N2740" t="e">
            <v>#DIV/0!</v>
          </cell>
        </row>
        <row r="2741">
          <cell r="E2741" t="str">
            <v>HGC-Lib-2453445</v>
          </cell>
          <cell r="F2741" t="str">
            <v>ZH-S-H3</v>
          </cell>
          <cell r="G2741">
            <v>6</v>
          </cell>
          <cell r="H2741" t="str">
            <v>CUT&amp;Tag文库</v>
          </cell>
          <cell r="I2741" t="str">
            <v>WH</v>
          </cell>
          <cell r="J2741">
            <v>5.38</v>
          </cell>
          <cell r="K2741">
            <v>460</v>
          </cell>
          <cell r="L2741" t="str">
            <v>WH</v>
          </cell>
          <cell r="N2741">
            <v>17.993311036789301</v>
          </cell>
        </row>
        <row r="2742">
          <cell r="E2742" t="str">
            <v>HGC-Lib-2453446</v>
          </cell>
          <cell r="F2742" t="str">
            <v>ZH-S-IgG</v>
          </cell>
          <cell r="G2742">
            <v>6</v>
          </cell>
          <cell r="H2742" t="str">
            <v>CUT&amp;Tag文库</v>
          </cell>
          <cell r="I2742" t="str">
            <v>WH</v>
          </cell>
          <cell r="J2742">
            <v>0.56200000000000006</v>
          </cell>
          <cell r="K2742">
            <v>397</v>
          </cell>
          <cell r="L2742" t="str">
            <v>WH</v>
          </cell>
          <cell r="N2742">
            <v>2.17787250532843</v>
          </cell>
        </row>
        <row r="2743">
          <cell r="E2743" t="str">
            <v>HGC-Lib-2453447</v>
          </cell>
          <cell r="F2743" t="str">
            <v>ZH-S-M6b-1</v>
          </cell>
          <cell r="G2743">
            <v>6</v>
          </cell>
          <cell r="H2743" t="str">
            <v>CUT&amp;Tag文库</v>
          </cell>
          <cell r="I2743" t="str">
            <v>WH</v>
          </cell>
          <cell r="J2743">
            <v>6.26</v>
          </cell>
          <cell r="K2743">
            <v>536</v>
          </cell>
          <cell r="L2743" t="str">
            <v>WH</v>
          </cell>
          <cell r="N2743">
            <v>17.967853042479899</v>
          </cell>
        </row>
        <row r="2744">
          <cell r="E2744" t="str">
            <v>HGC-Lib-2453448</v>
          </cell>
          <cell r="F2744" t="str">
            <v>ZH-S-M6b-2</v>
          </cell>
          <cell r="G2744">
            <v>6</v>
          </cell>
          <cell r="H2744" t="str">
            <v>CUT&amp;Tag文库</v>
          </cell>
          <cell r="I2744" t="str">
            <v>WH</v>
          </cell>
          <cell r="J2744">
            <v>6.04</v>
          </cell>
          <cell r="K2744">
            <v>537</v>
          </cell>
          <cell r="L2744" t="str">
            <v>WH</v>
          </cell>
          <cell r="N2744">
            <v>17.304111158859801</v>
          </cell>
        </row>
        <row r="2745">
          <cell r="E2745" t="str">
            <v>HGC-Lib-2453449</v>
          </cell>
          <cell r="F2745" t="str">
            <v>S1-S-H3K9ac-1</v>
          </cell>
          <cell r="G2745">
            <v>6</v>
          </cell>
          <cell r="H2745" t="str">
            <v>CUT&amp;Tag文库</v>
          </cell>
          <cell r="I2745" t="str">
            <v>WH</v>
          </cell>
          <cell r="J2745">
            <v>6.34</v>
          </cell>
          <cell r="K2745">
            <v>497</v>
          </cell>
          <cell r="L2745" t="str">
            <v>WH</v>
          </cell>
          <cell r="N2745">
            <v>19.625444977557699</v>
          </cell>
        </row>
        <row r="2746">
          <cell r="E2746" t="str">
            <v>HGC-Lib-2453450</v>
          </cell>
          <cell r="F2746" t="str">
            <v>S1-S-H3K9ac-2</v>
          </cell>
          <cell r="G2746">
            <v>6</v>
          </cell>
          <cell r="H2746" t="str">
            <v>CUT&amp;Tag文库</v>
          </cell>
          <cell r="I2746" t="str">
            <v>WH</v>
          </cell>
          <cell r="J2746">
            <v>5.28</v>
          </cell>
          <cell r="K2746">
            <v>465</v>
          </cell>
          <cell r="L2746" t="str">
            <v>WH</v>
          </cell>
          <cell r="N2746">
            <v>17.468982630273</v>
          </cell>
        </row>
        <row r="2747">
          <cell r="E2747" t="str">
            <v>HGC-Lib-2453451</v>
          </cell>
          <cell r="F2747" t="str">
            <v>ZH-S-H3K27ac-1</v>
          </cell>
          <cell r="G2747">
            <v>6</v>
          </cell>
          <cell r="H2747" t="str">
            <v>CUT&amp;Tag文库</v>
          </cell>
          <cell r="I2747" t="str">
            <v>WH</v>
          </cell>
          <cell r="J2747">
            <v>19.5</v>
          </cell>
          <cell r="K2747">
            <v>536</v>
          </cell>
          <cell r="L2747" t="str">
            <v>WH</v>
          </cell>
          <cell r="N2747">
            <v>55.9701492537313</v>
          </cell>
        </row>
        <row r="2748">
          <cell r="E2748" t="str">
            <v>HGC-Lib-2453452</v>
          </cell>
          <cell r="F2748" t="str">
            <v>ZH-S-H3K27ac-2</v>
          </cell>
          <cell r="G2748">
            <v>6</v>
          </cell>
          <cell r="H2748" t="str">
            <v>CUT&amp;Tag文库</v>
          </cell>
          <cell r="I2748" t="str">
            <v>WH</v>
          </cell>
          <cell r="J2748">
            <v>18.600000000000001</v>
          </cell>
          <cell r="K2748">
            <v>532</v>
          </cell>
          <cell r="L2748" t="str">
            <v>WH</v>
          </cell>
          <cell r="N2748">
            <v>53.788316946211701</v>
          </cell>
        </row>
        <row r="2749">
          <cell r="E2749" t="str">
            <v>HGC-POOL-2450965</v>
          </cell>
          <cell r="F2749" t="str">
            <v>MIX</v>
          </cell>
          <cell r="G2749">
            <v>30</v>
          </cell>
          <cell r="H2749" t="str">
            <v>其他文库类型</v>
          </cell>
          <cell r="I2749" t="str">
            <v>WH</v>
          </cell>
          <cell r="J2749">
            <v>2.86</v>
          </cell>
          <cell r="K2749">
            <v>476</v>
          </cell>
          <cell r="L2749" t="str">
            <v>WH</v>
          </cell>
          <cell r="N2749">
            <v>9.2436974789915993</v>
          </cell>
        </row>
        <row r="2750">
          <cell r="E2750" t="str">
            <v>HGC-Lib-2453515</v>
          </cell>
          <cell r="F2750" t="str">
            <v>CtrD0</v>
          </cell>
          <cell r="G2750">
            <v>9</v>
          </cell>
          <cell r="H2750" t="str">
            <v>cut&amp;tag文库</v>
          </cell>
          <cell r="I2750" t="str">
            <v>YHT</v>
          </cell>
          <cell r="J2750">
            <v>4.5</v>
          </cell>
          <cell r="K2750">
            <v>545</v>
          </cell>
          <cell r="L2750" t="str">
            <v>YHT</v>
          </cell>
          <cell r="N2750">
            <v>12.7028934368384</v>
          </cell>
        </row>
        <row r="2751">
          <cell r="E2751" t="str">
            <v>HGC-Lib-2453516</v>
          </cell>
          <cell r="F2751" t="str">
            <v>CtrD3</v>
          </cell>
          <cell r="G2751">
            <v>9</v>
          </cell>
          <cell r="H2751" t="str">
            <v>cut&amp;tag文库</v>
          </cell>
          <cell r="I2751" t="str">
            <v>YHT</v>
          </cell>
          <cell r="J2751">
            <v>4.7</v>
          </cell>
          <cell r="K2751">
            <v>544</v>
          </cell>
          <cell r="L2751" t="str">
            <v>YHT</v>
          </cell>
          <cell r="N2751">
            <v>13.2918552036199</v>
          </cell>
        </row>
        <row r="2752">
          <cell r="E2752" t="str">
            <v>HGC-Lib-2453517</v>
          </cell>
          <cell r="F2752" t="str">
            <v>M9KOD0</v>
          </cell>
          <cell r="G2752">
            <v>9</v>
          </cell>
          <cell r="H2752" t="str">
            <v>cut&amp;tag文库</v>
          </cell>
          <cell r="I2752" t="str">
            <v>YHT</v>
          </cell>
          <cell r="J2752">
            <v>3.9</v>
          </cell>
          <cell r="K2752">
            <v>512</v>
          </cell>
          <cell r="L2752" t="str">
            <v>YHT</v>
          </cell>
          <cell r="N2752">
            <v>11.71875</v>
          </cell>
        </row>
        <row r="2753">
          <cell r="E2753" t="str">
            <v>HGC-Lib-2453518</v>
          </cell>
          <cell r="F2753" t="str">
            <v>M9KOD3</v>
          </cell>
          <cell r="G2753">
            <v>9</v>
          </cell>
          <cell r="H2753" t="str">
            <v>cut&amp;tag文库</v>
          </cell>
          <cell r="I2753" t="str">
            <v>YHT</v>
          </cell>
          <cell r="J2753">
            <v>3.44</v>
          </cell>
          <cell r="K2753">
            <v>508</v>
          </cell>
          <cell r="L2753" t="str">
            <v>YHT</v>
          </cell>
          <cell r="N2753">
            <v>10.417928528164699</v>
          </cell>
        </row>
        <row r="2754">
          <cell r="E2754" t="str">
            <v>HGC-Lib-2453519</v>
          </cell>
          <cell r="F2754" t="str">
            <v>CtrD3-H3</v>
          </cell>
          <cell r="G2754">
            <v>9</v>
          </cell>
          <cell r="H2754" t="str">
            <v>CtrD3-H3</v>
          </cell>
          <cell r="I2754" t="str">
            <v>YHT</v>
          </cell>
          <cell r="J2754">
            <v>44</v>
          </cell>
          <cell r="K2754">
            <v>566</v>
          </cell>
          <cell r="L2754" t="str">
            <v>YHT</v>
          </cell>
          <cell r="N2754">
            <v>119.59771677086199</v>
          </cell>
        </row>
        <row r="2755">
          <cell r="E2755" t="str">
            <v>HGC-Lib-2453520</v>
          </cell>
          <cell r="F2755" t="str">
            <v>shnc-SMC11</v>
          </cell>
          <cell r="G2755">
            <v>10</v>
          </cell>
          <cell r="H2755" t="str">
            <v>cut&amp;tag文库</v>
          </cell>
          <cell r="I2755" t="str">
            <v>YHT</v>
          </cell>
          <cell r="J2755">
            <v>7.12</v>
          </cell>
          <cell r="K2755">
            <v>399</v>
          </cell>
          <cell r="L2755" t="str">
            <v>YHT</v>
          </cell>
          <cell r="N2755">
            <v>27.453248505880101</v>
          </cell>
        </row>
        <row r="2756">
          <cell r="E2756" t="str">
            <v>HGC-Lib-2453521</v>
          </cell>
          <cell r="F2756" t="str">
            <v>shnc-SMC12</v>
          </cell>
          <cell r="G2756">
            <v>10</v>
          </cell>
          <cell r="H2756" t="str">
            <v>cut&amp;tag文库</v>
          </cell>
          <cell r="I2756" t="str">
            <v>YHT</v>
          </cell>
          <cell r="J2756">
            <v>6.2</v>
          </cell>
          <cell r="K2756">
            <v>389</v>
          </cell>
          <cell r="L2756" t="str">
            <v>YHT</v>
          </cell>
          <cell r="N2756">
            <v>24.520466679849701</v>
          </cell>
        </row>
        <row r="2757">
          <cell r="E2757" t="str">
            <v>HGC-Lib-2453522</v>
          </cell>
          <cell r="F2757" t="str">
            <v>shnc-SDMA1</v>
          </cell>
          <cell r="G2757">
            <v>10</v>
          </cell>
          <cell r="H2757" t="str">
            <v>cut&amp;tag文库</v>
          </cell>
          <cell r="I2757" t="str">
            <v>YHT</v>
          </cell>
          <cell r="J2757">
            <v>0.82399999999999995</v>
          </cell>
          <cell r="K2757">
            <v>384</v>
          </cell>
          <cell r="L2757" t="str">
            <v>YHT</v>
          </cell>
          <cell r="N2757">
            <v>3.3012820512820502</v>
          </cell>
        </row>
        <row r="2758">
          <cell r="E2758" t="str">
            <v>HGC-Lib-2453523</v>
          </cell>
          <cell r="F2758" t="str">
            <v>shnc-SDMA2</v>
          </cell>
          <cell r="G2758">
            <v>10</v>
          </cell>
          <cell r="H2758" t="str">
            <v>cut&amp;tag文库</v>
          </cell>
          <cell r="I2758" t="str">
            <v>YHT</v>
          </cell>
          <cell r="J2758">
            <v>1.18</v>
          </cell>
          <cell r="K2758">
            <v>411</v>
          </cell>
          <cell r="L2758" t="str">
            <v>YHT</v>
          </cell>
          <cell r="N2758">
            <v>4.4169941980160896</v>
          </cell>
        </row>
        <row r="2759">
          <cell r="E2759" t="str">
            <v>HGC-Lib-2453524</v>
          </cell>
          <cell r="F2759" t="str">
            <v>shnc-H3K27ac1</v>
          </cell>
          <cell r="G2759">
            <v>10</v>
          </cell>
          <cell r="H2759" t="str">
            <v>cut&amp;tag文库</v>
          </cell>
          <cell r="I2759" t="str">
            <v>YHT</v>
          </cell>
          <cell r="J2759">
            <v>4.78</v>
          </cell>
          <cell r="K2759">
            <v>477</v>
          </cell>
          <cell r="L2759" t="str">
            <v>YHT</v>
          </cell>
          <cell r="N2759">
            <v>15.4168682470569</v>
          </cell>
        </row>
        <row r="2760">
          <cell r="E2760" t="str">
            <v>HGC-Lib-2453525</v>
          </cell>
          <cell r="F2760" t="str">
            <v>shnc-H3K27ac2</v>
          </cell>
          <cell r="G2760">
            <v>10</v>
          </cell>
          <cell r="H2760" t="str">
            <v>cut&amp;tag文库</v>
          </cell>
          <cell r="I2760" t="str">
            <v>YHT</v>
          </cell>
          <cell r="J2760">
            <v>5.38</v>
          </cell>
          <cell r="K2760">
            <v>471</v>
          </cell>
          <cell r="L2760" t="str">
            <v>YHT</v>
          </cell>
          <cell r="N2760">
            <v>17.5730850890087</v>
          </cell>
        </row>
        <row r="2761">
          <cell r="E2761" t="str">
            <v>HGC-Lib-2453526</v>
          </cell>
          <cell r="F2761" t="str">
            <v>sh5-SMC11</v>
          </cell>
          <cell r="G2761">
            <v>10</v>
          </cell>
          <cell r="H2761" t="str">
            <v>cut&amp;tag文库</v>
          </cell>
          <cell r="I2761" t="str">
            <v>YHT</v>
          </cell>
          <cell r="J2761">
            <v>8.8800000000000008</v>
          </cell>
          <cell r="K2761">
            <v>444</v>
          </cell>
          <cell r="L2761" t="str">
            <v>YHT</v>
          </cell>
          <cell r="N2761">
            <v>30.769230769230798</v>
          </cell>
        </row>
        <row r="2762">
          <cell r="E2762" t="str">
            <v>HGC-Lib-2453527</v>
          </cell>
          <cell r="F2762" t="str">
            <v>sh5-SMC12</v>
          </cell>
          <cell r="G2762">
            <v>10</v>
          </cell>
          <cell r="H2762" t="str">
            <v>cut&amp;tag文库</v>
          </cell>
          <cell r="I2762" t="str">
            <v>YHT</v>
          </cell>
          <cell r="J2762">
            <v>10.3</v>
          </cell>
          <cell r="K2762">
            <v>441</v>
          </cell>
          <cell r="L2762" t="str">
            <v>YHT</v>
          </cell>
          <cell r="N2762">
            <v>35.932321646607399</v>
          </cell>
        </row>
        <row r="2763">
          <cell r="E2763" t="str">
            <v>HGC-Lib-2453528</v>
          </cell>
          <cell r="F2763" t="str">
            <v>sh5-SDMA1</v>
          </cell>
          <cell r="G2763">
            <v>10</v>
          </cell>
          <cell r="H2763" t="str">
            <v>cut&amp;tag文库</v>
          </cell>
          <cell r="I2763" t="str">
            <v>YHT</v>
          </cell>
          <cell r="J2763">
            <v>6.82</v>
          </cell>
          <cell r="K2763">
            <v>401</v>
          </cell>
          <cell r="L2763" t="str">
            <v>YHT</v>
          </cell>
          <cell r="N2763">
            <v>26.165355841166299</v>
          </cell>
        </row>
        <row r="2764">
          <cell r="E2764" t="str">
            <v>HGC-Lib-2453529</v>
          </cell>
          <cell r="F2764" t="str">
            <v>sh5-SDMA2</v>
          </cell>
          <cell r="G2764">
            <v>10</v>
          </cell>
          <cell r="H2764" t="str">
            <v>cut&amp;tag文库</v>
          </cell>
          <cell r="I2764" t="str">
            <v>YHT</v>
          </cell>
          <cell r="J2764">
            <v>5.0599999999999996</v>
          </cell>
          <cell r="K2764">
            <v>398</v>
          </cell>
          <cell r="L2764" t="str">
            <v>YHT</v>
          </cell>
          <cell r="N2764">
            <v>19.5593351372246</v>
          </cell>
        </row>
        <row r="2765">
          <cell r="E2765" t="str">
            <v>HGC-Lib-2453530</v>
          </cell>
          <cell r="F2765" t="str">
            <v>sh5-H3K27ac1</v>
          </cell>
          <cell r="G2765">
            <v>10</v>
          </cell>
          <cell r="H2765" t="str">
            <v>cut&amp;tag文库</v>
          </cell>
          <cell r="I2765" t="str">
            <v>YHT</v>
          </cell>
          <cell r="J2765">
            <v>7.62</v>
          </cell>
          <cell r="K2765">
            <v>503</v>
          </cell>
          <cell r="L2765" t="str">
            <v>YHT</v>
          </cell>
          <cell r="N2765">
            <v>23.306315950451101</v>
          </cell>
        </row>
        <row r="2766">
          <cell r="E2766" t="str">
            <v>HGC-Lib-2453531</v>
          </cell>
          <cell r="F2766" t="str">
            <v>sh5-H3K27ac2</v>
          </cell>
          <cell r="G2766">
            <v>10</v>
          </cell>
          <cell r="H2766" t="str">
            <v>cut&amp;tag文库</v>
          </cell>
          <cell r="I2766" t="str">
            <v>YHT</v>
          </cell>
          <cell r="J2766">
            <v>8.06</v>
          </cell>
          <cell r="K2766">
            <v>532</v>
          </cell>
          <cell r="L2766" t="str">
            <v>YHT</v>
          </cell>
          <cell r="N2766">
            <v>23.308270676691698</v>
          </cell>
        </row>
        <row r="2767">
          <cell r="E2767" t="str">
            <v>HGC-Lib-2453532</v>
          </cell>
          <cell r="F2767" t="str">
            <v>sh9-SMC11</v>
          </cell>
          <cell r="G2767">
            <v>10</v>
          </cell>
          <cell r="H2767" t="str">
            <v>cut&amp;tag文库</v>
          </cell>
          <cell r="I2767" t="str">
            <v>YHT</v>
          </cell>
          <cell r="J2767">
            <v>34.799999999999997</v>
          </cell>
          <cell r="K2767">
            <v>461</v>
          </cell>
          <cell r="L2767" t="str">
            <v>ZZ</v>
          </cell>
          <cell r="N2767">
            <v>116.13549140664099</v>
          </cell>
        </row>
        <row r="2768">
          <cell r="E2768" t="str">
            <v>HGC-Lib-2453533</v>
          </cell>
          <cell r="F2768" t="str">
            <v>sh9-SMC12</v>
          </cell>
          <cell r="G2768">
            <v>10</v>
          </cell>
          <cell r="H2768" t="str">
            <v>cut&amp;tag文库</v>
          </cell>
          <cell r="I2768" t="str">
            <v>YHT</v>
          </cell>
          <cell r="J2768">
            <v>35.6</v>
          </cell>
          <cell r="K2768">
            <v>466</v>
          </cell>
          <cell r="L2768" t="str">
            <v>ZZ</v>
          </cell>
          <cell r="N2768">
            <v>117.53053813139699</v>
          </cell>
        </row>
        <row r="2769">
          <cell r="E2769" t="str">
            <v>HGC-Lib-2453534</v>
          </cell>
          <cell r="F2769" t="str">
            <v>sh9-SDMA1</v>
          </cell>
          <cell r="G2769">
            <v>10</v>
          </cell>
          <cell r="H2769" t="str">
            <v>cut&amp;tag文库</v>
          </cell>
          <cell r="I2769" t="str">
            <v>YHT</v>
          </cell>
          <cell r="J2769">
            <v>10.4</v>
          </cell>
          <cell r="K2769">
            <v>394</v>
          </cell>
          <cell r="L2769" t="str">
            <v>ZZ</v>
          </cell>
          <cell r="N2769">
            <v>40.6091370558376</v>
          </cell>
        </row>
        <row r="2770">
          <cell r="E2770" t="str">
            <v>HGC-Lib-2453535</v>
          </cell>
          <cell r="F2770" t="str">
            <v>sh9-SDMA2</v>
          </cell>
          <cell r="G2770">
            <v>10</v>
          </cell>
          <cell r="H2770" t="str">
            <v>cut&amp;tag文库</v>
          </cell>
          <cell r="I2770" t="str">
            <v>YHT</v>
          </cell>
          <cell r="J2770">
            <v>10.1</v>
          </cell>
          <cell r="K2770">
            <v>394</v>
          </cell>
          <cell r="L2770" t="str">
            <v>ZZ</v>
          </cell>
          <cell r="N2770">
            <v>39.437719640765302</v>
          </cell>
        </row>
        <row r="2771">
          <cell r="E2771" t="str">
            <v>HGC-Lib-2453536</v>
          </cell>
          <cell r="F2771" t="str">
            <v>sh9-H3K27ac1</v>
          </cell>
          <cell r="G2771">
            <v>10</v>
          </cell>
          <cell r="H2771" t="str">
            <v>cut&amp;tag文库</v>
          </cell>
          <cell r="I2771" t="str">
            <v>YHT</v>
          </cell>
          <cell r="J2771">
            <v>17.2</v>
          </cell>
          <cell r="K2771">
            <v>500</v>
          </cell>
          <cell r="L2771" t="str">
            <v>ZZ</v>
          </cell>
          <cell r="N2771">
            <v>52.923076923076898</v>
          </cell>
        </row>
        <row r="2772">
          <cell r="E2772" t="str">
            <v>HGC-Lib-2453537</v>
          </cell>
          <cell r="F2772" t="str">
            <v>sh9-H3K27ac2</v>
          </cell>
          <cell r="G2772">
            <v>10</v>
          </cell>
          <cell r="H2772" t="str">
            <v>cut&amp;tag文库</v>
          </cell>
          <cell r="I2772" t="str">
            <v>YHT</v>
          </cell>
          <cell r="J2772">
            <v>20</v>
          </cell>
          <cell r="K2772">
            <v>499</v>
          </cell>
          <cell r="L2772" t="str">
            <v>ZZ</v>
          </cell>
          <cell r="N2772">
            <v>61.661785108678899</v>
          </cell>
        </row>
        <row r="2773">
          <cell r="E2773" t="str">
            <v>HGC-Lib-2453538</v>
          </cell>
          <cell r="F2773" t="str">
            <v>NGS0324039-1</v>
          </cell>
          <cell r="G2773">
            <v>6</v>
          </cell>
          <cell r="H2773" t="str">
            <v>mRNA文库</v>
          </cell>
          <cell r="I2773" t="str">
            <v>HZK</v>
          </cell>
          <cell r="J2773">
            <v>36.799999999999997</v>
          </cell>
          <cell r="N2773" t="e">
            <v>#DIV/0!</v>
          </cell>
        </row>
        <row r="2774">
          <cell r="E2774" t="str">
            <v>HGC-Lib-2453539</v>
          </cell>
          <cell r="F2774" t="str">
            <v>NGS0324039-2</v>
          </cell>
          <cell r="G2774">
            <v>6</v>
          </cell>
          <cell r="H2774" t="str">
            <v>mRNA文库</v>
          </cell>
          <cell r="I2774" t="str">
            <v>HZK</v>
          </cell>
          <cell r="J2774">
            <v>33.4</v>
          </cell>
          <cell r="N2774" t="e">
            <v>#DIV/0!</v>
          </cell>
        </row>
        <row r="2775">
          <cell r="E2775" t="str">
            <v>HGC-Lib-2453540</v>
          </cell>
          <cell r="F2775" t="str">
            <v>NGS0324039-3</v>
          </cell>
          <cell r="G2775">
            <v>6</v>
          </cell>
          <cell r="H2775" t="str">
            <v>mRNA文库</v>
          </cell>
          <cell r="I2775" t="str">
            <v>HZK</v>
          </cell>
          <cell r="J2775">
            <v>27.2</v>
          </cell>
          <cell r="N2775" t="e">
            <v>#DIV/0!</v>
          </cell>
        </row>
        <row r="2776">
          <cell r="E2776" t="str">
            <v>HGC-Lib-2453541</v>
          </cell>
          <cell r="F2776" t="str">
            <v>NGS0324039-4</v>
          </cell>
          <cell r="G2776">
            <v>6</v>
          </cell>
          <cell r="H2776" t="str">
            <v>mRNA文库</v>
          </cell>
          <cell r="I2776" t="str">
            <v>HZK</v>
          </cell>
          <cell r="J2776">
            <v>30</v>
          </cell>
          <cell r="N2776" t="e">
            <v>#DIV/0!</v>
          </cell>
        </row>
        <row r="2777">
          <cell r="E2777" t="str">
            <v>HGC-Lib-2453542</v>
          </cell>
          <cell r="F2777" t="str">
            <v>NGS0324039-5</v>
          </cell>
          <cell r="G2777">
            <v>6</v>
          </cell>
          <cell r="H2777" t="str">
            <v>mRNA文库</v>
          </cell>
          <cell r="I2777" t="str">
            <v>HZK</v>
          </cell>
          <cell r="J2777">
            <v>34</v>
          </cell>
          <cell r="N2777" t="e">
            <v>#DIV/0!</v>
          </cell>
        </row>
        <row r="2778">
          <cell r="E2778" t="str">
            <v>HGC-Lib-2453543</v>
          </cell>
          <cell r="F2778" t="str">
            <v>NGS0324039-6</v>
          </cell>
          <cell r="G2778">
            <v>6</v>
          </cell>
          <cell r="H2778" t="str">
            <v>mRNA文库</v>
          </cell>
          <cell r="I2778" t="str">
            <v>HZK</v>
          </cell>
          <cell r="J2778">
            <v>32.799999999999997</v>
          </cell>
          <cell r="N2778" t="e">
            <v>#DIV/0!</v>
          </cell>
        </row>
        <row r="2779">
          <cell r="E2779" t="str">
            <v>HGC-Lib-2453544</v>
          </cell>
          <cell r="F2779" t="str">
            <v>NGS0324039-7</v>
          </cell>
          <cell r="G2779">
            <v>6</v>
          </cell>
          <cell r="H2779" t="str">
            <v>mRNA文库</v>
          </cell>
          <cell r="I2779" t="str">
            <v>HZK</v>
          </cell>
          <cell r="J2779">
            <v>31.2</v>
          </cell>
          <cell r="N2779" t="e">
            <v>#DIV/0!</v>
          </cell>
        </row>
        <row r="2780">
          <cell r="E2780" t="str">
            <v>HGC-Lib-2453545</v>
          </cell>
          <cell r="F2780" t="str">
            <v>NGS0324039-8</v>
          </cell>
          <cell r="G2780">
            <v>6</v>
          </cell>
          <cell r="H2780" t="str">
            <v>mRNA文库</v>
          </cell>
          <cell r="I2780" t="str">
            <v>HZK</v>
          </cell>
          <cell r="J2780">
            <v>35</v>
          </cell>
          <cell r="N2780" t="e">
            <v>#DIV/0!</v>
          </cell>
        </row>
        <row r="2781">
          <cell r="E2781" t="str">
            <v>HGC-Lib-2453546</v>
          </cell>
          <cell r="F2781" t="str">
            <v>NGS0324039-9</v>
          </cell>
          <cell r="G2781">
            <v>6</v>
          </cell>
          <cell r="H2781" t="str">
            <v>mRNA文库</v>
          </cell>
          <cell r="I2781" t="str">
            <v>HZK</v>
          </cell>
          <cell r="J2781">
            <v>34</v>
          </cell>
          <cell r="N2781" t="e">
            <v>#DIV/0!</v>
          </cell>
        </row>
        <row r="2782">
          <cell r="E2782" t="str">
            <v>HGC-Lib-2453547</v>
          </cell>
          <cell r="F2782" t="str">
            <v>NGS0324039-10</v>
          </cell>
          <cell r="G2782">
            <v>6</v>
          </cell>
          <cell r="H2782" t="str">
            <v>mRNA文库</v>
          </cell>
          <cell r="I2782" t="str">
            <v>HZK</v>
          </cell>
          <cell r="J2782">
            <v>31.2</v>
          </cell>
          <cell r="N2782" t="e">
            <v>#DIV/0!</v>
          </cell>
        </row>
        <row r="2783">
          <cell r="E2783" t="str">
            <v>HGC-Lib-2453548</v>
          </cell>
          <cell r="F2783" t="str">
            <v>NGS0324039-11</v>
          </cell>
          <cell r="G2783">
            <v>6</v>
          </cell>
          <cell r="H2783" t="str">
            <v>mRNA文库</v>
          </cell>
          <cell r="I2783" t="str">
            <v>HZK</v>
          </cell>
          <cell r="J2783">
            <v>37.799999999999997</v>
          </cell>
          <cell r="N2783" t="e">
            <v>#DIV/0!</v>
          </cell>
        </row>
        <row r="2784">
          <cell r="E2784" t="str">
            <v>HGC-Lib-2453549</v>
          </cell>
          <cell r="F2784" t="str">
            <v>NGS0324039-12</v>
          </cell>
          <cell r="G2784">
            <v>6</v>
          </cell>
          <cell r="H2784" t="str">
            <v>mRNA文库</v>
          </cell>
          <cell r="I2784" t="str">
            <v>HZK</v>
          </cell>
          <cell r="J2784">
            <v>29.6</v>
          </cell>
          <cell r="N2784" t="e">
            <v>#DIV/0!</v>
          </cell>
        </row>
        <row r="2785">
          <cell r="E2785" t="str">
            <v>HGC-Lib-2453550</v>
          </cell>
          <cell r="F2785" t="str">
            <v>NGS0324040-1</v>
          </cell>
          <cell r="G2785">
            <v>6</v>
          </cell>
          <cell r="H2785" t="str">
            <v>mRNA文库</v>
          </cell>
          <cell r="I2785" t="str">
            <v>HZK</v>
          </cell>
          <cell r="J2785">
            <v>39.6</v>
          </cell>
          <cell r="N2785" t="e">
            <v>#DIV/0!</v>
          </cell>
        </row>
        <row r="2786">
          <cell r="E2786" t="str">
            <v>HGC-Lib-2453551</v>
          </cell>
          <cell r="F2786" t="str">
            <v>NGS0324040-2</v>
          </cell>
          <cell r="G2786">
            <v>6</v>
          </cell>
          <cell r="H2786" t="str">
            <v>mRNA文库</v>
          </cell>
          <cell r="I2786" t="str">
            <v>HZK</v>
          </cell>
          <cell r="J2786">
            <v>29.6</v>
          </cell>
          <cell r="N2786" t="e">
            <v>#DIV/0!</v>
          </cell>
        </row>
        <row r="2787">
          <cell r="E2787" t="str">
            <v>HGC-Lib-2453552</v>
          </cell>
          <cell r="F2787" t="str">
            <v>NGS0324040-3</v>
          </cell>
          <cell r="G2787">
            <v>6</v>
          </cell>
          <cell r="H2787" t="str">
            <v>mRNA文库</v>
          </cell>
          <cell r="I2787" t="str">
            <v>HZK</v>
          </cell>
          <cell r="J2787">
            <v>24.8</v>
          </cell>
          <cell r="N2787" t="e">
            <v>#DIV/0!</v>
          </cell>
        </row>
        <row r="2788">
          <cell r="E2788" t="str">
            <v>HGC-Lib-2453553</v>
          </cell>
          <cell r="F2788" t="str">
            <v>NGS0324040-4</v>
          </cell>
          <cell r="G2788">
            <v>6</v>
          </cell>
          <cell r="H2788" t="str">
            <v>mRNA文库</v>
          </cell>
          <cell r="I2788" t="str">
            <v>HZK</v>
          </cell>
          <cell r="J2788">
            <v>26</v>
          </cell>
          <cell r="N2788" t="e">
            <v>#DIV/0!</v>
          </cell>
        </row>
        <row r="2789">
          <cell r="E2789" t="str">
            <v>HGC-Lib-2453554</v>
          </cell>
          <cell r="F2789" t="str">
            <v>NGS0324040-5</v>
          </cell>
          <cell r="G2789">
            <v>6</v>
          </cell>
          <cell r="H2789" t="str">
            <v>mRNA文库</v>
          </cell>
          <cell r="I2789" t="str">
            <v>HZK</v>
          </cell>
          <cell r="J2789">
            <v>17.600000000000001</v>
          </cell>
          <cell r="N2789" t="e">
            <v>#DIV/0!</v>
          </cell>
        </row>
        <row r="2790">
          <cell r="E2790" t="str">
            <v>HGC-Lib-2453555</v>
          </cell>
          <cell r="F2790" t="str">
            <v>NGS0324040-6</v>
          </cell>
          <cell r="G2790">
            <v>6</v>
          </cell>
          <cell r="H2790" t="str">
            <v>mRNA文库</v>
          </cell>
          <cell r="I2790" t="str">
            <v>HZK</v>
          </cell>
          <cell r="J2790">
            <v>31</v>
          </cell>
          <cell r="N2790" t="e">
            <v>#DIV/0!</v>
          </cell>
        </row>
        <row r="2791">
          <cell r="E2791" t="str">
            <v>HGC-Lib-2453556</v>
          </cell>
          <cell r="F2791" t="str">
            <v>NGS0324040-7</v>
          </cell>
          <cell r="G2791">
            <v>6</v>
          </cell>
          <cell r="H2791" t="str">
            <v>mRNA文库</v>
          </cell>
          <cell r="I2791" t="str">
            <v>HZK</v>
          </cell>
          <cell r="J2791">
            <v>35.200000000000003</v>
          </cell>
          <cell r="N2791" t="e">
            <v>#DIV/0!</v>
          </cell>
        </row>
        <row r="2792">
          <cell r="E2792" t="str">
            <v>HGC-Lib-2453557</v>
          </cell>
          <cell r="F2792" t="str">
            <v>NGS0324040-8</v>
          </cell>
          <cell r="G2792">
            <v>6</v>
          </cell>
          <cell r="H2792" t="str">
            <v>mRNA文库</v>
          </cell>
          <cell r="I2792" t="str">
            <v>HZK</v>
          </cell>
          <cell r="J2792">
            <v>18.3</v>
          </cell>
          <cell r="N2792" t="e">
            <v>#DIV/0!</v>
          </cell>
        </row>
        <row r="2793">
          <cell r="E2793" t="str">
            <v>HGC-Lib-2453558</v>
          </cell>
          <cell r="F2793" t="str">
            <v>NGS0324040-9</v>
          </cell>
          <cell r="G2793">
            <v>6</v>
          </cell>
          <cell r="H2793" t="str">
            <v>mRNA文库</v>
          </cell>
          <cell r="I2793" t="str">
            <v>HZK</v>
          </cell>
          <cell r="J2793">
            <v>21.2</v>
          </cell>
          <cell r="N2793" t="e">
            <v>#DIV/0!</v>
          </cell>
        </row>
        <row r="2794">
          <cell r="E2794" t="str">
            <v>HGC-POOL-2453565</v>
          </cell>
          <cell r="F2794" t="str">
            <v>NGS20240708</v>
          </cell>
          <cell r="G2794">
            <v>1</v>
          </cell>
          <cell r="H2794" t="str">
            <v>多重PCR产物文库</v>
          </cell>
          <cell r="I2794" t="str">
            <v>HZK</v>
          </cell>
          <cell r="J2794" t="str">
            <v>蓝色样本</v>
          </cell>
          <cell r="N2794" t="e">
            <v>#VALUE!</v>
          </cell>
        </row>
        <row r="2795">
          <cell r="E2795" t="str">
            <v>HGC-Lib-2453581</v>
          </cell>
          <cell r="F2795" t="str">
            <v>NGS0324041-1</v>
          </cell>
          <cell r="G2795">
            <v>6</v>
          </cell>
          <cell r="H2795" t="str">
            <v>mRNA文库</v>
          </cell>
          <cell r="I2795" t="str">
            <v>HZK</v>
          </cell>
          <cell r="J2795">
            <v>32.6</v>
          </cell>
          <cell r="N2795" t="e">
            <v>#DIV/0!</v>
          </cell>
        </row>
        <row r="2796">
          <cell r="E2796" t="str">
            <v>HGC-Lib-2453582</v>
          </cell>
          <cell r="F2796" t="str">
            <v>NGS0324041-2</v>
          </cell>
          <cell r="G2796">
            <v>6</v>
          </cell>
          <cell r="H2796" t="str">
            <v>mRNA文库</v>
          </cell>
          <cell r="I2796" t="str">
            <v>HZK</v>
          </cell>
          <cell r="J2796">
            <v>28.4</v>
          </cell>
          <cell r="N2796" t="e">
            <v>#DIV/0!</v>
          </cell>
        </row>
        <row r="2797">
          <cell r="E2797" t="str">
            <v>HGC-Lib-2453583</v>
          </cell>
          <cell r="F2797" t="str">
            <v>NGS0324041-3</v>
          </cell>
          <cell r="G2797">
            <v>6</v>
          </cell>
          <cell r="H2797" t="str">
            <v>mRNA文库</v>
          </cell>
          <cell r="I2797" t="str">
            <v>HZK</v>
          </cell>
          <cell r="J2797">
            <v>25.4</v>
          </cell>
          <cell r="N2797" t="e">
            <v>#DIV/0!</v>
          </cell>
        </row>
        <row r="2798">
          <cell r="E2798" t="str">
            <v>HGC-Lib-2453584</v>
          </cell>
          <cell r="F2798" t="str">
            <v>NGS0324041-4</v>
          </cell>
          <cell r="G2798">
            <v>6</v>
          </cell>
          <cell r="H2798" t="str">
            <v>mRNA文库</v>
          </cell>
          <cell r="I2798" t="str">
            <v>HZK</v>
          </cell>
          <cell r="J2798">
            <v>13.8</v>
          </cell>
          <cell r="N2798" t="e">
            <v>#DIV/0!</v>
          </cell>
        </row>
        <row r="2799">
          <cell r="E2799" t="str">
            <v>HGC-Lib-2453585</v>
          </cell>
          <cell r="F2799" t="str">
            <v>NGS0324041-5</v>
          </cell>
          <cell r="G2799">
            <v>6</v>
          </cell>
          <cell r="H2799" t="str">
            <v>mRNA文库</v>
          </cell>
          <cell r="I2799" t="str">
            <v>HZK</v>
          </cell>
          <cell r="J2799">
            <v>27</v>
          </cell>
          <cell r="N2799" t="e">
            <v>#DIV/0!</v>
          </cell>
        </row>
        <row r="2800">
          <cell r="E2800" t="str">
            <v>HGC-Lib-2453586</v>
          </cell>
          <cell r="F2800" t="str">
            <v>NGS0324041-6</v>
          </cell>
          <cell r="G2800">
            <v>6</v>
          </cell>
          <cell r="H2800" t="str">
            <v>mRNA文库</v>
          </cell>
          <cell r="I2800" t="str">
            <v>HZK</v>
          </cell>
          <cell r="J2800">
            <v>21.6</v>
          </cell>
          <cell r="N2800" t="e">
            <v>#DIV/0!</v>
          </cell>
        </row>
        <row r="2801">
          <cell r="E2801" t="str">
            <v>HGC-Lib-2453587</v>
          </cell>
          <cell r="F2801" t="str">
            <v>NGS0324041-7</v>
          </cell>
          <cell r="G2801">
            <v>6</v>
          </cell>
          <cell r="H2801" t="str">
            <v>mRNA文库</v>
          </cell>
          <cell r="I2801" t="str">
            <v>HZK</v>
          </cell>
          <cell r="J2801">
            <v>3.14</v>
          </cell>
          <cell r="N2801" t="e">
            <v>#DIV/0!</v>
          </cell>
        </row>
        <row r="2802">
          <cell r="E2802" t="str">
            <v>HGC-Lib-2453588</v>
          </cell>
          <cell r="F2802" t="str">
            <v>NGS0324041-8</v>
          </cell>
          <cell r="G2802">
            <v>6</v>
          </cell>
          <cell r="H2802" t="str">
            <v>mRNA文库</v>
          </cell>
          <cell r="I2802" t="str">
            <v>HZK</v>
          </cell>
          <cell r="J2802">
            <v>2.94</v>
          </cell>
          <cell r="N2802" t="e">
            <v>#DIV/0!</v>
          </cell>
        </row>
        <row r="2803">
          <cell r="E2803" t="str">
            <v>HGC-Lib-2453589</v>
          </cell>
          <cell r="F2803" t="str">
            <v>NGS0324041-9</v>
          </cell>
          <cell r="G2803">
            <v>6</v>
          </cell>
          <cell r="H2803" t="str">
            <v>mRNA文库</v>
          </cell>
          <cell r="I2803" t="str">
            <v>HZK</v>
          </cell>
          <cell r="J2803">
            <v>17.899999999999999</v>
          </cell>
          <cell r="N2803" t="e">
            <v>#DIV/0!</v>
          </cell>
        </row>
        <row r="2804">
          <cell r="E2804" t="str">
            <v>HGC-Lib-2453590</v>
          </cell>
          <cell r="F2804" t="str">
            <v>NGS0324041-10</v>
          </cell>
          <cell r="G2804">
            <v>6</v>
          </cell>
          <cell r="H2804" t="str">
            <v>mRNA文库</v>
          </cell>
          <cell r="I2804" t="str">
            <v>HZK</v>
          </cell>
          <cell r="J2804">
            <v>18.100000000000001</v>
          </cell>
          <cell r="N2804" t="e">
            <v>#DIV/0!</v>
          </cell>
        </row>
        <row r="2805">
          <cell r="E2805" t="str">
            <v>HGC-Lib-2453591</v>
          </cell>
          <cell r="F2805" t="str">
            <v>NGS0324041-11</v>
          </cell>
          <cell r="G2805">
            <v>6</v>
          </cell>
          <cell r="H2805" t="str">
            <v>mRNA文库</v>
          </cell>
          <cell r="I2805" t="str">
            <v>HZK</v>
          </cell>
          <cell r="J2805">
            <v>23</v>
          </cell>
          <cell r="N2805" t="e">
            <v>#DIV/0!</v>
          </cell>
        </row>
        <row r="2806">
          <cell r="E2806" t="str">
            <v>HGC-Lib-2453592</v>
          </cell>
          <cell r="F2806" t="str">
            <v>NGS0324041-12</v>
          </cell>
          <cell r="G2806">
            <v>6</v>
          </cell>
          <cell r="H2806" t="str">
            <v>mRNA文库</v>
          </cell>
          <cell r="I2806" t="str">
            <v>HZK</v>
          </cell>
          <cell r="J2806">
            <v>27.6</v>
          </cell>
          <cell r="N2806" t="e">
            <v>#DIV/0!</v>
          </cell>
        </row>
        <row r="2807">
          <cell r="E2807" t="str">
            <v>HGC-Lib-2453593</v>
          </cell>
          <cell r="F2807" t="str">
            <v>NGS0324041-13</v>
          </cell>
          <cell r="G2807">
            <v>6</v>
          </cell>
          <cell r="H2807" t="str">
            <v>mRNA文库</v>
          </cell>
          <cell r="I2807" t="str">
            <v>HZK</v>
          </cell>
          <cell r="J2807">
            <v>30.2</v>
          </cell>
          <cell r="N2807" t="e">
            <v>#DIV/0!</v>
          </cell>
        </row>
        <row r="2808">
          <cell r="E2808" t="str">
            <v>HGC-Lib-2453594</v>
          </cell>
          <cell r="F2808" t="str">
            <v>NGS0324041-14</v>
          </cell>
          <cell r="G2808">
            <v>6</v>
          </cell>
          <cell r="H2808" t="str">
            <v>mRNA文库</v>
          </cell>
          <cell r="I2808" t="str">
            <v>HZK</v>
          </cell>
          <cell r="J2808">
            <v>28.8</v>
          </cell>
          <cell r="N2808" t="e">
            <v>#DIV/0!</v>
          </cell>
        </row>
        <row r="2809">
          <cell r="E2809" t="str">
            <v>HGC-Lib-2453595</v>
          </cell>
          <cell r="F2809" t="str">
            <v>NGS0324041-15</v>
          </cell>
          <cell r="G2809">
            <v>6</v>
          </cell>
          <cell r="H2809" t="str">
            <v>mRNA文库</v>
          </cell>
          <cell r="I2809" t="str">
            <v>HZK</v>
          </cell>
          <cell r="J2809">
            <v>27.6</v>
          </cell>
          <cell r="N2809" t="e">
            <v>#DIV/0!</v>
          </cell>
        </row>
        <row r="2810">
          <cell r="E2810" t="str">
            <v>HGC-Lib-2453596</v>
          </cell>
          <cell r="F2810" t="str">
            <v>NGS0324041-16</v>
          </cell>
          <cell r="G2810">
            <v>6</v>
          </cell>
          <cell r="H2810" t="str">
            <v>mRNA文库</v>
          </cell>
          <cell r="I2810" t="str">
            <v>HZK</v>
          </cell>
          <cell r="J2810">
            <v>29</v>
          </cell>
          <cell r="N2810" t="e">
            <v>#DIV/0!</v>
          </cell>
        </row>
        <row r="2811">
          <cell r="E2811" t="str">
            <v>HGC-Lib-2453597</v>
          </cell>
          <cell r="F2811" t="str">
            <v>NGS0324041-17</v>
          </cell>
          <cell r="G2811">
            <v>6</v>
          </cell>
          <cell r="H2811" t="str">
            <v>mRNA文库</v>
          </cell>
          <cell r="I2811" t="str">
            <v>HZK</v>
          </cell>
          <cell r="J2811">
            <v>16.5</v>
          </cell>
          <cell r="N2811" t="e">
            <v>#DIV/0!</v>
          </cell>
        </row>
        <row r="2812">
          <cell r="E2812" t="str">
            <v>HGC-Lib-2453598</v>
          </cell>
          <cell r="F2812" t="str">
            <v>NGS0324041-18</v>
          </cell>
          <cell r="G2812">
            <v>6</v>
          </cell>
          <cell r="H2812" t="str">
            <v>mRNA文库</v>
          </cell>
          <cell r="I2812" t="str">
            <v>HZK</v>
          </cell>
          <cell r="J2812">
            <v>17.5</v>
          </cell>
          <cell r="N2812" t="e">
            <v>#DIV/0!</v>
          </cell>
        </row>
        <row r="2813">
          <cell r="E2813" t="str">
            <v>HGC-Lib-2453599</v>
          </cell>
          <cell r="F2813" t="str">
            <v>NGS0324041-19</v>
          </cell>
          <cell r="G2813">
            <v>6</v>
          </cell>
          <cell r="H2813" t="str">
            <v>mRNA文库</v>
          </cell>
          <cell r="I2813" t="str">
            <v>HZK</v>
          </cell>
          <cell r="J2813">
            <v>8.6199999999999992</v>
          </cell>
          <cell r="N2813" t="e">
            <v>#DIV/0!</v>
          </cell>
        </row>
        <row r="2814">
          <cell r="E2814" t="str">
            <v>HGC-Lib-2453600</v>
          </cell>
          <cell r="F2814" t="str">
            <v>NGS0324041-20</v>
          </cell>
          <cell r="G2814">
            <v>6</v>
          </cell>
          <cell r="H2814" t="str">
            <v>mRNA文库</v>
          </cell>
          <cell r="I2814" t="str">
            <v>HZK</v>
          </cell>
          <cell r="J2814">
            <v>14.6</v>
          </cell>
          <cell r="N2814" t="e">
            <v>#DIV/0!</v>
          </cell>
        </row>
        <row r="2815">
          <cell r="E2815" t="str">
            <v>HGC-Lib-2453601</v>
          </cell>
          <cell r="F2815" t="str">
            <v>NGS0324041-21</v>
          </cell>
          <cell r="G2815">
            <v>6</v>
          </cell>
          <cell r="H2815" t="str">
            <v>mRNA文库</v>
          </cell>
          <cell r="I2815" t="str">
            <v>HZK</v>
          </cell>
          <cell r="J2815">
            <v>13.2</v>
          </cell>
          <cell r="N2815" t="e">
            <v>#DIV/0!</v>
          </cell>
        </row>
        <row r="2816">
          <cell r="E2816" t="str">
            <v>HGC-Lib-2453602</v>
          </cell>
          <cell r="F2816" t="str">
            <v>NGS0324041-22</v>
          </cell>
          <cell r="G2816">
            <v>6</v>
          </cell>
          <cell r="H2816" t="str">
            <v>mRNA文库</v>
          </cell>
          <cell r="I2816" t="str">
            <v>HZK</v>
          </cell>
          <cell r="J2816">
            <v>18.8</v>
          </cell>
          <cell r="N2816" t="e">
            <v>#DIV/0!</v>
          </cell>
        </row>
        <row r="2817">
          <cell r="E2817" t="str">
            <v>HGC-Lib-2453603</v>
          </cell>
          <cell r="F2817" t="str">
            <v>NGS0324041-23</v>
          </cell>
          <cell r="G2817">
            <v>6</v>
          </cell>
          <cell r="H2817" t="str">
            <v>mRNA文库</v>
          </cell>
          <cell r="I2817" t="str">
            <v>HZK</v>
          </cell>
          <cell r="J2817">
            <v>23.8</v>
          </cell>
          <cell r="N2817" t="e">
            <v>#DIV/0!</v>
          </cell>
        </row>
        <row r="2818">
          <cell r="E2818" t="str">
            <v>HGC-Lib-2453604</v>
          </cell>
          <cell r="F2818" t="str">
            <v>NGS0324041-24</v>
          </cell>
          <cell r="G2818">
            <v>6</v>
          </cell>
          <cell r="H2818" t="str">
            <v>mRNA文库</v>
          </cell>
          <cell r="I2818" t="str">
            <v>HZK</v>
          </cell>
          <cell r="J2818">
            <v>44</v>
          </cell>
          <cell r="N2818" t="e">
            <v>#DIV/0!</v>
          </cell>
        </row>
        <row r="2819">
          <cell r="E2819" t="str">
            <v>HGC-Lib-2453605</v>
          </cell>
          <cell r="F2819" t="str">
            <v>NGS0324041-25</v>
          </cell>
          <cell r="G2819">
            <v>6</v>
          </cell>
          <cell r="H2819" t="str">
            <v>mRNA文库</v>
          </cell>
          <cell r="I2819" t="str">
            <v>HZK</v>
          </cell>
          <cell r="J2819">
            <v>31.4</v>
          </cell>
          <cell r="N2819" t="e">
            <v>#DIV/0!</v>
          </cell>
        </row>
        <row r="2820">
          <cell r="E2820" t="str">
            <v>HGC-Lib-2453606</v>
          </cell>
          <cell r="F2820" t="str">
            <v>NGS0324041-26</v>
          </cell>
          <cell r="G2820">
            <v>6</v>
          </cell>
          <cell r="H2820" t="str">
            <v>mRNA文库</v>
          </cell>
          <cell r="I2820" t="str">
            <v>HZK</v>
          </cell>
          <cell r="J2820">
            <v>47.8</v>
          </cell>
          <cell r="N2820" t="e">
            <v>#DIV/0!</v>
          </cell>
        </row>
        <row r="2821">
          <cell r="E2821" t="str">
            <v>HGC-Lib-2453607</v>
          </cell>
          <cell r="F2821" t="str">
            <v>NGS0324041-27</v>
          </cell>
          <cell r="G2821">
            <v>6</v>
          </cell>
          <cell r="H2821" t="str">
            <v>mRNA文库</v>
          </cell>
          <cell r="I2821" t="str">
            <v>WH</v>
          </cell>
          <cell r="J2821">
            <v>41</v>
          </cell>
          <cell r="N2821" t="e">
            <v>#DIV/0!</v>
          </cell>
        </row>
        <row r="2822">
          <cell r="E2822" t="str">
            <v>HGC-Lib-2453608</v>
          </cell>
          <cell r="F2822" t="str">
            <v>NGS0324041-28</v>
          </cell>
          <cell r="G2822">
            <v>6</v>
          </cell>
          <cell r="H2822" t="str">
            <v>mRNA文库</v>
          </cell>
          <cell r="I2822" t="str">
            <v>WH</v>
          </cell>
          <cell r="J2822">
            <v>33.799999999999997</v>
          </cell>
          <cell r="N2822" t="e">
            <v>#DIV/0!</v>
          </cell>
        </row>
        <row r="2823">
          <cell r="E2823" t="str">
            <v>HGC-Lib-2453609</v>
          </cell>
          <cell r="F2823" t="str">
            <v>NGS0324041-29</v>
          </cell>
          <cell r="G2823">
            <v>6</v>
          </cell>
          <cell r="H2823" t="str">
            <v>mRNA文库</v>
          </cell>
          <cell r="I2823" t="str">
            <v>WH</v>
          </cell>
          <cell r="J2823">
            <v>4.68</v>
          </cell>
          <cell r="N2823" t="e">
            <v>#DIV/0!</v>
          </cell>
        </row>
        <row r="2824">
          <cell r="E2824" t="str">
            <v>HGC-Lib-2453610</v>
          </cell>
          <cell r="F2824" t="str">
            <v>NGS0324041-30</v>
          </cell>
          <cell r="G2824">
            <v>6</v>
          </cell>
          <cell r="H2824" t="str">
            <v>mRNA文库</v>
          </cell>
          <cell r="I2824" t="str">
            <v>WH</v>
          </cell>
          <cell r="J2824">
            <v>32.200000000000003</v>
          </cell>
          <cell r="N2824" t="e">
            <v>#DIV/0!</v>
          </cell>
        </row>
        <row r="2825">
          <cell r="E2825" t="str">
            <v>HGC-Lib-2453611</v>
          </cell>
          <cell r="F2825" t="str">
            <v>NGS0324041-31</v>
          </cell>
          <cell r="G2825">
            <v>6</v>
          </cell>
          <cell r="H2825" t="str">
            <v>mRNA文库</v>
          </cell>
          <cell r="I2825" t="str">
            <v>WH</v>
          </cell>
          <cell r="J2825">
            <v>28.6</v>
          </cell>
          <cell r="N2825" t="e">
            <v>#DIV/0!</v>
          </cell>
        </row>
        <row r="2826">
          <cell r="E2826" t="str">
            <v>HGC-Lib-2453612</v>
          </cell>
          <cell r="F2826" t="str">
            <v>NGS0324041-32</v>
          </cell>
          <cell r="G2826">
            <v>6</v>
          </cell>
          <cell r="H2826" t="str">
            <v>mRNA文库</v>
          </cell>
          <cell r="I2826" t="str">
            <v>WH</v>
          </cell>
          <cell r="J2826">
            <v>39.6</v>
          </cell>
          <cell r="N2826" t="e">
            <v>#DIV/0!</v>
          </cell>
        </row>
        <row r="2827">
          <cell r="E2827" t="str">
            <v>HGC-Lib-2453613</v>
          </cell>
          <cell r="F2827" t="str">
            <v>NGS0324041-33</v>
          </cell>
          <cell r="G2827">
            <v>6</v>
          </cell>
          <cell r="H2827" t="str">
            <v>mRNA文库</v>
          </cell>
          <cell r="I2827" t="str">
            <v>WH</v>
          </cell>
          <cell r="J2827">
            <v>34.799999999999997</v>
          </cell>
          <cell r="N2827" t="e">
            <v>#DIV/0!</v>
          </cell>
        </row>
        <row r="2828">
          <cell r="E2828" t="str">
            <v>HGC-Lib-2453614</v>
          </cell>
          <cell r="F2828" t="str">
            <v>NGS0324041-34</v>
          </cell>
          <cell r="G2828">
            <v>6</v>
          </cell>
          <cell r="H2828" t="str">
            <v>mRNA文库</v>
          </cell>
          <cell r="I2828" t="str">
            <v>WH</v>
          </cell>
          <cell r="J2828">
            <v>41.6</v>
          </cell>
          <cell r="N2828" t="e">
            <v>#DIV/0!</v>
          </cell>
        </row>
        <row r="2829">
          <cell r="E2829" t="str">
            <v>HGC-Lib-2453615</v>
          </cell>
          <cell r="F2829" t="str">
            <v>NGS0324041-35</v>
          </cell>
          <cell r="G2829">
            <v>6</v>
          </cell>
          <cell r="H2829" t="str">
            <v>mRNA文库</v>
          </cell>
          <cell r="I2829" t="str">
            <v>WH</v>
          </cell>
          <cell r="J2829">
            <v>49.2</v>
          </cell>
          <cell r="N2829" t="e">
            <v>#DIV/0!</v>
          </cell>
        </row>
        <row r="2830">
          <cell r="E2830" t="str">
            <v>HGC-Lib-2453616</v>
          </cell>
          <cell r="F2830" t="str">
            <v>NGS0324041-36</v>
          </cell>
          <cell r="G2830">
            <v>6</v>
          </cell>
          <cell r="H2830" t="str">
            <v>mRNA文库</v>
          </cell>
          <cell r="I2830" t="str">
            <v>WH</v>
          </cell>
          <cell r="J2830">
            <v>29</v>
          </cell>
          <cell r="N2830" t="e">
            <v>#DIV/0!</v>
          </cell>
        </row>
        <row r="2831">
          <cell r="E2831" t="str">
            <v>HGC-Lib-2453617</v>
          </cell>
          <cell r="F2831" t="str">
            <v>Me-ZH11-H3K36me3-1</v>
          </cell>
          <cell r="G2831">
            <v>6</v>
          </cell>
          <cell r="H2831" t="str">
            <v>CUT&amp;Tag文库</v>
          </cell>
          <cell r="I2831" t="str">
            <v>WH</v>
          </cell>
          <cell r="J2831">
            <v>48.6</v>
          </cell>
          <cell r="K2831">
            <v>543</v>
          </cell>
          <cell r="L2831" t="str">
            <v>ZZ</v>
          </cell>
          <cell r="N2831">
            <v>137.69655758606001</v>
          </cell>
        </row>
        <row r="2832">
          <cell r="E2832" t="str">
            <v>HGC-Lib-2453618</v>
          </cell>
          <cell r="F2832" t="str">
            <v>Me-ZH11-H3K36me3-2</v>
          </cell>
          <cell r="G2832">
            <v>6</v>
          </cell>
          <cell r="H2832" t="str">
            <v>CUT&amp;Tag文库</v>
          </cell>
          <cell r="I2832" t="str">
            <v>WH</v>
          </cell>
          <cell r="J2832">
            <v>52.6</v>
          </cell>
          <cell r="K2832">
            <v>545</v>
          </cell>
          <cell r="L2832" t="str">
            <v>ZZ</v>
          </cell>
          <cell r="N2832">
            <v>148.4827099506</v>
          </cell>
        </row>
        <row r="2833">
          <cell r="E2833" t="str">
            <v>HGC-Lib-2453619</v>
          </cell>
          <cell r="F2833" t="str">
            <v>Mi-ZH11-H3K36me3-1</v>
          </cell>
          <cell r="G2833">
            <v>6</v>
          </cell>
          <cell r="H2833" t="str">
            <v>CUT&amp;Tag文库</v>
          </cell>
          <cell r="I2833" t="str">
            <v>WH</v>
          </cell>
          <cell r="J2833">
            <v>35</v>
          </cell>
          <cell r="K2833">
            <v>532</v>
          </cell>
          <cell r="L2833" t="str">
            <v>ZZ</v>
          </cell>
          <cell r="N2833">
            <v>101.214574898785</v>
          </cell>
        </row>
        <row r="2834">
          <cell r="E2834" t="str">
            <v>HGC-Lib-2453620</v>
          </cell>
          <cell r="F2834" t="str">
            <v>Mi-ZH11-H3K36me3-2</v>
          </cell>
          <cell r="G2834">
            <v>6</v>
          </cell>
          <cell r="H2834" t="str">
            <v>CUT&amp;Tag文库</v>
          </cell>
          <cell r="I2834" t="str">
            <v>WH</v>
          </cell>
          <cell r="J2834">
            <v>46.4</v>
          </cell>
          <cell r="K2834">
            <v>539</v>
          </cell>
          <cell r="L2834" t="str">
            <v>ZZ</v>
          </cell>
          <cell r="N2834">
            <v>132.43898958184701</v>
          </cell>
        </row>
        <row r="2835">
          <cell r="E2835" t="str">
            <v>HGC-Lib-2453621</v>
          </cell>
          <cell r="F2835" t="str">
            <v>um-ZH11-H3K36me3-1</v>
          </cell>
          <cell r="G2835">
            <v>6</v>
          </cell>
          <cell r="H2835" t="str">
            <v>CUT&amp;Tag文库</v>
          </cell>
          <cell r="I2835" t="str">
            <v>WH</v>
          </cell>
          <cell r="J2835">
            <v>62</v>
          </cell>
          <cell r="K2835">
            <v>542</v>
          </cell>
          <cell r="L2835" t="str">
            <v>ZZ</v>
          </cell>
          <cell r="N2835">
            <v>175.98637524836801</v>
          </cell>
        </row>
        <row r="2836">
          <cell r="E2836" t="str">
            <v>HGC-Lib-2453622</v>
          </cell>
          <cell r="F2836" t="str">
            <v>um-ZH11-H3K36me3-2</v>
          </cell>
          <cell r="G2836">
            <v>6</v>
          </cell>
          <cell r="H2836" t="str">
            <v>CUT&amp;Tag文库</v>
          </cell>
          <cell r="I2836" t="str">
            <v>WH</v>
          </cell>
          <cell r="J2836">
            <v>49.4</v>
          </cell>
          <cell r="K2836">
            <v>539</v>
          </cell>
          <cell r="L2836" t="str">
            <v>ZZ</v>
          </cell>
          <cell r="N2836">
            <v>141.00185528757001</v>
          </cell>
        </row>
        <row r="2837">
          <cell r="E2837" t="str">
            <v>HGC-Lib-2453623</v>
          </cell>
          <cell r="F2837" t="str">
            <v>IR64-FL-H3</v>
          </cell>
          <cell r="G2837">
            <v>6</v>
          </cell>
          <cell r="H2837" t="str">
            <v>CUT&amp;Tag文库</v>
          </cell>
          <cell r="I2837" t="str">
            <v>WH</v>
          </cell>
          <cell r="J2837">
            <v>18.399999999999999</v>
          </cell>
          <cell r="K2837">
            <v>434</v>
          </cell>
          <cell r="L2837" t="str">
            <v>ZZ</v>
          </cell>
          <cell r="N2837">
            <v>65.225097483162003</v>
          </cell>
        </row>
        <row r="2838">
          <cell r="E2838" t="str">
            <v>HGC-Lib-2453624</v>
          </cell>
          <cell r="F2838" t="str">
            <v>IRAZ-FL-S9.6-1</v>
          </cell>
          <cell r="G2838">
            <v>10</v>
          </cell>
          <cell r="H2838" t="str">
            <v>CUT&amp;Tag文库</v>
          </cell>
          <cell r="I2838" t="str">
            <v>WH</v>
          </cell>
          <cell r="J2838">
            <v>22</v>
          </cell>
          <cell r="K2838">
            <v>391</v>
          </cell>
          <cell r="L2838" t="str">
            <v>ZZ</v>
          </cell>
          <cell r="N2838">
            <v>86.563053314971498</v>
          </cell>
        </row>
        <row r="2839">
          <cell r="E2839" t="str">
            <v>HGC-Lib-2453625</v>
          </cell>
          <cell r="F2839" t="str">
            <v>IRAZ-FL-S9.6-2</v>
          </cell>
          <cell r="G2839">
            <v>10</v>
          </cell>
          <cell r="H2839" t="str">
            <v>CUT&amp;Tag文库</v>
          </cell>
          <cell r="I2839" t="str">
            <v>WH</v>
          </cell>
          <cell r="J2839">
            <v>24.8</v>
          </cell>
          <cell r="K2839">
            <v>385</v>
          </cell>
          <cell r="L2839" t="str">
            <v>ZZ</v>
          </cell>
          <cell r="N2839">
            <v>99.100899100899099</v>
          </cell>
        </row>
        <row r="2840">
          <cell r="E2840" t="str">
            <v>HGC-Lib-2453626</v>
          </cell>
          <cell r="F2840" t="str">
            <v>IRAZ-FL-γH2AX-1</v>
          </cell>
          <cell r="G2840">
            <v>10</v>
          </cell>
          <cell r="H2840" t="str">
            <v>CUT&amp;Tag文库</v>
          </cell>
          <cell r="I2840" t="str">
            <v>WH</v>
          </cell>
          <cell r="J2840">
            <v>11.9</v>
          </cell>
          <cell r="K2840">
            <v>337</v>
          </cell>
          <cell r="L2840" t="str">
            <v>ZZ</v>
          </cell>
          <cell r="N2840">
            <v>54.325496461995002</v>
          </cell>
        </row>
        <row r="2841">
          <cell r="E2841" t="str">
            <v>HGC-Lib-2453627</v>
          </cell>
          <cell r="F2841" t="str">
            <v>IRAZ-FL-γH2AX-2</v>
          </cell>
          <cell r="G2841">
            <v>10</v>
          </cell>
          <cell r="H2841" t="str">
            <v>CUT&amp;Tag文库</v>
          </cell>
          <cell r="I2841" t="str">
            <v>WH</v>
          </cell>
          <cell r="J2841">
            <v>10.1</v>
          </cell>
          <cell r="K2841">
            <v>347</v>
          </cell>
          <cell r="L2841" t="str">
            <v>ZZ</v>
          </cell>
          <cell r="N2841">
            <v>44.779428064730702</v>
          </cell>
        </row>
        <row r="2842">
          <cell r="E2842" t="str">
            <v>HGC-Lib-2453628</v>
          </cell>
          <cell r="F2842" t="str">
            <v>ZH11-Mi-1</v>
          </cell>
          <cell r="G2842">
            <v>20</v>
          </cell>
          <cell r="H2842" t="str">
            <v>scbs-seq文库</v>
          </cell>
          <cell r="I2842" t="str">
            <v>WH</v>
          </cell>
          <cell r="J2842">
            <v>8.1999999999999993</v>
          </cell>
          <cell r="K2842">
            <v>531</v>
          </cell>
          <cell r="L2842" t="str">
            <v>YHT</v>
          </cell>
          <cell r="N2842">
            <v>23.757786469650899</v>
          </cell>
        </row>
        <row r="2843">
          <cell r="E2843" t="str">
            <v>HGC-Lib-2453629</v>
          </cell>
          <cell r="F2843" t="str">
            <v>ZH11-Mi-2</v>
          </cell>
          <cell r="G2843">
            <v>20</v>
          </cell>
          <cell r="H2843" t="str">
            <v>scbs-seq文库</v>
          </cell>
          <cell r="I2843" t="str">
            <v>WH</v>
          </cell>
          <cell r="J2843">
            <v>6.82</v>
          </cell>
          <cell r="K2843">
            <v>490</v>
          </cell>
          <cell r="L2843" t="str">
            <v>YHT</v>
          </cell>
          <cell r="N2843">
            <v>21.412872841444301</v>
          </cell>
        </row>
        <row r="2844">
          <cell r="E2844" t="str">
            <v>HGC-Lib-2453630</v>
          </cell>
          <cell r="F2844" t="str">
            <v>cmt3b-Mi-1</v>
          </cell>
          <cell r="G2844">
            <v>20</v>
          </cell>
          <cell r="H2844" t="str">
            <v>scbs-seq文库</v>
          </cell>
          <cell r="I2844" t="str">
            <v>WH</v>
          </cell>
          <cell r="J2844">
            <v>8.5399999999999991</v>
          </cell>
          <cell r="K2844">
            <v>505</v>
          </cell>
          <cell r="L2844" t="str">
            <v>YHT</v>
          </cell>
          <cell r="N2844">
            <v>26.016755521705999</v>
          </cell>
        </row>
        <row r="2845">
          <cell r="E2845" t="str">
            <v>HGC-Lib-2453631</v>
          </cell>
          <cell r="F2845" t="str">
            <v>cmt3b-Mi-2</v>
          </cell>
          <cell r="G2845">
            <v>20</v>
          </cell>
          <cell r="H2845" t="str">
            <v>scbs-seq文库</v>
          </cell>
          <cell r="I2845" t="str">
            <v>WH</v>
          </cell>
          <cell r="J2845">
            <v>7.52</v>
          </cell>
          <cell r="K2845">
            <v>504</v>
          </cell>
          <cell r="L2845" t="str">
            <v>YHT</v>
          </cell>
          <cell r="N2845">
            <v>22.954822954823001</v>
          </cell>
        </row>
        <row r="2846">
          <cell r="E2846" t="str">
            <v>HGC-POOL-2453632</v>
          </cell>
          <cell r="F2846" t="str">
            <v>V6.5mESC_D36_CLIP</v>
          </cell>
          <cell r="G2846">
            <v>50</v>
          </cell>
          <cell r="H2846" t="str">
            <v>RIP-seq文库</v>
          </cell>
          <cell r="I2846" t="str">
            <v>WH</v>
          </cell>
          <cell r="J2846">
            <v>0.55600000000000005</v>
          </cell>
          <cell r="K2846">
            <v>527</v>
          </cell>
          <cell r="L2846" t="str">
            <v>YHT</v>
          </cell>
          <cell r="N2846">
            <v>1.62312071230477</v>
          </cell>
        </row>
        <row r="2847">
          <cell r="E2847" t="str">
            <v>HGC-Lib-2453633</v>
          </cell>
          <cell r="F2847" t="str">
            <v>FWSC20240315-3D</v>
          </cell>
          <cell r="G2847">
            <v>100</v>
          </cell>
          <cell r="H2847" t="str">
            <v>10× 3'单细胞</v>
          </cell>
          <cell r="I2847" t="str">
            <v>WH</v>
          </cell>
          <cell r="J2847">
            <v>22.4</v>
          </cell>
          <cell r="K2847">
            <v>533</v>
          </cell>
          <cell r="L2847" t="str">
            <v>ZZ</v>
          </cell>
          <cell r="N2847">
            <v>64.655794486938902</v>
          </cell>
        </row>
        <row r="2848">
          <cell r="E2848" t="str">
            <v>HGC-Lib-2453634</v>
          </cell>
          <cell r="F2848" t="str">
            <v>FWSC20240315-5D</v>
          </cell>
          <cell r="G2848">
            <v>100</v>
          </cell>
          <cell r="H2848" t="str">
            <v>10× 3'单细胞</v>
          </cell>
          <cell r="I2848" t="str">
            <v>WH</v>
          </cell>
          <cell r="J2848">
            <v>24.2</v>
          </cell>
          <cell r="K2848">
            <v>536</v>
          </cell>
          <cell r="L2848" t="str">
            <v>ZZ</v>
          </cell>
          <cell r="N2848">
            <v>69.460390355912807</v>
          </cell>
        </row>
        <row r="2849">
          <cell r="E2849" t="str">
            <v>HGC-Lib-2453635</v>
          </cell>
          <cell r="F2849" t="str">
            <v>FWSC20240315-7D</v>
          </cell>
          <cell r="G2849">
            <v>100</v>
          </cell>
          <cell r="H2849" t="str">
            <v>10× 3'单细胞</v>
          </cell>
          <cell r="I2849" t="str">
            <v>WH</v>
          </cell>
          <cell r="J2849">
            <v>16</v>
          </cell>
          <cell r="K2849">
            <v>517</v>
          </cell>
          <cell r="L2849" t="str">
            <v>ZZ</v>
          </cell>
          <cell r="N2849">
            <v>47.611962505579498</v>
          </cell>
        </row>
        <row r="2850">
          <cell r="E2850" t="str">
            <v>HGC-Lib-2453636</v>
          </cell>
          <cell r="F2850" t="str">
            <v>FWSC20240315-10D</v>
          </cell>
          <cell r="G2850">
            <v>100</v>
          </cell>
          <cell r="H2850" t="str">
            <v>10× 3'单细胞</v>
          </cell>
          <cell r="I2850" t="str">
            <v>WH</v>
          </cell>
          <cell r="J2850">
            <v>21.6</v>
          </cell>
          <cell r="K2850">
            <v>528</v>
          </cell>
          <cell r="L2850" t="str">
            <v>ZZ</v>
          </cell>
          <cell r="N2850">
            <v>62.937062937062898</v>
          </cell>
        </row>
        <row r="2851">
          <cell r="E2851" t="str">
            <v>HGC-Lib-2453637</v>
          </cell>
          <cell r="F2851" t="str">
            <v>FWSC20240093-04-318</v>
          </cell>
          <cell r="G2851">
            <v>100</v>
          </cell>
          <cell r="H2851" t="str">
            <v>10× 3'单细胞</v>
          </cell>
          <cell r="I2851" t="str">
            <v>WH</v>
          </cell>
          <cell r="J2851">
            <v>9.7799999999999994</v>
          </cell>
          <cell r="K2851">
            <v>509</v>
          </cell>
          <cell r="L2851" t="str">
            <v>ZZ</v>
          </cell>
          <cell r="N2851">
            <v>29.560223666313998</v>
          </cell>
        </row>
        <row r="2852">
          <cell r="E2852" t="str">
            <v>HGC-Lib-2453639</v>
          </cell>
          <cell r="F2852" t="str">
            <v>T832-1</v>
          </cell>
          <cell r="G2852">
            <v>12</v>
          </cell>
          <cell r="H2852" t="str">
            <v>lncRNA文库</v>
          </cell>
          <cell r="I2852" t="str">
            <v>WH</v>
          </cell>
          <cell r="J2852">
            <v>8.66</v>
          </cell>
          <cell r="N2852" t="e">
            <v>#DIV/0!</v>
          </cell>
        </row>
        <row r="2853">
          <cell r="E2853" t="str">
            <v>HGC-Lib-2453640</v>
          </cell>
          <cell r="F2853" t="str">
            <v>T832-2</v>
          </cell>
          <cell r="G2853">
            <v>12</v>
          </cell>
          <cell r="H2853" t="str">
            <v>lncRNA文库</v>
          </cell>
          <cell r="I2853" t="str">
            <v>WH</v>
          </cell>
          <cell r="J2853">
            <v>8.24</v>
          </cell>
          <cell r="N2853" t="e">
            <v>#DIV/0!</v>
          </cell>
        </row>
        <row r="2854">
          <cell r="E2854" t="str">
            <v>HGC-Lib-2453641</v>
          </cell>
          <cell r="F2854" t="str">
            <v>T832-3</v>
          </cell>
          <cell r="G2854">
            <v>12</v>
          </cell>
          <cell r="H2854" t="str">
            <v>lncRNA文库</v>
          </cell>
          <cell r="I2854" t="str">
            <v>WH</v>
          </cell>
          <cell r="J2854">
            <v>4.2</v>
          </cell>
          <cell r="N2854" t="e">
            <v>#DIV/0!</v>
          </cell>
        </row>
        <row r="2855">
          <cell r="E2855" t="str">
            <v>HGC-Lib-2453642</v>
          </cell>
          <cell r="F2855" t="str">
            <v>T832-4</v>
          </cell>
          <cell r="G2855">
            <v>12</v>
          </cell>
          <cell r="H2855" t="str">
            <v>lncRNA文库</v>
          </cell>
          <cell r="I2855" t="str">
            <v>WH</v>
          </cell>
          <cell r="J2855">
            <v>5.98</v>
          </cell>
          <cell r="N2855" t="e">
            <v>#DIV/0!</v>
          </cell>
        </row>
        <row r="2856">
          <cell r="E2856" t="str">
            <v>HGC-POOL-2453647</v>
          </cell>
          <cell r="F2856" t="str">
            <v>OU-sgRNACFU-1</v>
          </cell>
          <cell r="G2856">
            <v>16</v>
          </cell>
          <cell r="H2856" t="str">
            <v>PCR产物文库</v>
          </cell>
          <cell r="I2856" t="str">
            <v>WH</v>
          </cell>
          <cell r="J2856">
            <v>8.3000000000000007</v>
          </cell>
          <cell r="K2856">
            <v>342</v>
          </cell>
          <cell r="L2856" t="str">
            <v>ZZ</v>
          </cell>
          <cell r="N2856">
            <v>37.3369320737742</v>
          </cell>
        </row>
        <row r="2857">
          <cell r="E2857" t="str">
            <v>HGC-POOL-2453648</v>
          </cell>
          <cell r="F2857" t="str">
            <v>OU-sgRNACFU-2</v>
          </cell>
          <cell r="G2857">
            <v>16</v>
          </cell>
          <cell r="H2857" t="str">
            <v>PCR产物文库</v>
          </cell>
          <cell r="I2857" t="str">
            <v>WH</v>
          </cell>
          <cell r="J2857">
            <v>13.2</v>
          </cell>
          <cell r="K2857">
            <v>367</v>
          </cell>
          <cell r="L2857" t="str">
            <v>ZZ</v>
          </cell>
          <cell r="N2857">
            <v>55.334311465101599</v>
          </cell>
        </row>
        <row r="2858">
          <cell r="E2858" t="str">
            <v>HGC-Lib-2453653</v>
          </cell>
          <cell r="F2858" t="str">
            <v>shM1</v>
          </cell>
          <cell r="G2858">
            <v>5</v>
          </cell>
          <cell r="H2858" t="str">
            <v>Riboseq 文库</v>
          </cell>
          <cell r="I2858" t="str">
            <v>WH</v>
          </cell>
          <cell r="J2858">
            <v>3.34</v>
          </cell>
          <cell r="K2858">
            <v>250</v>
          </cell>
          <cell r="L2858" t="str">
            <v>YHT</v>
          </cell>
          <cell r="N2858">
            <v>20.553846153846202</v>
          </cell>
        </row>
        <row r="2859">
          <cell r="E2859" t="str">
            <v>HGC-Lib-2453654</v>
          </cell>
          <cell r="F2859" t="str">
            <v>shG</v>
          </cell>
          <cell r="G2859">
            <v>5</v>
          </cell>
          <cell r="H2859" t="str">
            <v>Riboseq 文库</v>
          </cell>
          <cell r="I2859" t="str">
            <v>WH</v>
          </cell>
          <cell r="J2859">
            <v>3.82</v>
          </cell>
          <cell r="K2859">
            <v>215</v>
          </cell>
          <cell r="L2859" t="str">
            <v>YHT</v>
          </cell>
          <cell r="N2859">
            <v>27.334525939177102</v>
          </cell>
        </row>
        <row r="2860">
          <cell r="E2860" t="str">
            <v>HGC-Lib-2453655</v>
          </cell>
          <cell r="F2860" t="str">
            <v>P1</v>
          </cell>
          <cell r="G2860">
            <v>6</v>
          </cell>
          <cell r="H2860" t="str">
            <v>cut&amp;tag文库</v>
          </cell>
          <cell r="I2860" t="str">
            <v>WH</v>
          </cell>
          <cell r="J2860">
            <v>50.8</v>
          </cell>
          <cell r="K2860">
            <v>598</v>
          </cell>
          <cell r="L2860" t="str">
            <v>ZZ</v>
          </cell>
          <cell r="N2860">
            <v>130.69205042449201</v>
          </cell>
        </row>
        <row r="2861">
          <cell r="E2861" t="str">
            <v>HGC-Lib-2453656</v>
          </cell>
          <cell r="F2861" t="str">
            <v>3K27</v>
          </cell>
          <cell r="G2861">
            <v>6</v>
          </cell>
          <cell r="H2861" t="str">
            <v>cut&amp;tag文库</v>
          </cell>
          <cell r="I2861" t="str">
            <v>WH</v>
          </cell>
          <cell r="J2861">
            <v>59.4</v>
          </cell>
          <cell r="K2861">
            <v>624</v>
          </cell>
          <cell r="L2861" t="str">
            <v>ZZ</v>
          </cell>
          <cell r="N2861">
            <v>146.449704142012</v>
          </cell>
        </row>
        <row r="2862">
          <cell r="E2862" t="str">
            <v>HGC-Lib-2453657</v>
          </cell>
          <cell r="F2862" t="str">
            <v>P2</v>
          </cell>
          <cell r="G2862">
            <v>6</v>
          </cell>
          <cell r="H2862" t="str">
            <v>cut&amp;tag文库</v>
          </cell>
          <cell r="I2862" t="str">
            <v>WH</v>
          </cell>
          <cell r="J2862">
            <v>26.2</v>
          </cell>
          <cell r="K2862">
            <v>586</v>
          </cell>
          <cell r="L2862" t="str">
            <v>ZZ</v>
          </cell>
          <cell r="N2862">
            <v>68.784457862956103</v>
          </cell>
        </row>
        <row r="2863">
          <cell r="E2863" t="str">
            <v>HGC-Lib-2453658</v>
          </cell>
          <cell r="F2863" t="str">
            <v>3K9</v>
          </cell>
          <cell r="G2863">
            <v>6</v>
          </cell>
          <cell r="H2863" t="str">
            <v>cut&amp;tag文库</v>
          </cell>
          <cell r="I2863" t="str">
            <v>WH</v>
          </cell>
          <cell r="J2863">
            <v>36.6</v>
          </cell>
          <cell r="K2863">
            <v>633</v>
          </cell>
          <cell r="L2863" t="str">
            <v>ZZ</v>
          </cell>
          <cell r="N2863">
            <v>88.9537003281079</v>
          </cell>
        </row>
        <row r="2864">
          <cell r="E2864" t="str">
            <v>HGC-POOL-2453659</v>
          </cell>
          <cell r="F2864" t="str">
            <v>ATAC-SXH</v>
          </cell>
          <cell r="G2864">
            <v>90</v>
          </cell>
          <cell r="H2864" t="str">
            <v>ATAC-Seq文库</v>
          </cell>
          <cell r="I2864" t="str">
            <v>WH</v>
          </cell>
          <cell r="J2864">
            <v>0.376</v>
          </cell>
          <cell r="K2864">
            <v>421</v>
          </cell>
          <cell r="L2864" t="str">
            <v>YHT</v>
          </cell>
          <cell r="N2864">
            <v>1.37401790608441</v>
          </cell>
        </row>
        <row r="2865">
          <cell r="E2865" t="str">
            <v>HGC-Lib-2453660</v>
          </cell>
          <cell r="F2865" t="str">
            <v>CB-T22</v>
          </cell>
          <cell r="G2865">
            <v>5</v>
          </cell>
          <cell r="H2865" t="str">
            <v>PCR产物文库</v>
          </cell>
          <cell r="I2865" t="str">
            <v>WH</v>
          </cell>
          <cell r="J2865">
            <v>35.4</v>
          </cell>
          <cell r="K2865">
            <v>487</v>
          </cell>
          <cell r="L2865" t="str">
            <v>ZZ</v>
          </cell>
          <cell r="N2865">
            <v>111.83067445901099</v>
          </cell>
        </row>
        <row r="2866">
          <cell r="E2866" t="str">
            <v>HGC-Lib-2453661</v>
          </cell>
          <cell r="F2866" t="str">
            <v>m-1</v>
          </cell>
          <cell r="G2866">
            <v>6</v>
          </cell>
          <cell r="H2866" t="str">
            <v>mRNA文库</v>
          </cell>
          <cell r="I2866" t="str">
            <v>YHT</v>
          </cell>
          <cell r="J2866">
            <v>33.4</v>
          </cell>
          <cell r="N2866" t="e">
            <v>#DIV/0!</v>
          </cell>
        </row>
        <row r="2867">
          <cell r="E2867" t="str">
            <v>HGC-Lib-2453662</v>
          </cell>
          <cell r="F2867" t="str">
            <v>m-2</v>
          </cell>
          <cell r="G2867">
            <v>6</v>
          </cell>
          <cell r="H2867" t="str">
            <v>mRNA文库</v>
          </cell>
          <cell r="I2867" t="str">
            <v>YHT</v>
          </cell>
          <cell r="J2867">
            <v>33.799999999999997</v>
          </cell>
          <cell r="N2867" t="e">
            <v>#DIV/0!</v>
          </cell>
        </row>
        <row r="2868">
          <cell r="E2868" t="str">
            <v>HGC-Lib-2453663</v>
          </cell>
          <cell r="F2868" t="str">
            <v>m-3</v>
          </cell>
          <cell r="G2868">
            <v>6</v>
          </cell>
          <cell r="H2868" t="str">
            <v>mRNA文库</v>
          </cell>
          <cell r="I2868" t="str">
            <v>YHT</v>
          </cell>
          <cell r="J2868">
            <v>6.24</v>
          </cell>
          <cell r="N2868" t="e">
            <v>#DIV/0!</v>
          </cell>
        </row>
        <row r="2869">
          <cell r="E2869" t="str">
            <v>HGC-Lib-2453664</v>
          </cell>
          <cell r="F2869" t="str">
            <v>m-4</v>
          </cell>
          <cell r="G2869">
            <v>6</v>
          </cell>
          <cell r="H2869" t="str">
            <v>mRNA文库</v>
          </cell>
          <cell r="I2869" t="str">
            <v>YHT</v>
          </cell>
          <cell r="J2869">
            <v>5.7</v>
          </cell>
          <cell r="N2869" t="e">
            <v>#DIV/0!</v>
          </cell>
        </row>
        <row r="2870">
          <cell r="E2870" t="str">
            <v>HGC-Lib-2453665</v>
          </cell>
          <cell r="F2870" t="str">
            <v>m-5</v>
          </cell>
          <cell r="G2870">
            <v>6</v>
          </cell>
          <cell r="H2870" t="str">
            <v>mRNA文库</v>
          </cell>
          <cell r="I2870" t="str">
            <v>YHT</v>
          </cell>
          <cell r="J2870">
            <v>41.4</v>
          </cell>
          <cell r="N2870" t="e">
            <v>#DIV/0!</v>
          </cell>
        </row>
        <row r="2871">
          <cell r="E2871" t="str">
            <v>HGC-Lib-2453666</v>
          </cell>
          <cell r="F2871" t="str">
            <v>m-6</v>
          </cell>
          <cell r="G2871">
            <v>6</v>
          </cell>
          <cell r="H2871" t="str">
            <v>mRNA文库</v>
          </cell>
          <cell r="I2871" t="str">
            <v>YHT</v>
          </cell>
          <cell r="J2871">
            <v>25.8</v>
          </cell>
          <cell r="N2871" t="e">
            <v>#DIV/0!</v>
          </cell>
        </row>
        <row r="2872">
          <cell r="E2872" t="str">
            <v>HGC-Lib-2453667</v>
          </cell>
          <cell r="F2872" t="str">
            <v>m-7</v>
          </cell>
          <cell r="G2872">
            <v>6</v>
          </cell>
          <cell r="H2872" t="str">
            <v>mRNA文库</v>
          </cell>
          <cell r="I2872" t="str">
            <v>YHT</v>
          </cell>
          <cell r="J2872">
            <v>61.6</v>
          </cell>
          <cell r="N2872" t="e">
            <v>#DIV/0!</v>
          </cell>
        </row>
        <row r="2873">
          <cell r="E2873" t="str">
            <v>HGC-Lib-2453668</v>
          </cell>
          <cell r="F2873" t="str">
            <v>m-8</v>
          </cell>
          <cell r="G2873">
            <v>6</v>
          </cell>
          <cell r="H2873" t="str">
            <v>mRNA文库</v>
          </cell>
          <cell r="I2873" t="str">
            <v>YHT</v>
          </cell>
          <cell r="J2873">
            <v>11.3</v>
          </cell>
          <cell r="N2873" t="e">
            <v>#DIV/0!</v>
          </cell>
        </row>
        <row r="2874">
          <cell r="E2874" t="str">
            <v>HGC-Lib-2453669</v>
          </cell>
          <cell r="F2874" t="str">
            <v>m-9</v>
          </cell>
          <cell r="G2874">
            <v>6</v>
          </cell>
          <cell r="H2874" t="str">
            <v>mRNA文库</v>
          </cell>
          <cell r="I2874" t="str">
            <v>YHT</v>
          </cell>
          <cell r="J2874">
            <v>5.22</v>
          </cell>
          <cell r="N2874" t="e">
            <v>#DIV/0!</v>
          </cell>
        </row>
        <row r="2875">
          <cell r="E2875" t="str">
            <v>HGC-Lib-2453670</v>
          </cell>
          <cell r="F2875" t="str">
            <v>m-10</v>
          </cell>
          <cell r="G2875">
            <v>6</v>
          </cell>
          <cell r="H2875" t="str">
            <v>mRNA文库</v>
          </cell>
          <cell r="I2875" t="str">
            <v>YHT</v>
          </cell>
          <cell r="J2875">
            <v>6</v>
          </cell>
          <cell r="N2875" t="e">
            <v>#DIV/0!</v>
          </cell>
        </row>
        <row r="2876">
          <cell r="E2876" t="str">
            <v>HGC-Lib-2453671</v>
          </cell>
          <cell r="F2876" t="str">
            <v>m-11</v>
          </cell>
          <cell r="G2876">
            <v>6</v>
          </cell>
          <cell r="H2876" t="str">
            <v>mRNA文库</v>
          </cell>
          <cell r="I2876" t="str">
            <v>YHT</v>
          </cell>
          <cell r="J2876">
            <v>25.8</v>
          </cell>
          <cell r="N2876" t="e">
            <v>#DIV/0!</v>
          </cell>
        </row>
        <row r="2877">
          <cell r="E2877" t="str">
            <v>HGC-Lib-2453672</v>
          </cell>
          <cell r="F2877" t="str">
            <v>m-12</v>
          </cell>
          <cell r="G2877">
            <v>6</v>
          </cell>
          <cell r="H2877" t="str">
            <v>mRNA文库</v>
          </cell>
          <cell r="I2877" t="str">
            <v>YHT</v>
          </cell>
          <cell r="J2877">
            <v>30.4</v>
          </cell>
          <cell r="N2877" t="e">
            <v>#DIV/0!</v>
          </cell>
        </row>
        <row r="2878">
          <cell r="E2878" t="str">
            <v>HGC-Lib-2453673</v>
          </cell>
          <cell r="F2878" t="str">
            <v>m-13</v>
          </cell>
          <cell r="G2878">
            <v>6</v>
          </cell>
          <cell r="H2878" t="str">
            <v>mRNA文库</v>
          </cell>
          <cell r="I2878" t="str">
            <v>YHT</v>
          </cell>
          <cell r="J2878">
            <v>17.7</v>
          </cell>
          <cell r="N2878" t="e">
            <v>#DIV/0!</v>
          </cell>
        </row>
        <row r="2879">
          <cell r="E2879" t="str">
            <v>HGC-Lib-2453674</v>
          </cell>
          <cell r="F2879" t="str">
            <v>m-14</v>
          </cell>
          <cell r="G2879">
            <v>6</v>
          </cell>
          <cell r="H2879" t="str">
            <v>mRNA文库</v>
          </cell>
          <cell r="I2879" t="str">
            <v>YHT</v>
          </cell>
          <cell r="J2879">
            <v>17.399999999999999</v>
          </cell>
          <cell r="N2879" t="e">
            <v>#DIV/0!</v>
          </cell>
        </row>
        <row r="2880">
          <cell r="E2880" t="str">
            <v>HGC-Lib-2453675</v>
          </cell>
          <cell r="F2880" t="str">
            <v>m-15</v>
          </cell>
          <cell r="G2880">
            <v>6</v>
          </cell>
          <cell r="H2880" t="str">
            <v>mRNA文库</v>
          </cell>
          <cell r="I2880" t="str">
            <v>YHT</v>
          </cell>
          <cell r="J2880">
            <v>7.6</v>
          </cell>
          <cell r="N2880" t="e">
            <v>#DIV/0!</v>
          </cell>
        </row>
        <row r="2881">
          <cell r="E2881" t="str">
            <v>HGC-Lib-2453676</v>
          </cell>
          <cell r="F2881" t="str">
            <v>m-16</v>
          </cell>
          <cell r="G2881">
            <v>6</v>
          </cell>
          <cell r="H2881" t="str">
            <v>mRNA文库</v>
          </cell>
          <cell r="I2881" t="str">
            <v>YHT</v>
          </cell>
          <cell r="J2881">
            <v>9.0399999999999991</v>
          </cell>
          <cell r="N2881" t="e">
            <v>#DIV/0!</v>
          </cell>
        </row>
        <row r="2882">
          <cell r="E2882" t="str">
            <v>HGC-Lib-2453677</v>
          </cell>
          <cell r="F2882" t="str">
            <v>m-17</v>
          </cell>
          <cell r="G2882">
            <v>6</v>
          </cell>
          <cell r="H2882" t="str">
            <v>mRNA文库</v>
          </cell>
          <cell r="I2882" t="str">
            <v>YHT</v>
          </cell>
          <cell r="J2882">
            <v>27.4</v>
          </cell>
          <cell r="N2882" t="e">
            <v>#DIV/0!</v>
          </cell>
        </row>
        <row r="2883">
          <cell r="E2883" t="str">
            <v>HGC-Lib-2453678</v>
          </cell>
          <cell r="F2883" t="str">
            <v>m-18</v>
          </cell>
          <cell r="G2883">
            <v>6</v>
          </cell>
          <cell r="H2883" t="str">
            <v>mRNA文库</v>
          </cell>
          <cell r="I2883" t="str">
            <v>YHT</v>
          </cell>
          <cell r="J2883">
            <v>37</v>
          </cell>
          <cell r="N2883" t="e">
            <v>#DIV/0!</v>
          </cell>
        </row>
        <row r="2884">
          <cell r="E2884" t="str">
            <v>HGC-Lib-2453679</v>
          </cell>
          <cell r="F2884" t="str">
            <v>m-19</v>
          </cell>
          <cell r="G2884">
            <v>6</v>
          </cell>
          <cell r="H2884" t="str">
            <v>mRNA文库</v>
          </cell>
          <cell r="I2884" t="str">
            <v>YHT</v>
          </cell>
          <cell r="J2884">
            <v>29.4</v>
          </cell>
          <cell r="N2884" t="e">
            <v>#DIV/0!</v>
          </cell>
        </row>
        <row r="2885">
          <cell r="E2885" t="str">
            <v>HGC-Lib-2453680</v>
          </cell>
          <cell r="F2885" t="str">
            <v>m-20</v>
          </cell>
          <cell r="G2885">
            <v>6</v>
          </cell>
          <cell r="H2885" t="str">
            <v>mRNA文库</v>
          </cell>
          <cell r="I2885" t="str">
            <v>YHT</v>
          </cell>
          <cell r="J2885">
            <v>32.799999999999997</v>
          </cell>
          <cell r="N2885" t="e">
            <v>#DIV/0!</v>
          </cell>
        </row>
        <row r="2886">
          <cell r="E2886" t="str">
            <v>HGC-Lib-2453681</v>
          </cell>
          <cell r="F2886" t="str">
            <v>m-21</v>
          </cell>
          <cell r="G2886">
            <v>6</v>
          </cell>
          <cell r="H2886" t="str">
            <v>mRNA文库</v>
          </cell>
          <cell r="I2886" t="str">
            <v>YHT</v>
          </cell>
          <cell r="J2886">
            <v>24.6</v>
          </cell>
          <cell r="N2886" t="e">
            <v>#DIV/0!</v>
          </cell>
        </row>
        <row r="2887">
          <cell r="E2887" t="str">
            <v>HGC-Lib-2453682</v>
          </cell>
          <cell r="F2887" t="str">
            <v>m-22</v>
          </cell>
          <cell r="G2887">
            <v>6</v>
          </cell>
          <cell r="H2887" t="str">
            <v>mRNA文库</v>
          </cell>
          <cell r="I2887" t="str">
            <v>YHT</v>
          </cell>
          <cell r="J2887">
            <v>39</v>
          </cell>
          <cell r="N2887" t="e">
            <v>#DIV/0!</v>
          </cell>
        </row>
        <row r="2888">
          <cell r="E2888" t="str">
            <v>HGC-Lib-2453683</v>
          </cell>
          <cell r="F2888" t="str">
            <v>m-23</v>
          </cell>
          <cell r="G2888">
            <v>6</v>
          </cell>
          <cell r="H2888" t="str">
            <v>mRNA文库</v>
          </cell>
          <cell r="I2888" t="str">
            <v>YHT</v>
          </cell>
          <cell r="J2888">
            <v>36</v>
          </cell>
          <cell r="N2888" t="e">
            <v>#DIV/0!</v>
          </cell>
        </row>
        <row r="2889">
          <cell r="E2889" t="str">
            <v>HGC-Lib-2453684</v>
          </cell>
          <cell r="F2889" t="str">
            <v>m-24</v>
          </cell>
          <cell r="G2889">
            <v>6</v>
          </cell>
          <cell r="H2889" t="str">
            <v>mRNA文库</v>
          </cell>
          <cell r="I2889" t="str">
            <v>YHT</v>
          </cell>
          <cell r="J2889">
            <v>30</v>
          </cell>
          <cell r="N2889" t="e">
            <v>#DIV/0!</v>
          </cell>
        </row>
        <row r="2890">
          <cell r="E2890" t="str">
            <v>HGC-Lib-2453685</v>
          </cell>
          <cell r="F2890" t="str">
            <v>m-25</v>
          </cell>
          <cell r="G2890">
            <v>6</v>
          </cell>
          <cell r="H2890" t="str">
            <v>mRNA文库</v>
          </cell>
          <cell r="I2890" t="str">
            <v>YHT</v>
          </cell>
          <cell r="J2890">
            <v>27.2</v>
          </cell>
          <cell r="N2890" t="e">
            <v>#DIV/0!</v>
          </cell>
        </row>
        <row r="2891">
          <cell r="E2891" t="str">
            <v>HGC-Lib-2453686</v>
          </cell>
          <cell r="F2891" t="str">
            <v>m-26</v>
          </cell>
          <cell r="G2891">
            <v>6</v>
          </cell>
          <cell r="H2891" t="str">
            <v>mRNA文库</v>
          </cell>
          <cell r="I2891" t="str">
            <v>ZZ</v>
          </cell>
          <cell r="J2891">
            <v>22.6</v>
          </cell>
          <cell r="N2891" t="e">
            <v>#DIV/0!</v>
          </cell>
        </row>
        <row r="2892">
          <cell r="E2892" t="str">
            <v>HGC-Lib-2453687</v>
          </cell>
          <cell r="F2892" t="str">
            <v>m-27</v>
          </cell>
          <cell r="G2892">
            <v>6</v>
          </cell>
          <cell r="H2892" t="str">
            <v>mRNA文库</v>
          </cell>
          <cell r="I2892" t="str">
            <v>ZZ</v>
          </cell>
          <cell r="J2892">
            <v>19.399999999999999</v>
          </cell>
          <cell r="N2892" t="e">
            <v>#DIV/0!</v>
          </cell>
        </row>
        <row r="2893">
          <cell r="E2893" t="str">
            <v>HGC-Lib-2453688</v>
          </cell>
          <cell r="F2893" t="str">
            <v>m-28</v>
          </cell>
          <cell r="G2893">
            <v>6</v>
          </cell>
          <cell r="H2893" t="str">
            <v>mRNA文库</v>
          </cell>
          <cell r="I2893" t="str">
            <v>ZZ</v>
          </cell>
          <cell r="J2893">
            <v>24</v>
          </cell>
          <cell r="N2893" t="e">
            <v>#DIV/0!</v>
          </cell>
        </row>
        <row r="2894">
          <cell r="E2894" t="str">
            <v>HGC-Lib-2453689</v>
          </cell>
          <cell r="F2894" t="str">
            <v>m-29</v>
          </cell>
          <cell r="G2894">
            <v>6</v>
          </cell>
          <cell r="H2894" t="str">
            <v>mRNA文库</v>
          </cell>
          <cell r="I2894" t="str">
            <v>ZZ</v>
          </cell>
          <cell r="J2894">
            <v>13.7</v>
          </cell>
          <cell r="N2894" t="e">
            <v>#DIV/0!</v>
          </cell>
        </row>
        <row r="2895">
          <cell r="E2895" t="str">
            <v>HGC-Lib-2453690</v>
          </cell>
          <cell r="F2895" t="str">
            <v>m-30</v>
          </cell>
          <cell r="G2895">
            <v>6</v>
          </cell>
          <cell r="H2895" t="str">
            <v>mRNA文库</v>
          </cell>
          <cell r="I2895" t="str">
            <v>ZZ</v>
          </cell>
          <cell r="J2895">
            <v>33.4</v>
          </cell>
          <cell r="N2895" t="e">
            <v>#DIV/0!</v>
          </cell>
        </row>
        <row r="2896">
          <cell r="E2896" t="str">
            <v>HGC-Lib-2453691</v>
          </cell>
          <cell r="F2896" t="str">
            <v>m-31</v>
          </cell>
          <cell r="G2896">
            <v>6</v>
          </cell>
          <cell r="H2896" t="str">
            <v>mRNA文库</v>
          </cell>
          <cell r="I2896" t="str">
            <v>ZZ</v>
          </cell>
          <cell r="J2896">
            <v>13.6</v>
          </cell>
          <cell r="N2896" t="e">
            <v>#DIV/0!</v>
          </cell>
        </row>
        <row r="2897">
          <cell r="E2897" t="str">
            <v>HGC-Lib-2453717</v>
          </cell>
          <cell r="F2897" t="str">
            <v>Input</v>
          </cell>
          <cell r="G2897">
            <v>12</v>
          </cell>
          <cell r="H2897" t="str">
            <v>PCR Product Libraries</v>
          </cell>
          <cell r="I2897" t="str">
            <v>ZZ</v>
          </cell>
          <cell r="J2897">
            <v>6.46</v>
          </cell>
          <cell r="K2897">
            <v>633</v>
          </cell>
          <cell r="L2897" t="str">
            <v>YHT</v>
          </cell>
          <cell r="N2897">
            <v>15.7005711508081</v>
          </cell>
        </row>
        <row r="2898">
          <cell r="E2898" t="str">
            <v>HGC-Lib-2453718</v>
          </cell>
          <cell r="F2898" t="str">
            <v>NC</v>
          </cell>
          <cell r="G2898">
            <v>12</v>
          </cell>
          <cell r="H2898" t="str">
            <v>PCR Product Libraries</v>
          </cell>
          <cell r="I2898" t="str">
            <v>ZZ</v>
          </cell>
          <cell r="J2898">
            <v>12.5</v>
          </cell>
          <cell r="K2898">
            <v>575</v>
          </cell>
          <cell r="L2898" t="str">
            <v>YHT</v>
          </cell>
          <cell r="N2898">
            <v>33.444816053511701</v>
          </cell>
        </row>
        <row r="2899">
          <cell r="E2899" t="str">
            <v>HGC-Lib-2453719</v>
          </cell>
          <cell r="F2899" t="str">
            <v>4B</v>
          </cell>
          <cell r="G2899">
            <v>12</v>
          </cell>
          <cell r="H2899" t="str">
            <v>PCR Product Libraries</v>
          </cell>
          <cell r="I2899" t="str">
            <v>ZZ</v>
          </cell>
          <cell r="J2899">
            <v>11.8</v>
          </cell>
          <cell r="K2899">
            <v>716</v>
          </cell>
          <cell r="L2899" t="str">
            <v>YHT</v>
          </cell>
          <cell r="N2899">
            <v>25.354533734421999</v>
          </cell>
        </row>
        <row r="2900">
          <cell r="E2900" t="str">
            <v>HGC-Lib-2453720</v>
          </cell>
          <cell r="F2900" t="str">
            <v>WRN</v>
          </cell>
          <cell r="G2900">
            <v>12</v>
          </cell>
          <cell r="H2900" t="str">
            <v>PCR Product Libraries</v>
          </cell>
          <cell r="I2900" t="str">
            <v>ZZ</v>
          </cell>
          <cell r="J2900">
            <v>10.199999999999999</v>
          </cell>
          <cell r="K2900">
            <v>766</v>
          </cell>
          <cell r="L2900" t="str">
            <v>YHT</v>
          </cell>
          <cell r="N2900">
            <v>20.486041373769801</v>
          </cell>
        </row>
        <row r="2901">
          <cell r="E2901" t="str">
            <v>HGC-Lib-2451811</v>
          </cell>
          <cell r="F2901">
            <v>24139</v>
          </cell>
          <cell r="G2901">
            <v>6</v>
          </cell>
          <cell r="H2901" t="str">
            <v>ATAC-Seq文库</v>
          </cell>
          <cell r="N2901" t="e">
            <v>#DIV/0!</v>
          </cell>
        </row>
        <row r="2902">
          <cell r="E2902" t="str">
            <v>HGC-POOL-2453638</v>
          </cell>
          <cell r="F2902" t="str">
            <v>rice_IP_20240708</v>
          </cell>
          <cell r="G2902">
            <v>24</v>
          </cell>
          <cell r="H2902" t="str">
            <v>Chip-Seq</v>
          </cell>
          <cell r="I2902" t="str">
            <v>HZK</v>
          </cell>
          <cell r="J2902">
            <v>4.26</v>
          </cell>
          <cell r="K2902">
            <v>323</v>
          </cell>
          <cell r="L2902" t="str">
            <v>HZK</v>
          </cell>
          <cell r="N2902">
            <v>20.290545367944699</v>
          </cell>
        </row>
        <row r="2903">
          <cell r="E2903" t="str">
            <v>HGC-Lib-2453697</v>
          </cell>
          <cell r="F2903" t="str">
            <v>CLIP1_HEK13_2M_rep1</v>
          </cell>
          <cell r="G2903">
            <v>30</v>
          </cell>
          <cell r="H2903" t="str">
            <v>RIP-seq文库</v>
          </cell>
          <cell r="I2903" t="str">
            <v>HZK</v>
          </cell>
          <cell r="J2903">
            <v>15.2</v>
          </cell>
          <cell r="K2903">
            <v>653</v>
          </cell>
          <cell r="L2903" t="str">
            <v>HZK</v>
          </cell>
          <cell r="N2903">
            <v>35.811049593591697</v>
          </cell>
        </row>
        <row r="2904">
          <cell r="E2904" t="str">
            <v>HGC-POOL-2453716</v>
          </cell>
          <cell r="F2904" t="str">
            <v>ICG925</v>
          </cell>
          <cell r="G2904">
            <v>20</v>
          </cell>
          <cell r="H2904" t="str">
            <v>宏基因组文库</v>
          </cell>
          <cell r="I2904" t="str">
            <v>HZK</v>
          </cell>
          <cell r="J2904">
            <v>27.4</v>
          </cell>
          <cell r="K2904">
            <v>361</v>
          </cell>
          <cell r="L2904" t="str">
            <v>HZK</v>
          </cell>
          <cell r="N2904">
            <v>116.769656935862</v>
          </cell>
        </row>
        <row r="2905">
          <cell r="E2905" t="str">
            <v>HGC-Lib-2453721</v>
          </cell>
          <cell r="F2905" t="str">
            <v>LC240705026</v>
          </cell>
          <cell r="G2905">
            <v>90</v>
          </cell>
          <cell r="H2905" t="str">
            <v>singleron-3'转录组文库</v>
          </cell>
          <cell r="I2905" t="str">
            <v>ZZ</v>
          </cell>
          <cell r="J2905">
            <v>13.5</v>
          </cell>
          <cell r="N2905" t="e">
            <v>#DIV/0!</v>
          </cell>
        </row>
        <row r="2906">
          <cell r="E2906" t="str">
            <v>HGC-Lib-2453722</v>
          </cell>
          <cell r="F2906" t="str">
            <v>LHC240706006</v>
          </cell>
          <cell r="G2906">
            <v>200</v>
          </cell>
          <cell r="H2906" t="str">
            <v>singleron-3'转录组文库</v>
          </cell>
          <cell r="I2906" t="str">
            <v>ZZ</v>
          </cell>
          <cell r="J2906">
            <v>16.399999999999999</v>
          </cell>
          <cell r="N2906" t="e">
            <v>#DIV/0!</v>
          </cell>
        </row>
        <row r="2907">
          <cell r="E2907" t="str">
            <v>HGC-Lib-2453723</v>
          </cell>
          <cell r="F2907" t="str">
            <v>LHC240706007</v>
          </cell>
          <cell r="G2907">
            <v>200</v>
          </cell>
          <cell r="H2907" t="str">
            <v>singleron-3'转录组文库</v>
          </cell>
          <cell r="I2907" t="str">
            <v>ZZ</v>
          </cell>
          <cell r="J2907">
            <v>16.600000000000001</v>
          </cell>
          <cell r="N2907" t="e">
            <v>#DIV/0!</v>
          </cell>
        </row>
        <row r="2908">
          <cell r="E2908" t="str">
            <v>HGC-Lib-2453724</v>
          </cell>
          <cell r="F2908" t="str">
            <v>LHC240706008</v>
          </cell>
          <cell r="G2908">
            <v>200</v>
          </cell>
          <cell r="H2908" t="str">
            <v>singleron-3'转录组文库</v>
          </cell>
          <cell r="I2908" t="str">
            <v>ZZ</v>
          </cell>
          <cell r="J2908">
            <v>18.5</v>
          </cell>
          <cell r="N2908" t="e">
            <v>#DIV/0!</v>
          </cell>
        </row>
        <row r="2909">
          <cell r="E2909" t="str">
            <v>HGC-Lib-2453725</v>
          </cell>
          <cell r="F2909" t="str">
            <v>LC240706014</v>
          </cell>
          <cell r="G2909">
            <v>100</v>
          </cell>
          <cell r="H2909" t="str">
            <v>singleron-3'转录组文库</v>
          </cell>
          <cell r="I2909" t="str">
            <v>ZZ</v>
          </cell>
          <cell r="J2909">
            <v>17.2</v>
          </cell>
          <cell r="N2909" t="e">
            <v>#DIV/0!</v>
          </cell>
        </row>
        <row r="2910">
          <cell r="E2910" t="str">
            <v>HGC-Lib-2453726</v>
          </cell>
          <cell r="F2910" t="str">
            <v>LC240706015</v>
          </cell>
          <cell r="G2910">
            <v>100</v>
          </cell>
          <cell r="H2910" t="str">
            <v>singleron-3'转录组文库</v>
          </cell>
          <cell r="I2910" t="str">
            <v>ZZ</v>
          </cell>
          <cell r="J2910">
            <v>20.399999999999999</v>
          </cell>
          <cell r="N2910" t="e">
            <v>#DIV/0!</v>
          </cell>
        </row>
        <row r="2911">
          <cell r="E2911" t="str">
            <v>HGC-Lib-2453727</v>
          </cell>
          <cell r="F2911" t="str">
            <v>LC240706026</v>
          </cell>
          <cell r="G2911">
            <v>100</v>
          </cell>
          <cell r="H2911" t="str">
            <v>singleron-3'转录组文库</v>
          </cell>
          <cell r="I2911" t="str">
            <v>ZZ</v>
          </cell>
          <cell r="J2911">
            <v>15.5</v>
          </cell>
          <cell r="N2911" t="e">
            <v>#DIV/0!</v>
          </cell>
        </row>
        <row r="2912">
          <cell r="E2912" t="str">
            <v>HGC-Lib-2453728</v>
          </cell>
          <cell r="F2912" t="str">
            <v>LC240706027</v>
          </cell>
          <cell r="G2912">
            <v>100</v>
          </cell>
          <cell r="H2912" t="str">
            <v>singleron-3'转录组文库</v>
          </cell>
          <cell r="I2912" t="str">
            <v>ZZ</v>
          </cell>
          <cell r="J2912">
            <v>11.4</v>
          </cell>
          <cell r="N2912" t="e">
            <v>#DIV/0!</v>
          </cell>
        </row>
        <row r="2913">
          <cell r="E2913" t="str">
            <v>HGC-Lib-2453729</v>
          </cell>
          <cell r="F2913" t="str">
            <v>LHC240706031</v>
          </cell>
          <cell r="G2913">
            <v>200</v>
          </cell>
          <cell r="H2913" t="str">
            <v>singleron-3'转录组文库</v>
          </cell>
          <cell r="I2913" t="str">
            <v>ZZ</v>
          </cell>
          <cell r="J2913">
            <v>14.9</v>
          </cell>
          <cell r="N2913" t="e">
            <v>#DIV/0!</v>
          </cell>
        </row>
        <row r="2914">
          <cell r="E2914" t="str">
            <v>HGC-Lib-2453730</v>
          </cell>
          <cell r="F2914" t="str">
            <v>LA240706016</v>
          </cell>
          <cell r="G2914">
            <v>90</v>
          </cell>
          <cell r="H2914" t="str">
            <v>singleron-3'转录组文库</v>
          </cell>
          <cell r="I2914" t="str">
            <v>ZZ</v>
          </cell>
          <cell r="J2914">
            <v>12</v>
          </cell>
          <cell r="N2914" t="e">
            <v>#DIV/0!</v>
          </cell>
        </row>
        <row r="2915">
          <cell r="E2915" t="str">
            <v>HGC-Lib-2453731</v>
          </cell>
          <cell r="F2915" t="str">
            <v>LA240706017</v>
          </cell>
          <cell r="G2915">
            <v>90</v>
          </cell>
          <cell r="H2915" t="str">
            <v>singleron-3'转录组文库</v>
          </cell>
          <cell r="I2915" t="str">
            <v>ZZ</v>
          </cell>
          <cell r="J2915">
            <v>13.7</v>
          </cell>
          <cell r="N2915" t="e">
            <v>#DIV/0!</v>
          </cell>
        </row>
        <row r="2916">
          <cell r="E2916" t="str">
            <v>HGC-Lib-2453732</v>
          </cell>
          <cell r="F2916" t="str">
            <v>LA240706018</v>
          </cell>
          <cell r="G2916">
            <v>90</v>
          </cell>
          <cell r="H2916" t="str">
            <v>singleron-3'转录组文库</v>
          </cell>
          <cell r="I2916" t="str">
            <v>ZZ</v>
          </cell>
          <cell r="J2916">
            <v>10.9</v>
          </cell>
          <cell r="N2916" t="e">
            <v>#DIV/0!</v>
          </cell>
        </row>
        <row r="2917">
          <cell r="E2917" t="str">
            <v>HGC-Lib-2453733</v>
          </cell>
          <cell r="F2917" t="str">
            <v>LA240706020</v>
          </cell>
          <cell r="G2917">
            <v>90</v>
          </cell>
          <cell r="H2917" t="str">
            <v>singleron-3'转录组文库</v>
          </cell>
          <cell r="I2917" t="str">
            <v>ZZ</v>
          </cell>
          <cell r="J2917">
            <v>11.3</v>
          </cell>
          <cell r="N2917" t="e">
            <v>#DIV/0!</v>
          </cell>
        </row>
        <row r="2918">
          <cell r="E2918" t="str">
            <v>HGC-Lib-2453734</v>
          </cell>
          <cell r="F2918" t="str">
            <v>LA240706021</v>
          </cell>
          <cell r="G2918">
            <v>90</v>
          </cell>
          <cell r="H2918" t="str">
            <v>singleron-3'转录组文库</v>
          </cell>
          <cell r="I2918" t="str">
            <v>ZZ</v>
          </cell>
          <cell r="J2918">
            <v>10.9</v>
          </cell>
          <cell r="N2918" t="e">
            <v>#DIV/0!</v>
          </cell>
        </row>
        <row r="2919">
          <cell r="E2919" t="str">
            <v>HGC-Lib-2453735</v>
          </cell>
          <cell r="F2919" t="str">
            <v>LC240706009</v>
          </cell>
          <cell r="G2919">
            <v>100</v>
          </cell>
          <cell r="H2919" t="str">
            <v>singleron-3'转录组文库</v>
          </cell>
          <cell r="I2919" t="str">
            <v>ZZ</v>
          </cell>
          <cell r="J2919">
            <v>8.86</v>
          </cell>
          <cell r="N2919" t="e">
            <v>#DIV/0!</v>
          </cell>
        </row>
        <row r="2920">
          <cell r="E2920" t="str">
            <v>HGC-Lib-2453736</v>
          </cell>
          <cell r="F2920" t="str">
            <v>LA240706019</v>
          </cell>
          <cell r="G2920">
            <v>90</v>
          </cell>
          <cell r="H2920" t="str">
            <v>singleron-3'转录组文库</v>
          </cell>
          <cell r="I2920" t="str">
            <v>ZZ</v>
          </cell>
          <cell r="J2920">
            <v>15.6</v>
          </cell>
          <cell r="N2920" t="e">
            <v>#DIV/0!</v>
          </cell>
        </row>
        <row r="2921">
          <cell r="E2921" t="str">
            <v>HGC-Lib-2453737</v>
          </cell>
          <cell r="F2921" t="str">
            <v>LA240705001X1</v>
          </cell>
          <cell r="G2921">
            <v>30</v>
          </cell>
          <cell r="H2921" t="str">
            <v>singleron-3'转录组文库</v>
          </cell>
          <cell r="I2921" t="str">
            <v>ZZ</v>
          </cell>
          <cell r="J2921">
            <v>14</v>
          </cell>
          <cell r="N2921" t="e">
            <v>#DIV/0!</v>
          </cell>
        </row>
        <row r="2922">
          <cell r="E2922" t="str">
            <v>HGC-Lib-2453738</v>
          </cell>
          <cell r="F2922" t="str">
            <v>LA240705004X1</v>
          </cell>
          <cell r="G2922">
            <v>30</v>
          </cell>
          <cell r="H2922" t="str">
            <v>singleron-3'转录组文库</v>
          </cell>
          <cell r="I2922" t="str">
            <v>ZZ</v>
          </cell>
          <cell r="J2922">
            <v>15.1</v>
          </cell>
          <cell r="N2922" t="e">
            <v>#DIV/0!</v>
          </cell>
        </row>
        <row r="2923">
          <cell r="E2923" t="str">
            <v>HGC-Lib-2453739</v>
          </cell>
          <cell r="F2923" t="str">
            <v>LA240704021</v>
          </cell>
          <cell r="G2923">
            <v>100</v>
          </cell>
          <cell r="H2923" t="str">
            <v>singleron-3'转录组文库</v>
          </cell>
          <cell r="I2923" t="str">
            <v>ZZ</v>
          </cell>
          <cell r="J2923">
            <v>38.6</v>
          </cell>
          <cell r="N2923" t="e">
            <v>#DIV/0!</v>
          </cell>
        </row>
        <row r="2924">
          <cell r="E2924" t="str">
            <v>HGC-Lib-2453740</v>
          </cell>
          <cell r="F2924" t="str">
            <v>LA240704019</v>
          </cell>
          <cell r="G2924">
            <v>100</v>
          </cell>
          <cell r="H2924" t="str">
            <v>singleron-3'转录组文库</v>
          </cell>
          <cell r="I2924" t="str">
            <v>ZZ</v>
          </cell>
          <cell r="J2924">
            <v>29.2</v>
          </cell>
          <cell r="N2924" t="e">
            <v>#DIV/0!</v>
          </cell>
        </row>
        <row r="2925">
          <cell r="E2925" t="str">
            <v>HGC-Lib-2453741</v>
          </cell>
          <cell r="F2925" t="str">
            <v>LA240704020</v>
          </cell>
          <cell r="G2925">
            <v>100</v>
          </cell>
          <cell r="H2925" t="str">
            <v>singleron-3'转录组文库</v>
          </cell>
          <cell r="I2925" t="str">
            <v>ZZ</v>
          </cell>
          <cell r="J2925">
            <v>32.799999999999997</v>
          </cell>
          <cell r="N2925" t="e">
            <v>#DIV/0!</v>
          </cell>
        </row>
        <row r="2926">
          <cell r="E2926" t="str">
            <v>HGC-Lib-2453742</v>
          </cell>
          <cell r="F2926" t="str">
            <v>LA240704022</v>
          </cell>
          <cell r="G2926">
            <v>100</v>
          </cell>
          <cell r="H2926" t="str">
            <v>singleron-3'转录组文库</v>
          </cell>
          <cell r="I2926" t="str">
            <v>ZZ</v>
          </cell>
          <cell r="J2926">
            <v>22</v>
          </cell>
          <cell r="N2926" t="e">
            <v>#DIV/0!</v>
          </cell>
        </row>
        <row r="2927">
          <cell r="E2927" t="str">
            <v>HGC-Lib-2453743</v>
          </cell>
          <cell r="F2927" t="str">
            <v>PMLPMFTBC240703042</v>
          </cell>
          <cell r="G2927">
            <v>12</v>
          </cell>
          <cell r="H2927" t="str">
            <v>其他碱基不平衡文库</v>
          </cell>
          <cell r="I2927" t="str">
            <v>ZZ</v>
          </cell>
          <cell r="J2927">
            <v>41</v>
          </cell>
          <cell r="N2927" t="e">
            <v>#DIV/0!</v>
          </cell>
        </row>
        <row r="2928">
          <cell r="E2928" t="str">
            <v>HGC-Lib-2453744</v>
          </cell>
          <cell r="F2928" t="str">
            <v>LPMFTBC240703042</v>
          </cell>
          <cell r="G2928">
            <v>100</v>
          </cell>
          <cell r="H2928" t="str">
            <v>singleron-3'全长转录组文库</v>
          </cell>
          <cell r="I2928" t="str">
            <v>ZZ</v>
          </cell>
          <cell r="J2928">
            <v>22.2</v>
          </cell>
          <cell r="N2928" t="e">
            <v>#DIV/0!</v>
          </cell>
        </row>
        <row r="2929">
          <cell r="E2929" t="str">
            <v>HGC-Lib-2453745</v>
          </cell>
          <cell r="F2929" t="str">
            <v>PMLPMFTBC240703041</v>
          </cell>
          <cell r="G2929">
            <v>12</v>
          </cell>
          <cell r="H2929" t="str">
            <v>其他碱基不平衡文库</v>
          </cell>
          <cell r="I2929" t="str">
            <v>ZZ</v>
          </cell>
          <cell r="J2929">
            <v>42.2</v>
          </cell>
          <cell r="N2929" t="e">
            <v>#DIV/0!</v>
          </cell>
        </row>
        <row r="2930">
          <cell r="E2930" t="str">
            <v>HGC-Lib-2453746</v>
          </cell>
          <cell r="F2930" t="str">
            <v>LPMFTBC240703041</v>
          </cell>
          <cell r="G2930">
            <v>100</v>
          </cell>
          <cell r="H2930" t="str">
            <v>singleron-3'全长转录组文库</v>
          </cell>
          <cell r="I2930" t="str">
            <v>ZZ</v>
          </cell>
          <cell r="J2930">
            <v>23.8</v>
          </cell>
          <cell r="N2930" t="e">
            <v>#DIV/0!</v>
          </cell>
        </row>
        <row r="2931">
          <cell r="E2931" t="str">
            <v>HGC-Lib-2453747</v>
          </cell>
          <cell r="F2931" t="str">
            <v>LC240703078</v>
          </cell>
          <cell r="G2931">
            <v>100</v>
          </cell>
          <cell r="H2931" t="str">
            <v>singleron-3'转录组文库</v>
          </cell>
          <cell r="I2931" t="str">
            <v>ZZ</v>
          </cell>
          <cell r="J2931">
            <v>15</v>
          </cell>
          <cell r="N2931" t="e">
            <v>#DIV/0!</v>
          </cell>
        </row>
        <row r="2932">
          <cell r="E2932" t="str">
            <v>HGC-Lib-2453748</v>
          </cell>
          <cell r="F2932" t="str">
            <v>LHC240703044</v>
          </cell>
          <cell r="G2932">
            <v>200</v>
          </cell>
          <cell r="H2932" t="str">
            <v>singleron-3'转录组文库</v>
          </cell>
          <cell r="I2932" t="str">
            <v>ZZ</v>
          </cell>
          <cell r="J2932">
            <v>19.100000000000001</v>
          </cell>
          <cell r="N2932" t="e">
            <v>#DIV/0!</v>
          </cell>
        </row>
        <row r="2933">
          <cell r="E2933" t="str">
            <v>HGC-Lib-2453749</v>
          </cell>
          <cell r="F2933" t="str">
            <v>LHC240703047</v>
          </cell>
          <cell r="G2933">
            <v>200</v>
          </cell>
          <cell r="H2933" t="str">
            <v>singleron-3'转录组文库</v>
          </cell>
          <cell r="I2933" t="str">
            <v>ZZ</v>
          </cell>
          <cell r="J2933">
            <v>21</v>
          </cell>
          <cell r="N2933" t="e">
            <v>#DIV/0!</v>
          </cell>
        </row>
        <row r="2934">
          <cell r="E2934" t="str">
            <v>HGC-Lib-2453750</v>
          </cell>
          <cell r="F2934" t="str">
            <v>LHC240703050</v>
          </cell>
          <cell r="G2934">
            <v>200</v>
          </cell>
          <cell r="H2934" t="str">
            <v>singleron-3'转录组文库</v>
          </cell>
          <cell r="I2934" t="str">
            <v>ZZ</v>
          </cell>
          <cell r="J2934">
            <v>21.4</v>
          </cell>
          <cell r="N2934" t="e">
            <v>#DIV/0!</v>
          </cell>
        </row>
        <row r="2935">
          <cell r="E2935" t="str">
            <v>HGC-Lib-2453751</v>
          </cell>
          <cell r="F2935" t="str">
            <v>LA240703084X1</v>
          </cell>
          <cell r="G2935">
            <v>100</v>
          </cell>
          <cell r="H2935" t="str">
            <v>singleron-3'转录组文库</v>
          </cell>
          <cell r="I2935" t="str">
            <v>ZZ</v>
          </cell>
          <cell r="J2935">
            <v>18.3</v>
          </cell>
          <cell r="N2935" t="e">
            <v>#DIV/0!</v>
          </cell>
        </row>
        <row r="2936">
          <cell r="E2936" t="str">
            <v>HGC-Lib-2453752</v>
          </cell>
          <cell r="F2936" t="str">
            <v>LA240703092</v>
          </cell>
          <cell r="G2936">
            <v>100</v>
          </cell>
          <cell r="H2936" t="str">
            <v>singleron-3'转录组文库</v>
          </cell>
          <cell r="I2936" t="str">
            <v>ZZ</v>
          </cell>
          <cell r="J2936">
            <v>11.6</v>
          </cell>
          <cell r="N2936" t="e">
            <v>#DIV/0!</v>
          </cell>
        </row>
        <row r="2937">
          <cell r="E2937" t="str">
            <v>HGC-Lib-2453753</v>
          </cell>
          <cell r="F2937" t="str">
            <v>LC240703090</v>
          </cell>
          <cell r="G2937">
            <v>100</v>
          </cell>
          <cell r="H2937" t="str">
            <v>singleron-3'转录组文库</v>
          </cell>
          <cell r="I2937" t="str">
            <v>ZZ</v>
          </cell>
          <cell r="J2937">
            <v>13.3</v>
          </cell>
          <cell r="N2937" t="e">
            <v>#DIV/0!</v>
          </cell>
        </row>
        <row r="2938">
          <cell r="E2938" t="str">
            <v>HGC-Lib-2453754</v>
          </cell>
          <cell r="F2938" t="str">
            <v>LC240702085</v>
          </cell>
          <cell r="G2938">
            <v>120</v>
          </cell>
          <cell r="H2938" t="str">
            <v>singleron-3'转录组文库</v>
          </cell>
          <cell r="I2938" t="str">
            <v>ZZ</v>
          </cell>
          <cell r="J2938">
            <v>22.2</v>
          </cell>
          <cell r="N2938" t="e">
            <v>#DIV/0!</v>
          </cell>
        </row>
        <row r="2939">
          <cell r="E2939" t="str">
            <v>HGC-Lib-2453755</v>
          </cell>
          <cell r="F2939" t="str">
            <v>LC240704015</v>
          </cell>
          <cell r="G2939">
            <v>120</v>
          </cell>
          <cell r="H2939" t="str">
            <v>singleron-3'转录组文库</v>
          </cell>
          <cell r="I2939" t="str">
            <v>ZZ</v>
          </cell>
          <cell r="J2939">
            <v>25.4</v>
          </cell>
          <cell r="N2939" t="e">
            <v>#DIV/0!</v>
          </cell>
        </row>
        <row r="2940">
          <cell r="E2940" t="str">
            <v>HGC-Lib-2453756</v>
          </cell>
          <cell r="F2940" t="str">
            <v>LC240702084</v>
          </cell>
          <cell r="G2940">
            <v>120</v>
          </cell>
          <cell r="H2940" t="str">
            <v>singleron-3'转录组文库</v>
          </cell>
          <cell r="I2940" t="str">
            <v>ZZ</v>
          </cell>
          <cell r="J2940">
            <v>24.2</v>
          </cell>
          <cell r="N2940" t="e">
            <v>#DIV/0!</v>
          </cell>
        </row>
        <row r="2941">
          <cell r="E2941" t="str">
            <v>HGC-Lib-2453757</v>
          </cell>
          <cell r="F2941" t="str">
            <v>LFTBC240702091</v>
          </cell>
          <cell r="G2941">
            <v>90</v>
          </cell>
          <cell r="H2941" t="str">
            <v>singleron-3'全长转录组文库</v>
          </cell>
          <cell r="I2941" t="str">
            <v>ZZ</v>
          </cell>
          <cell r="J2941">
            <v>28</v>
          </cell>
          <cell r="N2941" t="e">
            <v>#DIV/0!</v>
          </cell>
        </row>
        <row r="2942">
          <cell r="E2942" t="str">
            <v>HGC-Lib-2453758</v>
          </cell>
          <cell r="F2942" t="str">
            <v>LFTC240621056</v>
          </cell>
          <cell r="G2942">
            <v>100</v>
          </cell>
          <cell r="H2942" t="str">
            <v>singleron-3'全长转录组文库</v>
          </cell>
          <cell r="I2942" t="str">
            <v>ZZ</v>
          </cell>
          <cell r="J2942">
            <v>15</v>
          </cell>
          <cell r="N2942" t="e">
            <v>#DIV/0!</v>
          </cell>
        </row>
        <row r="2943">
          <cell r="E2943" t="str">
            <v>HGC-Lib-2453759</v>
          </cell>
          <cell r="F2943" t="str">
            <v>LFTC240527070</v>
          </cell>
          <cell r="G2943">
            <v>80</v>
          </cell>
          <cell r="H2943" t="str">
            <v>singleron-3'全长转录组文库</v>
          </cell>
          <cell r="I2943" t="str">
            <v>ZZ</v>
          </cell>
          <cell r="J2943">
            <v>12.3</v>
          </cell>
          <cell r="N2943" t="e">
            <v>#DIV/0!</v>
          </cell>
        </row>
        <row r="2944">
          <cell r="E2944" t="str">
            <v>HGC-Lib-2453760</v>
          </cell>
          <cell r="F2944" t="str">
            <v>LFBC240530086</v>
          </cell>
          <cell r="G2944">
            <v>80</v>
          </cell>
          <cell r="H2944" t="str">
            <v>singleron-3'全长转录组文库</v>
          </cell>
          <cell r="I2944" t="str">
            <v>ZZ</v>
          </cell>
          <cell r="J2944">
            <v>18.7</v>
          </cell>
          <cell r="N2944" t="e">
            <v>#DIV/0!</v>
          </cell>
        </row>
        <row r="2945">
          <cell r="E2945" t="str">
            <v>HGC-Lib-2453761</v>
          </cell>
          <cell r="F2945" t="str">
            <v>LA240705049</v>
          </cell>
          <cell r="G2945">
            <v>100</v>
          </cell>
          <cell r="H2945" t="str">
            <v>singleron-3'转录组文库</v>
          </cell>
          <cell r="I2945" t="str">
            <v>ZZ</v>
          </cell>
          <cell r="J2945">
            <v>37.200000000000003</v>
          </cell>
          <cell r="N2945" t="e">
            <v>#DIV/0!</v>
          </cell>
        </row>
        <row r="2946">
          <cell r="E2946" t="str">
            <v>HGC-Lib-2453762</v>
          </cell>
          <cell r="F2946" t="str">
            <v>LC240705078</v>
          </cell>
          <cell r="G2946">
            <v>90</v>
          </cell>
          <cell r="H2946" t="str">
            <v>singleron-3'转录组文库</v>
          </cell>
          <cell r="I2946" t="str">
            <v>ZZ</v>
          </cell>
          <cell r="J2946">
            <v>25.6</v>
          </cell>
          <cell r="N2946" t="e">
            <v>#DIV/0!</v>
          </cell>
        </row>
        <row r="2947">
          <cell r="E2947" t="str">
            <v>HGC-Lib-2453763</v>
          </cell>
          <cell r="F2947" t="str">
            <v>LC240705079</v>
          </cell>
          <cell r="G2947">
            <v>90</v>
          </cell>
          <cell r="H2947" t="str">
            <v>singleron-3'转录组文库</v>
          </cell>
          <cell r="I2947" t="str">
            <v>ZZ</v>
          </cell>
          <cell r="J2947">
            <v>27.8</v>
          </cell>
          <cell r="N2947" t="e">
            <v>#DIV/0!</v>
          </cell>
        </row>
        <row r="2948">
          <cell r="E2948" t="str">
            <v>HGC-Lib-2453764</v>
          </cell>
          <cell r="F2948" t="str">
            <v>PMLPMFTBC240702026</v>
          </cell>
          <cell r="G2948">
            <v>12</v>
          </cell>
          <cell r="H2948" t="str">
            <v>其他碱基不平衡文库</v>
          </cell>
          <cell r="I2948" t="str">
            <v>ZZ</v>
          </cell>
          <cell r="J2948">
            <v>69.8</v>
          </cell>
          <cell r="N2948" t="e">
            <v>#DIV/0!</v>
          </cell>
        </row>
        <row r="2949">
          <cell r="E2949" t="str">
            <v>HGC-Lib-2453765</v>
          </cell>
          <cell r="F2949" t="str">
            <v>LPMFTBC240702026CK</v>
          </cell>
          <cell r="G2949">
            <v>90</v>
          </cell>
          <cell r="H2949" t="str">
            <v>singleron-3'全长转录组文库</v>
          </cell>
          <cell r="I2949" t="str">
            <v>ZZ</v>
          </cell>
          <cell r="J2949">
            <v>19.8</v>
          </cell>
          <cell r="N2949" t="e">
            <v>#DIV/0!</v>
          </cell>
        </row>
        <row r="2950">
          <cell r="E2950" t="str">
            <v>HGC-Lib-2453766</v>
          </cell>
          <cell r="F2950" t="str">
            <v>LA240703004</v>
          </cell>
          <cell r="G2950">
            <v>120</v>
          </cell>
          <cell r="H2950" t="str">
            <v>singleron-3'转录组文库</v>
          </cell>
          <cell r="I2950" t="str">
            <v>ZZ</v>
          </cell>
          <cell r="J2950">
            <v>18.3</v>
          </cell>
          <cell r="N2950" t="e">
            <v>#DIV/0!</v>
          </cell>
        </row>
        <row r="2951">
          <cell r="E2951" t="str">
            <v>HGC-Lib-2453767</v>
          </cell>
          <cell r="F2951" t="str">
            <v>LA240703003</v>
          </cell>
          <cell r="G2951">
            <v>120</v>
          </cell>
          <cell r="H2951" t="str">
            <v>singleron-3'转录组文库</v>
          </cell>
          <cell r="I2951" t="str">
            <v>ZZ</v>
          </cell>
          <cell r="J2951">
            <v>18.899999999999999</v>
          </cell>
          <cell r="N2951" t="e">
            <v>#DIV/0!</v>
          </cell>
        </row>
        <row r="2952">
          <cell r="E2952" t="str">
            <v>HGC-Lib-2453768</v>
          </cell>
          <cell r="F2952" t="str">
            <v>LC240705070</v>
          </cell>
          <cell r="G2952">
            <v>100</v>
          </cell>
          <cell r="H2952" t="str">
            <v>singleron-3'转录组文库</v>
          </cell>
          <cell r="I2952" t="str">
            <v>ZZ</v>
          </cell>
          <cell r="J2952">
            <v>29.8</v>
          </cell>
          <cell r="N2952" t="e">
            <v>#DIV/0!</v>
          </cell>
        </row>
        <row r="2953">
          <cell r="E2953" t="str">
            <v>HGC-Lib-2453769</v>
          </cell>
          <cell r="F2953" t="str">
            <v>LC240629090</v>
          </cell>
          <cell r="G2953">
            <v>100</v>
          </cell>
          <cell r="H2953" t="str">
            <v>singleron-3'转录组文库</v>
          </cell>
          <cell r="I2953" t="str">
            <v>WH</v>
          </cell>
          <cell r="J2953">
            <v>13</v>
          </cell>
          <cell r="N2953" t="e">
            <v>#DIV/0!</v>
          </cell>
        </row>
        <row r="2954">
          <cell r="E2954" t="str">
            <v>HGC-Lib-2453770</v>
          </cell>
          <cell r="F2954" t="str">
            <v>R240709001</v>
          </cell>
          <cell r="I2954" t="str">
            <v>WH</v>
          </cell>
          <cell r="J2954">
            <v>59.4</v>
          </cell>
          <cell r="N2954" t="e">
            <v>#DIV/0!</v>
          </cell>
        </row>
        <row r="2955">
          <cell r="E2955" t="str">
            <v>HGC-Lib-2453771</v>
          </cell>
          <cell r="F2955" t="str">
            <v>LC240703036</v>
          </cell>
          <cell r="G2955">
            <v>100</v>
          </cell>
          <cell r="H2955" t="str">
            <v>singleron-3'转录组文库</v>
          </cell>
          <cell r="I2955" t="str">
            <v>WH</v>
          </cell>
          <cell r="J2955">
            <v>17.100000000000001</v>
          </cell>
          <cell r="N2955" t="e">
            <v>#DIV/0!</v>
          </cell>
        </row>
        <row r="2956">
          <cell r="E2956" t="str">
            <v>HGC-Lib-2453772</v>
          </cell>
          <cell r="F2956" t="str">
            <v>LC240703037</v>
          </cell>
          <cell r="G2956">
            <v>100</v>
          </cell>
          <cell r="H2956" t="str">
            <v>singleron-3'转录组文库</v>
          </cell>
          <cell r="I2956" t="str">
            <v>WH</v>
          </cell>
          <cell r="J2956">
            <v>13.2</v>
          </cell>
          <cell r="N2956" t="e">
            <v>#DIV/0!</v>
          </cell>
        </row>
        <row r="2957">
          <cell r="E2957" t="str">
            <v>HGC-Lib-2453773</v>
          </cell>
          <cell r="F2957" t="str">
            <v>LC240703002</v>
          </cell>
          <cell r="G2957">
            <v>100</v>
          </cell>
          <cell r="H2957" t="str">
            <v>singleron-3'转录组文库</v>
          </cell>
          <cell r="I2957" t="str">
            <v>WH</v>
          </cell>
          <cell r="J2957">
            <v>20.6</v>
          </cell>
          <cell r="N2957" t="e">
            <v>#DIV/0!</v>
          </cell>
        </row>
        <row r="2958">
          <cell r="E2958" t="str">
            <v>HGC-Lib-2453774</v>
          </cell>
          <cell r="F2958" t="str">
            <v>LC240703034</v>
          </cell>
          <cell r="G2958">
            <v>100</v>
          </cell>
          <cell r="H2958" t="str">
            <v>singleron-3'转录组文库</v>
          </cell>
          <cell r="I2958" t="str">
            <v>WH</v>
          </cell>
          <cell r="J2958">
            <v>21.6</v>
          </cell>
          <cell r="N2958" t="e">
            <v>#DIV/0!</v>
          </cell>
        </row>
        <row r="2959">
          <cell r="E2959" t="str">
            <v>HGC-Lib-2453775</v>
          </cell>
          <cell r="F2959" t="str">
            <v>LC240703001</v>
          </cell>
          <cell r="G2959">
            <v>100</v>
          </cell>
          <cell r="H2959" t="str">
            <v>singleron-3'转录组文库</v>
          </cell>
          <cell r="I2959" t="str">
            <v>WH</v>
          </cell>
          <cell r="J2959">
            <v>31.8</v>
          </cell>
          <cell r="N2959" t="e">
            <v>#DIV/0!</v>
          </cell>
        </row>
        <row r="2960">
          <cell r="E2960" t="str">
            <v>HGC-Lib-2453776</v>
          </cell>
          <cell r="F2960" t="str">
            <v>LC240703035</v>
          </cell>
          <cell r="G2960">
            <v>100</v>
          </cell>
          <cell r="H2960" t="str">
            <v>singleron-3'转录组文库</v>
          </cell>
          <cell r="I2960" t="str">
            <v>WH</v>
          </cell>
          <cell r="J2960">
            <v>10.9</v>
          </cell>
          <cell r="N2960" t="e">
            <v>#DIV/0!</v>
          </cell>
        </row>
        <row r="2961">
          <cell r="E2961" t="str">
            <v>HGC-Lib-2453777</v>
          </cell>
          <cell r="F2961" t="str">
            <v>LC240704037</v>
          </cell>
          <cell r="G2961">
            <v>150</v>
          </cell>
          <cell r="H2961" t="str">
            <v>singleron-3'转录组文库</v>
          </cell>
          <cell r="I2961" t="str">
            <v>WH</v>
          </cell>
          <cell r="J2961">
            <v>16.600000000000001</v>
          </cell>
          <cell r="N2961" t="e">
            <v>#DIV/0!</v>
          </cell>
        </row>
        <row r="2962">
          <cell r="E2962" t="str">
            <v>HGC-Lib-2453778</v>
          </cell>
          <cell r="F2962" t="str">
            <v>LC240704038</v>
          </cell>
          <cell r="G2962">
            <v>150</v>
          </cell>
          <cell r="H2962" t="str">
            <v>singleron-3'转录组文库</v>
          </cell>
          <cell r="I2962" t="str">
            <v>WH</v>
          </cell>
          <cell r="J2962">
            <v>16.399999999999999</v>
          </cell>
          <cell r="N2962" t="e">
            <v>#DIV/0!</v>
          </cell>
        </row>
        <row r="2963">
          <cell r="E2963" t="str">
            <v>HGC-Lib-2453779</v>
          </cell>
          <cell r="F2963" t="str">
            <v>LC240704036</v>
          </cell>
          <cell r="G2963">
            <v>150</v>
          </cell>
          <cell r="H2963" t="str">
            <v>singleron-3'转录组文库</v>
          </cell>
          <cell r="I2963" t="str">
            <v>WH</v>
          </cell>
          <cell r="J2963">
            <v>15.3</v>
          </cell>
          <cell r="N2963" t="e">
            <v>#DIV/0!</v>
          </cell>
        </row>
        <row r="2964">
          <cell r="E2964" t="str">
            <v>HGC-Lib-2453780</v>
          </cell>
          <cell r="F2964" t="str">
            <v>LC240704039</v>
          </cell>
          <cell r="G2964">
            <v>150</v>
          </cell>
          <cell r="H2964" t="str">
            <v>singleron-3'转录组文库</v>
          </cell>
          <cell r="I2964" t="str">
            <v>WH</v>
          </cell>
          <cell r="J2964">
            <v>15.7</v>
          </cell>
          <cell r="N2964" t="e">
            <v>#DIV/0!</v>
          </cell>
        </row>
        <row r="2965">
          <cell r="E2965" t="str">
            <v>HGC-Lib-2453781</v>
          </cell>
          <cell r="F2965" t="str">
            <v>LC240703080</v>
          </cell>
          <cell r="G2965">
            <v>90</v>
          </cell>
          <cell r="H2965" t="str">
            <v>singleron-3'转录组文库</v>
          </cell>
          <cell r="I2965" t="str">
            <v>WH</v>
          </cell>
          <cell r="J2965">
            <v>14.9</v>
          </cell>
          <cell r="N2965" t="e">
            <v>#DIV/0!</v>
          </cell>
        </row>
        <row r="2966">
          <cell r="E2966" t="str">
            <v>HGC-Lib-2453782</v>
          </cell>
          <cell r="F2966" t="str">
            <v>LA240703081</v>
          </cell>
          <cell r="G2966">
            <v>90</v>
          </cell>
          <cell r="H2966" t="str">
            <v>singleron-3'转录组文库</v>
          </cell>
          <cell r="I2966" t="str">
            <v>WH</v>
          </cell>
          <cell r="J2966">
            <v>14.7</v>
          </cell>
          <cell r="N2966" t="e">
            <v>#DIV/0!</v>
          </cell>
        </row>
        <row r="2967">
          <cell r="E2967" t="str">
            <v>HGC-Lib-2453783</v>
          </cell>
          <cell r="F2967" t="str">
            <v>LC240703029</v>
          </cell>
          <cell r="G2967">
            <v>100</v>
          </cell>
          <cell r="H2967" t="str">
            <v>singleron-3'转录组文库</v>
          </cell>
          <cell r="I2967" t="str">
            <v>WH</v>
          </cell>
          <cell r="J2967">
            <v>23.6</v>
          </cell>
          <cell r="N2967" t="e">
            <v>#DIV/0!</v>
          </cell>
        </row>
        <row r="2968">
          <cell r="E2968" t="str">
            <v>HGC-Lib-2453784</v>
          </cell>
          <cell r="F2968" t="str">
            <v>LA240703039</v>
          </cell>
          <cell r="G2968">
            <v>100</v>
          </cell>
          <cell r="H2968" t="str">
            <v>singleron-3'转录组文库</v>
          </cell>
          <cell r="I2968" t="str">
            <v>WH</v>
          </cell>
          <cell r="J2968">
            <v>13.3</v>
          </cell>
          <cell r="N2968" t="e">
            <v>#DIV/0!</v>
          </cell>
        </row>
        <row r="2969">
          <cell r="E2969" t="str">
            <v>HGC-Lib-2453785</v>
          </cell>
          <cell r="F2969" t="str">
            <v>LA240702036</v>
          </cell>
          <cell r="G2969">
            <v>100</v>
          </cell>
          <cell r="H2969" t="str">
            <v>singleron-3'转录组文库</v>
          </cell>
          <cell r="I2969" t="str">
            <v>WH</v>
          </cell>
          <cell r="J2969">
            <v>20.8</v>
          </cell>
          <cell r="N2969" t="e">
            <v>#DIV/0!</v>
          </cell>
        </row>
        <row r="2970">
          <cell r="E2970" t="str">
            <v>HGC-Lib-2453786</v>
          </cell>
          <cell r="F2970" t="str">
            <v>LA240702037</v>
          </cell>
          <cell r="G2970">
            <v>100</v>
          </cell>
          <cell r="H2970" t="str">
            <v>singleron-3'转录组文库</v>
          </cell>
          <cell r="I2970" t="str">
            <v>WH</v>
          </cell>
          <cell r="J2970">
            <v>20.399999999999999</v>
          </cell>
          <cell r="N2970" t="e">
            <v>#DIV/0!</v>
          </cell>
        </row>
        <row r="2971">
          <cell r="E2971" t="str">
            <v>HGC-Lib-2453787</v>
          </cell>
          <cell r="F2971" t="str">
            <v>LFTC240629102X1</v>
          </cell>
          <cell r="G2971">
            <v>100</v>
          </cell>
          <cell r="H2971" t="str">
            <v>singleron-3'全长转录组文库</v>
          </cell>
          <cell r="I2971" t="str">
            <v>WH</v>
          </cell>
          <cell r="J2971">
            <v>13.6</v>
          </cell>
          <cell r="N2971" t="e">
            <v>#DIV/0!</v>
          </cell>
        </row>
        <row r="2972">
          <cell r="E2972" t="str">
            <v>HGC-Lib-2453788</v>
          </cell>
          <cell r="F2972" t="str">
            <v>LFTC240702086X2</v>
          </cell>
          <cell r="G2972">
            <v>100</v>
          </cell>
          <cell r="H2972" t="str">
            <v>singleron-3'全长转录组文库</v>
          </cell>
          <cell r="I2972" t="str">
            <v>WH</v>
          </cell>
          <cell r="J2972">
            <v>19.8</v>
          </cell>
          <cell r="N2972" t="e">
            <v>#DIV/0!</v>
          </cell>
        </row>
        <row r="2973">
          <cell r="E2973" t="str">
            <v>HGC-Lib-2453789</v>
          </cell>
          <cell r="F2973" t="str">
            <v>LC240702051</v>
          </cell>
          <cell r="G2973">
            <v>100</v>
          </cell>
          <cell r="H2973" t="str">
            <v>singleron-3'转录组文库</v>
          </cell>
          <cell r="I2973" t="str">
            <v>WH</v>
          </cell>
          <cell r="J2973">
            <v>27.4</v>
          </cell>
          <cell r="N2973" t="e">
            <v>#DIV/0!</v>
          </cell>
        </row>
        <row r="2974">
          <cell r="E2974" t="str">
            <v>HGC-Lib-2453790</v>
          </cell>
          <cell r="F2974" t="str">
            <v>LC240702052</v>
          </cell>
          <cell r="G2974">
            <v>100</v>
          </cell>
          <cell r="H2974" t="str">
            <v>singleron-3'转录组文库</v>
          </cell>
          <cell r="I2974" t="str">
            <v>WH</v>
          </cell>
          <cell r="J2974">
            <v>21.4</v>
          </cell>
          <cell r="N2974" t="e">
            <v>#DIV/0!</v>
          </cell>
        </row>
        <row r="2975">
          <cell r="E2975" t="str">
            <v>HGC-Lib-2453791</v>
          </cell>
          <cell r="F2975" t="str">
            <v>LC240703076</v>
          </cell>
          <cell r="G2975">
            <v>100</v>
          </cell>
          <cell r="H2975" t="str">
            <v>singleron-3'转录组文库</v>
          </cell>
          <cell r="I2975" t="str">
            <v>WH</v>
          </cell>
          <cell r="J2975">
            <v>17.600000000000001</v>
          </cell>
          <cell r="N2975" t="e">
            <v>#DIV/0!</v>
          </cell>
        </row>
        <row r="2976">
          <cell r="E2976" t="str">
            <v>HGC-Lib-2453792</v>
          </cell>
          <cell r="F2976" t="str">
            <v>LFTBA240702068</v>
          </cell>
          <cell r="G2976">
            <v>90</v>
          </cell>
          <cell r="H2976" t="str">
            <v>singleron-3'全长转录组文库</v>
          </cell>
          <cell r="I2976" t="str">
            <v>WH</v>
          </cell>
          <cell r="J2976">
            <v>20</v>
          </cell>
          <cell r="N2976" t="e">
            <v>#DIV/0!</v>
          </cell>
        </row>
        <row r="2977">
          <cell r="E2977" t="str">
            <v>HGC-Lib-2453793</v>
          </cell>
          <cell r="F2977" t="str">
            <v>LFTBA240702038</v>
          </cell>
          <cell r="G2977">
            <v>90</v>
          </cell>
          <cell r="H2977" t="str">
            <v>singleron-3'全长转录组文库</v>
          </cell>
          <cell r="I2977" t="str">
            <v>WH</v>
          </cell>
          <cell r="J2977">
            <v>21.8</v>
          </cell>
          <cell r="N2977" t="e">
            <v>#DIV/0!</v>
          </cell>
        </row>
        <row r="2978">
          <cell r="E2978" t="str">
            <v>HGC-Lib-2453794</v>
          </cell>
          <cell r="F2978" t="str">
            <v>LFTBC240629048</v>
          </cell>
          <cell r="G2978">
            <v>90</v>
          </cell>
          <cell r="H2978" t="str">
            <v>singleron-3'全长转录组文库</v>
          </cell>
          <cell r="I2978" t="str">
            <v>WH</v>
          </cell>
          <cell r="J2978">
            <v>9.02</v>
          </cell>
          <cell r="N2978" t="e">
            <v>#DIV/0!</v>
          </cell>
        </row>
        <row r="2979">
          <cell r="E2979" t="str">
            <v>HGC-Lib-2453795</v>
          </cell>
          <cell r="F2979" t="str">
            <v>LFTBC240702039</v>
          </cell>
          <cell r="G2979">
            <v>90</v>
          </cell>
          <cell r="H2979" t="str">
            <v>singleron-3'全长转录组文库</v>
          </cell>
          <cell r="I2979" t="str">
            <v>WH</v>
          </cell>
          <cell r="J2979">
            <v>20.6</v>
          </cell>
          <cell r="N2979" t="e">
            <v>#DIV/0!</v>
          </cell>
        </row>
        <row r="2980">
          <cell r="E2980" t="str">
            <v>HGC-Lib-2453796</v>
          </cell>
          <cell r="F2980" t="str">
            <v>LFTBA240702067</v>
          </cell>
          <cell r="G2980">
            <v>90</v>
          </cell>
          <cell r="H2980" t="str">
            <v>singleron-3'全长转录组文库</v>
          </cell>
          <cell r="I2980" t="str">
            <v>WH</v>
          </cell>
          <cell r="J2980">
            <v>18.899999999999999</v>
          </cell>
          <cell r="N2980" t="e">
            <v>#DIV/0!</v>
          </cell>
        </row>
        <row r="2981">
          <cell r="E2981" t="str">
            <v>HGC-Lib-2453797</v>
          </cell>
          <cell r="F2981" t="str">
            <v>LFTBC240629078</v>
          </cell>
          <cell r="G2981">
            <v>90</v>
          </cell>
          <cell r="H2981" t="str">
            <v>singleron-3'全长转录组文库</v>
          </cell>
          <cell r="I2981" t="str">
            <v>WH</v>
          </cell>
          <cell r="J2981">
            <v>8.0399999999999991</v>
          </cell>
          <cell r="N2981" t="e">
            <v>#DIV/0!</v>
          </cell>
        </row>
        <row r="2982">
          <cell r="E2982" t="str">
            <v>HGC-Lib-2453798</v>
          </cell>
          <cell r="F2982" t="str">
            <v>LTC240702070</v>
          </cell>
          <cell r="G2982">
            <v>90</v>
          </cell>
          <cell r="H2982" t="str">
            <v>singleron-3'转录组文库</v>
          </cell>
          <cell r="I2982" t="str">
            <v>WH</v>
          </cell>
          <cell r="J2982">
            <v>22.4</v>
          </cell>
          <cell r="N2982" t="e">
            <v>#DIV/0!</v>
          </cell>
        </row>
        <row r="2983">
          <cell r="E2983" t="str">
            <v>HGC-Lib-2453799</v>
          </cell>
          <cell r="F2983" t="str">
            <v>LC240522076</v>
          </cell>
          <cell r="G2983">
            <v>100</v>
          </cell>
          <cell r="H2983" t="str">
            <v>singleron-3'转录组文库</v>
          </cell>
          <cell r="I2983" t="str">
            <v>WH</v>
          </cell>
          <cell r="J2983">
            <v>21.2</v>
          </cell>
          <cell r="N2983" t="e">
            <v>#DIV/0!</v>
          </cell>
        </row>
        <row r="2984">
          <cell r="E2984" t="str">
            <v>HGC-Lib-2453800</v>
          </cell>
          <cell r="F2984" t="str">
            <v>LC240522075</v>
          </cell>
          <cell r="G2984">
            <v>100</v>
          </cell>
          <cell r="H2984" t="str">
            <v>singleron-3'转录组文库</v>
          </cell>
          <cell r="I2984" t="str">
            <v>WH</v>
          </cell>
          <cell r="J2984">
            <v>18</v>
          </cell>
          <cell r="N2984" t="e">
            <v>#DIV/0!</v>
          </cell>
        </row>
        <row r="2985">
          <cell r="E2985" t="str">
            <v>HGC-Lib-2453801</v>
          </cell>
          <cell r="F2985" t="str">
            <v>LPMFTBC240702025</v>
          </cell>
          <cell r="G2985">
            <v>90</v>
          </cell>
          <cell r="H2985" t="str">
            <v>singleron-3'全长转录组文库</v>
          </cell>
          <cell r="I2985" t="str">
            <v>WH</v>
          </cell>
          <cell r="J2985">
            <v>18.399999999999999</v>
          </cell>
          <cell r="N2985" t="e">
            <v>#DIV/0!</v>
          </cell>
        </row>
        <row r="2986">
          <cell r="E2986" t="str">
            <v>HGC-Lib-2453802</v>
          </cell>
          <cell r="F2986" t="str">
            <v>PMLPMFTBC240702025</v>
          </cell>
          <cell r="G2986">
            <v>12</v>
          </cell>
          <cell r="H2986" t="str">
            <v>其他碱基不平衡文库</v>
          </cell>
          <cell r="I2986" t="str">
            <v>WH</v>
          </cell>
          <cell r="J2986">
            <v>60.4</v>
          </cell>
          <cell r="N2986" t="e">
            <v>#DIV/0!</v>
          </cell>
        </row>
        <row r="2987">
          <cell r="E2987" t="str">
            <v>HGC-Lib-2453803</v>
          </cell>
          <cell r="F2987" t="str">
            <v>LC240704014</v>
          </cell>
          <cell r="G2987">
            <v>100</v>
          </cell>
          <cell r="H2987" t="str">
            <v>singleron-3'转录组文库</v>
          </cell>
          <cell r="I2987" t="str">
            <v>WH</v>
          </cell>
          <cell r="J2987">
            <v>42.2</v>
          </cell>
          <cell r="N2987" t="e">
            <v>#DIV/0!</v>
          </cell>
        </row>
        <row r="2988">
          <cell r="E2988" t="str">
            <v>HGC-Lib-2453804</v>
          </cell>
          <cell r="F2988" t="str">
            <v>PMLPMFTBC240702027</v>
          </cell>
          <cell r="G2988">
            <v>12</v>
          </cell>
          <cell r="H2988" t="str">
            <v>其他碱基不平衡文库</v>
          </cell>
          <cell r="I2988" t="str">
            <v>WH</v>
          </cell>
          <cell r="J2988">
            <v>73.2</v>
          </cell>
          <cell r="N2988" t="e">
            <v>#DIV/0!</v>
          </cell>
        </row>
        <row r="2989">
          <cell r="E2989" t="str">
            <v>HGC-Lib-2453805</v>
          </cell>
          <cell r="F2989" t="str">
            <v>LPMFTBC240702027</v>
          </cell>
          <cell r="G2989">
            <v>90</v>
          </cell>
          <cell r="H2989" t="str">
            <v>singleron-3'全长转录组文库</v>
          </cell>
          <cell r="I2989" t="str">
            <v>WH</v>
          </cell>
          <cell r="J2989">
            <v>19.5</v>
          </cell>
          <cell r="N2989" t="e">
            <v>#DIV/0!</v>
          </cell>
        </row>
        <row r="2990">
          <cell r="E2990" t="str">
            <v>HGC-Lib-2453806</v>
          </cell>
          <cell r="F2990" t="str">
            <v>PMLPMFTBC240702028X1</v>
          </cell>
          <cell r="G2990">
            <v>12</v>
          </cell>
          <cell r="H2990" t="str">
            <v>其他碱基不平衡文库</v>
          </cell>
          <cell r="I2990" t="str">
            <v>WH</v>
          </cell>
          <cell r="J2990">
            <v>61.6</v>
          </cell>
          <cell r="N2990" t="e">
            <v>#DIV/0!</v>
          </cell>
        </row>
        <row r="2991">
          <cell r="E2991" t="str">
            <v>HGC-Lib-2453807</v>
          </cell>
          <cell r="F2991" t="str">
            <v>LPMFTBC240702028X1</v>
          </cell>
          <cell r="G2991">
            <v>90</v>
          </cell>
          <cell r="H2991" t="str">
            <v>singleron-3'全长转录组文库</v>
          </cell>
          <cell r="I2991" t="str">
            <v>WH</v>
          </cell>
          <cell r="J2991">
            <v>19.899999999999999</v>
          </cell>
          <cell r="N2991" t="e">
            <v>#DIV/0!</v>
          </cell>
        </row>
        <row r="2992">
          <cell r="E2992" t="str">
            <v>HGC-Lib-2453808</v>
          </cell>
          <cell r="F2992" t="str">
            <v>LPMFTBC240702030X2</v>
          </cell>
          <cell r="G2992">
            <v>90</v>
          </cell>
          <cell r="H2992" t="str">
            <v>singleron-3'全长转录组文库</v>
          </cell>
          <cell r="I2992" t="str">
            <v>WH</v>
          </cell>
          <cell r="J2992">
            <v>18.3</v>
          </cell>
          <cell r="N2992" t="e">
            <v>#DIV/0!</v>
          </cell>
        </row>
        <row r="2993">
          <cell r="E2993" t="str">
            <v>HGC-Lib-2453809</v>
          </cell>
          <cell r="F2993" t="str">
            <v>PMLPMFTBC240702030X2</v>
          </cell>
          <cell r="G2993">
            <v>12</v>
          </cell>
          <cell r="H2993" t="str">
            <v>其他碱基不平衡文库</v>
          </cell>
          <cell r="I2993" t="str">
            <v>WH</v>
          </cell>
          <cell r="J2993">
            <v>48.6</v>
          </cell>
          <cell r="N2993" t="e">
            <v>#DIV/0!</v>
          </cell>
        </row>
        <row r="2994">
          <cell r="E2994" t="str">
            <v>HGC-Lib-2453810</v>
          </cell>
          <cell r="F2994" t="str">
            <v>PMLPMFTBC240702033</v>
          </cell>
          <cell r="G2994">
            <v>12</v>
          </cell>
          <cell r="H2994" t="str">
            <v>其他碱基不平衡文库</v>
          </cell>
          <cell r="I2994" t="str">
            <v>WH</v>
          </cell>
          <cell r="J2994">
            <v>47</v>
          </cell>
          <cell r="N2994" t="e">
            <v>#DIV/0!</v>
          </cell>
        </row>
        <row r="2995">
          <cell r="E2995" t="str">
            <v>HGC-Lib-2453811</v>
          </cell>
          <cell r="F2995" t="str">
            <v>LPMFTBC240702033</v>
          </cell>
          <cell r="G2995">
            <v>90</v>
          </cell>
          <cell r="H2995" t="str">
            <v>singleron-3'全长转录组文库</v>
          </cell>
          <cell r="I2995" t="str">
            <v>WH</v>
          </cell>
          <cell r="J2995">
            <v>17.3</v>
          </cell>
          <cell r="N2995" t="e">
            <v>#DIV/0!</v>
          </cell>
        </row>
        <row r="2996">
          <cell r="E2996" t="str">
            <v>HGC-Lib-2453812</v>
          </cell>
          <cell r="F2996" t="str">
            <v>LC240705006</v>
          </cell>
          <cell r="G2996">
            <v>100</v>
          </cell>
          <cell r="H2996" t="str">
            <v>singleron-3'转录组文库</v>
          </cell>
          <cell r="I2996" t="str">
            <v>WH</v>
          </cell>
          <cell r="J2996">
            <v>26.6</v>
          </cell>
          <cell r="N2996" t="e">
            <v>#DIV/0!</v>
          </cell>
        </row>
        <row r="2997">
          <cell r="E2997" t="str">
            <v>HGC-Lib-2453813</v>
          </cell>
          <cell r="F2997" t="str">
            <v>LC240705007</v>
          </cell>
          <cell r="G2997">
            <v>100</v>
          </cell>
          <cell r="H2997" t="str">
            <v>singleron-3'转录组文库</v>
          </cell>
          <cell r="I2997" t="str">
            <v>WH</v>
          </cell>
          <cell r="J2997">
            <v>19</v>
          </cell>
          <cell r="N2997" t="e">
            <v>#DIV/0!</v>
          </cell>
        </row>
        <row r="2998">
          <cell r="E2998" t="str">
            <v>HGC-Lib-2453814</v>
          </cell>
          <cell r="F2998" t="str">
            <v>LC240705005</v>
          </cell>
          <cell r="G2998">
            <v>100</v>
          </cell>
          <cell r="H2998" t="str">
            <v>singleron-3'转录组文库</v>
          </cell>
          <cell r="I2998" t="str">
            <v>WH</v>
          </cell>
          <cell r="J2998">
            <v>29.6</v>
          </cell>
          <cell r="N2998" t="e">
            <v>#DIV/0!</v>
          </cell>
        </row>
        <row r="2999">
          <cell r="E2999" t="str">
            <v>HGC-Lib-2453815</v>
          </cell>
          <cell r="F2999" t="str">
            <v>LC240705008</v>
          </cell>
          <cell r="G2999">
            <v>100</v>
          </cell>
          <cell r="H2999" t="str">
            <v>singleron-3'转录组文库</v>
          </cell>
          <cell r="I2999" t="str">
            <v>WH</v>
          </cell>
          <cell r="J2999">
            <v>18.899999999999999</v>
          </cell>
          <cell r="N2999" t="e">
            <v>#DIV/0!</v>
          </cell>
        </row>
        <row r="3000">
          <cell r="E3000" t="str">
            <v>HGC-Lib-2453816</v>
          </cell>
          <cell r="F3000" t="str">
            <v>LA240704028</v>
          </cell>
          <cell r="G3000">
            <v>100</v>
          </cell>
          <cell r="H3000" t="str">
            <v>singleron-3'转录组文库</v>
          </cell>
          <cell r="I3000" t="str">
            <v>WH</v>
          </cell>
          <cell r="J3000">
            <v>32.200000000000003</v>
          </cell>
          <cell r="N3000" t="e">
            <v>#DIV/0!</v>
          </cell>
        </row>
        <row r="3001">
          <cell r="E3001" t="str">
            <v>HGC-Lib-2453817</v>
          </cell>
          <cell r="F3001" t="str">
            <v>LA240704029</v>
          </cell>
          <cell r="G3001">
            <v>100</v>
          </cell>
          <cell r="H3001" t="str">
            <v>singleron-3'转录组文库</v>
          </cell>
          <cell r="I3001" t="str">
            <v>YHT</v>
          </cell>
          <cell r="J3001">
            <v>35.6</v>
          </cell>
          <cell r="N3001" t="e">
            <v>#DIV/0!</v>
          </cell>
        </row>
        <row r="3002">
          <cell r="E3002" t="str">
            <v>HGC-Lib-2453818</v>
          </cell>
          <cell r="F3002" t="str">
            <v>LA240704031</v>
          </cell>
          <cell r="G3002">
            <v>100</v>
          </cell>
          <cell r="H3002" t="str">
            <v>singleron-3'转录组文库</v>
          </cell>
          <cell r="I3002" t="str">
            <v>YHT</v>
          </cell>
          <cell r="J3002">
            <v>36.799999999999997</v>
          </cell>
          <cell r="N3002" t="e">
            <v>#DIV/0!</v>
          </cell>
        </row>
        <row r="3003">
          <cell r="E3003" t="str">
            <v>HGC-Lib-2453819</v>
          </cell>
          <cell r="F3003" t="str">
            <v>LC240705069</v>
          </cell>
          <cell r="G3003">
            <v>100</v>
          </cell>
          <cell r="H3003" t="str">
            <v>singleron-3'转录组文库</v>
          </cell>
          <cell r="I3003" t="str">
            <v>YHT</v>
          </cell>
          <cell r="J3003">
            <v>26</v>
          </cell>
          <cell r="N3003" t="e">
            <v>#DIV/0!</v>
          </cell>
        </row>
        <row r="3004">
          <cell r="E3004" t="str">
            <v>HGC-Lib-2453820</v>
          </cell>
          <cell r="F3004" t="str">
            <v>LA240704030</v>
          </cell>
          <cell r="G3004">
            <v>100</v>
          </cell>
          <cell r="H3004" t="str">
            <v>singleron-3'转录组文库</v>
          </cell>
          <cell r="I3004" t="str">
            <v>YHT</v>
          </cell>
          <cell r="J3004">
            <v>37.200000000000003</v>
          </cell>
          <cell r="N3004" t="e">
            <v>#DIV/0!</v>
          </cell>
        </row>
        <row r="3005">
          <cell r="E3005" t="str">
            <v>HGC-Lib-2453821</v>
          </cell>
          <cell r="F3005" t="str">
            <v>LC240705068</v>
          </cell>
          <cell r="G3005">
            <v>100</v>
          </cell>
          <cell r="H3005" t="str">
            <v>singleron-3'转录组文库</v>
          </cell>
          <cell r="I3005" t="str">
            <v>YHT</v>
          </cell>
          <cell r="J3005">
            <v>28.4</v>
          </cell>
          <cell r="N3005" t="e">
            <v>#DIV/0!</v>
          </cell>
        </row>
        <row r="3006">
          <cell r="E3006" t="str">
            <v>HGC-Lib-2453822</v>
          </cell>
          <cell r="F3006" t="str">
            <v>PMLPMFTBC240702034</v>
          </cell>
          <cell r="G3006">
            <v>12</v>
          </cell>
          <cell r="H3006" t="str">
            <v>其他碱基不平衡文库</v>
          </cell>
          <cell r="I3006" t="str">
            <v>YHT</v>
          </cell>
          <cell r="J3006">
            <v>61.6</v>
          </cell>
          <cell r="N3006" t="e">
            <v>#DIV/0!</v>
          </cell>
        </row>
        <row r="3007">
          <cell r="E3007" t="str">
            <v>HGC-Lib-2453823</v>
          </cell>
          <cell r="F3007" t="str">
            <v>LPMFTBC240702034</v>
          </cell>
          <cell r="G3007">
            <v>90</v>
          </cell>
          <cell r="H3007" t="str">
            <v>singleron-3'全长转录组文库</v>
          </cell>
          <cell r="I3007" t="str">
            <v>YHT</v>
          </cell>
          <cell r="J3007">
            <v>19</v>
          </cell>
          <cell r="N3007" t="e">
            <v>#DIV/0!</v>
          </cell>
        </row>
        <row r="3008">
          <cell r="E3008" t="str">
            <v>HGC-Lib-2453824</v>
          </cell>
          <cell r="F3008" t="str">
            <v>LHC240703054</v>
          </cell>
          <cell r="G3008">
            <v>200</v>
          </cell>
          <cell r="H3008" t="str">
            <v>singleron-3'转录组文库</v>
          </cell>
          <cell r="I3008" t="str">
            <v>YHT</v>
          </cell>
          <cell r="J3008">
            <v>19.399999999999999</v>
          </cell>
          <cell r="N3008" t="e">
            <v>#DIV/0!</v>
          </cell>
        </row>
        <row r="3009">
          <cell r="E3009" t="str">
            <v>HGC-Lib-2453825</v>
          </cell>
          <cell r="F3009" t="str">
            <v>DYNOLC240705010</v>
          </cell>
          <cell r="G3009">
            <v>100</v>
          </cell>
          <cell r="H3009" t="str">
            <v>其他碱基不平衡文库</v>
          </cell>
          <cell r="I3009" t="str">
            <v>YHT</v>
          </cell>
          <cell r="J3009">
            <v>41</v>
          </cell>
          <cell r="N3009" t="e">
            <v>#DIV/0!</v>
          </cell>
        </row>
        <row r="3010">
          <cell r="E3010" t="str">
            <v>HGC-Lib-2453826</v>
          </cell>
          <cell r="F3010" t="str">
            <v>DYNOLC240705009</v>
          </cell>
          <cell r="G3010">
            <v>100</v>
          </cell>
          <cell r="H3010" t="str">
            <v>其他碱基不平衡文库</v>
          </cell>
          <cell r="I3010" t="str">
            <v>YHT</v>
          </cell>
          <cell r="J3010">
            <v>32.799999999999997</v>
          </cell>
          <cell r="N3010" t="e">
            <v>#DIV/0!</v>
          </cell>
        </row>
        <row r="3011">
          <cell r="E3011" t="str">
            <v>HGC-Lib-2453827</v>
          </cell>
          <cell r="F3011" t="str">
            <v>LC240601046CK</v>
          </cell>
          <cell r="G3011">
            <v>10</v>
          </cell>
          <cell r="H3011" t="str">
            <v>singleron-3'转录组文库</v>
          </cell>
          <cell r="I3011" t="str">
            <v>YHT</v>
          </cell>
          <cell r="J3011">
            <v>19</v>
          </cell>
          <cell r="N3011" t="e">
            <v>#DIV/0!</v>
          </cell>
        </row>
        <row r="3012">
          <cell r="E3012" t="str">
            <v>HGC-Lib-2453828</v>
          </cell>
          <cell r="F3012" t="str">
            <v>LC240704016</v>
          </cell>
          <cell r="G3012">
            <v>100</v>
          </cell>
          <cell r="H3012" t="str">
            <v>singleron-3'转录组文库</v>
          </cell>
          <cell r="I3012" t="str">
            <v>YHT</v>
          </cell>
          <cell r="J3012">
            <v>21.8</v>
          </cell>
          <cell r="N3012" t="e">
            <v>#DIV/0!</v>
          </cell>
        </row>
        <row r="3013">
          <cell r="E3013" t="str">
            <v>HGC-Lib-2453829</v>
          </cell>
          <cell r="F3013" t="str">
            <v>LC240705061X2</v>
          </cell>
          <cell r="G3013">
            <v>90</v>
          </cell>
          <cell r="H3013" t="str">
            <v>singleron-3'转录组文库</v>
          </cell>
          <cell r="I3013" t="str">
            <v>YHT</v>
          </cell>
          <cell r="J3013">
            <v>29.4</v>
          </cell>
          <cell r="N3013" t="e">
            <v>#DIV/0!</v>
          </cell>
        </row>
        <row r="3014">
          <cell r="E3014" t="str">
            <v>HGC-Lib-2453830</v>
          </cell>
          <cell r="F3014" t="str">
            <v>LHC240705059</v>
          </cell>
          <cell r="G3014">
            <v>200</v>
          </cell>
          <cell r="H3014" t="str">
            <v>singleron-3'转录组文库</v>
          </cell>
          <cell r="I3014" t="str">
            <v>YHT</v>
          </cell>
          <cell r="J3014">
            <v>26.6</v>
          </cell>
          <cell r="N3014" t="e">
            <v>#DIV/0!</v>
          </cell>
        </row>
        <row r="3015">
          <cell r="E3015" t="str">
            <v>HGC-Lib-2453831</v>
          </cell>
          <cell r="F3015" t="str">
            <v>LC240704043X2</v>
          </cell>
          <cell r="G3015">
            <v>100</v>
          </cell>
          <cell r="H3015" t="str">
            <v>singleron-3'转录组文库</v>
          </cell>
          <cell r="I3015" t="str">
            <v>YHT</v>
          </cell>
          <cell r="J3015">
            <v>22.6</v>
          </cell>
          <cell r="N3015" t="e">
            <v>#DIV/0!</v>
          </cell>
        </row>
        <row r="3016">
          <cell r="E3016" t="str">
            <v>HGC-Lib-2453832</v>
          </cell>
          <cell r="F3016" t="str">
            <v>LC240517006</v>
          </cell>
          <cell r="G3016">
            <v>90</v>
          </cell>
          <cell r="H3016" t="str">
            <v>singleron-3'转录组文库</v>
          </cell>
          <cell r="I3016" t="str">
            <v>YHT</v>
          </cell>
          <cell r="J3016">
            <v>23.4</v>
          </cell>
          <cell r="N3016" t="e">
            <v>#DIV/0!</v>
          </cell>
        </row>
        <row r="3017">
          <cell r="E3017" t="str">
            <v>HGC-Lib-2453833</v>
          </cell>
          <cell r="F3017" t="str">
            <v>LC240705030</v>
          </cell>
          <cell r="G3017">
            <v>90</v>
          </cell>
          <cell r="H3017" t="str">
            <v>singleron-3'转录组文库</v>
          </cell>
          <cell r="I3017" t="str">
            <v>YHT</v>
          </cell>
          <cell r="J3017">
            <v>27.8</v>
          </cell>
          <cell r="N3017" t="e">
            <v>#DIV/0!</v>
          </cell>
        </row>
        <row r="3018">
          <cell r="E3018" t="str">
            <v>HGC-Lib-2453834</v>
          </cell>
          <cell r="F3018" t="str">
            <v>LC240517010</v>
          </cell>
          <cell r="G3018">
            <v>90</v>
          </cell>
          <cell r="H3018" t="str">
            <v>singleron-3'转录组文库</v>
          </cell>
          <cell r="I3018" t="str">
            <v>YHT</v>
          </cell>
          <cell r="J3018">
            <v>29.6</v>
          </cell>
          <cell r="N3018" t="e">
            <v>#DIV/0!</v>
          </cell>
        </row>
        <row r="3019">
          <cell r="E3019" t="str">
            <v>HGC-Lib-2453835</v>
          </cell>
          <cell r="F3019" t="str">
            <v>LTBC240225025</v>
          </cell>
          <cell r="G3019">
            <v>90</v>
          </cell>
          <cell r="H3019" t="str">
            <v>singleron-3'转录组文库</v>
          </cell>
          <cell r="I3019" t="str">
            <v>YHT</v>
          </cell>
          <cell r="J3019">
            <v>28.4</v>
          </cell>
          <cell r="N3019" t="e">
            <v>#DIV/0!</v>
          </cell>
        </row>
        <row r="3020">
          <cell r="E3020" t="str">
            <v>HGC-Lib-2453836</v>
          </cell>
          <cell r="F3020" t="str">
            <v>LC240705025</v>
          </cell>
          <cell r="G3020">
            <v>90</v>
          </cell>
          <cell r="H3020" t="str">
            <v>singleron-3'转录组文库</v>
          </cell>
          <cell r="I3020" t="str">
            <v>YHT</v>
          </cell>
          <cell r="J3020">
            <v>20.2</v>
          </cell>
          <cell r="N3020" t="e">
            <v>#DIV/0!</v>
          </cell>
        </row>
        <row r="3021">
          <cell r="E3021" t="str">
            <v>HGC-Lib-2453837</v>
          </cell>
          <cell r="F3021" t="str">
            <v>LC240517008</v>
          </cell>
          <cell r="G3021">
            <v>90</v>
          </cell>
          <cell r="H3021" t="str">
            <v>singleron-3'转录组文库</v>
          </cell>
          <cell r="I3021" t="str">
            <v>YHT</v>
          </cell>
          <cell r="J3021">
            <v>21.4</v>
          </cell>
          <cell r="N3021" t="e">
            <v>#DIV/0!</v>
          </cell>
        </row>
        <row r="3022">
          <cell r="E3022" t="str">
            <v>HGC-Lib-2453838</v>
          </cell>
          <cell r="F3022" t="str">
            <v>LC240517013</v>
          </cell>
          <cell r="G3022">
            <v>90</v>
          </cell>
          <cell r="H3022" t="str">
            <v>singleron-3'转录组文库</v>
          </cell>
          <cell r="I3022" t="str">
            <v>YHT</v>
          </cell>
          <cell r="J3022">
            <v>24.8</v>
          </cell>
          <cell r="N3022" t="e">
            <v>#DIV/0!</v>
          </cell>
        </row>
        <row r="3023">
          <cell r="E3023" t="str">
            <v>HGC-Lib-2453839</v>
          </cell>
          <cell r="F3023" t="str">
            <v>LC240517004</v>
          </cell>
          <cell r="G3023">
            <v>90</v>
          </cell>
          <cell r="H3023" t="str">
            <v>singleron-3'转录组文库</v>
          </cell>
          <cell r="I3023" t="str">
            <v>YHT</v>
          </cell>
          <cell r="J3023">
            <v>24.6</v>
          </cell>
          <cell r="N3023" t="e">
            <v>#DIV/0!</v>
          </cell>
        </row>
        <row r="3024">
          <cell r="E3024" t="str">
            <v>HGC-Lib-2453840</v>
          </cell>
          <cell r="F3024" t="str">
            <v>LC240517007</v>
          </cell>
          <cell r="G3024">
            <v>90</v>
          </cell>
          <cell r="H3024" t="str">
            <v>singleron-3'转录组文库</v>
          </cell>
          <cell r="I3024" t="str">
            <v>YHT</v>
          </cell>
          <cell r="J3024">
            <v>22.2</v>
          </cell>
          <cell r="N3024" t="e">
            <v>#DIV/0!</v>
          </cell>
        </row>
        <row r="3025">
          <cell r="E3025" t="str">
            <v>HGC-Lib-2453841</v>
          </cell>
          <cell r="F3025" t="str">
            <v>LC240517012</v>
          </cell>
          <cell r="G3025">
            <v>90</v>
          </cell>
          <cell r="H3025" t="str">
            <v>singleron-3'转录组文库</v>
          </cell>
          <cell r="I3025" t="str">
            <v>YHT</v>
          </cell>
          <cell r="J3025">
            <v>24.2</v>
          </cell>
          <cell r="N3025" t="e">
            <v>#DIV/0!</v>
          </cell>
        </row>
        <row r="3026">
          <cell r="E3026" t="str">
            <v>HGC-Lib-2453842</v>
          </cell>
          <cell r="F3026" t="str">
            <v>LC240705027</v>
          </cell>
          <cell r="G3026">
            <v>90</v>
          </cell>
          <cell r="H3026" t="str">
            <v>singleron-3'转录组文库</v>
          </cell>
          <cell r="I3026" t="str">
            <v>YHT</v>
          </cell>
          <cell r="J3026">
            <v>18.899999999999999</v>
          </cell>
          <cell r="N3026" t="e">
            <v>#DIV/0!</v>
          </cell>
        </row>
        <row r="3027">
          <cell r="E3027" t="str">
            <v>HGC-Lib-2453843</v>
          </cell>
          <cell r="F3027" t="str">
            <v>LC240517002</v>
          </cell>
          <cell r="G3027">
            <v>90</v>
          </cell>
          <cell r="H3027" t="str">
            <v>singleron-3'转录组文库</v>
          </cell>
          <cell r="I3027" t="str">
            <v>YHT</v>
          </cell>
          <cell r="J3027">
            <v>22.6</v>
          </cell>
          <cell r="N3027" t="e">
            <v>#DIV/0!</v>
          </cell>
        </row>
        <row r="3028">
          <cell r="E3028" t="str">
            <v>HGC-Lib-2453844</v>
          </cell>
          <cell r="F3028" t="str">
            <v>LC240705024</v>
          </cell>
          <cell r="G3028">
            <v>90</v>
          </cell>
          <cell r="H3028" t="str">
            <v>singleron-3'转录组文库</v>
          </cell>
          <cell r="I3028" t="str">
            <v>YHT</v>
          </cell>
          <cell r="J3028">
            <v>35</v>
          </cell>
          <cell r="N3028" t="e">
            <v>#DIV/0!</v>
          </cell>
        </row>
        <row r="3029">
          <cell r="E3029" t="str">
            <v>HGC-Lib-2453845</v>
          </cell>
          <cell r="F3029" t="str">
            <v>LC240517003</v>
          </cell>
          <cell r="G3029">
            <v>90</v>
          </cell>
          <cell r="H3029" t="str">
            <v>singleron-3'转录组文库</v>
          </cell>
          <cell r="I3029" t="str">
            <v>YHT</v>
          </cell>
          <cell r="J3029">
            <v>24.6</v>
          </cell>
          <cell r="N3029" t="e">
            <v>#DIV/0!</v>
          </cell>
        </row>
        <row r="3030">
          <cell r="E3030" t="str">
            <v>HGC-Lib-2453846</v>
          </cell>
          <cell r="F3030" t="str">
            <v>LC240517005</v>
          </cell>
          <cell r="G3030">
            <v>90</v>
          </cell>
          <cell r="H3030" t="str">
            <v>singleron-3'转录组文库</v>
          </cell>
          <cell r="I3030" t="str">
            <v>YHT</v>
          </cell>
          <cell r="J3030">
            <v>25.8</v>
          </cell>
          <cell r="N3030" t="e">
            <v>#DIV/0!</v>
          </cell>
        </row>
        <row r="3031">
          <cell r="E3031" t="str">
            <v>HGC-Lib-2453847</v>
          </cell>
          <cell r="F3031" t="str">
            <v>LC240705023</v>
          </cell>
          <cell r="G3031">
            <v>90</v>
          </cell>
          <cell r="H3031" t="str">
            <v>singleron-3'转录组文库</v>
          </cell>
          <cell r="I3031" t="str">
            <v>YHT</v>
          </cell>
          <cell r="J3031">
            <v>24.4</v>
          </cell>
          <cell r="N3031" t="e">
            <v>#DIV/0!</v>
          </cell>
        </row>
        <row r="3032">
          <cell r="E3032" t="str">
            <v>HGC-Lib-2453848</v>
          </cell>
          <cell r="F3032" t="str">
            <v>LTBC240225024</v>
          </cell>
          <cell r="G3032">
            <v>90</v>
          </cell>
          <cell r="H3032" t="str">
            <v>singleron-3'转录组文库</v>
          </cell>
          <cell r="I3032" t="str">
            <v>YHT</v>
          </cell>
          <cell r="J3032">
            <v>19.100000000000001</v>
          </cell>
          <cell r="N3032" t="e">
            <v>#DIV/0!</v>
          </cell>
        </row>
        <row r="3033">
          <cell r="E3033" t="str">
            <v>HGC-Lib-2453849</v>
          </cell>
          <cell r="F3033" t="str">
            <v>LC240705032</v>
          </cell>
          <cell r="G3033">
            <v>90</v>
          </cell>
          <cell r="H3033" t="str">
            <v>singleron-3'转录组文库</v>
          </cell>
          <cell r="I3033" t="str">
            <v>YHT</v>
          </cell>
          <cell r="J3033">
            <v>23.2</v>
          </cell>
          <cell r="N3033" t="e">
            <v>#DIV/0!</v>
          </cell>
        </row>
        <row r="3034">
          <cell r="E3034" t="str">
            <v>HGC-Lib-2453850</v>
          </cell>
          <cell r="F3034" t="str">
            <v>LC240517009</v>
          </cell>
          <cell r="G3034">
            <v>90</v>
          </cell>
          <cell r="H3034" t="str">
            <v>singleron-3'转录组文库</v>
          </cell>
          <cell r="I3034" t="str">
            <v>YHT</v>
          </cell>
          <cell r="J3034">
            <v>18.899999999999999</v>
          </cell>
          <cell r="N3034" t="e">
            <v>#DIV/0!</v>
          </cell>
        </row>
        <row r="3035">
          <cell r="E3035" t="str">
            <v>HGC-Lib-2453851</v>
          </cell>
          <cell r="F3035" t="str">
            <v>LC240705029</v>
          </cell>
          <cell r="G3035">
            <v>90</v>
          </cell>
          <cell r="H3035" t="str">
            <v>singleron-3'转录组文库</v>
          </cell>
          <cell r="I3035" t="str">
            <v>YHT</v>
          </cell>
          <cell r="J3035">
            <v>26</v>
          </cell>
          <cell r="N3035" t="e">
            <v>#DIV/0!</v>
          </cell>
        </row>
        <row r="3036">
          <cell r="E3036" t="str">
            <v>HGC-Lib-2453852</v>
          </cell>
          <cell r="F3036" t="str">
            <v>LTBC240225026</v>
          </cell>
          <cell r="G3036">
            <v>90</v>
          </cell>
          <cell r="H3036" t="str">
            <v>singleron-3'转录组文库</v>
          </cell>
          <cell r="I3036" t="str">
            <v>YHT</v>
          </cell>
          <cell r="J3036">
            <v>22.6</v>
          </cell>
          <cell r="N3036" t="e">
            <v>#DIV/0!</v>
          </cell>
        </row>
        <row r="3037">
          <cell r="E3037" t="str">
            <v>HGC-Lib-2453853</v>
          </cell>
          <cell r="F3037" t="str">
            <v>LC240705028</v>
          </cell>
          <cell r="G3037">
            <v>90</v>
          </cell>
          <cell r="H3037" t="str">
            <v>singleron-3'转录组文库</v>
          </cell>
          <cell r="I3037" t="str">
            <v>YHT</v>
          </cell>
          <cell r="J3037">
            <v>26</v>
          </cell>
          <cell r="N3037" t="e">
            <v>#DIV/0!</v>
          </cell>
        </row>
        <row r="3038">
          <cell r="E3038" t="str">
            <v>HGC-Lib-2453854</v>
          </cell>
          <cell r="F3038" t="str">
            <v>LC240705031</v>
          </cell>
          <cell r="G3038">
            <v>90</v>
          </cell>
          <cell r="H3038" t="str">
            <v>singleron-3'转录组文库</v>
          </cell>
          <cell r="I3038" t="str">
            <v>YHT</v>
          </cell>
          <cell r="J3038">
            <v>22</v>
          </cell>
          <cell r="N3038" t="e">
            <v>#DIV/0!</v>
          </cell>
        </row>
        <row r="3039">
          <cell r="E3039" t="str">
            <v>HGC-Lib-2453855</v>
          </cell>
          <cell r="F3039" t="str">
            <v>LC240517011</v>
          </cell>
          <cell r="G3039">
            <v>90</v>
          </cell>
          <cell r="H3039" t="str">
            <v>singleron-3'转录组文库</v>
          </cell>
          <cell r="I3039" t="str">
            <v>YHT</v>
          </cell>
          <cell r="J3039">
            <v>21.4</v>
          </cell>
          <cell r="N3039" t="e">
            <v>#DIV/0!</v>
          </cell>
        </row>
        <row r="3040">
          <cell r="E3040" t="str">
            <v>HGC-Lib-2453856</v>
          </cell>
          <cell r="F3040" t="str">
            <v>DYNOLC240704040</v>
          </cell>
          <cell r="G3040">
            <v>100</v>
          </cell>
          <cell r="H3040" t="str">
            <v>其他碱基不平衡文库</v>
          </cell>
          <cell r="I3040" t="str">
            <v>YHT</v>
          </cell>
          <cell r="J3040">
            <v>23.6</v>
          </cell>
          <cell r="N3040" t="e">
            <v>#DIV/0!</v>
          </cell>
        </row>
        <row r="3041">
          <cell r="E3041" t="str">
            <v>HGC-Lib-2453857</v>
          </cell>
          <cell r="F3041" t="str">
            <v>DYNOLC240704041</v>
          </cell>
          <cell r="G3041">
            <v>100</v>
          </cell>
          <cell r="H3041" t="str">
            <v>其他碱基不平衡文库</v>
          </cell>
          <cell r="I3041" t="str">
            <v>YHT</v>
          </cell>
          <cell r="J3041">
            <v>19.899999999999999</v>
          </cell>
          <cell r="N3041" t="e">
            <v>#DIV/0!</v>
          </cell>
        </row>
        <row r="3042">
          <cell r="E3042" t="str">
            <v>HGC-Lib-2453858</v>
          </cell>
          <cell r="F3042" t="str">
            <v>PMLPMC240703027</v>
          </cell>
          <cell r="G3042">
            <v>12</v>
          </cell>
          <cell r="H3042" t="str">
            <v>其他碱基不平衡文库</v>
          </cell>
          <cell r="I3042" t="str">
            <v>YHT</v>
          </cell>
          <cell r="J3042">
            <v>46.2</v>
          </cell>
          <cell r="N3042" t="e">
            <v>#DIV/0!</v>
          </cell>
        </row>
        <row r="3043">
          <cell r="E3043" t="str">
            <v>HGC-Lib-2453859</v>
          </cell>
          <cell r="F3043" t="str">
            <v>PMLPMC240703028</v>
          </cell>
          <cell r="G3043">
            <v>12</v>
          </cell>
          <cell r="H3043" t="str">
            <v>其他碱基不平衡文库</v>
          </cell>
          <cell r="I3043" t="str">
            <v>YHT</v>
          </cell>
          <cell r="J3043">
            <v>53</v>
          </cell>
          <cell r="N3043" t="e">
            <v>#DIV/0!</v>
          </cell>
        </row>
        <row r="3044">
          <cell r="E3044" t="str">
            <v>HGC-Lib-2453860</v>
          </cell>
          <cell r="F3044" t="str">
            <v>LPMC240703028</v>
          </cell>
          <cell r="G3044">
            <v>90</v>
          </cell>
          <cell r="H3044" t="str">
            <v>singleron-3'转录组文库</v>
          </cell>
          <cell r="I3044" t="str">
            <v>YHT</v>
          </cell>
          <cell r="J3044">
            <v>15.3</v>
          </cell>
          <cell r="N3044" t="e">
            <v>#DIV/0!</v>
          </cell>
        </row>
        <row r="3045">
          <cell r="E3045" t="str">
            <v>HGC-Lib-2453861</v>
          </cell>
          <cell r="F3045" t="str">
            <v>LPMC240703027</v>
          </cell>
          <cell r="G3045">
            <v>90</v>
          </cell>
          <cell r="H3045" t="str">
            <v>singleron-3'转录组文库</v>
          </cell>
          <cell r="I3045" t="str">
            <v>YHT</v>
          </cell>
          <cell r="J3045">
            <v>19</v>
          </cell>
          <cell r="N3045" t="e">
            <v>#DIV/0!</v>
          </cell>
        </row>
        <row r="3046">
          <cell r="E3046" t="str">
            <v>HGC-Lib-2453862</v>
          </cell>
          <cell r="F3046" t="str">
            <v>LC240705035</v>
          </cell>
          <cell r="G3046">
            <v>90</v>
          </cell>
          <cell r="H3046" t="str">
            <v>singleron-3'转录组文库</v>
          </cell>
          <cell r="I3046" t="str">
            <v>YHT</v>
          </cell>
          <cell r="J3046">
            <v>24</v>
          </cell>
          <cell r="N3046" t="e">
            <v>#DIV/0!</v>
          </cell>
        </row>
        <row r="3047">
          <cell r="E3047" t="str">
            <v>HGC-Lib-2453863</v>
          </cell>
          <cell r="F3047" t="str">
            <v>LFTC240701009</v>
          </cell>
          <cell r="G3047">
            <v>90</v>
          </cell>
          <cell r="H3047" t="str">
            <v>singleron-3'全长转录组文库</v>
          </cell>
          <cell r="I3047" t="str">
            <v>YHT</v>
          </cell>
          <cell r="J3047">
            <v>12.6</v>
          </cell>
          <cell r="N3047" t="e">
            <v>#DIV/0!</v>
          </cell>
        </row>
        <row r="3048">
          <cell r="E3048" t="str">
            <v>HGC-Lib-2453864</v>
          </cell>
          <cell r="F3048" t="str">
            <v>LFTBC240701060</v>
          </cell>
          <cell r="G3048">
            <v>70</v>
          </cell>
          <cell r="H3048" t="str">
            <v>singleron-3'全长转录组文库</v>
          </cell>
          <cell r="I3048" t="str">
            <v>YHT</v>
          </cell>
          <cell r="J3048">
            <v>13.3</v>
          </cell>
          <cell r="N3048" t="e">
            <v>#DIV/0!</v>
          </cell>
        </row>
        <row r="3049">
          <cell r="E3049" t="str">
            <v>HGC-Lib-2453865</v>
          </cell>
          <cell r="F3049" t="str">
            <v>LFTBC240702055</v>
          </cell>
          <cell r="G3049">
            <v>70</v>
          </cell>
          <cell r="H3049" t="str">
            <v>singleron-3'全长转录组文库</v>
          </cell>
          <cell r="I3049" t="str">
            <v>ZZ</v>
          </cell>
          <cell r="J3049">
            <v>22.6</v>
          </cell>
          <cell r="N3049" t="e">
            <v>#DIV/0!</v>
          </cell>
        </row>
        <row r="3050">
          <cell r="E3050" t="str">
            <v>HGC-Lib-2453866</v>
          </cell>
          <cell r="F3050" t="str">
            <v>LPMFTBC240702088</v>
          </cell>
          <cell r="G3050">
            <v>100</v>
          </cell>
          <cell r="H3050" t="str">
            <v>singleron-3'全长转录组文库</v>
          </cell>
          <cell r="I3050" t="str">
            <v>ZZ</v>
          </cell>
          <cell r="J3050">
            <v>25.8</v>
          </cell>
          <cell r="N3050" t="e">
            <v>#DIV/0!</v>
          </cell>
        </row>
        <row r="3051">
          <cell r="E3051" t="str">
            <v>HGC-Lib-2453867</v>
          </cell>
          <cell r="F3051" t="str">
            <v>PMLPMFTBC240702088</v>
          </cell>
          <cell r="G3051">
            <v>12</v>
          </cell>
          <cell r="H3051" t="str">
            <v>其他碱基不平衡文库</v>
          </cell>
          <cell r="I3051" t="str">
            <v>ZZ</v>
          </cell>
          <cell r="J3051">
            <v>61.4</v>
          </cell>
          <cell r="N3051" t="e">
            <v>#DIV/0!</v>
          </cell>
        </row>
        <row r="3052">
          <cell r="E3052" t="str">
            <v>HGC-Lib-2453868</v>
          </cell>
          <cell r="F3052" t="str">
            <v>LPMFTBC240704060</v>
          </cell>
          <cell r="G3052">
            <v>100</v>
          </cell>
          <cell r="H3052" t="str">
            <v>singleron-3'全长转录组文库</v>
          </cell>
          <cell r="I3052" t="str">
            <v>ZZ</v>
          </cell>
          <cell r="J3052">
            <v>25.2</v>
          </cell>
          <cell r="N3052" t="e">
            <v>#DIV/0!</v>
          </cell>
        </row>
        <row r="3053">
          <cell r="E3053" t="str">
            <v>HGC-Lib-2453869</v>
          </cell>
          <cell r="F3053" t="str">
            <v>PMLPMFTBC240704060</v>
          </cell>
          <cell r="G3053">
            <v>12</v>
          </cell>
          <cell r="H3053" t="str">
            <v>其他碱基不平衡文库</v>
          </cell>
          <cell r="I3053" t="str">
            <v>ZZ</v>
          </cell>
          <cell r="J3053">
            <v>92.2</v>
          </cell>
          <cell r="N3053" t="e">
            <v>#DIV/0!</v>
          </cell>
        </row>
        <row r="3054">
          <cell r="E3054" t="str">
            <v>HGC-Lib-2453870</v>
          </cell>
          <cell r="F3054" t="str">
            <v>LFTBC240702056</v>
          </cell>
          <cell r="G3054">
            <v>70</v>
          </cell>
          <cell r="H3054" t="str">
            <v>singleron-3'全长转录组文库</v>
          </cell>
          <cell r="I3054" t="str">
            <v>ZZ</v>
          </cell>
          <cell r="J3054">
            <v>21</v>
          </cell>
          <cell r="N3054" t="e">
            <v>#DIV/0!</v>
          </cell>
        </row>
        <row r="3055">
          <cell r="E3055" t="str">
            <v>HGC-Lib-2453871</v>
          </cell>
          <cell r="F3055" t="str">
            <v>LA240629034X1</v>
          </cell>
          <cell r="G3055">
            <v>90</v>
          </cell>
          <cell r="H3055" t="str">
            <v>singleron-3'转录组文库</v>
          </cell>
          <cell r="I3055" t="str">
            <v>ZZ</v>
          </cell>
          <cell r="J3055">
            <v>20.8</v>
          </cell>
          <cell r="N3055" t="e">
            <v>#DIV/0!</v>
          </cell>
        </row>
        <row r="3056">
          <cell r="E3056" t="str">
            <v>HGC-Lib-2453872</v>
          </cell>
          <cell r="F3056" t="str">
            <v>LA240629032</v>
          </cell>
          <cell r="G3056">
            <v>90</v>
          </cell>
          <cell r="H3056" t="str">
            <v>singleron-3'转录组文库</v>
          </cell>
          <cell r="I3056" t="str">
            <v>ZZ</v>
          </cell>
          <cell r="J3056">
            <v>25.4</v>
          </cell>
          <cell r="N3056" t="e">
            <v>#DIV/0!</v>
          </cell>
        </row>
        <row r="3057">
          <cell r="E3057" t="str">
            <v>HGC-Lib-2453873</v>
          </cell>
          <cell r="F3057" t="str">
            <v>LA240629036</v>
          </cell>
          <cell r="G3057">
            <v>90</v>
          </cell>
          <cell r="H3057" t="str">
            <v>singleron-3'转录组文库</v>
          </cell>
          <cell r="I3057" t="str">
            <v>ZZ</v>
          </cell>
          <cell r="J3057">
            <v>20.399999999999999</v>
          </cell>
          <cell r="N3057" t="e">
            <v>#DIV/0!</v>
          </cell>
        </row>
        <row r="3058">
          <cell r="E3058" t="str">
            <v>HGC-Lib-2453874</v>
          </cell>
          <cell r="F3058" t="str">
            <v>LC240629031</v>
          </cell>
          <cell r="G3058">
            <v>90</v>
          </cell>
          <cell r="H3058" t="str">
            <v>singleron-3'转录组文库</v>
          </cell>
          <cell r="I3058" t="str">
            <v>ZZ</v>
          </cell>
          <cell r="J3058">
            <v>20</v>
          </cell>
          <cell r="N3058" t="e">
            <v>#DIV/0!</v>
          </cell>
        </row>
        <row r="3059">
          <cell r="E3059" t="str">
            <v>HGC-Lib-2453875</v>
          </cell>
          <cell r="F3059" t="str">
            <v>LA240629033</v>
          </cell>
          <cell r="G3059">
            <v>90</v>
          </cell>
          <cell r="H3059" t="str">
            <v>singleron-3'转录组文库</v>
          </cell>
          <cell r="I3059" t="str">
            <v>ZZ</v>
          </cell>
          <cell r="J3059">
            <v>27</v>
          </cell>
          <cell r="N3059" t="e">
            <v>#DIV/0!</v>
          </cell>
        </row>
        <row r="3060">
          <cell r="E3060" t="str">
            <v>HGC-Lib-2453876</v>
          </cell>
          <cell r="F3060" t="str">
            <v>LA240629035X1</v>
          </cell>
          <cell r="G3060">
            <v>90</v>
          </cell>
          <cell r="H3060" t="str">
            <v>singleron-3'转录组文库</v>
          </cell>
          <cell r="I3060" t="str">
            <v>ZZ</v>
          </cell>
          <cell r="J3060">
            <v>18.8</v>
          </cell>
          <cell r="N3060" t="e">
            <v>#DIV/0!</v>
          </cell>
        </row>
        <row r="3061">
          <cell r="E3061" t="str">
            <v>HGC-Lib-2453877</v>
          </cell>
          <cell r="F3061" t="str">
            <v>LC240705045</v>
          </cell>
          <cell r="G3061">
            <v>100</v>
          </cell>
          <cell r="H3061" t="str">
            <v>singleron-3'转录组文库</v>
          </cell>
          <cell r="I3061" t="str">
            <v>ZZ</v>
          </cell>
          <cell r="J3061">
            <v>33.799999999999997</v>
          </cell>
          <cell r="N3061" t="e">
            <v>#DIV/0!</v>
          </cell>
        </row>
        <row r="3062">
          <cell r="E3062" t="str">
            <v>HGC-Lib-2453878</v>
          </cell>
          <cell r="F3062" t="str">
            <v>LC240705047</v>
          </cell>
          <cell r="G3062">
            <v>100</v>
          </cell>
          <cell r="H3062" t="str">
            <v>singleron-3'转录组文库</v>
          </cell>
          <cell r="I3062" t="str">
            <v>ZZ</v>
          </cell>
          <cell r="J3062">
            <v>26.2</v>
          </cell>
          <cell r="N3062" t="e">
            <v>#DIV/0!</v>
          </cell>
        </row>
        <row r="3063">
          <cell r="E3063" t="str">
            <v>HGC-Lib-2453879</v>
          </cell>
          <cell r="F3063" t="str">
            <v>LC240703016</v>
          </cell>
          <cell r="G3063">
            <v>100</v>
          </cell>
          <cell r="H3063" t="str">
            <v>singleron-3'转录组文库</v>
          </cell>
          <cell r="I3063" t="str">
            <v>ZZ</v>
          </cell>
          <cell r="J3063">
            <v>19</v>
          </cell>
          <cell r="N3063" t="e">
            <v>#DIV/0!</v>
          </cell>
        </row>
        <row r="3064">
          <cell r="E3064" t="str">
            <v>HGC-Lib-2453880</v>
          </cell>
          <cell r="F3064" t="str">
            <v>LC240703014</v>
          </cell>
          <cell r="G3064">
            <v>100</v>
          </cell>
          <cell r="H3064" t="str">
            <v>singleron-3'转录组文库</v>
          </cell>
          <cell r="I3064" t="str">
            <v>ZZ</v>
          </cell>
          <cell r="J3064">
            <v>20.6</v>
          </cell>
          <cell r="N3064" t="e">
            <v>#DIV/0!</v>
          </cell>
        </row>
        <row r="3065">
          <cell r="E3065" t="str">
            <v>HGC-Lib-2453881</v>
          </cell>
          <cell r="F3065" t="str">
            <v>LC240703013</v>
          </cell>
          <cell r="G3065">
            <v>100</v>
          </cell>
          <cell r="H3065" t="str">
            <v>singleron-3'转录组文库</v>
          </cell>
          <cell r="I3065" t="str">
            <v>ZZ</v>
          </cell>
          <cell r="J3065">
            <v>18.100000000000001</v>
          </cell>
          <cell r="N3065" t="e">
            <v>#DIV/0!</v>
          </cell>
        </row>
        <row r="3066">
          <cell r="E3066" t="str">
            <v>HGC-Lib-2453882</v>
          </cell>
          <cell r="F3066" t="str">
            <v>LC240703017</v>
          </cell>
          <cell r="G3066">
            <v>100</v>
          </cell>
          <cell r="H3066" t="str">
            <v>singleron-3'转录组文库</v>
          </cell>
          <cell r="I3066" t="str">
            <v>ZZ</v>
          </cell>
          <cell r="J3066">
            <v>15.8</v>
          </cell>
          <cell r="N3066" t="e">
            <v>#DIV/0!</v>
          </cell>
        </row>
        <row r="3067">
          <cell r="E3067" t="str">
            <v>HGC-Lib-2453883</v>
          </cell>
          <cell r="F3067" t="str">
            <v>LC240703015</v>
          </cell>
          <cell r="G3067">
            <v>100</v>
          </cell>
          <cell r="H3067" t="str">
            <v>singleron-3'转录组文库</v>
          </cell>
          <cell r="I3067" t="str">
            <v>ZZ</v>
          </cell>
          <cell r="J3067">
            <v>18.5</v>
          </cell>
          <cell r="N3067" t="e">
            <v>#DIV/0!</v>
          </cell>
        </row>
        <row r="3068">
          <cell r="E3068" t="str">
            <v>HGC-Lib-2453884</v>
          </cell>
          <cell r="F3068" t="str">
            <v>LC240703018</v>
          </cell>
          <cell r="G3068">
            <v>100</v>
          </cell>
          <cell r="H3068" t="str">
            <v>singleron-3'转录组文库</v>
          </cell>
          <cell r="I3068" t="str">
            <v>ZZ</v>
          </cell>
          <cell r="J3068">
            <v>17.8</v>
          </cell>
          <cell r="N3068" t="e">
            <v>#DIV/0!</v>
          </cell>
        </row>
        <row r="3069">
          <cell r="E3069" t="str">
            <v>HGC-Lib-2453885</v>
          </cell>
          <cell r="F3069" t="str">
            <v>LFTBC240703088</v>
          </cell>
          <cell r="G3069">
            <v>70</v>
          </cell>
          <cell r="H3069" t="str">
            <v>singleron-3'全长转录组文库</v>
          </cell>
          <cell r="I3069" t="str">
            <v>ZZ</v>
          </cell>
          <cell r="J3069">
            <v>22.6</v>
          </cell>
          <cell r="N3069" t="e">
            <v>#DIV/0!</v>
          </cell>
        </row>
        <row r="3070">
          <cell r="E3070" t="str">
            <v>HGC-Lib-2453886</v>
          </cell>
          <cell r="F3070" t="str">
            <v>LFTBC240703089</v>
          </cell>
          <cell r="G3070">
            <v>70</v>
          </cell>
          <cell r="H3070" t="str">
            <v>singleron-3'全长转录组文库</v>
          </cell>
          <cell r="I3070" t="str">
            <v>ZZ</v>
          </cell>
          <cell r="J3070">
            <v>24.8</v>
          </cell>
          <cell r="N3070" t="e">
            <v>#DIV/0!</v>
          </cell>
        </row>
        <row r="3071">
          <cell r="E3071" t="str">
            <v>HGC-Lib-2453887</v>
          </cell>
          <cell r="F3071" t="str">
            <v>LFTBC240704035</v>
          </cell>
          <cell r="G3071">
            <v>70</v>
          </cell>
          <cell r="H3071" t="str">
            <v>singleron-3'全长转录组文库</v>
          </cell>
          <cell r="I3071" t="str">
            <v>ZZ</v>
          </cell>
          <cell r="J3071">
            <v>28</v>
          </cell>
          <cell r="N3071" t="e">
            <v>#DIV/0!</v>
          </cell>
        </row>
        <row r="3072">
          <cell r="E3072" t="str">
            <v>HGC-Lib-2453888</v>
          </cell>
          <cell r="F3072" t="str">
            <v>LC240705022</v>
          </cell>
          <cell r="G3072">
            <v>90</v>
          </cell>
          <cell r="H3072" t="str">
            <v>singleron-3'转录组文库</v>
          </cell>
          <cell r="I3072" t="str">
            <v>ZZ</v>
          </cell>
          <cell r="J3072">
            <v>25</v>
          </cell>
          <cell r="N3072" t="e">
            <v>#DIV/0!</v>
          </cell>
        </row>
        <row r="3073">
          <cell r="E3073" t="str">
            <v>HGC-Lib-2453889</v>
          </cell>
          <cell r="F3073" t="str">
            <v>LC240629087</v>
          </cell>
          <cell r="G3073">
            <v>100</v>
          </cell>
          <cell r="H3073" t="str">
            <v>singleron-3'转录组文库</v>
          </cell>
          <cell r="I3073" t="str">
            <v>ZZ</v>
          </cell>
          <cell r="J3073">
            <v>16.8</v>
          </cell>
          <cell r="N3073" t="e">
            <v>#DIV/0!</v>
          </cell>
        </row>
        <row r="3074">
          <cell r="E3074" t="str">
            <v>HGC-Lib-2453890</v>
          </cell>
          <cell r="F3074" t="str">
            <v>LC240705034</v>
          </cell>
          <cell r="G3074">
            <v>90</v>
          </cell>
          <cell r="H3074" t="str">
            <v>singleron-3'转录组文库</v>
          </cell>
          <cell r="I3074" t="str">
            <v>ZZ</v>
          </cell>
          <cell r="J3074">
            <v>18.3</v>
          </cell>
          <cell r="N3074" t="e">
            <v>#DIV/0!</v>
          </cell>
        </row>
        <row r="3075">
          <cell r="E3075" t="str">
            <v>HGC-Lib-2453891</v>
          </cell>
          <cell r="F3075" t="str">
            <v>LC240705033</v>
          </cell>
          <cell r="G3075">
            <v>90</v>
          </cell>
          <cell r="H3075" t="str">
            <v>singleron-3'转录组文库</v>
          </cell>
          <cell r="I3075" t="str">
            <v>ZZ</v>
          </cell>
          <cell r="J3075">
            <v>22.2</v>
          </cell>
          <cell r="N3075" t="e">
            <v>#DIV/0!</v>
          </cell>
        </row>
        <row r="3076">
          <cell r="E3076" t="str">
            <v>HGC-Lib-2453892</v>
          </cell>
          <cell r="F3076" t="str">
            <v>LFTBC240705082</v>
          </cell>
          <cell r="G3076">
            <v>70</v>
          </cell>
          <cell r="H3076" t="str">
            <v>singleron-3'全长转录组文库</v>
          </cell>
          <cell r="I3076" t="str">
            <v>ZZ</v>
          </cell>
          <cell r="J3076">
            <v>25.2</v>
          </cell>
          <cell r="N3076" t="e">
            <v>#DIV/0!</v>
          </cell>
        </row>
        <row r="3077">
          <cell r="E3077" t="str">
            <v>HGC-Lib-2453893</v>
          </cell>
          <cell r="F3077" t="str">
            <v>LC240702023</v>
          </cell>
          <cell r="G3077">
            <v>100</v>
          </cell>
          <cell r="H3077" t="str">
            <v>singleron-3'转录组文库</v>
          </cell>
          <cell r="I3077" t="str">
            <v>ZZ</v>
          </cell>
          <cell r="J3077">
            <v>19.7</v>
          </cell>
          <cell r="N3077" t="e">
            <v>#DIV/0!</v>
          </cell>
        </row>
        <row r="3078">
          <cell r="E3078" t="str">
            <v>HGC-Lib-2453894</v>
          </cell>
          <cell r="F3078" t="str">
            <v>LFTC240702049</v>
          </cell>
          <cell r="G3078">
            <v>120</v>
          </cell>
          <cell r="H3078" t="str">
            <v>singleron-3'全长转录组文库</v>
          </cell>
          <cell r="I3078" t="str">
            <v>ZZ</v>
          </cell>
          <cell r="J3078">
            <v>20.2</v>
          </cell>
          <cell r="N3078" t="e">
            <v>#DIV/0!</v>
          </cell>
        </row>
        <row r="3079">
          <cell r="E3079" t="str">
            <v>HGC-Lib-2453895</v>
          </cell>
          <cell r="F3079" t="str">
            <v>LFTC240704023</v>
          </cell>
          <cell r="G3079">
            <v>120</v>
          </cell>
          <cell r="H3079" t="str">
            <v>singleron-3'全长转录组文库</v>
          </cell>
          <cell r="I3079" t="str">
            <v>ZZ</v>
          </cell>
          <cell r="J3079">
            <v>26</v>
          </cell>
          <cell r="N3079" t="e">
            <v>#DIV/0!</v>
          </cell>
        </row>
        <row r="3080">
          <cell r="E3080" t="str">
            <v>HGC-Lib-2453896</v>
          </cell>
          <cell r="F3080" t="str">
            <v>LFTC240705021</v>
          </cell>
          <cell r="G3080">
            <v>120</v>
          </cell>
          <cell r="H3080" t="str">
            <v>singleron-3'全长转录组文库</v>
          </cell>
          <cell r="I3080" t="str">
            <v>ZZ</v>
          </cell>
          <cell r="J3080">
            <v>23.8</v>
          </cell>
          <cell r="N3080" t="e">
            <v>#DIV/0!</v>
          </cell>
        </row>
        <row r="3081">
          <cell r="E3081" t="str">
            <v>HGC-Lib-2453897</v>
          </cell>
          <cell r="F3081" t="str">
            <v>LFTBC240702090</v>
          </cell>
          <cell r="G3081">
            <v>70</v>
          </cell>
          <cell r="H3081" t="str">
            <v>singleron-3'全长转录组文库</v>
          </cell>
          <cell r="I3081" t="str">
            <v>ZZ</v>
          </cell>
          <cell r="J3081">
            <v>32</v>
          </cell>
          <cell r="N3081" t="e">
            <v>#DIV/0!</v>
          </cell>
        </row>
        <row r="3082">
          <cell r="E3082" t="str">
            <v>HGC-Lib-2453898</v>
          </cell>
          <cell r="F3082" t="str">
            <v>LFTBC240702089</v>
          </cell>
          <cell r="G3082">
            <v>70</v>
          </cell>
          <cell r="H3082" t="str">
            <v>singleron-3'全长转录组文库</v>
          </cell>
          <cell r="I3082" t="str">
            <v>ZZ</v>
          </cell>
          <cell r="J3082">
            <v>20.8</v>
          </cell>
          <cell r="N3082" t="e">
            <v>#DIV/0!</v>
          </cell>
        </row>
        <row r="3083">
          <cell r="E3083" t="str">
            <v>HGC-Lib-2453899</v>
          </cell>
          <cell r="F3083" t="str">
            <v>LFBC240702082X2</v>
          </cell>
          <cell r="G3083">
            <v>80</v>
          </cell>
          <cell r="H3083" t="str">
            <v>singleron-3'全长转录组文库</v>
          </cell>
          <cell r="I3083" t="str">
            <v>ZZ</v>
          </cell>
          <cell r="J3083">
            <v>18.600000000000001</v>
          </cell>
          <cell r="N3083" t="e">
            <v>#DIV/0!</v>
          </cell>
        </row>
        <row r="3084">
          <cell r="E3084" t="str">
            <v>HGC-Lib-2453900</v>
          </cell>
          <cell r="F3084" t="str">
            <v>LFBC240704052X2</v>
          </cell>
          <cell r="G3084">
            <v>80</v>
          </cell>
          <cell r="H3084" t="str">
            <v>singleron-3'全长转录组文库</v>
          </cell>
          <cell r="I3084" t="str">
            <v>ZZ</v>
          </cell>
          <cell r="J3084">
            <v>32</v>
          </cell>
          <cell r="N3084" t="e">
            <v>#DIV/0!</v>
          </cell>
        </row>
        <row r="3085">
          <cell r="E3085" t="str">
            <v>HGC-Lib-2453901</v>
          </cell>
          <cell r="F3085" t="str">
            <v>LC240705067</v>
          </cell>
          <cell r="G3085">
            <v>90</v>
          </cell>
          <cell r="H3085" t="str">
            <v>singleron-3'转录组文库</v>
          </cell>
          <cell r="I3085" t="str">
            <v>ZZ</v>
          </cell>
          <cell r="J3085">
            <v>31</v>
          </cell>
          <cell r="N3085" t="e">
            <v>#DIV/0!</v>
          </cell>
        </row>
        <row r="3086">
          <cell r="E3086" t="str">
            <v>HGC-Lib-2453902</v>
          </cell>
          <cell r="F3086" t="str">
            <v>LFTBC240704032</v>
          </cell>
          <cell r="G3086">
            <v>70</v>
          </cell>
          <cell r="H3086" t="str">
            <v>singleron-3'全长转录组文库</v>
          </cell>
          <cell r="I3086" t="str">
            <v>ZZ</v>
          </cell>
          <cell r="J3086">
            <v>28.6</v>
          </cell>
          <cell r="N3086" t="e">
            <v>#DIV/0!</v>
          </cell>
        </row>
        <row r="3087">
          <cell r="E3087" t="str">
            <v>HGC-Lib-2453903</v>
          </cell>
          <cell r="F3087" t="str">
            <v>R240708010</v>
          </cell>
          <cell r="I3087" t="str">
            <v>ZZ</v>
          </cell>
          <cell r="J3087">
            <v>14</v>
          </cell>
          <cell r="N3087" t="e">
            <v>#DIV/0!</v>
          </cell>
        </row>
        <row r="3088">
          <cell r="E3088" t="str">
            <v>HGC-Lib-2453904</v>
          </cell>
          <cell r="F3088" t="str">
            <v>R240708011</v>
          </cell>
          <cell r="I3088" t="str">
            <v>ZZ</v>
          </cell>
          <cell r="J3088">
            <v>7.9</v>
          </cell>
          <cell r="N3088" t="e">
            <v>#DIV/0!</v>
          </cell>
        </row>
        <row r="3089">
          <cell r="E3089" t="str">
            <v>HGC-Lib-2453905</v>
          </cell>
          <cell r="F3089" t="str">
            <v>R240708012</v>
          </cell>
          <cell r="I3089" t="str">
            <v>ZZ</v>
          </cell>
          <cell r="J3089">
            <v>0.82199999999999995</v>
          </cell>
          <cell r="N3089" t="e">
            <v>#DIV/0!</v>
          </cell>
        </row>
        <row r="3090">
          <cell r="E3090" t="str">
            <v>HGC-Lib-2453906</v>
          </cell>
          <cell r="F3090" t="str">
            <v>R240708013</v>
          </cell>
          <cell r="I3090" t="str">
            <v>ZZ</v>
          </cell>
          <cell r="J3090">
            <v>2.74</v>
          </cell>
          <cell r="N3090" t="e">
            <v>#DIV/0!</v>
          </cell>
        </row>
        <row r="3091">
          <cell r="E3091" t="str">
            <v>HGC-POOL-2453907</v>
          </cell>
          <cell r="F3091" t="str">
            <v>TYF0708</v>
          </cell>
          <cell r="G3091">
            <v>24</v>
          </cell>
          <cell r="H3091" t="str">
            <v>Chip-Seq</v>
          </cell>
          <cell r="I3091" t="str">
            <v>HZK</v>
          </cell>
          <cell r="J3091">
            <v>1.69</v>
          </cell>
          <cell r="K3091">
            <v>416</v>
          </cell>
          <cell r="L3091" t="str">
            <v>HZK</v>
          </cell>
          <cell r="N3091">
            <v>6.25</v>
          </cell>
        </row>
        <row r="3092">
          <cell r="E3092" t="str">
            <v>HGC-Lib-2453908</v>
          </cell>
          <cell r="F3092" t="str">
            <v>NGS0924001-1</v>
          </cell>
          <cell r="G3092">
            <v>6</v>
          </cell>
          <cell r="H3092" t="str">
            <v>mRNA文库</v>
          </cell>
          <cell r="I3092" t="str">
            <v>HZK</v>
          </cell>
          <cell r="J3092">
            <v>41</v>
          </cell>
          <cell r="N3092" t="e">
            <v>#DIV/0!</v>
          </cell>
        </row>
        <row r="3093">
          <cell r="E3093" t="str">
            <v>HGC-Lib-2453909</v>
          </cell>
          <cell r="F3093" t="str">
            <v>NGS0924001-2</v>
          </cell>
          <cell r="G3093">
            <v>6</v>
          </cell>
          <cell r="H3093" t="str">
            <v>mRNA文库</v>
          </cell>
          <cell r="I3093" t="str">
            <v>HZK</v>
          </cell>
          <cell r="J3093">
            <v>53.8</v>
          </cell>
          <cell r="N3093" t="e">
            <v>#DIV/0!</v>
          </cell>
        </row>
        <row r="3094">
          <cell r="E3094" t="str">
            <v>HGC-Lib-2453910</v>
          </cell>
          <cell r="F3094" t="str">
            <v>NGS0924001-3</v>
          </cell>
          <cell r="G3094">
            <v>6</v>
          </cell>
          <cell r="H3094" t="str">
            <v>mRNA文库</v>
          </cell>
          <cell r="I3094" t="str">
            <v>HZK</v>
          </cell>
          <cell r="J3094">
            <v>51.6</v>
          </cell>
          <cell r="N3094" t="e">
            <v>#DIV/0!</v>
          </cell>
        </row>
        <row r="3095">
          <cell r="E3095" t="str">
            <v>HGC-Lib-2453911</v>
          </cell>
          <cell r="F3095" t="str">
            <v>NGS0924001-4</v>
          </cell>
          <cell r="G3095">
            <v>6</v>
          </cell>
          <cell r="H3095" t="str">
            <v>mRNA文库</v>
          </cell>
          <cell r="I3095" t="str">
            <v>HZK</v>
          </cell>
          <cell r="J3095">
            <v>32.6</v>
          </cell>
          <cell r="N3095" t="e">
            <v>#DIV/0!</v>
          </cell>
        </row>
        <row r="3096">
          <cell r="E3096" t="str">
            <v>HGC-Lib-2453912</v>
          </cell>
          <cell r="F3096" t="str">
            <v>NGS0924001-5</v>
          </cell>
          <cell r="G3096">
            <v>6</v>
          </cell>
          <cell r="H3096" t="str">
            <v>mRNA文库</v>
          </cell>
          <cell r="I3096" t="str">
            <v>HZK</v>
          </cell>
          <cell r="J3096">
            <v>42</v>
          </cell>
          <cell r="N3096" t="e">
            <v>#DIV/0!</v>
          </cell>
        </row>
        <row r="3097">
          <cell r="E3097" t="str">
            <v>HGC-Lib-2453913</v>
          </cell>
          <cell r="F3097" t="str">
            <v>NGS0924001-6</v>
          </cell>
          <cell r="G3097">
            <v>6</v>
          </cell>
          <cell r="H3097" t="str">
            <v>mRNA文库</v>
          </cell>
          <cell r="I3097" t="str">
            <v>HZK</v>
          </cell>
          <cell r="J3097">
            <v>35.4</v>
          </cell>
          <cell r="N3097" t="e">
            <v>#DIV/0!</v>
          </cell>
        </row>
        <row r="3098">
          <cell r="E3098" t="str">
            <v>HGC-Lib-2453914</v>
          </cell>
          <cell r="F3098" t="str">
            <v>NGS0924001-7</v>
          </cell>
          <cell r="G3098">
            <v>6</v>
          </cell>
          <cell r="H3098" t="str">
            <v>mRNA文库</v>
          </cell>
          <cell r="I3098" t="str">
            <v>HZK</v>
          </cell>
          <cell r="J3098">
            <v>29.4</v>
          </cell>
          <cell r="N3098" t="e">
            <v>#DIV/0!</v>
          </cell>
        </row>
        <row r="3099">
          <cell r="E3099" t="str">
            <v>HGC-Lib-2453915</v>
          </cell>
          <cell r="F3099" t="str">
            <v>NGS0924001-8</v>
          </cell>
          <cell r="G3099">
            <v>6</v>
          </cell>
          <cell r="H3099" t="str">
            <v>mRNA文库</v>
          </cell>
          <cell r="I3099" t="str">
            <v>HZK</v>
          </cell>
          <cell r="J3099">
            <v>26</v>
          </cell>
          <cell r="N3099" t="e">
            <v>#DIV/0!</v>
          </cell>
        </row>
        <row r="3100">
          <cell r="E3100" t="str">
            <v>HGC-Lib-2453916</v>
          </cell>
          <cell r="F3100" t="str">
            <v>NGS0924001-9</v>
          </cell>
          <cell r="G3100">
            <v>6</v>
          </cell>
          <cell r="H3100" t="str">
            <v>mRNA文库</v>
          </cell>
          <cell r="I3100" t="str">
            <v>HZK</v>
          </cell>
          <cell r="J3100">
            <v>31.3</v>
          </cell>
          <cell r="N3100" t="e">
            <v>#DIV/0!</v>
          </cell>
        </row>
        <row r="3101">
          <cell r="E3101" t="str">
            <v>HGC-Lib-2453917</v>
          </cell>
          <cell r="F3101" t="str">
            <v>NGS0924001-10</v>
          </cell>
          <cell r="G3101">
            <v>6</v>
          </cell>
          <cell r="H3101" t="str">
            <v>mRNA文库</v>
          </cell>
          <cell r="I3101" t="str">
            <v>HZK</v>
          </cell>
          <cell r="J3101">
            <v>59.8</v>
          </cell>
          <cell r="N3101" t="e">
            <v>#DIV/0!</v>
          </cell>
        </row>
        <row r="3102">
          <cell r="E3102" t="str">
            <v>HGC-Lib-2453920</v>
          </cell>
          <cell r="F3102" t="str">
            <v>NGS0324035-399</v>
          </cell>
          <cell r="G3102">
            <v>6</v>
          </cell>
          <cell r="H3102" t="str">
            <v>mRNA文库</v>
          </cell>
          <cell r="I3102" t="str">
            <v>HZK</v>
          </cell>
          <cell r="J3102">
            <v>6.24</v>
          </cell>
          <cell r="N3102" t="e">
            <v>#DIV/0!</v>
          </cell>
        </row>
        <row r="3103">
          <cell r="E3103" t="str">
            <v>HGC-Lib-2453921</v>
          </cell>
          <cell r="F3103" t="str">
            <v>NGS0324035-400</v>
          </cell>
          <cell r="G3103">
            <v>6</v>
          </cell>
          <cell r="H3103" t="str">
            <v>mRNA文库</v>
          </cell>
          <cell r="I3103" t="str">
            <v>HZK</v>
          </cell>
          <cell r="J3103" t="str">
            <v>/</v>
          </cell>
          <cell r="N3103" t="e">
            <v>#VALUE!</v>
          </cell>
        </row>
        <row r="3104">
          <cell r="E3104" t="str">
            <v>HGC-Lib-2453922</v>
          </cell>
          <cell r="F3104" t="str">
            <v>NGS0324035-401</v>
          </cell>
          <cell r="G3104">
            <v>6</v>
          </cell>
          <cell r="H3104" t="str">
            <v>mRNA文库</v>
          </cell>
          <cell r="I3104" t="str">
            <v>HZK</v>
          </cell>
          <cell r="J3104">
            <v>5.96</v>
          </cell>
          <cell r="N3104" t="e">
            <v>#DIV/0!</v>
          </cell>
        </row>
        <row r="3105">
          <cell r="E3105" t="str">
            <v>HGC-Lib-2453923</v>
          </cell>
          <cell r="F3105" t="str">
            <v>NGS0324035-406</v>
          </cell>
          <cell r="G3105">
            <v>6</v>
          </cell>
          <cell r="H3105" t="str">
            <v>mRNA文库</v>
          </cell>
          <cell r="I3105" t="str">
            <v>HZK</v>
          </cell>
          <cell r="J3105">
            <v>5.4</v>
          </cell>
          <cell r="N3105" t="e">
            <v>#DIV/0!</v>
          </cell>
        </row>
        <row r="3106">
          <cell r="E3106" t="str">
            <v>HGC-Lib-2453924</v>
          </cell>
          <cell r="F3106" t="str">
            <v>NGS0324035-407</v>
          </cell>
          <cell r="G3106">
            <v>6</v>
          </cell>
          <cell r="H3106" t="str">
            <v>mRNA文库</v>
          </cell>
          <cell r="I3106" t="str">
            <v>HZK</v>
          </cell>
          <cell r="J3106">
            <v>6.56</v>
          </cell>
          <cell r="N3106" t="e">
            <v>#DIV/0!</v>
          </cell>
        </row>
        <row r="3107">
          <cell r="E3107" t="str">
            <v>HGC-Lib-2453925</v>
          </cell>
          <cell r="F3107" t="str">
            <v>NGS0324035-409</v>
          </cell>
          <cell r="G3107">
            <v>6</v>
          </cell>
          <cell r="H3107" t="str">
            <v>mRNA文库</v>
          </cell>
          <cell r="I3107" t="str">
            <v>HZK</v>
          </cell>
          <cell r="J3107">
            <v>9.5</v>
          </cell>
          <cell r="N3107" t="e">
            <v>#DIV/0!</v>
          </cell>
        </row>
        <row r="3108">
          <cell r="E3108" t="str">
            <v>HGC-Lib-2453926</v>
          </cell>
          <cell r="F3108" t="str">
            <v>NGS0324035-412</v>
          </cell>
          <cell r="G3108">
            <v>6</v>
          </cell>
          <cell r="H3108" t="str">
            <v>mRNA文库</v>
          </cell>
          <cell r="I3108" t="str">
            <v>HZK</v>
          </cell>
          <cell r="J3108">
            <v>12.7</v>
          </cell>
          <cell r="N3108" t="e">
            <v>#DIV/0!</v>
          </cell>
        </row>
        <row r="3109">
          <cell r="E3109" t="str">
            <v>HGC-Lib-2453927</v>
          </cell>
          <cell r="F3109" t="str">
            <v>NGS0324035-415</v>
          </cell>
          <cell r="G3109">
            <v>6</v>
          </cell>
          <cell r="H3109" t="str">
            <v>mRNA文库</v>
          </cell>
          <cell r="I3109" t="str">
            <v>HZK</v>
          </cell>
          <cell r="J3109">
            <v>7.92</v>
          </cell>
          <cell r="N3109" t="e">
            <v>#DIV/0!</v>
          </cell>
        </row>
        <row r="3110">
          <cell r="E3110" t="str">
            <v>HGC-Lib-2453928</v>
          </cell>
          <cell r="F3110" t="str">
            <v>NGS0324035-418</v>
          </cell>
          <cell r="G3110">
            <v>6</v>
          </cell>
          <cell r="H3110" t="str">
            <v>mRNA文库</v>
          </cell>
          <cell r="I3110" t="str">
            <v>HZK</v>
          </cell>
          <cell r="J3110">
            <v>1.2</v>
          </cell>
          <cell r="N3110" t="e">
            <v>#DIV/0!</v>
          </cell>
        </row>
        <row r="3111">
          <cell r="E3111" t="str">
            <v>HGC-Lib-2453929</v>
          </cell>
          <cell r="F3111" t="str">
            <v>NGS0324035-432</v>
          </cell>
          <cell r="G3111">
            <v>6</v>
          </cell>
          <cell r="H3111" t="str">
            <v>mRNA文库</v>
          </cell>
          <cell r="I3111" t="str">
            <v>HZK</v>
          </cell>
          <cell r="J3111">
            <v>20.6</v>
          </cell>
          <cell r="N3111" t="e">
            <v>#DIV/0!</v>
          </cell>
        </row>
        <row r="3112">
          <cell r="E3112" t="str">
            <v>HGC-Lib-2453930</v>
          </cell>
          <cell r="F3112" t="str">
            <v>NGS0324035-433</v>
          </cell>
          <cell r="G3112">
            <v>6</v>
          </cell>
          <cell r="H3112" t="str">
            <v>mRNA文库</v>
          </cell>
          <cell r="I3112" t="str">
            <v>HZK</v>
          </cell>
          <cell r="J3112">
            <v>14.1</v>
          </cell>
          <cell r="N3112" t="e">
            <v>#DIV/0!</v>
          </cell>
        </row>
        <row r="3113">
          <cell r="E3113" t="str">
            <v>HGC-Lib-2453931</v>
          </cell>
          <cell r="F3113" t="str">
            <v>NGS0324035-435</v>
          </cell>
          <cell r="G3113">
            <v>6</v>
          </cell>
          <cell r="H3113" t="str">
            <v>mRNA文库</v>
          </cell>
          <cell r="I3113" t="str">
            <v>HZK</v>
          </cell>
          <cell r="J3113">
            <v>14</v>
          </cell>
          <cell r="N3113" t="e">
            <v>#DIV/0!</v>
          </cell>
        </row>
        <row r="3114">
          <cell r="E3114" t="str">
            <v>HGC-Lib-2453932</v>
          </cell>
          <cell r="F3114" t="str">
            <v>NGS0324035-446</v>
          </cell>
          <cell r="G3114">
            <v>6</v>
          </cell>
          <cell r="H3114" t="str">
            <v>mRNA文库</v>
          </cell>
          <cell r="I3114" t="str">
            <v>HZK</v>
          </cell>
          <cell r="J3114">
            <v>13.9</v>
          </cell>
          <cell r="N3114" t="e">
            <v>#DIV/0!</v>
          </cell>
        </row>
        <row r="3115">
          <cell r="E3115" t="str">
            <v>HGC-Lib-2453933</v>
          </cell>
          <cell r="F3115" t="str">
            <v>NGS0324035-450</v>
          </cell>
          <cell r="G3115">
            <v>6</v>
          </cell>
          <cell r="H3115" t="str">
            <v>mRNA文库</v>
          </cell>
          <cell r="I3115" t="str">
            <v>HZK</v>
          </cell>
          <cell r="J3115">
            <v>15.7</v>
          </cell>
          <cell r="N3115" t="e">
            <v>#DIV/0!</v>
          </cell>
        </row>
        <row r="3116">
          <cell r="E3116" t="str">
            <v>HGC-Lib-2453934</v>
          </cell>
          <cell r="F3116" t="str">
            <v>NGS0324035-454</v>
          </cell>
          <cell r="G3116">
            <v>6</v>
          </cell>
          <cell r="H3116" t="str">
            <v>mRNA文库</v>
          </cell>
          <cell r="I3116" t="str">
            <v>HZK</v>
          </cell>
          <cell r="J3116">
            <v>5.98</v>
          </cell>
          <cell r="N3116" t="e">
            <v>#DIV/0!</v>
          </cell>
        </row>
        <row r="3117">
          <cell r="E3117" t="str">
            <v>HGC-Lib-2453935</v>
          </cell>
          <cell r="F3117" t="str">
            <v>NGS0324035-460</v>
          </cell>
          <cell r="G3117">
            <v>6</v>
          </cell>
          <cell r="H3117" t="str">
            <v>mRNA文库</v>
          </cell>
          <cell r="I3117" t="str">
            <v>HZK</v>
          </cell>
          <cell r="J3117">
            <v>1.96</v>
          </cell>
          <cell r="N3117" t="e">
            <v>#DIV/0!</v>
          </cell>
        </row>
        <row r="3118">
          <cell r="E3118" t="str">
            <v>HGC-Lib-2453936</v>
          </cell>
          <cell r="F3118" t="str">
            <v>NGS0324035-462</v>
          </cell>
          <cell r="G3118">
            <v>6</v>
          </cell>
          <cell r="H3118" t="str">
            <v>mRNA文库</v>
          </cell>
          <cell r="I3118" t="str">
            <v>HZK</v>
          </cell>
          <cell r="J3118">
            <v>18.7</v>
          </cell>
          <cell r="N3118" t="e">
            <v>#DIV/0!</v>
          </cell>
        </row>
        <row r="3119">
          <cell r="E3119" t="str">
            <v>HGC-Lib-2453937</v>
          </cell>
          <cell r="F3119" t="str">
            <v>NGS0324035-505</v>
          </cell>
          <cell r="G3119">
            <v>6</v>
          </cell>
          <cell r="H3119" t="str">
            <v>mRNA文库</v>
          </cell>
          <cell r="I3119" t="str">
            <v>HZK</v>
          </cell>
          <cell r="J3119">
            <v>7.44</v>
          </cell>
          <cell r="N3119" t="e">
            <v>#DIV/0!</v>
          </cell>
        </row>
        <row r="3120">
          <cell r="E3120" t="str">
            <v>HGC-Lib-2453938</v>
          </cell>
          <cell r="F3120" t="str">
            <v>NGS0324035-466</v>
          </cell>
          <cell r="G3120">
            <v>6</v>
          </cell>
          <cell r="H3120" t="str">
            <v>mRNA文库</v>
          </cell>
          <cell r="I3120" t="str">
            <v>HZK</v>
          </cell>
          <cell r="J3120">
            <v>12.3</v>
          </cell>
          <cell r="N3120" t="e">
            <v>#DIV/0!</v>
          </cell>
        </row>
        <row r="3121">
          <cell r="E3121" t="str">
            <v>HGC-Lib-2453939</v>
          </cell>
          <cell r="F3121" t="str">
            <v>NGS0324035-468</v>
          </cell>
          <cell r="G3121">
            <v>6</v>
          </cell>
          <cell r="H3121" t="str">
            <v>mRNA文库</v>
          </cell>
          <cell r="I3121" t="str">
            <v>HZK</v>
          </cell>
          <cell r="J3121">
            <v>16.899999999999999</v>
          </cell>
          <cell r="N3121" t="e">
            <v>#DIV/0!</v>
          </cell>
        </row>
        <row r="3122">
          <cell r="E3122" t="str">
            <v>HGC-Lib-2453940</v>
          </cell>
          <cell r="F3122" t="str">
            <v>NGS0324035-469</v>
          </cell>
          <cell r="G3122">
            <v>6</v>
          </cell>
          <cell r="H3122" t="str">
            <v>mRNA文库</v>
          </cell>
          <cell r="I3122" t="str">
            <v>HZK</v>
          </cell>
          <cell r="J3122">
            <v>9.76</v>
          </cell>
          <cell r="N3122" t="e">
            <v>#DIV/0!</v>
          </cell>
        </row>
        <row r="3123">
          <cell r="E3123" t="str">
            <v>HGC-Lib-2453941</v>
          </cell>
          <cell r="F3123" t="str">
            <v>NGS0324035-470</v>
          </cell>
          <cell r="G3123">
            <v>6</v>
          </cell>
          <cell r="H3123" t="str">
            <v>mRNA文库</v>
          </cell>
          <cell r="I3123" t="str">
            <v>HZK</v>
          </cell>
          <cell r="J3123">
            <v>13.7</v>
          </cell>
          <cell r="N3123" t="e">
            <v>#DIV/0!</v>
          </cell>
        </row>
        <row r="3124">
          <cell r="E3124" t="str">
            <v>HGC-Lib-2453942</v>
          </cell>
          <cell r="F3124" t="str">
            <v>NGS0324035-471</v>
          </cell>
          <cell r="G3124">
            <v>6</v>
          </cell>
          <cell r="H3124" t="str">
            <v>mRNA文库</v>
          </cell>
          <cell r="I3124" t="str">
            <v>HZK</v>
          </cell>
          <cell r="J3124">
            <v>14.6</v>
          </cell>
          <cell r="N3124" t="e">
            <v>#DIV/0!</v>
          </cell>
        </row>
        <row r="3125">
          <cell r="E3125" t="str">
            <v>HGC-Lib-2453943</v>
          </cell>
          <cell r="F3125" t="str">
            <v>NGS0324035-483</v>
          </cell>
          <cell r="G3125">
            <v>6</v>
          </cell>
          <cell r="H3125" t="str">
            <v>mRNA文库</v>
          </cell>
          <cell r="I3125" t="str">
            <v>HZK</v>
          </cell>
          <cell r="J3125">
            <v>16.7</v>
          </cell>
          <cell r="N3125" t="e">
            <v>#DIV/0!</v>
          </cell>
        </row>
        <row r="3126">
          <cell r="E3126" t="str">
            <v>HGC-Lib-2453944</v>
          </cell>
          <cell r="F3126" t="str">
            <v>NGS0324035-487</v>
          </cell>
          <cell r="G3126">
            <v>6</v>
          </cell>
          <cell r="H3126" t="str">
            <v>mRNA文库</v>
          </cell>
          <cell r="I3126" t="str">
            <v>HZK</v>
          </cell>
          <cell r="J3126">
            <v>9.06</v>
          </cell>
          <cell r="N3126" t="e">
            <v>#DIV/0!</v>
          </cell>
        </row>
        <row r="3127">
          <cell r="E3127" t="str">
            <v>HGC-Lib-2453945</v>
          </cell>
          <cell r="F3127" t="str">
            <v>NGS0324035-488</v>
          </cell>
          <cell r="G3127">
            <v>6</v>
          </cell>
          <cell r="H3127" t="str">
            <v>mRNA文库</v>
          </cell>
          <cell r="I3127" t="str">
            <v>HZK</v>
          </cell>
          <cell r="J3127">
            <v>5.46</v>
          </cell>
          <cell r="N3127" t="e">
            <v>#DIV/0!</v>
          </cell>
        </row>
        <row r="3128">
          <cell r="E3128" t="str">
            <v>HGC-Lib-2453946</v>
          </cell>
          <cell r="F3128" t="str">
            <v>NGS0324035-490</v>
          </cell>
          <cell r="G3128">
            <v>6</v>
          </cell>
          <cell r="H3128" t="str">
            <v>mRNA文库</v>
          </cell>
          <cell r="I3128" t="str">
            <v>HZK</v>
          </cell>
          <cell r="J3128">
            <v>3.04</v>
          </cell>
          <cell r="N3128" t="e">
            <v>#DIV/0!</v>
          </cell>
        </row>
        <row r="3129">
          <cell r="E3129" t="str">
            <v>HGC-Lib-2453947</v>
          </cell>
          <cell r="F3129" t="str">
            <v>NGS0324035-496</v>
          </cell>
          <cell r="G3129">
            <v>6</v>
          </cell>
          <cell r="H3129" t="str">
            <v>mRNA文库</v>
          </cell>
          <cell r="I3129" t="str">
            <v>HZK</v>
          </cell>
          <cell r="J3129">
            <v>6.9</v>
          </cell>
          <cell r="N3129" t="e">
            <v>#DIV/0!</v>
          </cell>
        </row>
        <row r="3130">
          <cell r="E3130" t="str">
            <v>HGC-Lib-2453948</v>
          </cell>
          <cell r="F3130" t="str">
            <v>NGS0324035-497</v>
          </cell>
          <cell r="G3130">
            <v>6</v>
          </cell>
          <cell r="H3130" t="str">
            <v>mRNA文库</v>
          </cell>
          <cell r="I3130" t="str">
            <v>HZK</v>
          </cell>
          <cell r="J3130">
            <v>8.86</v>
          </cell>
          <cell r="N3130" t="e">
            <v>#DIV/0!</v>
          </cell>
        </row>
        <row r="3131">
          <cell r="E3131" t="str">
            <v>HGC-Lib-2453949</v>
          </cell>
          <cell r="F3131" t="str">
            <v>NGS0324035-498</v>
          </cell>
          <cell r="G3131">
            <v>6</v>
          </cell>
          <cell r="H3131" t="str">
            <v>mRNA文库</v>
          </cell>
          <cell r="I3131" t="str">
            <v>HZK</v>
          </cell>
          <cell r="J3131">
            <v>4.42</v>
          </cell>
          <cell r="N3131" t="e">
            <v>#DIV/0!</v>
          </cell>
        </row>
        <row r="3132">
          <cell r="E3132" t="str">
            <v>HGC-Lib-2453950</v>
          </cell>
          <cell r="F3132" t="str">
            <v>NGS0324035-499</v>
          </cell>
          <cell r="G3132">
            <v>6</v>
          </cell>
          <cell r="H3132" t="str">
            <v>mRNA文库</v>
          </cell>
          <cell r="I3132" t="str">
            <v>HZK</v>
          </cell>
          <cell r="J3132">
            <v>13.6</v>
          </cell>
          <cell r="N3132" t="e">
            <v>#DIV/0!</v>
          </cell>
        </row>
        <row r="3133">
          <cell r="E3133" t="str">
            <v>HGC-Lib-2453951</v>
          </cell>
          <cell r="F3133" t="str">
            <v>NGS0324035-500</v>
          </cell>
          <cell r="G3133">
            <v>6</v>
          </cell>
          <cell r="H3133" t="str">
            <v>mRNA文库</v>
          </cell>
          <cell r="I3133" t="str">
            <v>HZK</v>
          </cell>
          <cell r="J3133">
            <v>7.02</v>
          </cell>
          <cell r="N3133" t="e">
            <v>#DIV/0!</v>
          </cell>
        </row>
        <row r="3134">
          <cell r="E3134" t="str">
            <v>HGC-Lib-2453952</v>
          </cell>
          <cell r="F3134" t="str">
            <v>NGS0324035-501</v>
          </cell>
          <cell r="G3134">
            <v>6</v>
          </cell>
          <cell r="H3134" t="str">
            <v>mRNA文库</v>
          </cell>
          <cell r="I3134" t="str">
            <v>HZK</v>
          </cell>
          <cell r="J3134">
            <v>8.5</v>
          </cell>
          <cell r="N3134" t="e">
            <v>#DIV/0!</v>
          </cell>
        </row>
        <row r="3135">
          <cell r="E3135" t="str">
            <v>HGC-Lib-2453953</v>
          </cell>
          <cell r="F3135" t="str">
            <v>NGS0324035-502</v>
          </cell>
          <cell r="G3135">
            <v>6</v>
          </cell>
          <cell r="H3135" t="str">
            <v>mRNA文库</v>
          </cell>
          <cell r="I3135" t="str">
            <v>HZK</v>
          </cell>
          <cell r="J3135">
            <v>11.3</v>
          </cell>
          <cell r="N3135" t="e">
            <v>#DIV/0!</v>
          </cell>
        </row>
        <row r="3136">
          <cell r="E3136" t="str">
            <v>HGC-Lib-2453954</v>
          </cell>
          <cell r="F3136" t="str">
            <v>NGS0324035-504</v>
          </cell>
          <cell r="G3136">
            <v>6</v>
          </cell>
          <cell r="H3136" t="str">
            <v>mRNA文库</v>
          </cell>
          <cell r="I3136" t="str">
            <v>HZK</v>
          </cell>
          <cell r="J3136">
            <v>1.78</v>
          </cell>
          <cell r="N3136" t="e">
            <v>#DIV/0!</v>
          </cell>
        </row>
        <row r="3137">
          <cell r="E3137" t="str">
            <v>HGC-Lib-2453984</v>
          </cell>
          <cell r="F3137" t="str">
            <v>NGS0624005-1</v>
          </cell>
          <cell r="G3137">
            <v>6</v>
          </cell>
          <cell r="H3137" t="str">
            <v>mRNA文库</v>
          </cell>
          <cell r="I3137" t="str">
            <v>HZK</v>
          </cell>
          <cell r="J3137">
            <v>23.6</v>
          </cell>
          <cell r="N3137" t="e">
            <v>#DIV/0!</v>
          </cell>
        </row>
        <row r="3138">
          <cell r="E3138" t="str">
            <v>HGC-Lib-2453985</v>
          </cell>
          <cell r="F3138" t="str">
            <v>NGS0624005-2</v>
          </cell>
          <cell r="G3138">
            <v>6</v>
          </cell>
          <cell r="H3138" t="str">
            <v>mRNA文库</v>
          </cell>
          <cell r="I3138" t="str">
            <v>HZK</v>
          </cell>
          <cell r="J3138">
            <v>15.6</v>
          </cell>
          <cell r="N3138" t="e">
            <v>#DIV/0!</v>
          </cell>
        </row>
        <row r="3139">
          <cell r="E3139" t="str">
            <v>HGC-Lib-2453986</v>
          </cell>
          <cell r="F3139" t="str">
            <v>NGS0624005-3</v>
          </cell>
          <cell r="G3139">
            <v>6</v>
          </cell>
          <cell r="H3139" t="str">
            <v>mRNA文库</v>
          </cell>
          <cell r="I3139" t="str">
            <v>HZK</v>
          </cell>
          <cell r="J3139">
            <v>16</v>
          </cell>
          <cell r="N3139" t="e">
            <v>#DIV/0!</v>
          </cell>
        </row>
        <row r="3140">
          <cell r="E3140" t="str">
            <v>HGC-Lib-2453987</v>
          </cell>
          <cell r="F3140" t="str">
            <v>NGS0624005-4</v>
          </cell>
          <cell r="G3140">
            <v>6</v>
          </cell>
          <cell r="H3140" t="str">
            <v>mRNA文库</v>
          </cell>
          <cell r="I3140" t="str">
            <v>HZK</v>
          </cell>
          <cell r="J3140">
            <v>11.9</v>
          </cell>
          <cell r="N3140" t="e">
            <v>#DIV/0!</v>
          </cell>
        </row>
        <row r="3141">
          <cell r="E3141" t="str">
            <v>HGC-POOL-2453988</v>
          </cell>
          <cell r="F3141" t="str">
            <v>pt</v>
          </cell>
          <cell r="G3141">
            <v>7</v>
          </cell>
          <cell r="H3141" t="str">
            <v>其他文库类型</v>
          </cell>
          <cell r="I3141" t="str">
            <v>HZK</v>
          </cell>
          <cell r="J3141">
            <v>8.7200000000000006</v>
          </cell>
          <cell r="K3141">
            <v>542</v>
          </cell>
          <cell r="L3141" t="str">
            <v>HZK</v>
          </cell>
          <cell r="N3141">
            <v>24.7516321317059</v>
          </cell>
        </row>
        <row r="3142">
          <cell r="E3142" t="str">
            <v>HGC-Lib-2453989</v>
          </cell>
          <cell r="F3142">
            <v>2</v>
          </cell>
          <cell r="G3142">
            <v>3</v>
          </cell>
          <cell r="H3142" t="str">
            <v>mRNA文库</v>
          </cell>
          <cell r="I3142" t="str">
            <v>HZK</v>
          </cell>
          <cell r="J3142">
            <v>18.899999999999999</v>
          </cell>
          <cell r="K3142">
            <v>329</v>
          </cell>
          <cell r="L3142" t="str">
            <v>HZK</v>
          </cell>
          <cell r="N3142">
            <v>88.379705400982004</v>
          </cell>
        </row>
        <row r="3143">
          <cell r="E3143" t="str">
            <v>HGC-Lib-2453990</v>
          </cell>
          <cell r="F3143">
            <v>3</v>
          </cell>
          <cell r="G3143">
            <v>3</v>
          </cell>
          <cell r="H3143" t="str">
            <v>mRNA文库</v>
          </cell>
          <cell r="I3143" t="str">
            <v>HZK</v>
          </cell>
          <cell r="J3143">
            <v>12.9</v>
          </cell>
          <cell r="K3143">
            <v>317</v>
          </cell>
          <cell r="L3143" t="str">
            <v>HZK</v>
          </cell>
          <cell r="N3143">
            <v>62.606163552535797</v>
          </cell>
        </row>
        <row r="3144">
          <cell r="E3144" t="str">
            <v>HGC-Lib-2453991</v>
          </cell>
          <cell r="F3144" t="str">
            <v>KOTSC1</v>
          </cell>
          <cell r="G3144">
            <v>13</v>
          </cell>
          <cell r="H3144" t="str">
            <v>ATAC-Seq文库</v>
          </cell>
          <cell r="I3144" t="str">
            <v>HZK</v>
          </cell>
          <cell r="J3144">
            <v>8.32</v>
          </cell>
          <cell r="K3144">
            <v>582</v>
          </cell>
          <cell r="L3144" t="str">
            <v>HZK</v>
          </cell>
          <cell r="N3144">
            <v>21.993127147766302</v>
          </cell>
        </row>
        <row r="3145">
          <cell r="E3145" t="str">
            <v>HGC-Lib-2453998</v>
          </cell>
          <cell r="F3145" t="str">
            <v>Tilapia_Brain_H3K27ac</v>
          </cell>
          <cell r="G3145">
            <v>7</v>
          </cell>
          <cell r="H3145" t="str">
            <v>cut&amp;tag文库</v>
          </cell>
          <cell r="I3145" t="str">
            <v>HZK</v>
          </cell>
          <cell r="J3145">
            <v>0.72</v>
          </cell>
          <cell r="K3145">
            <v>462</v>
          </cell>
          <cell r="L3145" t="str">
            <v>HZK</v>
          </cell>
          <cell r="N3145">
            <v>2.3976023976023999</v>
          </cell>
        </row>
        <row r="3146">
          <cell r="E3146" t="str">
            <v>HGC-Lib-2453999</v>
          </cell>
          <cell r="F3146" t="str">
            <v>Tilapia_Brain_H3K27me3</v>
          </cell>
          <cell r="G3146">
            <v>7</v>
          </cell>
          <cell r="H3146" t="str">
            <v>cut&amp;tag文库</v>
          </cell>
          <cell r="I3146" t="str">
            <v>HZK</v>
          </cell>
          <cell r="J3146">
            <v>7.14</v>
          </cell>
          <cell r="K3146">
            <v>478</v>
          </cell>
          <cell r="L3146" t="str">
            <v>HZK</v>
          </cell>
          <cell r="N3146">
            <v>22.9803669134213</v>
          </cell>
        </row>
        <row r="3147">
          <cell r="E3147" t="str">
            <v>HGC-Lib-2454000</v>
          </cell>
          <cell r="F3147" t="str">
            <v>Tilapia_Brain_H3K4me1</v>
          </cell>
          <cell r="G3147">
            <v>7</v>
          </cell>
          <cell r="H3147" t="str">
            <v>cut&amp;tag文库</v>
          </cell>
          <cell r="I3147" t="str">
            <v>HZK</v>
          </cell>
          <cell r="J3147">
            <v>5.14</v>
          </cell>
          <cell r="K3147">
            <v>472</v>
          </cell>
          <cell r="L3147" t="str">
            <v>HZK</v>
          </cell>
          <cell r="N3147">
            <v>16.7535853976532</v>
          </cell>
        </row>
        <row r="3148">
          <cell r="E3148" t="str">
            <v>HGC-Lib-2454001</v>
          </cell>
          <cell r="F3148" t="str">
            <v>Tilapia_Brain_H3K4me3</v>
          </cell>
          <cell r="G3148">
            <v>7</v>
          </cell>
          <cell r="H3148" t="str">
            <v>cut&amp;tag文库</v>
          </cell>
          <cell r="I3148" t="str">
            <v>HZK</v>
          </cell>
          <cell r="J3148">
            <v>3.42</v>
          </cell>
          <cell r="K3148">
            <v>454</v>
          </cell>
          <cell r="L3148" t="str">
            <v>HZK</v>
          </cell>
          <cell r="N3148">
            <v>11.5892917655032</v>
          </cell>
        </row>
        <row r="3149">
          <cell r="E3149" t="str">
            <v>HGC-Lib-2454002</v>
          </cell>
          <cell r="F3149" t="str">
            <v>Tilapia_Brain_IgG</v>
          </cell>
          <cell r="G3149">
            <v>7</v>
          </cell>
          <cell r="H3149" t="str">
            <v>cut&amp;tag文库</v>
          </cell>
          <cell r="I3149" t="str">
            <v>HZK</v>
          </cell>
          <cell r="J3149">
            <v>0.21</v>
          </cell>
          <cell r="K3149">
            <v>470</v>
          </cell>
          <cell r="L3149" t="str">
            <v>HZK</v>
          </cell>
          <cell r="N3149">
            <v>0.68739770867430405</v>
          </cell>
        </row>
        <row r="3150">
          <cell r="E3150" t="str">
            <v>HGC-Lib-2454003</v>
          </cell>
          <cell r="F3150" t="str">
            <v>Tilapia_Muscle_H3K27ac</v>
          </cell>
          <cell r="G3150">
            <v>7</v>
          </cell>
          <cell r="H3150" t="str">
            <v>cut&amp;tag文库</v>
          </cell>
          <cell r="I3150" t="str">
            <v>HZK</v>
          </cell>
          <cell r="J3150">
            <v>0.56599999999999995</v>
          </cell>
          <cell r="K3150">
            <v>460</v>
          </cell>
          <cell r="L3150" t="str">
            <v>HZK</v>
          </cell>
          <cell r="N3150">
            <v>1.8929765886287599</v>
          </cell>
        </row>
        <row r="3151">
          <cell r="E3151" t="str">
            <v>HGC-Lib-2454004</v>
          </cell>
          <cell r="F3151" t="str">
            <v>Tilapia_Muscle_H3K27me3</v>
          </cell>
          <cell r="G3151">
            <v>7</v>
          </cell>
          <cell r="H3151" t="str">
            <v>cut&amp;tag文库</v>
          </cell>
          <cell r="I3151" t="str">
            <v>HZK</v>
          </cell>
          <cell r="J3151">
            <v>8.1999999999999993</v>
          </cell>
          <cell r="K3151">
            <v>509</v>
          </cell>
          <cell r="L3151" t="str">
            <v>HZK</v>
          </cell>
          <cell r="N3151">
            <v>24.784645609792999</v>
          </cell>
        </row>
        <row r="3152">
          <cell r="E3152" t="str">
            <v>HGC-Lib-2454005</v>
          </cell>
          <cell r="F3152" t="str">
            <v>Tilapia_Muscle_H3K4me1</v>
          </cell>
          <cell r="G3152">
            <v>7</v>
          </cell>
          <cell r="H3152" t="str">
            <v>cut&amp;tag文库</v>
          </cell>
          <cell r="I3152" t="str">
            <v>HZK</v>
          </cell>
          <cell r="J3152">
            <v>3.9</v>
          </cell>
          <cell r="K3152">
            <v>461</v>
          </cell>
          <cell r="L3152" t="str">
            <v>HZK</v>
          </cell>
          <cell r="N3152">
            <v>13.015184381778701</v>
          </cell>
        </row>
        <row r="3153">
          <cell r="E3153" t="str">
            <v>HGC-Lib-2454006</v>
          </cell>
          <cell r="F3153" t="str">
            <v>Tilapia_Muscle_H3K4me3</v>
          </cell>
          <cell r="G3153">
            <v>7</v>
          </cell>
          <cell r="H3153" t="str">
            <v>cut&amp;tag文库</v>
          </cell>
          <cell r="I3153" t="str">
            <v>HZK</v>
          </cell>
          <cell r="J3153">
            <v>0.83199999999999996</v>
          </cell>
          <cell r="K3153">
            <v>452</v>
          </cell>
          <cell r="L3153" t="str">
            <v>HZK</v>
          </cell>
          <cell r="N3153">
            <v>2.83185840707965</v>
          </cell>
        </row>
        <row r="3154">
          <cell r="E3154" t="str">
            <v>HGC-Lib-2454007</v>
          </cell>
          <cell r="F3154" t="str">
            <v>Tilapia_Muscle_IgG</v>
          </cell>
          <cell r="G3154">
            <v>7</v>
          </cell>
          <cell r="H3154" t="str">
            <v>cut&amp;tag文库</v>
          </cell>
          <cell r="I3154" t="str">
            <v>HZK</v>
          </cell>
          <cell r="J3154">
            <v>0.188</v>
          </cell>
          <cell r="K3154">
            <v>458</v>
          </cell>
          <cell r="L3154" t="str">
            <v>HZK</v>
          </cell>
          <cell r="N3154">
            <v>0.631508229761505</v>
          </cell>
        </row>
        <row r="3155">
          <cell r="E3155" t="str">
            <v>HGC-Lib-2454008</v>
          </cell>
          <cell r="F3155" t="str">
            <v>Tilapia_Brain</v>
          </cell>
          <cell r="G3155">
            <v>10</v>
          </cell>
          <cell r="H3155" t="str">
            <v>ATAC-Seq文库</v>
          </cell>
          <cell r="I3155" t="str">
            <v>HZK</v>
          </cell>
          <cell r="J3155">
            <v>8.9600000000000009</v>
          </cell>
          <cell r="K3155">
            <v>339</v>
          </cell>
          <cell r="L3155" t="str">
            <v>HZK</v>
          </cell>
          <cell r="N3155">
            <v>40.662582255502599</v>
          </cell>
        </row>
        <row r="3156">
          <cell r="E3156" t="str">
            <v>HGC-Lib-2454009</v>
          </cell>
          <cell r="F3156" t="str">
            <v>Tilapia_Muscle</v>
          </cell>
          <cell r="G3156">
            <v>10</v>
          </cell>
          <cell r="H3156" t="str">
            <v>ATAC-Seq文库</v>
          </cell>
          <cell r="I3156" t="str">
            <v>HZK</v>
          </cell>
          <cell r="J3156">
            <v>11.6</v>
          </cell>
          <cell r="K3156">
            <v>245</v>
          </cell>
          <cell r="L3156" t="str">
            <v>HZK</v>
          </cell>
          <cell r="N3156">
            <v>72.8414442700157</v>
          </cell>
        </row>
        <row r="3157">
          <cell r="E3157" t="str">
            <v>HGC-Lib-2454010</v>
          </cell>
          <cell r="F3157" t="str">
            <v>Tilapia_Spleen</v>
          </cell>
          <cell r="G3157">
            <v>10</v>
          </cell>
          <cell r="H3157" t="str">
            <v>ATAC-Seq文库</v>
          </cell>
          <cell r="I3157" t="str">
            <v>HZK</v>
          </cell>
          <cell r="J3157">
            <v>15</v>
          </cell>
          <cell r="K3157">
            <v>420</v>
          </cell>
          <cell r="L3157" t="str">
            <v>HZK</v>
          </cell>
          <cell r="N3157">
            <v>54.945054945054899</v>
          </cell>
        </row>
        <row r="3158">
          <cell r="E3158" t="str">
            <v>HGC-Lib-2454011</v>
          </cell>
          <cell r="F3158" t="str">
            <v>Tilapia_Midkidney</v>
          </cell>
          <cell r="G3158">
            <v>10</v>
          </cell>
          <cell r="H3158" t="str">
            <v>ATAC-Seq文库</v>
          </cell>
          <cell r="I3158" t="str">
            <v>HZK</v>
          </cell>
          <cell r="J3158">
            <v>6.66</v>
          </cell>
          <cell r="K3158">
            <v>474</v>
          </cell>
          <cell r="L3158" t="str">
            <v>HZK</v>
          </cell>
          <cell r="N3158">
            <v>21.6163583252191</v>
          </cell>
        </row>
        <row r="3159">
          <cell r="E3159" t="str">
            <v>HGC-Lib-2454012</v>
          </cell>
          <cell r="F3159" t="str">
            <v>Tilapia_Headkidney</v>
          </cell>
          <cell r="G3159">
            <v>10</v>
          </cell>
          <cell r="H3159" t="str">
            <v>ATAC-Seq文库</v>
          </cell>
          <cell r="I3159" t="str">
            <v>HZK</v>
          </cell>
          <cell r="J3159">
            <v>6.78</v>
          </cell>
          <cell r="K3159">
            <v>430</v>
          </cell>
          <cell r="L3159" t="str">
            <v>HZK</v>
          </cell>
          <cell r="N3159">
            <v>24.257602862254</v>
          </cell>
        </row>
        <row r="3160">
          <cell r="E3160" t="str">
            <v>HGC-Lib-2454013</v>
          </cell>
          <cell r="F3160" t="str">
            <v>Tilapia_Liver</v>
          </cell>
          <cell r="G3160">
            <v>10</v>
          </cell>
          <cell r="H3160" t="str">
            <v>ATAC-Seq文库</v>
          </cell>
          <cell r="I3160" t="str">
            <v>HZK</v>
          </cell>
          <cell r="J3160">
            <v>6.02</v>
          </cell>
          <cell r="K3160">
            <v>540</v>
          </cell>
          <cell r="L3160" t="str">
            <v>HZK</v>
          </cell>
          <cell r="N3160">
            <v>17.1509971509971</v>
          </cell>
        </row>
        <row r="3161">
          <cell r="E3161" t="str">
            <v>HGC-Lib-2454014</v>
          </cell>
          <cell r="F3161" t="str">
            <v>Tilapia_Heart</v>
          </cell>
          <cell r="G3161">
            <v>10</v>
          </cell>
          <cell r="H3161" t="str">
            <v>ATAC-Seq文库</v>
          </cell>
          <cell r="I3161" t="str">
            <v>HZK</v>
          </cell>
          <cell r="J3161">
            <v>10.3</v>
          </cell>
          <cell r="K3161">
            <v>278</v>
          </cell>
          <cell r="L3161" t="str">
            <v>HZK</v>
          </cell>
          <cell r="N3161">
            <v>57.000553403431098</v>
          </cell>
        </row>
        <row r="3162">
          <cell r="E3162" t="str">
            <v>HGC-Lib-2454015</v>
          </cell>
          <cell r="F3162" t="str">
            <v>Tilapia_Testis</v>
          </cell>
          <cell r="G3162">
            <v>10</v>
          </cell>
          <cell r="H3162" t="str">
            <v>ATAC-Seq文库</v>
          </cell>
          <cell r="I3162" t="str">
            <v>HZK</v>
          </cell>
          <cell r="J3162">
            <v>6.64</v>
          </cell>
          <cell r="K3162">
            <v>304</v>
          </cell>
          <cell r="L3162" t="str">
            <v>HZK</v>
          </cell>
          <cell r="N3162">
            <v>33.603238866396801</v>
          </cell>
        </row>
        <row r="3163">
          <cell r="E3163" t="str">
            <v>HGC-Lib-2454083</v>
          </cell>
          <cell r="F3163" t="str">
            <v>LN1-240125-P176</v>
          </cell>
          <cell r="G3163">
            <v>10</v>
          </cell>
          <cell r="H3163" t="str">
            <v>DNA宏基因组文库</v>
          </cell>
          <cell r="I3163" t="str">
            <v>HZK</v>
          </cell>
          <cell r="J3163">
            <v>24.1</v>
          </cell>
          <cell r="K3163">
            <v>492</v>
          </cell>
          <cell r="L3163" t="str">
            <v>HZK</v>
          </cell>
          <cell r="N3163">
            <v>75.359599749843696</v>
          </cell>
        </row>
        <row r="3164">
          <cell r="E3164" t="str">
            <v>HGC-Lib-2454084</v>
          </cell>
          <cell r="F3164" t="str">
            <v>T805-16</v>
          </cell>
          <cell r="G3164">
            <v>15</v>
          </cell>
          <cell r="H3164" t="str">
            <v>mRNA文库</v>
          </cell>
          <cell r="I3164" t="str">
            <v>DY</v>
          </cell>
          <cell r="J3164">
            <v>10.7</v>
          </cell>
          <cell r="N3164" t="e">
            <v>#DIV/0!</v>
          </cell>
        </row>
        <row r="3165">
          <cell r="E3165" t="str">
            <v>HGC-Lib-2454100</v>
          </cell>
          <cell r="F3165" t="str">
            <v>3leaf ribo-seq lib</v>
          </cell>
          <cell r="G3165">
            <v>5</v>
          </cell>
          <cell r="H3165" t="str">
            <v>small RNA文库</v>
          </cell>
          <cell r="I3165" t="str">
            <v>DY</v>
          </cell>
          <cell r="J3165">
            <v>1.62</v>
          </cell>
          <cell r="K3165">
            <v>363</v>
          </cell>
          <cell r="L3165" t="str">
            <v>YHT</v>
          </cell>
          <cell r="N3165">
            <v>6.8658614113159597</v>
          </cell>
        </row>
        <row r="3166">
          <cell r="E3166" t="str">
            <v>HGC-Lib-2454101</v>
          </cell>
          <cell r="F3166" t="str">
            <v>4root ribo-seq lib</v>
          </cell>
          <cell r="G3166">
            <v>5</v>
          </cell>
          <cell r="H3166" t="str">
            <v>small RNA文库</v>
          </cell>
          <cell r="I3166" t="str">
            <v>DY</v>
          </cell>
          <cell r="J3166">
            <v>0.54800000000000004</v>
          </cell>
          <cell r="K3166">
            <v>296</v>
          </cell>
          <cell r="L3166" t="str">
            <v>YHT</v>
          </cell>
          <cell r="N3166">
            <v>2.8482328482328501</v>
          </cell>
        </row>
        <row r="3167">
          <cell r="E3167" t="str">
            <v>HGC-Lib-2454102</v>
          </cell>
          <cell r="F3167" t="str">
            <v>CB-T23-1</v>
          </cell>
          <cell r="G3167">
            <v>5</v>
          </cell>
          <cell r="H3167" t="str">
            <v>PCR产物文库</v>
          </cell>
          <cell r="I3167" t="str">
            <v>DY</v>
          </cell>
          <cell r="J3167">
            <v>59.8</v>
          </cell>
          <cell r="K3167">
            <v>542</v>
          </cell>
          <cell r="L3167" t="str">
            <v>YHT</v>
          </cell>
          <cell r="N3167">
            <v>169.74169741697401</v>
          </cell>
        </row>
        <row r="3168">
          <cell r="E3168" t="str">
            <v>HGC-Lib-2454103</v>
          </cell>
          <cell r="F3168" t="str">
            <v>CB-T23-2</v>
          </cell>
          <cell r="G3168">
            <v>5</v>
          </cell>
          <cell r="H3168" t="str">
            <v>PCR产物文库</v>
          </cell>
          <cell r="I3168" t="str">
            <v>DY</v>
          </cell>
          <cell r="J3168">
            <v>65.400000000000006</v>
          </cell>
          <cell r="K3168">
            <v>482</v>
          </cell>
          <cell r="L3168" t="str">
            <v>YHT</v>
          </cell>
          <cell r="N3168">
            <v>208.74561123523799</v>
          </cell>
        </row>
        <row r="3169">
          <cell r="E3169" t="str">
            <v>HGC-Lib-2454104</v>
          </cell>
          <cell r="F3169" t="str">
            <v>PAAD-0329</v>
          </cell>
          <cell r="G3169">
            <v>18</v>
          </cell>
          <cell r="H3169" t="str">
            <v>ATAC-Seq文库</v>
          </cell>
          <cell r="I3169" t="str">
            <v>DY</v>
          </cell>
          <cell r="J3169">
            <v>13.4</v>
          </cell>
          <cell r="K3169">
            <v>255</v>
          </cell>
          <cell r="L3169" t="str">
            <v>YHT</v>
          </cell>
          <cell r="N3169">
            <v>80.8446455505279</v>
          </cell>
        </row>
        <row r="3170">
          <cell r="E3170" t="str">
            <v>HGC-Lib-2454105</v>
          </cell>
          <cell r="F3170" t="str">
            <v>STAD-0422</v>
          </cell>
          <cell r="G3170">
            <v>18</v>
          </cell>
          <cell r="H3170" t="str">
            <v>ATAC-Seq文库</v>
          </cell>
          <cell r="I3170" t="str">
            <v>DY</v>
          </cell>
          <cell r="J3170">
            <v>8.9</v>
          </cell>
          <cell r="K3170">
            <v>290</v>
          </cell>
          <cell r="L3170" t="str">
            <v>YHT</v>
          </cell>
          <cell r="N3170">
            <v>47.214854111405799</v>
          </cell>
        </row>
        <row r="3171">
          <cell r="E3171" t="str">
            <v>HGC-Lib-2454143</v>
          </cell>
          <cell r="F3171" t="str">
            <v>D24050036</v>
          </cell>
          <cell r="G3171">
            <v>7</v>
          </cell>
          <cell r="H3171" t="str">
            <v>全基因组甲基化(BS)</v>
          </cell>
          <cell r="I3171" t="str">
            <v>DY</v>
          </cell>
          <cell r="J3171">
            <v>53.8</v>
          </cell>
          <cell r="N3171" t="e">
            <v>#DIV/0!</v>
          </cell>
        </row>
        <row r="3172">
          <cell r="E3172" t="str">
            <v>HGC-Lib-2454144</v>
          </cell>
          <cell r="F3172" t="str">
            <v>D24050037</v>
          </cell>
          <cell r="G3172">
            <v>7</v>
          </cell>
          <cell r="H3172" t="str">
            <v>全基因组甲基化(BS)</v>
          </cell>
          <cell r="I3172" t="str">
            <v>DY</v>
          </cell>
          <cell r="J3172">
            <v>51.6</v>
          </cell>
          <cell r="N3172" t="e">
            <v>#DIV/0!</v>
          </cell>
        </row>
        <row r="3173">
          <cell r="E3173" t="str">
            <v>HGC-Lib-2454145</v>
          </cell>
          <cell r="F3173" t="str">
            <v>D24060910</v>
          </cell>
          <cell r="G3173">
            <v>19</v>
          </cell>
          <cell r="H3173" t="str">
            <v>全基因组甲基化(BS)</v>
          </cell>
          <cell r="I3173" t="str">
            <v>DY</v>
          </cell>
          <cell r="J3173">
            <v>51.4</v>
          </cell>
          <cell r="N3173" t="e">
            <v>#DIV/0!</v>
          </cell>
        </row>
        <row r="3174">
          <cell r="E3174" t="str">
            <v>HGC-Lib-2454146</v>
          </cell>
          <cell r="F3174" t="str">
            <v>D24060911</v>
          </cell>
          <cell r="G3174">
            <v>19</v>
          </cell>
          <cell r="H3174" t="str">
            <v>全基因组甲基化(BS)</v>
          </cell>
          <cell r="I3174" t="str">
            <v>DY</v>
          </cell>
          <cell r="J3174">
            <v>54.6</v>
          </cell>
          <cell r="N3174" t="e">
            <v>#DIV/0!</v>
          </cell>
        </row>
        <row r="3175">
          <cell r="E3175" t="str">
            <v>HGC-Lib-2454147</v>
          </cell>
          <cell r="F3175" t="str">
            <v>D24060912</v>
          </cell>
          <cell r="G3175">
            <v>19</v>
          </cell>
          <cell r="H3175" t="str">
            <v>全基因组甲基化(BS)</v>
          </cell>
          <cell r="I3175" t="str">
            <v>DY</v>
          </cell>
          <cell r="J3175">
            <v>48.2</v>
          </cell>
          <cell r="N3175" t="e">
            <v>#DIV/0!</v>
          </cell>
        </row>
        <row r="3176">
          <cell r="E3176" t="str">
            <v>HGC-Lib-2454148</v>
          </cell>
          <cell r="F3176" t="str">
            <v>D24060913</v>
          </cell>
          <cell r="G3176">
            <v>19</v>
          </cell>
          <cell r="H3176" t="str">
            <v>全基因组甲基化(BS)</v>
          </cell>
          <cell r="I3176" t="str">
            <v>DY</v>
          </cell>
          <cell r="J3176">
            <v>85.6</v>
          </cell>
          <cell r="N3176" t="e">
            <v>#DIV/0!</v>
          </cell>
        </row>
        <row r="3177">
          <cell r="E3177" t="str">
            <v>HGC-Lib-2454149</v>
          </cell>
          <cell r="F3177" t="str">
            <v>D24060914</v>
          </cell>
          <cell r="G3177">
            <v>19</v>
          </cell>
          <cell r="H3177" t="str">
            <v>全基因组甲基化(BS)</v>
          </cell>
          <cell r="I3177" t="str">
            <v>DY</v>
          </cell>
          <cell r="J3177">
            <v>68.400000000000006</v>
          </cell>
          <cell r="N3177" t="e">
            <v>#DIV/0!</v>
          </cell>
        </row>
        <row r="3178">
          <cell r="E3178" t="str">
            <v>HGC-Lib-2454150</v>
          </cell>
          <cell r="F3178" t="str">
            <v>D24060915</v>
          </cell>
          <cell r="G3178">
            <v>19</v>
          </cell>
          <cell r="H3178" t="str">
            <v>全基因组甲基化(BS)</v>
          </cell>
          <cell r="I3178" t="str">
            <v>DY</v>
          </cell>
          <cell r="J3178">
            <v>55</v>
          </cell>
          <cell r="N3178" t="e">
            <v>#DIV/0!</v>
          </cell>
        </row>
        <row r="3179">
          <cell r="E3179" t="str">
            <v>HGC-Lib-2454151</v>
          </cell>
          <cell r="F3179" t="str">
            <v>L240618062</v>
          </cell>
          <cell r="G3179">
            <v>100</v>
          </cell>
          <cell r="H3179" t="str">
            <v>10X 3'转录组文库</v>
          </cell>
          <cell r="I3179" t="str">
            <v>DY</v>
          </cell>
          <cell r="J3179">
            <v>14.1</v>
          </cell>
          <cell r="N3179" t="e">
            <v>#DIV/0!</v>
          </cell>
        </row>
        <row r="3180">
          <cell r="E3180" t="str">
            <v>HGC-Lib-2454152</v>
          </cell>
          <cell r="F3180" t="str">
            <v>L240618063</v>
          </cell>
          <cell r="G3180">
            <v>100</v>
          </cell>
          <cell r="H3180" t="str">
            <v>10X 3'转录组文库</v>
          </cell>
          <cell r="I3180" t="str">
            <v>DY</v>
          </cell>
          <cell r="J3180">
            <v>16.899999999999999</v>
          </cell>
          <cell r="N3180" t="e">
            <v>#DIV/0!</v>
          </cell>
        </row>
        <row r="3181">
          <cell r="E3181" t="str">
            <v>HGC-Lib-2454153</v>
          </cell>
          <cell r="F3181" t="str">
            <v>N_B_N4709-0M-10X-FFPEC1</v>
          </cell>
          <cell r="G3181">
            <v>10</v>
          </cell>
          <cell r="H3181" t="str">
            <v>空转石蜡文库</v>
          </cell>
          <cell r="I3181" t="str">
            <v>DY</v>
          </cell>
          <cell r="J3181">
            <v>14</v>
          </cell>
          <cell r="N3181" t="e">
            <v>#DIV/0!</v>
          </cell>
        </row>
        <row r="3182">
          <cell r="E3182" t="str">
            <v>HGC-Lib-2454154</v>
          </cell>
          <cell r="F3182" t="str">
            <v>N_B_N4709-0N-10X-FFPEC2</v>
          </cell>
          <cell r="G3182">
            <v>10</v>
          </cell>
          <cell r="H3182" t="str">
            <v>空转石蜡文库</v>
          </cell>
          <cell r="I3182" t="str">
            <v>DY</v>
          </cell>
          <cell r="J3182">
            <v>13.2</v>
          </cell>
          <cell r="N3182" t="e">
            <v>#DIV/0!</v>
          </cell>
        </row>
        <row r="3183">
          <cell r="E3183" t="str">
            <v>HGC-Lib-2454155</v>
          </cell>
          <cell r="F3183" t="str">
            <v>N_B_N4709-0P-10X-FFPEC3</v>
          </cell>
          <cell r="G3183">
            <v>10</v>
          </cell>
          <cell r="H3183" t="str">
            <v>空转石蜡文库</v>
          </cell>
          <cell r="I3183" t="str">
            <v>DY</v>
          </cell>
          <cell r="J3183">
            <v>4.5</v>
          </cell>
          <cell r="N3183" t="e">
            <v>#DIV/0!</v>
          </cell>
        </row>
        <row r="3184">
          <cell r="E3184" t="str">
            <v>HGC-Lib-2454156</v>
          </cell>
          <cell r="F3184" t="str">
            <v>N_B_N4709-0Q-10X-FFPEC4</v>
          </cell>
          <cell r="G3184">
            <v>10</v>
          </cell>
          <cell r="H3184" t="str">
            <v>空转石蜡文库</v>
          </cell>
          <cell r="I3184" t="str">
            <v>DY</v>
          </cell>
          <cell r="J3184">
            <v>19.600000000000001</v>
          </cell>
          <cell r="N3184" t="e">
            <v>#DIV/0!</v>
          </cell>
        </row>
        <row r="3185">
          <cell r="E3185" t="str">
            <v>HGC-Lib-2454157</v>
          </cell>
          <cell r="F3185" t="str">
            <v>N_B_N4709-0R-10X-FFPEC5</v>
          </cell>
          <cell r="G3185">
            <v>10</v>
          </cell>
          <cell r="H3185" t="str">
            <v>空转石蜡文库</v>
          </cell>
          <cell r="I3185" t="str">
            <v>DY</v>
          </cell>
          <cell r="J3185">
            <v>3.4</v>
          </cell>
          <cell r="N3185" t="e">
            <v>#DIV/0!</v>
          </cell>
        </row>
        <row r="3186">
          <cell r="E3186" t="str">
            <v>HGC-Lib-2454158</v>
          </cell>
          <cell r="F3186" t="str">
            <v>N_B_N4709-0S-10X-FFPEC3-1</v>
          </cell>
          <cell r="G3186">
            <v>10</v>
          </cell>
          <cell r="H3186" t="str">
            <v>空转石蜡文库</v>
          </cell>
          <cell r="I3186" t="str">
            <v>DY</v>
          </cell>
          <cell r="J3186">
            <v>33.200000000000003</v>
          </cell>
          <cell r="N3186" t="e">
            <v>#DIV/0!</v>
          </cell>
        </row>
        <row r="3187">
          <cell r="E3187" t="str">
            <v>HGC-Lib-2454159</v>
          </cell>
          <cell r="F3187" t="str">
            <v>N_B_N4709-0T-10X-FFPEC5-1</v>
          </cell>
          <cell r="G3187">
            <v>10</v>
          </cell>
          <cell r="H3187" t="str">
            <v>空转石蜡文库</v>
          </cell>
          <cell r="I3187" t="str">
            <v>DY</v>
          </cell>
          <cell r="J3187">
            <v>45.6</v>
          </cell>
          <cell r="N3187" t="e">
            <v>#DIV/0!</v>
          </cell>
        </row>
        <row r="3188">
          <cell r="E3188" t="str">
            <v>HGC-Lib-2454160</v>
          </cell>
          <cell r="F3188" t="str">
            <v>N_B_N4621-2J-BDv2YH</v>
          </cell>
          <cell r="G3188">
            <v>100</v>
          </cell>
          <cell r="H3188" t="str">
            <v>BD-单细胞</v>
          </cell>
          <cell r="I3188" t="str">
            <v>DY</v>
          </cell>
          <cell r="J3188">
            <v>33.4</v>
          </cell>
          <cell r="N3188" t="e">
            <v>#DIV/0!</v>
          </cell>
        </row>
        <row r="3189">
          <cell r="E3189" t="str">
            <v>HGC-Lib-2454161</v>
          </cell>
          <cell r="F3189" t="str">
            <v>N_B_N4621-2J-BDv2TCRYH-2</v>
          </cell>
          <cell r="G3189">
            <v>10</v>
          </cell>
          <cell r="H3189" t="str">
            <v>BD-TCR文库</v>
          </cell>
          <cell r="I3189" t="str">
            <v>DY</v>
          </cell>
          <cell r="J3189">
            <v>5.5</v>
          </cell>
          <cell r="N3189" t="e">
            <v>#DIV/0!</v>
          </cell>
        </row>
        <row r="3190">
          <cell r="E3190" t="str">
            <v>HGC-Lib-2454162</v>
          </cell>
          <cell r="F3190" t="str">
            <v>N_B_N4621-2J-BDv2BCRYH-3</v>
          </cell>
          <cell r="G3190">
            <v>10</v>
          </cell>
          <cell r="H3190" t="str">
            <v>BD-BCR文库</v>
          </cell>
          <cell r="I3190" t="str">
            <v>DY</v>
          </cell>
          <cell r="J3190">
            <v>5.66</v>
          </cell>
          <cell r="N3190" t="e">
            <v>#DIV/0!</v>
          </cell>
        </row>
        <row r="3191">
          <cell r="E3191" t="str">
            <v>HGC-Lib-2454163</v>
          </cell>
          <cell r="F3191" t="str">
            <v>N_B_N4628-1F-BDv21924837</v>
          </cell>
          <cell r="G3191">
            <v>100</v>
          </cell>
          <cell r="H3191" t="str">
            <v>BD-单细胞</v>
          </cell>
          <cell r="I3191" t="str">
            <v>DY</v>
          </cell>
          <cell r="J3191">
            <v>24.8</v>
          </cell>
          <cell r="N3191" t="e">
            <v>#DIV/0!</v>
          </cell>
        </row>
        <row r="3192">
          <cell r="E3192" t="str">
            <v>HGC-Lib-2454164</v>
          </cell>
          <cell r="F3192" t="str">
            <v>N_B_N4624-05-10X3CR-mGO151</v>
          </cell>
          <cell r="G3192">
            <v>150</v>
          </cell>
          <cell r="H3192" t="str">
            <v>10× 3'单细胞</v>
          </cell>
          <cell r="I3192" t="str">
            <v>DY</v>
          </cell>
          <cell r="J3192">
            <v>14.3</v>
          </cell>
          <cell r="N3192" t="e">
            <v>#DIV/0!</v>
          </cell>
        </row>
        <row r="3193">
          <cell r="E3193" t="str">
            <v>HGC-Lib-2454165</v>
          </cell>
          <cell r="F3193" t="str">
            <v>N_B_N4624-06-10X3CR-mGO152</v>
          </cell>
          <cell r="G3193">
            <v>150</v>
          </cell>
          <cell r="H3193" t="str">
            <v>10× 3'单细胞</v>
          </cell>
          <cell r="I3193" t="str">
            <v>DY</v>
          </cell>
          <cell r="J3193">
            <v>10.7</v>
          </cell>
          <cell r="N3193" t="e">
            <v>#DIV/0!</v>
          </cell>
        </row>
        <row r="3194">
          <cell r="E3194" t="str">
            <v>HGC-Lib-2454166</v>
          </cell>
          <cell r="F3194" t="str">
            <v>N_B_N4624-07-10X3CR-mGO153</v>
          </cell>
          <cell r="G3194">
            <v>150</v>
          </cell>
          <cell r="H3194" t="str">
            <v>10× 3'单细胞</v>
          </cell>
          <cell r="I3194" t="str">
            <v>DY</v>
          </cell>
          <cell r="J3194">
            <v>12.4</v>
          </cell>
          <cell r="N3194" t="e">
            <v>#DIV/0!</v>
          </cell>
        </row>
        <row r="3195">
          <cell r="E3195" t="str">
            <v>HGC-Lib-2454167</v>
          </cell>
          <cell r="F3195" t="str">
            <v>N_B_N4624-08-10X3CR-mGO154</v>
          </cell>
          <cell r="G3195">
            <v>150</v>
          </cell>
          <cell r="H3195" t="str">
            <v>10× 3'单细胞</v>
          </cell>
          <cell r="I3195" t="str">
            <v>DY</v>
          </cell>
          <cell r="J3195">
            <v>10.4</v>
          </cell>
          <cell r="N3195" t="e">
            <v>#DIV/0!</v>
          </cell>
        </row>
        <row r="3196">
          <cell r="E3196" t="str">
            <v>HGC-Lib-2454168</v>
          </cell>
          <cell r="F3196" t="str">
            <v>N_B_N4624-09-10X3CR-mGO155</v>
          </cell>
          <cell r="G3196">
            <v>150</v>
          </cell>
          <cell r="H3196" t="str">
            <v>10× 3'单细胞</v>
          </cell>
          <cell r="I3196" t="str">
            <v>DY</v>
          </cell>
          <cell r="J3196">
            <v>9.4600000000000009</v>
          </cell>
          <cell r="N3196" t="e">
            <v>#DIV/0!</v>
          </cell>
        </row>
        <row r="3197">
          <cell r="E3197" t="str">
            <v>HGC-Lib-2454169</v>
          </cell>
          <cell r="F3197" t="str">
            <v>N_B_N4624-0A-10X3CR-mGO156</v>
          </cell>
          <cell r="G3197">
            <v>150</v>
          </cell>
          <cell r="H3197" t="str">
            <v>10× 3'单细胞</v>
          </cell>
          <cell r="I3197" t="str">
            <v>DY</v>
          </cell>
          <cell r="J3197">
            <v>12.3</v>
          </cell>
          <cell r="N3197" t="e">
            <v>#DIV/0!</v>
          </cell>
        </row>
        <row r="3198">
          <cell r="E3198" t="str">
            <v>HGC-Lib-2454170</v>
          </cell>
          <cell r="F3198" t="str">
            <v>N_B_N4625-2D-10X3DP-P1-spleen-1</v>
          </cell>
          <cell r="G3198">
            <v>100</v>
          </cell>
          <cell r="H3198" t="str">
            <v>10× 3'单细胞</v>
          </cell>
          <cell r="I3198" t="str">
            <v>DY</v>
          </cell>
          <cell r="J3198">
            <v>23.6</v>
          </cell>
          <cell r="N3198" t="e">
            <v>#DIV/0!</v>
          </cell>
        </row>
        <row r="3199">
          <cell r="E3199" t="str">
            <v>HGC-Lib-2454171</v>
          </cell>
          <cell r="F3199" t="str">
            <v>N_B_N4625-2E-10X3DP-P1-spleen-2</v>
          </cell>
          <cell r="G3199">
            <v>100</v>
          </cell>
          <cell r="H3199" t="str">
            <v>10× 3'单细胞</v>
          </cell>
          <cell r="I3199" t="str">
            <v>DY</v>
          </cell>
          <cell r="J3199">
            <v>22</v>
          </cell>
          <cell r="N3199" t="e">
            <v>#DIV/0!</v>
          </cell>
        </row>
        <row r="3200">
          <cell r="E3200" t="str">
            <v>HGC-Lib-2454172</v>
          </cell>
          <cell r="F3200" t="str">
            <v>N_B_N4625-2F-10X3DP-P1-spleen-3</v>
          </cell>
          <cell r="G3200">
            <v>100</v>
          </cell>
          <cell r="H3200" t="str">
            <v>10× 3'单细胞</v>
          </cell>
          <cell r="I3200" t="str">
            <v>DY</v>
          </cell>
          <cell r="J3200">
            <v>17.7</v>
          </cell>
          <cell r="N3200" t="e">
            <v>#DIV/0!</v>
          </cell>
        </row>
        <row r="3201">
          <cell r="E3201" t="str">
            <v>HGC-Lib-2454173</v>
          </cell>
          <cell r="F3201" t="str">
            <v>N_B_N4625-2G-10X3DP-P1-spleen-4</v>
          </cell>
          <cell r="G3201">
            <v>100</v>
          </cell>
          <cell r="H3201" t="str">
            <v>10× 3'单细胞</v>
          </cell>
          <cell r="I3201" t="str">
            <v>DY</v>
          </cell>
          <cell r="J3201">
            <v>8.74</v>
          </cell>
          <cell r="N3201" t="e">
            <v>#DIV/0!</v>
          </cell>
        </row>
        <row r="3202">
          <cell r="E3202" t="str">
            <v>HGC-Lib-2454174</v>
          </cell>
          <cell r="F3202" t="str">
            <v>N_B_N4625-2H-10X3DP-P1-testis-2</v>
          </cell>
          <cell r="G3202">
            <v>100</v>
          </cell>
          <cell r="H3202" t="str">
            <v>10× 3'单细胞</v>
          </cell>
          <cell r="I3202" t="str">
            <v>DY</v>
          </cell>
          <cell r="J3202">
            <v>35.6</v>
          </cell>
          <cell r="N3202" t="e">
            <v>#DIV/0!</v>
          </cell>
        </row>
        <row r="3203">
          <cell r="E3203" t="str">
            <v>HGC-Lib-2454175</v>
          </cell>
          <cell r="F3203" t="str">
            <v>N_B_N4625-2J-10X3DP-P1-testis-3</v>
          </cell>
          <cell r="G3203">
            <v>100</v>
          </cell>
          <cell r="H3203" t="str">
            <v>10× 3'单细胞</v>
          </cell>
          <cell r="I3203" t="str">
            <v>DY</v>
          </cell>
          <cell r="J3203">
            <v>15.5</v>
          </cell>
          <cell r="N3203" t="e">
            <v>#DIV/0!</v>
          </cell>
        </row>
        <row r="3204">
          <cell r="E3204" t="str">
            <v>HGC-Lib-2454176</v>
          </cell>
          <cell r="F3204" t="str">
            <v>N_B_N4625-2K-10X3DP-P1-ovary-1</v>
          </cell>
          <cell r="G3204">
            <v>100</v>
          </cell>
          <cell r="H3204" t="str">
            <v>10× 3'单细胞</v>
          </cell>
          <cell r="I3204" t="str">
            <v>DY</v>
          </cell>
          <cell r="J3204">
            <v>12.6</v>
          </cell>
          <cell r="N3204" t="e">
            <v>#DIV/0!</v>
          </cell>
        </row>
        <row r="3205">
          <cell r="E3205" t="str">
            <v>HGC-Lib-2454177</v>
          </cell>
          <cell r="F3205" t="str">
            <v>N_B_N4625-2M-10X3DP-P1-ovary-4</v>
          </cell>
          <cell r="G3205">
            <v>100</v>
          </cell>
          <cell r="H3205" t="str">
            <v>10× 3'单细胞</v>
          </cell>
          <cell r="I3205" t="str">
            <v>DY</v>
          </cell>
          <cell r="J3205">
            <v>19.3</v>
          </cell>
          <cell r="N3205" t="e">
            <v>#DIV/0!</v>
          </cell>
        </row>
        <row r="3206">
          <cell r="E3206" t="str">
            <v>HGC-Lib-2454178</v>
          </cell>
          <cell r="F3206" t="str">
            <v>N_B_N4628-1G-10X5t1</v>
          </cell>
          <cell r="G3206">
            <v>100</v>
          </cell>
          <cell r="H3206" t="str">
            <v>10x 5'单细胞</v>
          </cell>
          <cell r="I3206" t="str">
            <v>DY</v>
          </cell>
          <cell r="J3206">
            <v>47.4</v>
          </cell>
          <cell r="N3206" t="e">
            <v>#DIV/0!</v>
          </cell>
        </row>
        <row r="3207">
          <cell r="E3207" t="str">
            <v>HGC-Lib-2454179</v>
          </cell>
          <cell r="F3207" t="str">
            <v>N_B_N4628-1H-10X5t2</v>
          </cell>
          <cell r="G3207">
            <v>100</v>
          </cell>
          <cell r="H3207" t="str">
            <v>10x 5'单细胞</v>
          </cell>
          <cell r="I3207" t="str">
            <v>DY</v>
          </cell>
          <cell r="J3207">
            <v>37.200000000000003</v>
          </cell>
          <cell r="N3207" t="e">
            <v>#DIV/0!</v>
          </cell>
        </row>
        <row r="3208">
          <cell r="E3208" t="str">
            <v>HGC-Lib-2454180</v>
          </cell>
          <cell r="F3208" t="str">
            <v>N_B_N4628-1G-10X5TCRt1-2</v>
          </cell>
          <cell r="G3208">
            <v>10</v>
          </cell>
          <cell r="H3208" t="str">
            <v>10X-TCR文库</v>
          </cell>
          <cell r="I3208" t="str">
            <v>DY</v>
          </cell>
          <cell r="J3208">
            <v>63.2</v>
          </cell>
          <cell r="N3208" t="e">
            <v>#DIV/0!</v>
          </cell>
        </row>
        <row r="3209">
          <cell r="E3209" t="str">
            <v>HGC-Lib-2454181</v>
          </cell>
          <cell r="F3209" t="str">
            <v>N_B_N4628-1H-10X5TCRt2-2</v>
          </cell>
          <cell r="G3209">
            <v>10</v>
          </cell>
          <cell r="H3209" t="str">
            <v>10X-BCR文库</v>
          </cell>
          <cell r="I3209" t="str">
            <v>DY</v>
          </cell>
          <cell r="J3209">
            <v>87</v>
          </cell>
          <cell r="N3209" t="e">
            <v>#DIV/0!</v>
          </cell>
        </row>
        <row r="3210">
          <cell r="E3210" t="str">
            <v>HGC-Lib-2454182</v>
          </cell>
          <cell r="F3210" t="str">
            <v>N_B_N4628-26-10X5BCBM20240131organoids</v>
          </cell>
          <cell r="G3210">
            <v>100</v>
          </cell>
          <cell r="H3210" t="str">
            <v>10x 5'单细胞</v>
          </cell>
          <cell r="I3210" t="str">
            <v>DY</v>
          </cell>
          <cell r="J3210">
            <v>26.8</v>
          </cell>
          <cell r="N3210" t="e">
            <v>#DIV/0!</v>
          </cell>
        </row>
        <row r="3211">
          <cell r="E3211" t="str">
            <v>HGC-POOL-2454184</v>
          </cell>
          <cell r="F3211" t="str">
            <v>pool-4505-Xplus</v>
          </cell>
          <cell r="G3211">
            <v>1000</v>
          </cell>
          <cell r="H3211" t="str">
            <v>空间转录组测序65%,mRNA测序35%</v>
          </cell>
          <cell r="I3211" t="str">
            <v>HZK</v>
          </cell>
          <cell r="J3211">
            <v>11.8</v>
          </cell>
          <cell r="K3211">
            <v>430</v>
          </cell>
          <cell r="L3211" t="str">
            <v>HZK</v>
          </cell>
          <cell r="N3211">
            <v>42.218246869409697</v>
          </cell>
        </row>
        <row r="3212">
          <cell r="E3212" t="str">
            <v>HGC-POOL-2454185</v>
          </cell>
          <cell r="F3212" t="str">
            <v>pool-4506-Xplus</v>
          </cell>
          <cell r="G3212">
            <v>1000</v>
          </cell>
          <cell r="H3212" t="str">
            <v>10x单细胞测序v5,100%</v>
          </cell>
          <cell r="I3212" t="str">
            <v>HZK</v>
          </cell>
          <cell r="J3212">
            <v>6.11</v>
          </cell>
          <cell r="K3212">
            <v>504</v>
          </cell>
          <cell r="L3212" t="str">
            <v>HZK</v>
          </cell>
          <cell r="N3212">
            <v>18.650793650793702</v>
          </cell>
        </row>
        <row r="3213">
          <cell r="E3213" t="str">
            <v>HGC-POOL-2454186</v>
          </cell>
          <cell r="F3213" t="str">
            <v>pool-4507-Xplus</v>
          </cell>
          <cell r="G3213">
            <v>1000</v>
          </cell>
          <cell r="H3213" t="str">
            <v>10x单细胞测序v3,100%</v>
          </cell>
          <cell r="I3213" t="str">
            <v>HZK</v>
          </cell>
          <cell r="J3213">
            <v>11.1</v>
          </cell>
          <cell r="K3213">
            <v>500</v>
          </cell>
          <cell r="L3213" t="str">
            <v>HZK</v>
          </cell>
          <cell r="N3213">
            <v>34.153846153846203</v>
          </cell>
        </row>
        <row r="3214">
          <cell r="E3214" t="str">
            <v>HGC-POOL-2454187</v>
          </cell>
          <cell r="F3214" t="str">
            <v>pool-4508-Xplus</v>
          </cell>
          <cell r="G3214">
            <v>1000</v>
          </cell>
          <cell r="H3214" t="str">
            <v>10x单细胞测序v3,100%</v>
          </cell>
          <cell r="I3214" t="str">
            <v>HZK</v>
          </cell>
          <cell r="J3214">
            <v>15.6</v>
          </cell>
          <cell r="K3214">
            <v>511</v>
          </cell>
          <cell r="L3214" t="str">
            <v>HZK</v>
          </cell>
          <cell r="N3214">
            <v>46.966731898238699</v>
          </cell>
        </row>
        <row r="3215">
          <cell r="E3215" t="str">
            <v>HGC-POOL-2454188</v>
          </cell>
          <cell r="F3215" t="str">
            <v>HHC2libs</v>
          </cell>
          <cell r="G3215">
            <v>100</v>
          </cell>
          <cell r="H3215" t="str">
            <v>ATAC-Seq文库</v>
          </cell>
          <cell r="I3215" t="str">
            <v>HZK</v>
          </cell>
          <cell r="J3215">
            <v>7.06</v>
          </cell>
          <cell r="K3215">
            <v>300</v>
          </cell>
          <cell r="L3215" t="str">
            <v>HZK</v>
          </cell>
          <cell r="N3215">
            <v>36.205128205128197</v>
          </cell>
        </row>
        <row r="3216">
          <cell r="E3216" t="str">
            <v>HGC-Lib-2454189</v>
          </cell>
          <cell r="F3216" t="str">
            <v>OL27447-GW130448</v>
          </cell>
          <cell r="G3216">
            <v>1000</v>
          </cell>
          <cell r="H3216" t="str">
            <v>10x 5'单细胞</v>
          </cell>
          <cell r="I3216" t="str">
            <v>YHT</v>
          </cell>
          <cell r="J3216">
            <v>0.83</v>
          </cell>
          <cell r="K3216">
            <v>446</v>
          </cell>
          <cell r="L3216" t="str">
            <v>YHT</v>
          </cell>
          <cell r="N3216">
            <v>2.8630562262849302</v>
          </cell>
        </row>
        <row r="3217">
          <cell r="E3217" t="str">
            <v>HGC-Lib-2454190</v>
          </cell>
          <cell r="F3217" t="str">
            <v>OL27448-GW130448</v>
          </cell>
          <cell r="G3217">
            <v>1000</v>
          </cell>
          <cell r="H3217" t="str">
            <v>10x 5'单细胞</v>
          </cell>
          <cell r="I3217" t="str">
            <v>YHT</v>
          </cell>
          <cell r="J3217">
            <v>0.94599999999999995</v>
          </cell>
          <cell r="K3217">
            <v>442</v>
          </cell>
          <cell r="L3217" t="str">
            <v>YHT</v>
          </cell>
          <cell r="N3217">
            <v>3.2927253741733402</v>
          </cell>
        </row>
        <row r="3218">
          <cell r="E3218" t="str">
            <v>HGC-Lib-2454191</v>
          </cell>
          <cell r="F3218" t="str">
            <v>OL27449-GW130449</v>
          </cell>
          <cell r="G3218">
            <v>1000</v>
          </cell>
          <cell r="H3218" t="str">
            <v>10x 5'单细胞</v>
          </cell>
          <cell r="I3218" t="str">
            <v>YHT</v>
          </cell>
          <cell r="J3218">
            <v>0.88200000000000001</v>
          </cell>
          <cell r="K3218">
            <v>418</v>
          </cell>
          <cell r="L3218" t="str">
            <v>YHT</v>
          </cell>
          <cell r="N3218">
            <v>3.2462274567537701</v>
          </cell>
        </row>
        <row r="3219">
          <cell r="E3219" t="str">
            <v>HGC-Lib-2454192</v>
          </cell>
          <cell r="F3219" t="str">
            <v>OL27450-GW130449</v>
          </cell>
          <cell r="G3219">
            <v>1000</v>
          </cell>
          <cell r="H3219" t="str">
            <v>10x 5'单细胞</v>
          </cell>
          <cell r="I3219" t="str">
            <v>YHT</v>
          </cell>
          <cell r="J3219">
            <v>0.85399999999999998</v>
          </cell>
          <cell r="K3219">
            <v>477</v>
          </cell>
          <cell r="L3219" t="str">
            <v>YHT</v>
          </cell>
          <cell r="N3219">
            <v>2.7543944525076598</v>
          </cell>
        </row>
        <row r="3220">
          <cell r="E3220" t="str">
            <v>HGC-Lib-2454193</v>
          </cell>
          <cell r="F3220" t="str">
            <v>OL27463-GW130450</v>
          </cell>
          <cell r="G3220">
            <v>1000</v>
          </cell>
          <cell r="H3220" t="str">
            <v>10x 5'单细胞</v>
          </cell>
          <cell r="I3220" t="str">
            <v>YHT</v>
          </cell>
          <cell r="J3220">
            <v>2.02</v>
          </cell>
          <cell r="K3220">
            <v>479</v>
          </cell>
          <cell r="L3220" t="str">
            <v>YHT</v>
          </cell>
          <cell r="N3220">
            <v>6.4878753814035699</v>
          </cell>
        </row>
        <row r="3221">
          <cell r="E3221" t="str">
            <v>HGC-Lib-2454194</v>
          </cell>
          <cell r="F3221" t="str">
            <v>OL27440-GW129672</v>
          </cell>
          <cell r="G3221">
            <v>1000</v>
          </cell>
          <cell r="H3221" t="str">
            <v>10× 3'单细胞</v>
          </cell>
          <cell r="I3221" t="str">
            <v>YHT</v>
          </cell>
          <cell r="J3221">
            <v>1.53</v>
          </cell>
          <cell r="K3221">
            <v>483</v>
          </cell>
          <cell r="L3221" t="str">
            <v>YHT</v>
          </cell>
          <cell r="N3221">
            <v>4.87338748208313</v>
          </cell>
        </row>
        <row r="3222">
          <cell r="E3222" t="str">
            <v>HGC-Lib-2454195</v>
          </cell>
          <cell r="F3222" t="str">
            <v>OL27433-GW129672</v>
          </cell>
          <cell r="G3222">
            <v>1000</v>
          </cell>
          <cell r="H3222" t="str">
            <v>mRNA文库</v>
          </cell>
          <cell r="I3222" t="str">
            <v>YHT</v>
          </cell>
          <cell r="J3222">
            <v>1.7</v>
          </cell>
          <cell r="K3222">
            <v>399</v>
          </cell>
          <cell r="L3222" t="str">
            <v>YHT</v>
          </cell>
          <cell r="N3222">
            <v>6.5548486601118201</v>
          </cell>
        </row>
        <row r="3223">
          <cell r="E3223" t="str">
            <v>HGC-Lib-2454198</v>
          </cell>
          <cell r="F3223" t="str">
            <v>shu</v>
          </cell>
          <cell r="G3223">
            <v>10</v>
          </cell>
          <cell r="H3223" t="str">
            <v>PCR产物文库</v>
          </cell>
          <cell r="I3223" t="str">
            <v>HZK</v>
          </cell>
          <cell r="J3223">
            <v>30.2</v>
          </cell>
          <cell r="K3223">
            <v>399</v>
          </cell>
          <cell r="L3223" t="str">
            <v>HZK</v>
          </cell>
          <cell r="N3223">
            <v>116.444958550222</v>
          </cell>
        </row>
        <row r="3224">
          <cell r="E3224" t="str">
            <v>HGC-Lib-2454199</v>
          </cell>
          <cell r="F3224" t="str">
            <v>sg1-4-A</v>
          </cell>
          <cell r="G3224">
            <v>5</v>
          </cell>
          <cell r="H3224" t="str">
            <v>HI-C文库</v>
          </cell>
          <cell r="I3224" t="str">
            <v>WH</v>
          </cell>
          <cell r="J3224">
            <v>0.92800000000000005</v>
          </cell>
          <cell r="K3224">
            <v>388</v>
          </cell>
          <cell r="L3224" t="str">
            <v>WH</v>
          </cell>
          <cell r="N3224">
            <v>3.6796193497224401</v>
          </cell>
        </row>
        <row r="3225">
          <cell r="E3225" t="str">
            <v>HGC-Lib-2454200</v>
          </cell>
          <cell r="F3225" t="str">
            <v>sg1-4-B</v>
          </cell>
          <cell r="G3225">
            <v>5</v>
          </cell>
          <cell r="H3225" t="str">
            <v>HI-C文库</v>
          </cell>
          <cell r="I3225" t="str">
            <v>WH</v>
          </cell>
          <cell r="J3225">
            <v>0.80200000000000005</v>
          </cell>
          <cell r="K3225">
            <v>373</v>
          </cell>
          <cell r="L3225" t="str">
            <v>WH</v>
          </cell>
          <cell r="N3225">
            <v>3.3078985357805699</v>
          </cell>
        </row>
        <row r="3226">
          <cell r="E3226" t="str">
            <v>HGC-Lib-2454201</v>
          </cell>
          <cell r="F3226" t="str">
            <v>sgEV-A</v>
          </cell>
          <cell r="G3226">
            <v>5</v>
          </cell>
          <cell r="H3226" t="str">
            <v>HI-C文库</v>
          </cell>
          <cell r="I3226" t="str">
            <v>WH</v>
          </cell>
          <cell r="J3226">
            <v>0.56999999999999995</v>
          </cell>
          <cell r="K3226">
            <v>360</v>
          </cell>
          <cell r="L3226" t="str">
            <v>WH</v>
          </cell>
          <cell r="N3226">
            <v>2.4358974358974401</v>
          </cell>
        </row>
        <row r="3227">
          <cell r="E3227" t="str">
            <v>HGC-Lib-2454202</v>
          </cell>
          <cell r="F3227" t="str">
            <v>sgEV-B</v>
          </cell>
          <cell r="G3227">
            <v>5</v>
          </cell>
          <cell r="H3227" t="str">
            <v>HI-C文库</v>
          </cell>
          <cell r="I3227" t="str">
            <v>WH</v>
          </cell>
          <cell r="J3227">
            <v>0.38400000000000001</v>
          </cell>
          <cell r="K3227">
            <v>320</v>
          </cell>
          <cell r="L3227" t="str">
            <v>WH</v>
          </cell>
          <cell r="N3227">
            <v>1.84615384615385</v>
          </cell>
        </row>
        <row r="3228">
          <cell r="E3228" t="str">
            <v>HGC-Lib-2454203</v>
          </cell>
          <cell r="F3228" t="str">
            <v>OE-delIDR-A</v>
          </cell>
          <cell r="G3228">
            <v>5</v>
          </cell>
          <cell r="H3228" t="str">
            <v>HI-C文库</v>
          </cell>
          <cell r="I3228" t="str">
            <v>WH</v>
          </cell>
          <cell r="J3228">
            <v>0.318</v>
          </cell>
          <cell r="K3228">
            <v>378</v>
          </cell>
          <cell r="L3228" t="str">
            <v>WH</v>
          </cell>
          <cell r="N3228">
            <v>1.2942612942612901</v>
          </cell>
        </row>
        <row r="3229">
          <cell r="E3229" t="str">
            <v>HGC-Lib-2454204</v>
          </cell>
          <cell r="F3229" t="str">
            <v>OE-delIDR-B</v>
          </cell>
          <cell r="G3229">
            <v>5</v>
          </cell>
          <cell r="H3229" t="str">
            <v>HI-C文库</v>
          </cell>
          <cell r="I3229" t="str">
            <v>WH</v>
          </cell>
          <cell r="J3229">
            <v>0.34599999999999997</v>
          </cell>
          <cell r="K3229">
            <v>353</v>
          </cell>
          <cell r="L3229" t="str">
            <v>WH</v>
          </cell>
          <cell r="N3229">
            <v>1.5079538025713699</v>
          </cell>
        </row>
        <row r="3230">
          <cell r="E3230" t="str">
            <v>HGC-POOL-2454205</v>
          </cell>
          <cell r="F3230" t="str">
            <v>T834-1pooling</v>
          </cell>
          <cell r="G3230">
            <v>6</v>
          </cell>
          <cell r="H3230" t="str">
            <v>宏基因组文库</v>
          </cell>
          <cell r="I3230" t="str">
            <v>WH</v>
          </cell>
          <cell r="J3230">
            <v>2.42</v>
          </cell>
          <cell r="N3230" t="e">
            <v>#DIV/0!</v>
          </cell>
        </row>
        <row r="3231">
          <cell r="E3231" t="str">
            <v>HGC-POOL-2454206</v>
          </cell>
          <cell r="F3231" t="str">
            <v>T834-2pooling</v>
          </cell>
          <cell r="G3231">
            <v>6</v>
          </cell>
          <cell r="H3231" t="str">
            <v>宏基因组文库</v>
          </cell>
          <cell r="I3231" t="str">
            <v>WH</v>
          </cell>
          <cell r="J3231">
            <v>3.94</v>
          </cell>
          <cell r="N3231" t="e">
            <v>#DIV/0!</v>
          </cell>
        </row>
        <row r="3232">
          <cell r="E3232" t="str">
            <v>HGC-POOL-2454207</v>
          </cell>
          <cell r="F3232" t="str">
            <v>T834-3pooling</v>
          </cell>
          <cell r="G3232">
            <v>6</v>
          </cell>
          <cell r="H3232" t="str">
            <v>宏基因组文库</v>
          </cell>
          <cell r="I3232" t="str">
            <v>WH</v>
          </cell>
          <cell r="J3232">
            <v>5.42</v>
          </cell>
          <cell r="N3232" t="e">
            <v>#DIV/0!</v>
          </cell>
        </row>
        <row r="3233">
          <cell r="E3233" t="str">
            <v>HGC-POOL-2454208</v>
          </cell>
          <cell r="F3233" t="str">
            <v>T834-4pooling</v>
          </cell>
          <cell r="G3233">
            <v>6</v>
          </cell>
          <cell r="H3233" t="str">
            <v>宏基因组文库</v>
          </cell>
          <cell r="I3233" t="str">
            <v>WH</v>
          </cell>
          <cell r="J3233">
            <v>5.56</v>
          </cell>
          <cell r="N3233" t="e">
            <v>#DIV/0!</v>
          </cell>
        </row>
        <row r="3234">
          <cell r="E3234" t="str">
            <v>HGC-POOL-2454209</v>
          </cell>
          <cell r="F3234" t="str">
            <v>T834-5pooling</v>
          </cell>
          <cell r="G3234">
            <v>6</v>
          </cell>
          <cell r="H3234" t="str">
            <v>宏基因组文库</v>
          </cell>
          <cell r="I3234" t="str">
            <v>WH</v>
          </cell>
          <cell r="J3234">
            <v>3.36</v>
          </cell>
          <cell r="N3234" t="e">
            <v>#DIV/0!</v>
          </cell>
        </row>
        <row r="3235">
          <cell r="E3235" t="str">
            <v>HGC-POOL-2454210</v>
          </cell>
          <cell r="F3235" t="str">
            <v>T834-6pooling</v>
          </cell>
          <cell r="G3235">
            <v>6</v>
          </cell>
          <cell r="H3235" t="str">
            <v>宏基因组文库</v>
          </cell>
          <cell r="I3235" t="str">
            <v>WH</v>
          </cell>
          <cell r="J3235">
            <v>8.76</v>
          </cell>
          <cell r="N3235" t="e">
            <v>#DIV/0!</v>
          </cell>
        </row>
        <row r="3236">
          <cell r="E3236" t="str">
            <v>HGC-POOL-2454211</v>
          </cell>
          <cell r="F3236" t="str">
            <v>T834-7pooling</v>
          </cell>
          <cell r="G3236">
            <v>6</v>
          </cell>
          <cell r="H3236" t="str">
            <v>宏基因组文库</v>
          </cell>
          <cell r="I3236" t="str">
            <v>WH</v>
          </cell>
          <cell r="J3236">
            <v>5.74</v>
          </cell>
          <cell r="N3236" t="e">
            <v>#DIV/0!</v>
          </cell>
        </row>
        <row r="3237">
          <cell r="E3237" t="str">
            <v>HGC-POOL-2454212</v>
          </cell>
          <cell r="F3237" t="str">
            <v>T834-8pooling</v>
          </cell>
          <cell r="G3237">
            <v>6</v>
          </cell>
          <cell r="H3237" t="str">
            <v>宏基因组文库</v>
          </cell>
          <cell r="I3237" t="str">
            <v>WH</v>
          </cell>
          <cell r="J3237">
            <v>6.78</v>
          </cell>
          <cell r="N3237" t="e">
            <v>#DIV/0!</v>
          </cell>
        </row>
        <row r="3238">
          <cell r="E3238" t="str">
            <v>HGC-POOL-2454213</v>
          </cell>
          <cell r="F3238" t="str">
            <v>T834-9pooling</v>
          </cell>
          <cell r="G3238">
            <v>6</v>
          </cell>
          <cell r="H3238" t="str">
            <v>宏基因组文库</v>
          </cell>
          <cell r="I3238" t="str">
            <v>WH</v>
          </cell>
          <cell r="J3238">
            <v>11.8</v>
          </cell>
          <cell r="N3238" t="e">
            <v>#DIV/0!</v>
          </cell>
        </row>
        <row r="3239">
          <cell r="E3239" t="str">
            <v>HGC-POOL-2454214</v>
          </cell>
          <cell r="F3239" t="str">
            <v>T834-10pooling</v>
          </cell>
          <cell r="G3239">
            <v>6</v>
          </cell>
          <cell r="H3239" t="str">
            <v>宏基因组文库</v>
          </cell>
          <cell r="I3239" t="str">
            <v>WH</v>
          </cell>
          <cell r="J3239">
            <v>1.29</v>
          </cell>
          <cell r="N3239" t="e">
            <v>#DIV/0!</v>
          </cell>
        </row>
        <row r="3240">
          <cell r="E3240" t="str">
            <v>HGC-Lib-2454776</v>
          </cell>
          <cell r="F3240" t="str">
            <v>B1</v>
          </cell>
          <cell r="G3240">
            <v>10</v>
          </cell>
          <cell r="H3240" t="str">
            <v>ATAC-Seq文库</v>
          </cell>
          <cell r="I3240" t="str">
            <v>WH</v>
          </cell>
          <cell r="J3240">
            <v>12.7</v>
          </cell>
          <cell r="K3240">
            <v>345</v>
          </cell>
          <cell r="L3240" t="str">
            <v>WH</v>
          </cell>
          <cell r="N3240">
            <v>56.633221850613097</v>
          </cell>
        </row>
        <row r="3241">
          <cell r="E3241" t="str">
            <v>HGC-Lib-2454777</v>
          </cell>
          <cell r="F3241" t="str">
            <v>B2</v>
          </cell>
          <cell r="G3241">
            <v>10</v>
          </cell>
          <cell r="H3241" t="str">
            <v>ATAC-Seq文库</v>
          </cell>
          <cell r="I3241" t="str">
            <v>WH</v>
          </cell>
          <cell r="J3241">
            <v>5.84</v>
          </cell>
          <cell r="K3241">
            <v>475</v>
          </cell>
          <cell r="L3241" t="str">
            <v>WH</v>
          </cell>
          <cell r="N3241">
            <v>18.914979757085</v>
          </cell>
        </row>
        <row r="3242">
          <cell r="E3242" t="str">
            <v>HGC-Lib-2454778</v>
          </cell>
          <cell r="F3242" t="str">
            <v>D1</v>
          </cell>
          <cell r="G3242">
            <v>10</v>
          </cell>
          <cell r="H3242" t="str">
            <v>ATAC-Seq文库</v>
          </cell>
          <cell r="I3242" t="str">
            <v>WH</v>
          </cell>
          <cell r="J3242">
            <v>13.8</v>
          </cell>
          <cell r="K3242">
            <v>348</v>
          </cell>
          <cell r="L3242" t="str">
            <v>WH</v>
          </cell>
          <cell r="N3242">
            <v>61.007957559681699</v>
          </cell>
        </row>
        <row r="3243">
          <cell r="E3243" t="str">
            <v>HGC-Lib-2454779</v>
          </cell>
          <cell r="F3243" t="str">
            <v>D2</v>
          </cell>
          <cell r="G3243">
            <v>10</v>
          </cell>
          <cell r="H3243" t="str">
            <v>ATAC-Seq文库</v>
          </cell>
          <cell r="I3243" t="str">
            <v>WH</v>
          </cell>
          <cell r="J3243">
            <v>14.1</v>
          </cell>
          <cell r="K3243">
            <v>358</v>
          </cell>
          <cell r="L3243" t="str">
            <v>WH</v>
          </cell>
          <cell r="N3243">
            <v>60.593038246669501</v>
          </cell>
        </row>
        <row r="3244">
          <cell r="E3244" t="str">
            <v>HGC-Lib-2454739</v>
          </cell>
          <cell r="F3244" t="str">
            <v>QY-38</v>
          </cell>
          <cell r="G3244">
            <v>6</v>
          </cell>
          <cell r="H3244" t="str">
            <v>mRNA文库</v>
          </cell>
          <cell r="I3244" t="str">
            <v>XCL</v>
          </cell>
          <cell r="J3244">
            <v>14.7</v>
          </cell>
          <cell r="K3244">
            <v>344</v>
          </cell>
          <cell r="N3244">
            <v>65.742397137745996</v>
          </cell>
        </row>
        <row r="3245">
          <cell r="E3245" t="str">
            <v>HGC-Lib-2454740</v>
          </cell>
          <cell r="F3245" t="str">
            <v>QY-24</v>
          </cell>
          <cell r="G3245">
            <v>6</v>
          </cell>
          <cell r="H3245" t="str">
            <v>mRNA文库</v>
          </cell>
          <cell r="I3245" t="str">
            <v>XCL</v>
          </cell>
          <cell r="J3245">
            <v>39</v>
          </cell>
          <cell r="K3245">
            <v>344</v>
          </cell>
          <cell r="N3245">
            <v>174.41860465116301</v>
          </cell>
        </row>
        <row r="3246">
          <cell r="E3246" t="str">
            <v>HGC-Lib-2454741</v>
          </cell>
          <cell r="F3246" t="str">
            <v>QY-7</v>
          </cell>
          <cell r="G3246">
            <v>6</v>
          </cell>
          <cell r="H3246" t="str">
            <v>mRNA文库</v>
          </cell>
          <cell r="I3246" t="str">
            <v>XCL</v>
          </cell>
          <cell r="J3246">
            <v>16.3</v>
          </cell>
          <cell r="K3246">
            <v>345</v>
          </cell>
          <cell r="N3246">
            <v>72.686733556298805</v>
          </cell>
        </row>
        <row r="3247">
          <cell r="E3247" t="str">
            <v>HGC-Lib-2454742</v>
          </cell>
          <cell r="F3247" t="str">
            <v>QY-12</v>
          </cell>
          <cell r="G3247">
            <v>6</v>
          </cell>
          <cell r="H3247" t="str">
            <v>mRNA文库</v>
          </cell>
          <cell r="I3247" t="str">
            <v>XCL</v>
          </cell>
          <cell r="J3247">
            <v>13.9</v>
          </cell>
          <cell r="K3247">
            <v>335</v>
          </cell>
          <cell r="N3247">
            <v>63.8346727898967</v>
          </cell>
        </row>
        <row r="3248">
          <cell r="E3248" t="str">
            <v>HGC-Lib-2454743</v>
          </cell>
          <cell r="F3248" t="str">
            <v>QY-55</v>
          </cell>
          <cell r="G3248">
            <v>6</v>
          </cell>
          <cell r="H3248" t="str">
            <v>mRNA文库</v>
          </cell>
          <cell r="I3248" t="str">
            <v>XCL</v>
          </cell>
          <cell r="J3248">
            <v>15.2</v>
          </cell>
          <cell r="K3248">
            <v>329</v>
          </cell>
          <cell r="N3248">
            <v>71.077858311900897</v>
          </cell>
        </row>
        <row r="3249">
          <cell r="E3249" t="str">
            <v>HGC-Lib-2454744</v>
          </cell>
          <cell r="F3249" t="str">
            <v>QY-57</v>
          </cell>
          <cell r="G3249">
            <v>6</v>
          </cell>
          <cell r="H3249" t="str">
            <v>mRNA文库</v>
          </cell>
          <cell r="I3249" t="str">
            <v>XCL</v>
          </cell>
          <cell r="J3249">
            <v>28.4</v>
          </cell>
          <cell r="K3249">
            <v>337</v>
          </cell>
          <cell r="N3249">
            <v>129.650764665601</v>
          </cell>
        </row>
        <row r="3250">
          <cell r="E3250" t="str">
            <v>HGC-Lib-2454745</v>
          </cell>
          <cell r="F3250" t="str">
            <v>HP-131</v>
          </cell>
          <cell r="G3250">
            <v>1</v>
          </cell>
          <cell r="H3250" t="str">
            <v>扩增子测序</v>
          </cell>
          <cell r="I3250" t="str">
            <v>XCL</v>
          </cell>
          <cell r="J3250">
            <v>22.2</v>
          </cell>
          <cell r="K3250">
            <v>330</v>
          </cell>
          <cell r="N3250">
            <v>103.496503496503</v>
          </cell>
        </row>
        <row r="3251">
          <cell r="E3251" t="str">
            <v>HGC-Lib-2454746</v>
          </cell>
          <cell r="F3251" t="str">
            <v>GK20240701001</v>
          </cell>
          <cell r="G3251">
            <v>6</v>
          </cell>
          <cell r="H3251" t="str">
            <v>mRNA文库</v>
          </cell>
          <cell r="I3251" t="str">
            <v>XCL</v>
          </cell>
          <cell r="J3251">
            <v>32.6</v>
          </cell>
          <cell r="K3251">
            <v>549</v>
          </cell>
          <cell r="N3251">
            <v>91.354911027042206</v>
          </cell>
        </row>
        <row r="3252">
          <cell r="E3252" t="str">
            <v>HGC-Lib-2454747</v>
          </cell>
          <cell r="F3252" t="str">
            <v>GK20240701002</v>
          </cell>
          <cell r="G3252">
            <v>6</v>
          </cell>
          <cell r="H3252" t="str">
            <v>mRNA文库</v>
          </cell>
          <cell r="I3252" t="str">
            <v>XCL</v>
          </cell>
          <cell r="J3252">
            <v>33.4</v>
          </cell>
          <cell r="K3252">
            <v>543</v>
          </cell>
          <cell r="N3252">
            <v>94.630967559144295</v>
          </cell>
        </row>
        <row r="3253">
          <cell r="E3253" t="str">
            <v>HGC-Lib-2454748</v>
          </cell>
          <cell r="F3253" t="str">
            <v>GK20240701003</v>
          </cell>
          <cell r="G3253">
            <v>6</v>
          </cell>
          <cell r="H3253" t="str">
            <v>mRNA文库</v>
          </cell>
          <cell r="I3253" t="str">
            <v>XCL</v>
          </cell>
          <cell r="J3253">
            <v>34.200000000000003</v>
          </cell>
          <cell r="K3253">
            <v>544</v>
          </cell>
          <cell r="N3253">
            <v>96.719457013574697</v>
          </cell>
        </row>
        <row r="3254">
          <cell r="E3254" t="str">
            <v>HGC-Lib-2454749</v>
          </cell>
          <cell r="F3254" t="str">
            <v>GK20240701004</v>
          </cell>
          <cell r="G3254">
            <v>6</v>
          </cell>
          <cell r="H3254" t="str">
            <v>mRNA文库</v>
          </cell>
          <cell r="I3254" t="str">
            <v>XCL</v>
          </cell>
          <cell r="J3254">
            <v>35</v>
          </cell>
          <cell r="K3254">
            <v>538</v>
          </cell>
          <cell r="N3254">
            <v>100.08578781813</v>
          </cell>
        </row>
        <row r="3255">
          <cell r="E3255" t="str">
            <v>HGC-Lib-2454750</v>
          </cell>
          <cell r="F3255" t="str">
            <v>GK20240701005</v>
          </cell>
          <cell r="G3255">
            <v>6</v>
          </cell>
          <cell r="H3255" t="str">
            <v>mRNA文库</v>
          </cell>
          <cell r="I3255" t="str">
            <v>XCL</v>
          </cell>
          <cell r="J3255">
            <v>36.799999999999997</v>
          </cell>
          <cell r="K3255">
            <v>544</v>
          </cell>
          <cell r="N3255">
            <v>104.07239819004501</v>
          </cell>
        </row>
        <row r="3256">
          <cell r="E3256" t="str">
            <v>HGC-Lib-2454751</v>
          </cell>
          <cell r="F3256" t="str">
            <v>GK20240701006</v>
          </cell>
          <cell r="G3256">
            <v>6</v>
          </cell>
          <cell r="H3256" t="str">
            <v>mRNA文库</v>
          </cell>
          <cell r="I3256" t="str">
            <v>XCL</v>
          </cell>
          <cell r="J3256">
            <v>39.4</v>
          </cell>
          <cell r="K3256">
            <v>556</v>
          </cell>
          <cell r="N3256">
            <v>109.02047592695099</v>
          </cell>
        </row>
        <row r="3257">
          <cell r="E3257" t="str">
            <v>HGC-Lib-2454752</v>
          </cell>
          <cell r="F3257" t="str">
            <v>GK20240701007</v>
          </cell>
          <cell r="G3257">
            <v>6</v>
          </cell>
          <cell r="H3257" t="str">
            <v>mRNA文库</v>
          </cell>
          <cell r="I3257" t="str">
            <v>XCL</v>
          </cell>
          <cell r="J3257">
            <v>34.4</v>
          </cell>
          <cell r="K3257">
            <v>553</v>
          </cell>
          <cell r="N3257">
            <v>95.701766587842499</v>
          </cell>
        </row>
        <row r="3258">
          <cell r="E3258" t="str">
            <v>HGC-Lib-2454753</v>
          </cell>
          <cell r="F3258" t="str">
            <v>GK20240701008</v>
          </cell>
          <cell r="G3258">
            <v>6</v>
          </cell>
          <cell r="H3258" t="str">
            <v>mRNA文库</v>
          </cell>
          <cell r="I3258" t="str">
            <v>XCL</v>
          </cell>
          <cell r="J3258">
            <v>32.6</v>
          </cell>
          <cell r="K3258">
            <v>558</v>
          </cell>
          <cell r="N3258">
            <v>89.881444720154406</v>
          </cell>
        </row>
        <row r="3259">
          <cell r="E3259" t="str">
            <v>HGC-Lib-2454754</v>
          </cell>
          <cell r="F3259" t="str">
            <v>GK20240701009</v>
          </cell>
          <cell r="G3259">
            <v>6</v>
          </cell>
          <cell r="H3259" t="str">
            <v>mRNA文库</v>
          </cell>
          <cell r="I3259" t="str">
            <v>XCL</v>
          </cell>
          <cell r="J3259">
            <v>33.4</v>
          </cell>
          <cell r="K3259">
            <v>571</v>
          </cell>
          <cell r="N3259">
            <v>89.990569850464794</v>
          </cell>
        </row>
        <row r="3260">
          <cell r="E3260" t="str">
            <v>HGC-Lib-2454755</v>
          </cell>
          <cell r="F3260" t="str">
            <v>FWSP20240131-A1-838375-1-181</v>
          </cell>
          <cell r="G3260">
            <v>150</v>
          </cell>
          <cell r="H3260" t="str">
            <v>10x空间转录组文库</v>
          </cell>
          <cell r="I3260" t="str">
            <v>XCL</v>
          </cell>
          <cell r="J3260">
            <v>10.5</v>
          </cell>
          <cell r="K3260">
            <v>306</v>
          </cell>
          <cell r="N3260">
            <v>52.790346907994</v>
          </cell>
        </row>
        <row r="3261">
          <cell r="E3261" t="str">
            <v>HGC-Lib-2454756</v>
          </cell>
          <cell r="F3261" t="str">
            <v>FWSP20240131-D1-838375-2-91</v>
          </cell>
          <cell r="G3261">
            <v>150</v>
          </cell>
          <cell r="H3261" t="str">
            <v>10x空间转录组文库</v>
          </cell>
          <cell r="I3261" t="str">
            <v>XCL</v>
          </cell>
          <cell r="J3261">
            <v>46</v>
          </cell>
          <cell r="K3261">
            <v>316</v>
          </cell>
          <cell r="N3261">
            <v>223.95326192794499</v>
          </cell>
        </row>
        <row r="3262">
          <cell r="E3262" t="str">
            <v>HGC-Lib-2454757</v>
          </cell>
          <cell r="F3262" t="str">
            <v>FWSP20240170-A1-WT-101</v>
          </cell>
          <cell r="G3262">
            <v>150</v>
          </cell>
          <cell r="H3262" t="str">
            <v>10x空间转录组文库</v>
          </cell>
          <cell r="I3262" t="str">
            <v>XCL</v>
          </cell>
          <cell r="J3262">
            <v>26.2</v>
          </cell>
          <cell r="K3262">
            <v>326</v>
          </cell>
          <cell r="N3262">
            <v>123.643227937706</v>
          </cell>
        </row>
        <row r="3263">
          <cell r="E3263" t="str">
            <v>HGC-Lib-2454758</v>
          </cell>
          <cell r="F3263" t="str">
            <v>FWSP20240170-D1-KA-260</v>
          </cell>
          <cell r="G3263">
            <v>150</v>
          </cell>
          <cell r="H3263" t="str">
            <v>10x空间转录组文库</v>
          </cell>
          <cell r="I3263" t="str">
            <v>XCL</v>
          </cell>
          <cell r="J3263">
            <v>39.4</v>
          </cell>
          <cell r="K3263">
            <v>310</v>
          </cell>
          <cell r="N3263">
            <v>195.53349875930499</v>
          </cell>
        </row>
        <row r="3264">
          <cell r="E3264" t="str">
            <v>HGC-Lib-2454767</v>
          </cell>
          <cell r="F3264" t="str">
            <v>me3-sh3-2-m6a</v>
          </cell>
          <cell r="G3264">
            <v>6</v>
          </cell>
          <cell r="H3264" t="str">
            <v>m6A甲基化文库</v>
          </cell>
          <cell r="I3264" t="str">
            <v>XCL</v>
          </cell>
          <cell r="J3264">
            <v>2.36</v>
          </cell>
          <cell r="K3264">
            <v>570</v>
          </cell>
          <cell r="N3264">
            <v>6.3697705802969002</v>
          </cell>
        </row>
        <row r="3265">
          <cell r="E3265" t="str">
            <v>HGC-Lib-2454768</v>
          </cell>
          <cell r="F3265" t="str">
            <v>me3-sh3-input</v>
          </cell>
          <cell r="G3265">
            <v>6</v>
          </cell>
          <cell r="H3265" t="str">
            <v>mRNA文库</v>
          </cell>
          <cell r="I3265" t="str">
            <v>XCL</v>
          </cell>
          <cell r="J3265">
            <v>2.2200000000000002</v>
          </cell>
          <cell r="K3265">
            <v>391</v>
          </cell>
          <cell r="N3265">
            <v>8.7349990163289402</v>
          </cell>
        </row>
        <row r="3266">
          <cell r="E3266" t="str">
            <v>HGC-Lib-2454769</v>
          </cell>
          <cell r="F3266" t="str">
            <v>ST1</v>
          </cell>
          <cell r="G3266">
            <v>6</v>
          </cell>
          <cell r="H3266" t="str">
            <v>mRNA文库</v>
          </cell>
          <cell r="I3266" t="str">
            <v>XCL</v>
          </cell>
          <cell r="J3266">
            <v>8.98</v>
          </cell>
          <cell r="K3266">
            <v>368</v>
          </cell>
          <cell r="N3266">
            <v>37.5418060200669</v>
          </cell>
        </row>
        <row r="3267">
          <cell r="E3267" t="str">
            <v>HGC-Lib-2454770</v>
          </cell>
          <cell r="F3267" t="str">
            <v>ST2</v>
          </cell>
          <cell r="G3267">
            <v>6</v>
          </cell>
          <cell r="H3267" t="str">
            <v>mRNA文库</v>
          </cell>
          <cell r="I3267" t="str">
            <v>XCL</v>
          </cell>
          <cell r="J3267">
            <v>1.23</v>
          </cell>
          <cell r="K3267" t="str">
            <v>/</v>
          </cell>
          <cell r="N3267" t="e">
            <v>#VALUE!</v>
          </cell>
        </row>
        <row r="3268">
          <cell r="E3268" t="str">
            <v>HGC-Lib-2454771</v>
          </cell>
          <cell r="F3268" t="str">
            <v>LT2</v>
          </cell>
          <cell r="G3268">
            <v>6</v>
          </cell>
          <cell r="H3268" t="str">
            <v>mRNA文库</v>
          </cell>
          <cell r="I3268" t="str">
            <v>XCL</v>
          </cell>
          <cell r="J3268">
            <v>0.76200000000000001</v>
          </cell>
          <cell r="K3268">
            <v>533</v>
          </cell>
          <cell r="N3268">
            <v>2.1994515803146202</v>
          </cell>
        </row>
        <row r="3269">
          <cell r="E3269" t="str">
            <v>HGC-Lib-2454782</v>
          </cell>
          <cell r="F3269" t="str">
            <v>0711X1</v>
          </cell>
          <cell r="G3269">
            <v>1000</v>
          </cell>
          <cell r="H3269" t="str">
            <v>10× 3'单细胞</v>
          </cell>
          <cell r="I3269" t="str">
            <v>XCL</v>
          </cell>
          <cell r="J3269">
            <v>15</v>
          </cell>
          <cell r="K3269">
            <v>474</v>
          </cell>
          <cell r="N3269">
            <v>48.685491723466399</v>
          </cell>
        </row>
        <row r="3270">
          <cell r="E3270" t="str">
            <v>HGC-Lib-2454783</v>
          </cell>
          <cell r="F3270" t="str">
            <v>0711X2</v>
          </cell>
          <cell r="G3270">
            <v>1000</v>
          </cell>
          <cell r="H3270" t="str">
            <v>mRNA文库</v>
          </cell>
          <cell r="I3270" t="str">
            <v>XCL</v>
          </cell>
          <cell r="J3270">
            <v>28.8</v>
          </cell>
          <cell r="K3270">
            <v>444</v>
          </cell>
          <cell r="N3270">
            <v>99.792099792099805</v>
          </cell>
        </row>
        <row r="3271">
          <cell r="E3271" t="str">
            <v>HGC-Lib-2454784</v>
          </cell>
          <cell r="F3271" t="str">
            <v>Tilapia_Oral</v>
          </cell>
          <cell r="G3271">
            <v>10</v>
          </cell>
          <cell r="H3271" t="str">
            <v>ATAC-Seq文库</v>
          </cell>
          <cell r="I3271" t="str">
            <v>XCL</v>
          </cell>
          <cell r="J3271">
            <v>10</v>
          </cell>
          <cell r="K3271">
            <v>397</v>
          </cell>
          <cell r="N3271">
            <v>38.752179810114299</v>
          </cell>
        </row>
        <row r="3272">
          <cell r="E3272" t="str">
            <v>HGC-Lib-2454785</v>
          </cell>
          <cell r="F3272" t="str">
            <v>Tilapia_Stomach</v>
          </cell>
          <cell r="G3272">
            <v>10</v>
          </cell>
          <cell r="H3272" t="str">
            <v>ATAC-Seq文库</v>
          </cell>
          <cell r="I3272" t="str">
            <v>XCL</v>
          </cell>
          <cell r="J3272">
            <v>8.66</v>
          </cell>
          <cell r="K3272">
            <v>462</v>
          </cell>
          <cell r="N3272">
            <v>28.837828837828798</v>
          </cell>
        </row>
        <row r="3273">
          <cell r="E3273" t="str">
            <v>HGC-Lib-2454786</v>
          </cell>
          <cell r="F3273" t="str">
            <v>Tilapia_Ovary</v>
          </cell>
          <cell r="G3273">
            <v>10</v>
          </cell>
          <cell r="H3273" t="str">
            <v>ATAC-Seq文库</v>
          </cell>
          <cell r="I3273" t="str">
            <v>XCL</v>
          </cell>
          <cell r="J3273">
            <v>11.9</v>
          </cell>
          <cell r="K3273">
            <v>246</v>
          </cell>
          <cell r="N3273">
            <v>74.421513445903699</v>
          </cell>
        </row>
        <row r="3274">
          <cell r="E3274" t="str">
            <v>HGC-Lib-2454787</v>
          </cell>
          <cell r="F3274" t="str">
            <v>Tilapia_Gut</v>
          </cell>
          <cell r="G3274">
            <v>10</v>
          </cell>
          <cell r="H3274" t="str">
            <v>ATAC-Seq文库</v>
          </cell>
          <cell r="I3274" t="str">
            <v>XCL</v>
          </cell>
          <cell r="J3274">
            <v>11.8</v>
          </cell>
          <cell r="K3274">
            <v>437</v>
          </cell>
          <cell r="N3274">
            <v>41.5419820454145</v>
          </cell>
        </row>
        <row r="3275">
          <cell r="E3275" t="str">
            <v>HGC-Lib-2454788</v>
          </cell>
          <cell r="F3275" t="str">
            <v>Tilapia_Eye</v>
          </cell>
          <cell r="G3275">
            <v>10</v>
          </cell>
          <cell r="H3275" t="str">
            <v>ATAC-Seq文库</v>
          </cell>
          <cell r="I3275" t="str">
            <v>XCL</v>
          </cell>
          <cell r="J3275">
            <v>9.94</v>
          </cell>
          <cell r="K3275">
            <v>291</v>
          </cell>
          <cell r="N3275">
            <v>52.550885540576303</v>
          </cell>
        </row>
        <row r="3276">
          <cell r="E3276" t="str">
            <v>HGC-Lib-2454789</v>
          </cell>
          <cell r="F3276" t="str">
            <v>Tilapia_Skin</v>
          </cell>
          <cell r="G3276">
            <v>10</v>
          </cell>
          <cell r="H3276" t="str">
            <v>ATAC-Seq文库</v>
          </cell>
          <cell r="I3276" t="str">
            <v>XCL</v>
          </cell>
          <cell r="J3276">
            <v>7.46</v>
          </cell>
          <cell r="K3276">
            <v>297</v>
          </cell>
          <cell r="N3276">
            <v>38.642838642838598</v>
          </cell>
        </row>
        <row r="3277">
          <cell r="E3277" t="str">
            <v>HGC-Lib-2454790</v>
          </cell>
          <cell r="F3277" t="str">
            <v>Tilapia_Fin</v>
          </cell>
          <cell r="G3277">
            <v>10</v>
          </cell>
          <cell r="H3277" t="str">
            <v>ATAC-Seq文库</v>
          </cell>
          <cell r="I3277" t="str">
            <v>XCL</v>
          </cell>
          <cell r="J3277">
            <v>9.76</v>
          </cell>
          <cell r="K3277">
            <v>267</v>
          </cell>
          <cell r="N3277">
            <v>56.237395563238302</v>
          </cell>
        </row>
        <row r="3278">
          <cell r="E3278" t="str">
            <v>HGC-Lib-2454791</v>
          </cell>
          <cell r="F3278" t="str">
            <v>Tilapia_swimbladder</v>
          </cell>
          <cell r="G3278">
            <v>10</v>
          </cell>
          <cell r="H3278" t="str">
            <v>ATAC-Seq文库</v>
          </cell>
          <cell r="I3278" t="str">
            <v>XCL</v>
          </cell>
          <cell r="J3278">
            <v>15</v>
          </cell>
          <cell r="K3278">
            <v>265</v>
          </cell>
          <cell r="N3278">
            <v>87.082728592162596</v>
          </cell>
        </row>
        <row r="3279">
          <cell r="E3279" t="str">
            <v>HGC-POOL-2454792</v>
          </cell>
          <cell r="F3279" t="str">
            <v>A240711-1</v>
          </cell>
          <cell r="G3279">
            <v>20</v>
          </cell>
          <cell r="H3279" t="str">
            <v>PCR产物文库</v>
          </cell>
          <cell r="I3279" t="str">
            <v>XCL</v>
          </cell>
          <cell r="J3279">
            <v>24.8</v>
          </cell>
          <cell r="K3279">
            <v>292</v>
          </cell>
          <cell r="N3279">
            <v>130.66385669125401</v>
          </cell>
        </row>
        <row r="3280">
          <cell r="E3280" t="str">
            <v>HGC-POOL-2454793</v>
          </cell>
          <cell r="F3280" t="str">
            <v>A240711-2</v>
          </cell>
          <cell r="G3280">
            <v>10</v>
          </cell>
          <cell r="H3280" t="str">
            <v>PCR产物文库</v>
          </cell>
          <cell r="I3280" t="str">
            <v>XCL</v>
          </cell>
          <cell r="J3280">
            <v>19.100000000000001</v>
          </cell>
          <cell r="K3280">
            <v>270</v>
          </cell>
          <cell r="N3280">
            <v>108.831908831909</v>
          </cell>
        </row>
        <row r="3281">
          <cell r="E3281" t="str">
            <v>HGC-Lib-2454803</v>
          </cell>
          <cell r="F3281" t="str">
            <v>T3</v>
          </cell>
          <cell r="G3281">
            <v>5</v>
          </cell>
          <cell r="H3281" t="str">
            <v>PCR产物文库</v>
          </cell>
          <cell r="I3281" t="str">
            <v>XCL</v>
          </cell>
          <cell r="J3281">
            <v>36.4</v>
          </cell>
          <cell r="K3281">
            <v>406</v>
          </cell>
          <cell r="N3281">
            <v>137.931034482759</v>
          </cell>
        </row>
        <row r="3282">
          <cell r="E3282" t="str">
            <v>HGC-Lib-2454804</v>
          </cell>
          <cell r="F3282" t="str">
            <v>T4</v>
          </cell>
          <cell r="G3282">
            <v>5</v>
          </cell>
          <cell r="H3282" t="str">
            <v>PCR产物文库</v>
          </cell>
          <cell r="I3282" t="str">
            <v>XCL</v>
          </cell>
          <cell r="J3282">
            <v>52</v>
          </cell>
          <cell r="K3282">
            <v>408</v>
          </cell>
          <cell r="N3282">
            <v>196.07843137254901</v>
          </cell>
        </row>
        <row r="3283">
          <cell r="E3283" t="str">
            <v>HGC-Lib-2454805</v>
          </cell>
          <cell r="F3283" t="str">
            <v>TZ2</v>
          </cell>
          <cell r="G3283">
            <v>5</v>
          </cell>
          <cell r="H3283" t="str">
            <v>PCR产物文库</v>
          </cell>
          <cell r="I3283" t="str">
            <v>XCL</v>
          </cell>
          <cell r="J3283">
            <v>36</v>
          </cell>
          <cell r="K3283">
            <v>414</v>
          </cell>
          <cell r="N3283">
            <v>133.779264214047</v>
          </cell>
        </row>
        <row r="3284">
          <cell r="E3284" t="str">
            <v>HGC-Lib-2454806</v>
          </cell>
          <cell r="F3284" t="str">
            <v>TZ3</v>
          </cell>
          <cell r="G3284">
            <v>5</v>
          </cell>
          <cell r="H3284" t="str">
            <v>PCR产物文库</v>
          </cell>
          <cell r="I3284" t="str">
            <v>XCL</v>
          </cell>
          <cell r="J3284">
            <v>16.5</v>
          </cell>
          <cell r="K3284">
            <v>393</v>
          </cell>
          <cell r="N3284">
            <v>64.591896652965403</v>
          </cell>
        </row>
        <row r="3285">
          <cell r="E3285" t="str">
            <v>HGC-Lib-2454807</v>
          </cell>
          <cell r="F3285" t="str">
            <v>TZ4</v>
          </cell>
          <cell r="G3285">
            <v>5</v>
          </cell>
          <cell r="H3285" t="str">
            <v>PCR产物文库</v>
          </cell>
          <cell r="I3285" t="str">
            <v>XCL</v>
          </cell>
          <cell r="J3285">
            <v>24.6</v>
          </cell>
          <cell r="K3285">
            <v>385</v>
          </cell>
          <cell r="N3285">
            <v>98.301698301698295</v>
          </cell>
        </row>
        <row r="3286">
          <cell r="E3286" t="str">
            <v>HGC-POOL-2454808</v>
          </cell>
          <cell r="F3286" t="str">
            <v>SFM(BE)-MIX</v>
          </cell>
          <cell r="G3286">
            <v>20</v>
          </cell>
          <cell r="H3286" t="str">
            <v>cut&amp;tag文库</v>
          </cell>
          <cell r="I3286" t="str">
            <v>XCL</v>
          </cell>
          <cell r="J3286">
            <v>2.2000000000000002</v>
          </cell>
          <cell r="K3286">
            <v>388</v>
          </cell>
          <cell r="N3286">
            <v>8.7232355273592397</v>
          </cell>
        </row>
        <row r="3287">
          <cell r="E3287" t="str">
            <v>HGC-POOL-2454831</v>
          </cell>
          <cell r="F3287" t="str">
            <v>NGS20240708</v>
          </cell>
          <cell r="G3287">
            <v>1</v>
          </cell>
          <cell r="H3287" t="str">
            <v>多重PCR产物文库</v>
          </cell>
          <cell r="I3287" t="str">
            <v>XCL</v>
          </cell>
          <cell r="J3287">
            <v>38.4</v>
          </cell>
          <cell r="N3287" t="e">
            <v>#DIV/0!</v>
          </cell>
        </row>
        <row r="3288">
          <cell r="E3288" t="str">
            <v>HGC-Lib-2454832</v>
          </cell>
          <cell r="F3288" t="str">
            <v>V28N6</v>
          </cell>
          <cell r="G3288">
            <v>250</v>
          </cell>
          <cell r="H3288" t="str">
            <v>DNA文库</v>
          </cell>
          <cell r="I3288" t="str">
            <v>XCL</v>
          </cell>
          <cell r="J3288">
            <v>2.96</v>
          </cell>
          <cell r="K3288">
            <v>413</v>
          </cell>
          <cell r="N3288">
            <v>11.0262618737195</v>
          </cell>
        </row>
        <row r="3289">
          <cell r="E3289" t="str">
            <v>HGC-POOL-2454833</v>
          </cell>
          <cell r="F3289" t="str">
            <v>JJN-20240711</v>
          </cell>
          <cell r="G3289">
            <v>16</v>
          </cell>
          <cell r="H3289" t="str">
            <v>PCR文库（如扩增子）</v>
          </cell>
          <cell r="I3289" t="str">
            <v>XCL</v>
          </cell>
          <cell r="J3289">
            <v>31.9</v>
          </cell>
          <cell r="K3289">
            <v>459</v>
          </cell>
          <cell r="N3289">
            <v>106.92140103904801</v>
          </cell>
        </row>
        <row r="3290">
          <cell r="E3290" t="str">
            <v>HGC-Lib-2454834</v>
          </cell>
          <cell r="F3290" t="str">
            <v>NGS0324042-1</v>
          </cell>
          <cell r="G3290">
            <v>6</v>
          </cell>
          <cell r="H3290" t="str">
            <v>mRNA文库</v>
          </cell>
          <cell r="I3290" t="str">
            <v>XCL</v>
          </cell>
          <cell r="J3290">
            <v>28.2</v>
          </cell>
          <cell r="N3290" t="e">
            <v>#DIV/0!</v>
          </cell>
        </row>
        <row r="3291">
          <cell r="E3291" t="str">
            <v>HGC-Lib-2454835</v>
          </cell>
          <cell r="F3291" t="str">
            <v>NGS0324042-2</v>
          </cell>
          <cell r="G3291">
            <v>6</v>
          </cell>
          <cell r="H3291" t="str">
            <v>mRNA文库</v>
          </cell>
          <cell r="I3291" t="str">
            <v>XCL</v>
          </cell>
          <cell r="J3291">
            <v>4.8</v>
          </cell>
          <cell r="N3291" t="e">
            <v>#DIV/0!</v>
          </cell>
        </row>
        <row r="3292">
          <cell r="E3292" t="str">
            <v>HGC-Lib-2454836</v>
          </cell>
          <cell r="F3292" t="str">
            <v>NGS0324042-3</v>
          </cell>
          <cell r="G3292">
            <v>6</v>
          </cell>
          <cell r="H3292" t="str">
            <v>mRNA文库</v>
          </cell>
          <cell r="I3292" t="str">
            <v>YHT</v>
          </cell>
          <cell r="J3292">
            <v>42.8</v>
          </cell>
          <cell r="N3292" t="e">
            <v>#DIV/0!</v>
          </cell>
        </row>
        <row r="3293">
          <cell r="E3293" t="str">
            <v>HGC-Lib-2454837</v>
          </cell>
          <cell r="F3293" t="str">
            <v>NGS0324042-4</v>
          </cell>
          <cell r="G3293">
            <v>6</v>
          </cell>
          <cell r="H3293" t="str">
            <v>mRNA文库</v>
          </cell>
          <cell r="I3293" t="str">
            <v>YHT</v>
          </cell>
          <cell r="J3293">
            <v>33.4</v>
          </cell>
          <cell r="N3293" t="e">
            <v>#DIV/0!</v>
          </cell>
        </row>
        <row r="3294">
          <cell r="E3294" t="str">
            <v>HGC-Lib-2454838</v>
          </cell>
          <cell r="F3294" t="str">
            <v>NGS0324042-5</v>
          </cell>
          <cell r="G3294">
            <v>6</v>
          </cell>
          <cell r="H3294" t="str">
            <v>mRNA文库</v>
          </cell>
          <cell r="I3294" t="str">
            <v>YHT</v>
          </cell>
          <cell r="J3294">
            <v>34.200000000000003</v>
          </cell>
          <cell r="N3294" t="e">
            <v>#DIV/0!</v>
          </cell>
        </row>
        <row r="3295">
          <cell r="E3295" t="str">
            <v>HGC-Lib-2454839</v>
          </cell>
          <cell r="F3295" t="str">
            <v>NGS0324042-6</v>
          </cell>
          <cell r="G3295">
            <v>6</v>
          </cell>
          <cell r="H3295" t="str">
            <v>mRNA文库</v>
          </cell>
          <cell r="I3295" t="str">
            <v>YHT</v>
          </cell>
          <cell r="J3295">
            <v>10.6</v>
          </cell>
          <cell r="N3295" t="e">
            <v>#DIV/0!</v>
          </cell>
        </row>
        <row r="3296">
          <cell r="E3296" t="str">
            <v>HGC-Lib-2454840</v>
          </cell>
          <cell r="F3296" t="str">
            <v>NGS0224030-1</v>
          </cell>
          <cell r="G3296">
            <v>6</v>
          </cell>
          <cell r="H3296" t="str">
            <v>mRNA文库</v>
          </cell>
          <cell r="I3296" t="str">
            <v>YHT</v>
          </cell>
          <cell r="J3296">
            <v>68.400000000000006</v>
          </cell>
          <cell r="N3296" t="e">
            <v>#DIV/0!</v>
          </cell>
        </row>
        <row r="3297">
          <cell r="E3297" t="str">
            <v>HGC-Lib-2454841</v>
          </cell>
          <cell r="F3297" t="str">
            <v>NGS0224030-2</v>
          </cell>
          <cell r="G3297">
            <v>6</v>
          </cell>
          <cell r="H3297" t="str">
            <v>mRNA文库</v>
          </cell>
          <cell r="I3297" t="str">
            <v>YHT</v>
          </cell>
          <cell r="J3297">
            <v>79.599999999999994</v>
          </cell>
          <cell r="N3297" t="e">
            <v>#DIV/0!</v>
          </cell>
        </row>
        <row r="3298">
          <cell r="E3298" t="str">
            <v>HGC-Lib-2454842</v>
          </cell>
          <cell r="F3298" t="str">
            <v>NGS0224030-3</v>
          </cell>
          <cell r="G3298">
            <v>6</v>
          </cell>
          <cell r="H3298" t="str">
            <v>mRNA文库</v>
          </cell>
          <cell r="I3298" t="str">
            <v>YHT</v>
          </cell>
          <cell r="J3298">
            <v>50.8</v>
          </cell>
          <cell r="N3298" t="e">
            <v>#DIV/0!</v>
          </cell>
        </row>
        <row r="3299">
          <cell r="E3299" t="str">
            <v>HGC-Lib-2454843</v>
          </cell>
          <cell r="F3299" t="str">
            <v>NGS0224030-4</v>
          </cell>
          <cell r="G3299">
            <v>6</v>
          </cell>
          <cell r="H3299" t="str">
            <v>mRNA文库</v>
          </cell>
          <cell r="I3299" t="str">
            <v>YHT</v>
          </cell>
          <cell r="J3299">
            <v>57.2</v>
          </cell>
          <cell r="N3299" t="e">
            <v>#DIV/0!</v>
          </cell>
        </row>
        <row r="3300">
          <cell r="E3300" t="str">
            <v>HGC-Lib-2454844</v>
          </cell>
          <cell r="F3300" t="str">
            <v>NGS0224030-5</v>
          </cell>
          <cell r="G3300">
            <v>6</v>
          </cell>
          <cell r="H3300" t="str">
            <v>mRNA文库</v>
          </cell>
          <cell r="I3300" t="str">
            <v>YHT</v>
          </cell>
          <cell r="J3300">
            <v>61</v>
          </cell>
          <cell r="N3300" t="e">
            <v>#DIV/0!</v>
          </cell>
        </row>
        <row r="3301">
          <cell r="E3301" t="str">
            <v>HGC-Lib-2454845</v>
          </cell>
          <cell r="F3301" t="str">
            <v>NGS0224030-6</v>
          </cell>
          <cell r="G3301">
            <v>6</v>
          </cell>
          <cell r="H3301" t="str">
            <v>mRNA文库</v>
          </cell>
          <cell r="I3301" t="str">
            <v>YHT</v>
          </cell>
          <cell r="J3301">
            <v>8.9600000000000009</v>
          </cell>
          <cell r="N3301" t="e">
            <v>#DIV/0!</v>
          </cell>
        </row>
        <row r="3302">
          <cell r="E3302" t="str">
            <v>HGC-Lib-2454846</v>
          </cell>
          <cell r="F3302" t="str">
            <v>NGS0224030-7</v>
          </cell>
          <cell r="G3302">
            <v>6</v>
          </cell>
          <cell r="H3302" t="str">
            <v>mRNA文库</v>
          </cell>
          <cell r="I3302" t="str">
            <v>YHT</v>
          </cell>
          <cell r="J3302">
            <v>26.2</v>
          </cell>
          <cell r="N3302" t="e">
            <v>#DIV/0!</v>
          </cell>
        </row>
        <row r="3303">
          <cell r="E3303" t="str">
            <v>HGC-Lib-2454847</v>
          </cell>
          <cell r="F3303" t="str">
            <v>NGS0224030-8</v>
          </cell>
          <cell r="G3303">
            <v>6</v>
          </cell>
          <cell r="H3303" t="str">
            <v>mRNA文库</v>
          </cell>
          <cell r="I3303" t="str">
            <v>YHT</v>
          </cell>
          <cell r="J3303">
            <v>50.6</v>
          </cell>
          <cell r="N3303" t="e">
            <v>#DIV/0!</v>
          </cell>
        </row>
        <row r="3304">
          <cell r="E3304" t="str">
            <v>HGC-Lib-2454848</v>
          </cell>
          <cell r="F3304" t="str">
            <v>NGS0224030-9</v>
          </cell>
          <cell r="G3304">
            <v>6</v>
          </cell>
          <cell r="H3304" t="str">
            <v>mRNA文库</v>
          </cell>
          <cell r="I3304" t="str">
            <v>YHT</v>
          </cell>
          <cell r="J3304">
            <v>42</v>
          </cell>
          <cell r="N3304" t="e">
            <v>#DIV/0!</v>
          </cell>
        </row>
        <row r="3305">
          <cell r="E3305" t="str">
            <v>HGC-Lib-2454849</v>
          </cell>
          <cell r="F3305" t="str">
            <v>NGS0224030-10</v>
          </cell>
          <cell r="G3305">
            <v>6</v>
          </cell>
          <cell r="H3305" t="str">
            <v>mRNA文库</v>
          </cell>
          <cell r="I3305" t="str">
            <v>YHT</v>
          </cell>
          <cell r="J3305">
            <v>81.2</v>
          </cell>
          <cell r="N3305" t="e">
            <v>#DIV/0!</v>
          </cell>
        </row>
        <row r="3306">
          <cell r="E3306" t="str">
            <v>HGC-Lib-2454850</v>
          </cell>
          <cell r="F3306" t="str">
            <v>NGS0224030-11</v>
          </cell>
          <cell r="G3306">
            <v>6</v>
          </cell>
          <cell r="H3306" t="str">
            <v>mRNA文库</v>
          </cell>
          <cell r="I3306" t="str">
            <v>YHT</v>
          </cell>
          <cell r="J3306">
            <v>68.400000000000006</v>
          </cell>
          <cell r="N3306" t="e">
            <v>#DIV/0!</v>
          </cell>
        </row>
        <row r="3307">
          <cell r="E3307" t="str">
            <v>HGC-Lib-2454851</v>
          </cell>
          <cell r="F3307" t="str">
            <v>NGS0224030-12</v>
          </cell>
          <cell r="G3307">
            <v>6</v>
          </cell>
          <cell r="H3307" t="str">
            <v>mRNA文库</v>
          </cell>
          <cell r="I3307" t="str">
            <v>YHT</v>
          </cell>
          <cell r="J3307">
            <v>72.8</v>
          </cell>
          <cell r="N3307" t="e">
            <v>#DIV/0!</v>
          </cell>
        </row>
        <row r="3308">
          <cell r="E3308" t="str">
            <v>HGC-Lib-2454852</v>
          </cell>
          <cell r="F3308" t="str">
            <v>NGS0224030-13</v>
          </cell>
          <cell r="G3308">
            <v>6</v>
          </cell>
          <cell r="H3308" t="str">
            <v>mRNA文库</v>
          </cell>
          <cell r="I3308" t="str">
            <v>YHT</v>
          </cell>
          <cell r="J3308">
            <v>57</v>
          </cell>
          <cell r="N3308" t="e">
            <v>#DIV/0!</v>
          </cell>
        </row>
        <row r="3309">
          <cell r="E3309" t="str">
            <v>HGC-Lib-2454853</v>
          </cell>
          <cell r="F3309" t="str">
            <v>NGS0224030-14</v>
          </cell>
          <cell r="G3309">
            <v>6</v>
          </cell>
          <cell r="H3309" t="str">
            <v>mRNA文库</v>
          </cell>
          <cell r="I3309" t="str">
            <v>YHT</v>
          </cell>
          <cell r="J3309">
            <v>85</v>
          </cell>
          <cell r="N3309" t="e">
            <v>#DIV/0!</v>
          </cell>
        </row>
        <row r="3310">
          <cell r="E3310" t="str">
            <v>HGC-Lib-2454854</v>
          </cell>
          <cell r="F3310" t="str">
            <v>NGS0224030-15</v>
          </cell>
          <cell r="G3310">
            <v>6</v>
          </cell>
          <cell r="H3310" t="str">
            <v>mRNA文库</v>
          </cell>
          <cell r="I3310" t="str">
            <v>YHT</v>
          </cell>
          <cell r="J3310">
            <v>71.599999999999994</v>
          </cell>
          <cell r="N3310" t="e">
            <v>#DIV/0!</v>
          </cell>
        </row>
        <row r="3311">
          <cell r="E3311" t="str">
            <v>HGC-Lib-2454855</v>
          </cell>
          <cell r="F3311" t="str">
            <v>NGS0224030-16</v>
          </cell>
          <cell r="G3311">
            <v>6</v>
          </cell>
          <cell r="H3311" t="str">
            <v>mRNA文库</v>
          </cell>
          <cell r="I3311" t="str">
            <v>YHT</v>
          </cell>
          <cell r="J3311">
            <v>66.400000000000006</v>
          </cell>
          <cell r="N3311" t="e">
            <v>#DIV/0!</v>
          </cell>
        </row>
        <row r="3312">
          <cell r="E3312" t="str">
            <v>HGC-Lib-2454856</v>
          </cell>
          <cell r="F3312" t="str">
            <v>NGS0224030-17</v>
          </cell>
          <cell r="G3312">
            <v>6</v>
          </cell>
          <cell r="H3312" t="str">
            <v>mRNA文库</v>
          </cell>
          <cell r="I3312" t="str">
            <v>YHT</v>
          </cell>
          <cell r="J3312">
            <v>57</v>
          </cell>
          <cell r="N3312" t="e">
            <v>#DIV/0!</v>
          </cell>
        </row>
        <row r="3313">
          <cell r="E3313" t="str">
            <v>HGC-Lib-2454857</v>
          </cell>
          <cell r="F3313" t="str">
            <v>NGS0224030-18</v>
          </cell>
          <cell r="G3313">
            <v>6</v>
          </cell>
          <cell r="H3313" t="str">
            <v>mRNA文库</v>
          </cell>
          <cell r="I3313" t="str">
            <v>YHT</v>
          </cell>
          <cell r="J3313">
            <v>63.8</v>
          </cell>
          <cell r="N3313" t="e">
            <v>#DIV/0!</v>
          </cell>
        </row>
        <row r="3314">
          <cell r="E3314" t="str">
            <v>HGC-Lib-2454858</v>
          </cell>
          <cell r="F3314" t="str">
            <v>NGS0224030-19</v>
          </cell>
          <cell r="G3314">
            <v>6</v>
          </cell>
          <cell r="H3314" t="str">
            <v>mRNA文库</v>
          </cell>
          <cell r="I3314" t="str">
            <v>YHT</v>
          </cell>
          <cell r="J3314">
            <v>69.599999999999994</v>
          </cell>
          <cell r="N3314" t="e">
            <v>#DIV/0!</v>
          </cell>
        </row>
        <row r="3315">
          <cell r="E3315" t="str">
            <v>HGC-Lib-2454859</v>
          </cell>
          <cell r="F3315" t="str">
            <v>NGS0224030-20</v>
          </cell>
          <cell r="G3315">
            <v>6</v>
          </cell>
          <cell r="H3315" t="str">
            <v>mRNA文库</v>
          </cell>
          <cell r="I3315" t="str">
            <v>YHT</v>
          </cell>
          <cell r="J3315">
            <v>28</v>
          </cell>
          <cell r="N3315" t="e">
            <v>#DIV/0!</v>
          </cell>
        </row>
        <row r="3316">
          <cell r="E3316" t="str">
            <v>HGC-Lib-2454860</v>
          </cell>
          <cell r="F3316" t="str">
            <v>NGS0224030-21</v>
          </cell>
          <cell r="G3316">
            <v>6</v>
          </cell>
          <cell r="H3316" t="str">
            <v>mRNA文库</v>
          </cell>
          <cell r="I3316" t="str">
            <v>YHT</v>
          </cell>
          <cell r="J3316">
            <v>61.8</v>
          </cell>
          <cell r="N3316" t="e">
            <v>#DIV/0!</v>
          </cell>
        </row>
        <row r="3317">
          <cell r="E3317" t="str">
            <v>HGC-Lib-2454861</v>
          </cell>
          <cell r="F3317" t="str">
            <v>NGS0224030-22</v>
          </cell>
          <cell r="G3317">
            <v>6</v>
          </cell>
          <cell r="H3317" t="str">
            <v>mRNA文库</v>
          </cell>
          <cell r="I3317" t="str">
            <v>YHT</v>
          </cell>
          <cell r="J3317">
            <v>40</v>
          </cell>
          <cell r="N3317" t="e">
            <v>#DIV/0!</v>
          </cell>
        </row>
        <row r="3318">
          <cell r="E3318" t="str">
            <v>HGC-Lib-2454862</v>
          </cell>
          <cell r="F3318" t="str">
            <v>NGS0224030-23</v>
          </cell>
          <cell r="G3318">
            <v>6</v>
          </cell>
          <cell r="H3318" t="str">
            <v>mRNA文库</v>
          </cell>
          <cell r="I3318" t="str">
            <v>YHT</v>
          </cell>
          <cell r="J3318">
            <v>39.799999999999997</v>
          </cell>
          <cell r="N3318" t="e">
            <v>#DIV/0!</v>
          </cell>
        </row>
        <row r="3319">
          <cell r="E3319" t="str">
            <v>HGC-Lib-2454863</v>
          </cell>
          <cell r="F3319" t="str">
            <v>NGS0224030-24</v>
          </cell>
          <cell r="G3319">
            <v>6</v>
          </cell>
          <cell r="H3319" t="str">
            <v>mRNA文库</v>
          </cell>
          <cell r="I3319" t="str">
            <v>YHT</v>
          </cell>
          <cell r="J3319">
            <v>43.8</v>
          </cell>
          <cell r="N3319" t="e">
            <v>#DIV/0!</v>
          </cell>
        </row>
        <row r="3320">
          <cell r="E3320" t="str">
            <v>HGC-Lib-2454864</v>
          </cell>
          <cell r="F3320" t="str">
            <v>LC240706024</v>
          </cell>
          <cell r="G3320">
            <v>100</v>
          </cell>
          <cell r="H3320" t="str">
            <v>singleron-3'转录组文库</v>
          </cell>
          <cell r="I3320" t="str">
            <v>YHT</v>
          </cell>
          <cell r="J3320">
            <v>11.4</v>
          </cell>
          <cell r="N3320" t="e">
            <v>#DIV/0!</v>
          </cell>
        </row>
        <row r="3321">
          <cell r="E3321" t="str">
            <v>HGC-Lib-2454865</v>
          </cell>
          <cell r="F3321" t="str">
            <v>LFTC240703026</v>
          </cell>
          <cell r="G3321">
            <v>100</v>
          </cell>
          <cell r="H3321" t="str">
            <v>singleron-3'全长转录组文库</v>
          </cell>
          <cell r="I3321" t="str">
            <v>YHT</v>
          </cell>
          <cell r="J3321">
            <v>17.899999999999999</v>
          </cell>
          <cell r="N3321" t="e">
            <v>#DIV/0!</v>
          </cell>
        </row>
        <row r="3322">
          <cell r="E3322" t="str">
            <v>HGC-Lib-2454866</v>
          </cell>
          <cell r="F3322" t="str">
            <v>LFTC240703019</v>
          </cell>
          <cell r="G3322">
            <v>100</v>
          </cell>
          <cell r="H3322" t="str">
            <v>singleron-3'全长转录组文库</v>
          </cell>
          <cell r="I3322" t="str">
            <v>YHT</v>
          </cell>
          <cell r="J3322">
            <v>22.6</v>
          </cell>
          <cell r="N3322" t="e">
            <v>#DIV/0!</v>
          </cell>
        </row>
        <row r="3323">
          <cell r="E3323" t="str">
            <v>HGC-Lib-2454867</v>
          </cell>
          <cell r="F3323" t="str">
            <v>LFTC240703022</v>
          </cell>
          <cell r="G3323">
            <v>100</v>
          </cell>
          <cell r="H3323" t="str">
            <v>singleron-3'全长转录组文库</v>
          </cell>
          <cell r="I3323" t="str">
            <v>YHT</v>
          </cell>
          <cell r="J3323">
            <v>26.8</v>
          </cell>
          <cell r="N3323" t="e">
            <v>#DIV/0!</v>
          </cell>
        </row>
        <row r="3324">
          <cell r="E3324" t="str">
            <v>HGC-Lib-2454868</v>
          </cell>
          <cell r="F3324" t="str">
            <v>LFTC240703021</v>
          </cell>
          <cell r="G3324">
            <v>100</v>
          </cell>
          <cell r="H3324" t="str">
            <v>singleron-3'全长转录组文库</v>
          </cell>
          <cell r="I3324" t="str">
            <v>YHT</v>
          </cell>
          <cell r="J3324">
            <v>15.8</v>
          </cell>
          <cell r="N3324" t="e">
            <v>#DIV/0!</v>
          </cell>
        </row>
        <row r="3325">
          <cell r="E3325" t="str">
            <v>HGC-Lib-2454869</v>
          </cell>
          <cell r="F3325" t="str">
            <v>LFTC240703025</v>
          </cell>
          <cell r="G3325">
            <v>100</v>
          </cell>
          <cell r="H3325" t="str">
            <v>singleron-3'全长转录组文库</v>
          </cell>
          <cell r="I3325" t="str">
            <v>YHT</v>
          </cell>
          <cell r="J3325">
            <v>19.399999999999999</v>
          </cell>
          <cell r="N3325" t="e">
            <v>#DIV/0!</v>
          </cell>
        </row>
        <row r="3326">
          <cell r="E3326" t="str">
            <v>HGC-Lib-2454870</v>
          </cell>
          <cell r="F3326" t="str">
            <v>LFTC240703023</v>
          </cell>
          <cell r="G3326">
            <v>100</v>
          </cell>
          <cell r="H3326" t="str">
            <v>singleron-3'全长转录组文库</v>
          </cell>
          <cell r="I3326" t="str">
            <v>YHT</v>
          </cell>
          <cell r="J3326">
            <v>17.3</v>
          </cell>
          <cell r="N3326" t="e">
            <v>#DIV/0!</v>
          </cell>
        </row>
        <row r="3327">
          <cell r="E3327" t="str">
            <v>HGC-Lib-2454871</v>
          </cell>
          <cell r="F3327" t="str">
            <v>LC240628014</v>
          </cell>
          <cell r="G3327">
            <v>100</v>
          </cell>
          <cell r="H3327" t="str">
            <v>singleron-3'转录组文库</v>
          </cell>
          <cell r="I3327" t="str">
            <v>YHT</v>
          </cell>
          <cell r="J3327">
            <v>19.600000000000001</v>
          </cell>
          <cell r="N3327" t="e">
            <v>#DIV/0!</v>
          </cell>
        </row>
        <row r="3328">
          <cell r="E3328" t="str">
            <v>HGC-Lib-2454872</v>
          </cell>
          <cell r="F3328" t="str">
            <v>LC240628016</v>
          </cell>
          <cell r="G3328">
            <v>100</v>
          </cell>
          <cell r="H3328" t="str">
            <v>singleron-3'转录组文库</v>
          </cell>
          <cell r="I3328" t="str">
            <v>YHT</v>
          </cell>
          <cell r="J3328">
            <v>20</v>
          </cell>
          <cell r="N3328" t="e">
            <v>#DIV/0!</v>
          </cell>
        </row>
        <row r="3329">
          <cell r="E3329" t="str">
            <v>HGC-Lib-2454873</v>
          </cell>
          <cell r="F3329" t="str">
            <v>LC240628015</v>
          </cell>
          <cell r="G3329">
            <v>100</v>
          </cell>
          <cell r="H3329" t="str">
            <v>singleron-3'转录组文库</v>
          </cell>
          <cell r="I3329" t="str">
            <v>YHT</v>
          </cell>
          <cell r="J3329">
            <v>21.6</v>
          </cell>
          <cell r="N3329" t="e">
            <v>#DIV/0!</v>
          </cell>
        </row>
        <row r="3330">
          <cell r="E3330" t="str">
            <v>HGC-Lib-2454874</v>
          </cell>
          <cell r="F3330" t="str">
            <v>LTC240706047</v>
          </cell>
          <cell r="G3330">
            <v>90</v>
          </cell>
          <cell r="H3330" t="str">
            <v>singleron-3'转录组文库</v>
          </cell>
          <cell r="I3330" t="str">
            <v>YHT</v>
          </cell>
          <cell r="J3330">
            <v>18.2</v>
          </cell>
          <cell r="N3330" t="e">
            <v>#DIV/0!</v>
          </cell>
        </row>
        <row r="3331">
          <cell r="E3331" t="str">
            <v>HGC-Lib-2454875</v>
          </cell>
          <cell r="F3331" t="str">
            <v>LFTC240706002CK</v>
          </cell>
          <cell r="G3331">
            <v>100</v>
          </cell>
          <cell r="H3331" t="str">
            <v>singleron-3'全长转录组文库</v>
          </cell>
          <cell r="I3331" t="str">
            <v>YHT</v>
          </cell>
          <cell r="J3331">
            <v>29.2</v>
          </cell>
          <cell r="N3331" t="e">
            <v>#DIV/0!</v>
          </cell>
        </row>
        <row r="3332">
          <cell r="E3332" t="str">
            <v>HGC-Lib-2454876</v>
          </cell>
          <cell r="F3332" t="str">
            <v>LFTC240706001</v>
          </cell>
          <cell r="G3332">
            <v>100</v>
          </cell>
          <cell r="H3332" t="str">
            <v>singleron-3'全长转录组文库</v>
          </cell>
          <cell r="I3332" t="str">
            <v>YHT</v>
          </cell>
          <cell r="J3332">
            <v>8.76</v>
          </cell>
          <cell r="N3332" t="e">
            <v>#DIV/0!</v>
          </cell>
        </row>
        <row r="3333">
          <cell r="E3333" t="str">
            <v>HGC-Lib-2454877</v>
          </cell>
          <cell r="F3333" t="str">
            <v>DYNOLC240707026</v>
          </cell>
          <cell r="G3333">
            <v>100</v>
          </cell>
          <cell r="H3333" t="str">
            <v>singleron-3'转录组文库</v>
          </cell>
          <cell r="I3333" t="str">
            <v>YHT</v>
          </cell>
          <cell r="J3333">
            <v>23.8</v>
          </cell>
          <cell r="N3333" t="e">
            <v>#DIV/0!</v>
          </cell>
        </row>
        <row r="3334">
          <cell r="E3334" t="str">
            <v>HGC-Lib-2454878</v>
          </cell>
          <cell r="F3334" t="str">
            <v>DYNOLC240707025</v>
          </cell>
          <cell r="G3334">
            <v>100</v>
          </cell>
          <cell r="H3334" t="str">
            <v>singleron-3'转录组文库</v>
          </cell>
          <cell r="I3334" t="str">
            <v>YHT</v>
          </cell>
          <cell r="J3334">
            <v>23.2</v>
          </cell>
          <cell r="N3334" t="e">
            <v>#DIV/0!</v>
          </cell>
        </row>
        <row r="3335">
          <cell r="E3335" t="str">
            <v>HGC-Lib-2454879</v>
          </cell>
          <cell r="F3335" t="str">
            <v>DYNOLC240707024</v>
          </cell>
          <cell r="G3335">
            <v>100</v>
          </cell>
          <cell r="H3335" t="str">
            <v>singleron-3'转录组文库</v>
          </cell>
          <cell r="I3335" t="str">
            <v>YHT</v>
          </cell>
          <cell r="J3335">
            <v>27</v>
          </cell>
          <cell r="N3335" t="e">
            <v>#DIV/0!</v>
          </cell>
        </row>
        <row r="3336">
          <cell r="E3336" t="str">
            <v>HGC-Lib-2454880</v>
          </cell>
          <cell r="F3336" t="str">
            <v>DYNOLC240707027</v>
          </cell>
          <cell r="G3336">
            <v>100</v>
          </cell>
          <cell r="H3336" t="str">
            <v>singleron-3'转录组文库</v>
          </cell>
          <cell r="I3336" t="str">
            <v>YHT</v>
          </cell>
          <cell r="J3336">
            <v>22.2</v>
          </cell>
          <cell r="N3336" t="e">
            <v>#DIV/0!</v>
          </cell>
        </row>
        <row r="3337">
          <cell r="E3337" t="str">
            <v>HGC-Lib-2454881</v>
          </cell>
          <cell r="F3337" t="str">
            <v>LA240707029</v>
          </cell>
          <cell r="G3337">
            <v>100</v>
          </cell>
          <cell r="H3337" t="str">
            <v>singleron-3'转录组文库</v>
          </cell>
          <cell r="I3337" t="str">
            <v>YHT</v>
          </cell>
          <cell r="J3337">
            <v>28.6</v>
          </cell>
          <cell r="N3337" t="e">
            <v>#DIV/0!</v>
          </cell>
        </row>
        <row r="3338">
          <cell r="E3338" t="str">
            <v>HGC-Lib-2454882</v>
          </cell>
          <cell r="F3338" t="str">
            <v>LA240707028</v>
          </cell>
          <cell r="G3338">
            <v>100</v>
          </cell>
          <cell r="H3338" t="str">
            <v>singleron-3'转录组文库</v>
          </cell>
          <cell r="I3338" t="str">
            <v>YHT</v>
          </cell>
          <cell r="J3338">
            <v>20</v>
          </cell>
          <cell r="N3338" t="e">
            <v>#DIV/0!</v>
          </cell>
        </row>
        <row r="3339">
          <cell r="E3339" t="str">
            <v>HGC-Lib-2454883</v>
          </cell>
          <cell r="F3339" t="str">
            <v>LC240701058</v>
          </cell>
          <cell r="G3339">
            <v>100</v>
          </cell>
          <cell r="H3339" t="str">
            <v>singleron-3'转录组文库</v>
          </cell>
          <cell r="I3339" t="str">
            <v>YHT</v>
          </cell>
          <cell r="J3339">
            <v>11.6</v>
          </cell>
          <cell r="N3339" t="e">
            <v>#DIV/0!</v>
          </cell>
        </row>
        <row r="3340">
          <cell r="E3340" t="str">
            <v>HGC-Lib-2454884</v>
          </cell>
          <cell r="F3340" t="str">
            <v>LHC240701033</v>
          </cell>
          <cell r="G3340">
            <v>200</v>
          </cell>
          <cell r="H3340" t="str">
            <v>singleron-3'转录组文库</v>
          </cell>
          <cell r="I3340" t="str">
            <v>YHT</v>
          </cell>
          <cell r="J3340">
            <v>6.06</v>
          </cell>
          <cell r="N3340" t="e">
            <v>#DIV/0!</v>
          </cell>
        </row>
        <row r="3341">
          <cell r="E3341" t="str">
            <v>HGC-Lib-2454885</v>
          </cell>
          <cell r="F3341" t="str">
            <v>LHC240701031</v>
          </cell>
          <cell r="G3341">
            <v>200</v>
          </cell>
          <cell r="H3341" t="str">
            <v>singleron-3'转录组文库</v>
          </cell>
          <cell r="I3341" t="str">
            <v>YHT</v>
          </cell>
          <cell r="J3341">
            <v>6.1</v>
          </cell>
          <cell r="N3341" t="e">
            <v>#DIV/0!</v>
          </cell>
        </row>
        <row r="3342">
          <cell r="E3342" t="str">
            <v>HGC-Lib-2454886</v>
          </cell>
          <cell r="F3342" t="str">
            <v>LHC240701032</v>
          </cell>
          <cell r="G3342">
            <v>200</v>
          </cell>
          <cell r="H3342" t="str">
            <v>singleron-3'转录组文库</v>
          </cell>
          <cell r="I3342" t="str">
            <v>YHT</v>
          </cell>
          <cell r="J3342">
            <v>5.84</v>
          </cell>
          <cell r="N3342" t="e">
            <v>#DIV/0!</v>
          </cell>
        </row>
        <row r="3343">
          <cell r="E3343" t="str">
            <v>HGC-Lib-2454887</v>
          </cell>
          <cell r="F3343" t="str">
            <v>LFTC240705020CK</v>
          </cell>
          <cell r="G3343">
            <v>120</v>
          </cell>
          <cell r="H3343" t="str">
            <v>singleron-3'全长转录组文库</v>
          </cell>
          <cell r="I3343" t="str">
            <v>YHT</v>
          </cell>
          <cell r="J3343">
            <v>19</v>
          </cell>
          <cell r="N3343" t="e">
            <v>#DIV/0!</v>
          </cell>
        </row>
        <row r="3344">
          <cell r="E3344" t="str">
            <v>HGC-Lib-2454888</v>
          </cell>
          <cell r="F3344" t="str">
            <v>LFTC240705019CK</v>
          </cell>
          <cell r="G3344">
            <v>120</v>
          </cell>
          <cell r="H3344" t="str">
            <v>singleron-3'全长转录组文库</v>
          </cell>
          <cell r="I3344" t="str">
            <v>YHT</v>
          </cell>
          <cell r="J3344">
            <v>20</v>
          </cell>
          <cell r="N3344" t="e">
            <v>#DIV/0!</v>
          </cell>
        </row>
        <row r="3345">
          <cell r="E3345" t="str">
            <v>HGC-Lib-2454889</v>
          </cell>
          <cell r="F3345" t="str">
            <v>LHC240706012</v>
          </cell>
          <cell r="G3345">
            <v>200</v>
          </cell>
          <cell r="H3345" t="str">
            <v>singleron-3'转录组文库</v>
          </cell>
          <cell r="I3345" t="str">
            <v>YHT</v>
          </cell>
          <cell r="J3345">
            <v>22</v>
          </cell>
          <cell r="N3345" t="e">
            <v>#DIV/0!</v>
          </cell>
        </row>
        <row r="3346">
          <cell r="E3346" t="str">
            <v>HGC-Lib-2454890</v>
          </cell>
          <cell r="F3346" t="str">
            <v>LHC240706010</v>
          </cell>
          <cell r="G3346">
            <v>200</v>
          </cell>
          <cell r="H3346" t="str">
            <v>singleron-3'转录组文库</v>
          </cell>
          <cell r="I3346" t="str">
            <v>YHT</v>
          </cell>
          <cell r="J3346">
            <v>29.4</v>
          </cell>
          <cell r="N3346" t="e">
            <v>#DIV/0!</v>
          </cell>
        </row>
        <row r="3347">
          <cell r="E3347" t="str">
            <v>HGC-Lib-2454891</v>
          </cell>
          <cell r="F3347" t="str">
            <v>LHC240706011</v>
          </cell>
          <cell r="G3347">
            <v>200</v>
          </cell>
          <cell r="H3347" t="str">
            <v>singleron-3'转录组文库</v>
          </cell>
          <cell r="I3347" t="str">
            <v>YHT</v>
          </cell>
          <cell r="J3347">
            <v>27.2</v>
          </cell>
          <cell r="N3347" t="e">
            <v>#DIV/0!</v>
          </cell>
        </row>
        <row r="3348">
          <cell r="E3348" t="str">
            <v>HGC-Lib-2454892</v>
          </cell>
          <cell r="F3348" t="str">
            <v>LHC240706013</v>
          </cell>
          <cell r="G3348">
            <v>200</v>
          </cell>
          <cell r="H3348" t="str">
            <v>singleron-3'转录组文库</v>
          </cell>
          <cell r="I3348" t="str">
            <v>YHT</v>
          </cell>
          <cell r="J3348">
            <v>18.600000000000001</v>
          </cell>
          <cell r="N3348" t="e">
            <v>#DIV/0!</v>
          </cell>
        </row>
        <row r="3349">
          <cell r="E3349" t="str">
            <v>HGC-Lib-2454893</v>
          </cell>
          <cell r="F3349" t="str">
            <v>LC240708004</v>
          </cell>
          <cell r="G3349">
            <v>100</v>
          </cell>
          <cell r="H3349" t="str">
            <v>singleron-3'转录组文库</v>
          </cell>
          <cell r="I3349" t="str">
            <v>YHT</v>
          </cell>
          <cell r="J3349">
            <v>22.6</v>
          </cell>
          <cell r="N3349" t="e">
            <v>#DIV/0!</v>
          </cell>
        </row>
        <row r="3350">
          <cell r="E3350" t="str">
            <v>HGC-Lib-2454894</v>
          </cell>
          <cell r="F3350" t="str">
            <v>EBLEBVC240706048</v>
          </cell>
          <cell r="G3350">
            <v>12</v>
          </cell>
          <cell r="H3350" t="str">
            <v>其他碱基不平衡文库</v>
          </cell>
          <cell r="I3350" t="str">
            <v>YHT</v>
          </cell>
          <cell r="J3350">
            <v>4.84</v>
          </cell>
          <cell r="N3350" t="e">
            <v>#DIV/0!</v>
          </cell>
        </row>
        <row r="3351">
          <cell r="E3351" t="str">
            <v>HGC-Lib-2454895</v>
          </cell>
          <cell r="F3351" t="str">
            <v>LEBVC240706048</v>
          </cell>
          <cell r="G3351">
            <v>80</v>
          </cell>
          <cell r="H3351" t="str">
            <v>singleron-3'转录组文库</v>
          </cell>
          <cell r="I3351" t="str">
            <v>YHT</v>
          </cell>
          <cell r="J3351">
            <v>24</v>
          </cell>
          <cell r="N3351" t="e">
            <v>#DIV/0!</v>
          </cell>
        </row>
        <row r="3352">
          <cell r="E3352" t="str">
            <v>HGC-Lib-2454896</v>
          </cell>
          <cell r="F3352" t="str">
            <v>EBLEBVC240623003X2</v>
          </cell>
          <cell r="G3352">
            <v>12</v>
          </cell>
          <cell r="H3352" t="str">
            <v>其他碱基不平衡文库</v>
          </cell>
          <cell r="I3352" t="str">
            <v>YHT</v>
          </cell>
          <cell r="J3352">
            <v>13.7</v>
          </cell>
          <cell r="N3352" t="e">
            <v>#DIV/0!</v>
          </cell>
        </row>
        <row r="3353">
          <cell r="E3353" t="str">
            <v>HGC-Lib-2454897</v>
          </cell>
          <cell r="F3353" t="str">
            <v>EBLEBVC240623003X1CJ</v>
          </cell>
          <cell r="G3353">
            <v>12</v>
          </cell>
          <cell r="H3353" t="str">
            <v>其他碱基不平衡文库</v>
          </cell>
          <cell r="I3353" t="str">
            <v>YHT</v>
          </cell>
          <cell r="J3353">
            <v>19.2</v>
          </cell>
          <cell r="N3353" t="e">
            <v>#DIV/0!</v>
          </cell>
        </row>
        <row r="3354">
          <cell r="E3354" t="str">
            <v>HGC-Lib-2454898</v>
          </cell>
          <cell r="F3354" t="str">
            <v>LEBVHC240705016</v>
          </cell>
          <cell r="G3354">
            <v>130</v>
          </cell>
          <cell r="H3354" t="str">
            <v>singleron-3'转录组文库</v>
          </cell>
          <cell r="I3354" t="str">
            <v>YHT</v>
          </cell>
          <cell r="J3354">
            <v>31.6</v>
          </cell>
          <cell r="N3354" t="e">
            <v>#DIV/0!</v>
          </cell>
        </row>
        <row r="3355">
          <cell r="E3355" t="str">
            <v>HGC-Lib-2454899</v>
          </cell>
          <cell r="F3355" t="str">
            <v>EBLEBVHC240705015</v>
          </cell>
          <cell r="G3355">
            <v>22</v>
          </cell>
          <cell r="H3355" t="str">
            <v>其他碱基不平衡文库</v>
          </cell>
          <cell r="I3355" t="str">
            <v>YHT</v>
          </cell>
          <cell r="J3355">
            <v>14.3</v>
          </cell>
          <cell r="N3355" t="e">
            <v>#DIV/0!</v>
          </cell>
        </row>
        <row r="3356">
          <cell r="E3356" t="str">
            <v>HGC-Lib-2454900</v>
          </cell>
          <cell r="F3356" t="str">
            <v>EBLEBVHC240705016</v>
          </cell>
          <cell r="G3356">
            <v>22</v>
          </cell>
          <cell r="H3356" t="str">
            <v>其他碱基不平衡文库</v>
          </cell>
          <cell r="I3356" t="str">
            <v>YHT</v>
          </cell>
          <cell r="J3356">
            <v>19</v>
          </cell>
          <cell r="N3356" t="e">
            <v>#DIV/0!</v>
          </cell>
        </row>
        <row r="3357">
          <cell r="E3357" t="str">
            <v>HGC-Lib-2454901</v>
          </cell>
          <cell r="F3357" t="str">
            <v>LEBVHC240705015</v>
          </cell>
          <cell r="G3357">
            <v>130</v>
          </cell>
          <cell r="H3357" t="str">
            <v>singleron-3'转录组文库</v>
          </cell>
          <cell r="I3357" t="str">
            <v>YHT</v>
          </cell>
          <cell r="J3357">
            <v>27.6</v>
          </cell>
          <cell r="N3357" t="e">
            <v>#DIV/0!</v>
          </cell>
        </row>
        <row r="3358">
          <cell r="E3358" t="str">
            <v>HGC-Lib-2454902</v>
          </cell>
          <cell r="F3358" t="str">
            <v>LC240706050</v>
          </cell>
          <cell r="G3358">
            <v>100</v>
          </cell>
          <cell r="H3358" t="str">
            <v>singleron-3'转录组文库</v>
          </cell>
          <cell r="I3358" t="str">
            <v>YHT</v>
          </cell>
          <cell r="J3358">
            <v>17.399999999999999</v>
          </cell>
          <cell r="N3358" t="e">
            <v>#DIV/0!</v>
          </cell>
        </row>
        <row r="3359">
          <cell r="E3359" t="str">
            <v>HGC-POOL-2454903</v>
          </cell>
          <cell r="F3359" t="str">
            <v>L240704033XA</v>
          </cell>
          <cell r="G3359">
            <v>42</v>
          </cell>
          <cell r="H3359" t="str">
            <v>10X ATAC文库</v>
          </cell>
          <cell r="I3359" t="str">
            <v>YHT</v>
          </cell>
          <cell r="J3359">
            <v>22.3</v>
          </cell>
          <cell r="N3359" t="e">
            <v>#DIV/0!</v>
          </cell>
        </row>
        <row r="3360">
          <cell r="E3360" t="str">
            <v>HGC-Lib-2454904</v>
          </cell>
          <cell r="F3360" t="str">
            <v>LFBA240707030</v>
          </cell>
          <cell r="G3360">
            <v>100</v>
          </cell>
          <cell r="H3360" t="str">
            <v>singleron-3'全长转录组文库</v>
          </cell>
          <cell r="I3360" t="str">
            <v>YHT</v>
          </cell>
          <cell r="J3360">
            <v>28.2</v>
          </cell>
          <cell r="N3360" t="e">
            <v>#DIV/0!</v>
          </cell>
        </row>
        <row r="3361">
          <cell r="E3361" t="str">
            <v>HGC-Lib-2454905</v>
          </cell>
          <cell r="F3361" t="str">
            <v>LFTC240706053</v>
          </cell>
          <cell r="G3361">
            <v>100</v>
          </cell>
          <cell r="H3361" t="str">
            <v>singleron-3'全长转录组文库</v>
          </cell>
          <cell r="I3361" t="str">
            <v>YHT</v>
          </cell>
          <cell r="J3361">
            <v>23.2</v>
          </cell>
          <cell r="N3361" t="e">
            <v>#DIV/0!</v>
          </cell>
        </row>
        <row r="3362">
          <cell r="E3362" t="str">
            <v>HGC-Lib-2454906</v>
          </cell>
          <cell r="F3362" t="str">
            <v>LC240706055</v>
          </cell>
          <cell r="G3362">
            <v>100</v>
          </cell>
          <cell r="H3362" t="str">
            <v>singleron-3'转录组文库</v>
          </cell>
          <cell r="I3362" t="str">
            <v>YHT</v>
          </cell>
          <cell r="J3362">
            <v>21.4</v>
          </cell>
          <cell r="N3362" t="e">
            <v>#DIV/0!</v>
          </cell>
        </row>
        <row r="3363">
          <cell r="E3363" t="str">
            <v>HGC-Lib-2454907</v>
          </cell>
          <cell r="F3363" t="str">
            <v>LC240706054</v>
          </cell>
          <cell r="G3363">
            <v>100</v>
          </cell>
          <cell r="H3363" t="str">
            <v>singleron-3'转录组文库</v>
          </cell>
          <cell r="I3363" t="str">
            <v>YHT</v>
          </cell>
          <cell r="J3363">
            <v>18.600000000000001</v>
          </cell>
          <cell r="N3363" t="e">
            <v>#DIV/0!</v>
          </cell>
        </row>
        <row r="3364">
          <cell r="E3364" t="str">
            <v>HGC-Lib-2454908</v>
          </cell>
          <cell r="F3364" t="str">
            <v>LFTBC240708032</v>
          </cell>
          <cell r="G3364">
            <v>70</v>
          </cell>
          <cell r="H3364" t="str">
            <v>singleron-3'全长转录组文库</v>
          </cell>
          <cell r="I3364" t="str">
            <v>YHT</v>
          </cell>
          <cell r="J3364">
            <v>21.4</v>
          </cell>
          <cell r="N3364" t="e">
            <v>#DIV/0!</v>
          </cell>
        </row>
        <row r="3365">
          <cell r="E3365" t="str">
            <v>HGC-Lib-2454909</v>
          </cell>
          <cell r="F3365" t="str">
            <v>LFTBC240706049</v>
          </cell>
          <cell r="G3365">
            <v>70</v>
          </cell>
          <cell r="H3365" t="str">
            <v>singleron-3'全长转录组文库</v>
          </cell>
          <cell r="I3365" t="str">
            <v>YHT</v>
          </cell>
          <cell r="J3365">
            <v>22.4</v>
          </cell>
          <cell r="N3365" t="e">
            <v>#DIV/0!</v>
          </cell>
        </row>
        <row r="3366">
          <cell r="E3366" t="str">
            <v>HGC-Lib-2454910</v>
          </cell>
          <cell r="F3366" t="str">
            <v>ATACLC240705014</v>
          </cell>
          <cell r="G3366">
            <v>10</v>
          </cell>
          <cell r="H3366" t="str">
            <v>UMI</v>
          </cell>
          <cell r="I3366" t="str">
            <v>YHT</v>
          </cell>
          <cell r="J3366">
            <v>3.3</v>
          </cell>
          <cell r="N3366" t="e">
            <v>#DIV/0!</v>
          </cell>
        </row>
        <row r="3367">
          <cell r="E3367" t="str">
            <v>HGC-Lib-2454911</v>
          </cell>
          <cell r="F3367" t="str">
            <v>LC231106010</v>
          </cell>
          <cell r="G3367">
            <v>88</v>
          </cell>
          <cell r="H3367" t="str">
            <v>singleron-3'转录组文库</v>
          </cell>
          <cell r="I3367" t="str">
            <v>YHT</v>
          </cell>
          <cell r="J3367">
            <v>13.4</v>
          </cell>
          <cell r="N3367" t="e">
            <v>#DIV/0!</v>
          </cell>
        </row>
        <row r="3368">
          <cell r="E3368" t="str">
            <v>HGC-Lib-2454912</v>
          </cell>
          <cell r="F3368" t="str">
            <v>LC231106011</v>
          </cell>
          <cell r="G3368">
            <v>91</v>
          </cell>
          <cell r="H3368" t="str">
            <v>singleron-3'转录组文库</v>
          </cell>
          <cell r="I3368" t="str">
            <v>YHT</v>
          </cell>
          <cell r="J3368">
            <v>17.100000000000001</v>
          </cell>
          <cell r="N3368" t="e">
            <v>#DIV/0!</v>
          </cell>
        </row>
        <row r="3369">
          <cell r="E3369" t="str">
            <v>HGC-Lib-2454913</v>
          </cell>
          <cell r="F3369" t="str">
            <v>LC231106013</v>
          </cell>
          <cell r="G3369">
            <v>89</v>
          </cell>
          <cell r="H3369" t="str">
            <v>singleron-3'转录组文库</v>
          </cell>
          <cell r="I3369" t="str">
            <v>YHT</v>
          </cell>
          <cell r="J3369">
            <v>16.7</v>
          </cell>
          <cell r="N3369" t="e">
            <v>#DIV/0!</v>
          </cell>
        </row>
        <row r="3370">
          <cell r="E3370" t="str">
            <v>HGC-POOL-2454914</v>
          </cell>
          <cell r="F3370" t="str">
            <v>PCRD-240711-001</v>
          </cell>
          <cell r="G3370">
            <v>20</v>
          </cell>
          <cell r="H3370" t="str">
            <v>singleron-3'转录组文库</v>
          </cell>
          <cell r="I3370" t="str">
            <v>YHT</v>
          </cell>
          <cell r="J3370">
            <v>7.16</v>
          </cell>
          <cell r="N3370" t="e">
            <v>#DIV/0!</v>
          </cell>
        </row>
        <row r="3371">
          <cell r="E3371" t="str">
            <v>HGC-Lib-2454915</v>
          </cell>
          <cell r="F3371" t="str">
            <v>R240711022</v>
          </cell>
          <cell r="G3371">
            <v>5</v>
          </cell>
          <cell r="H3371" t="str">
            <v>singleron-3'转录组文库</v>
          </cell>
          <cell r="I3371" t="str">
            <v>YHT</v>
          </cell>
          <cell r="J3371">
            <v>18</v>
          </cell>
          <cell r="N3371" t="e">
            <v>#DIV/0!</v>
          </cell>
        </row>
        <row r="3372">
          <cell r="E3372" t="str">
            <v>HGC-Lib-2454916</v>
          </cell>
          <cell r="F3372" t="str">
            <v>R240711023</v>
          </cell>
          <cell r="G3372">
            <v>5</v>
          </cell>
          <cell r="H3372" t="str">
            <v>singleron-3'转录组文库</v>
          </cell>
          <cell r="I3372" t="str">
            <v>YHT</v>
          </cell>
          <cell r="J3372">
            <v>15.1</v>
          </cell>
          <cell r="N3372" t="e">
            <v>#DIV/0!</v>
          </cell>
        </row>
        <row r="3373">
          <cell r="E3373" t="str">
            <v>HGC-Lib-2454917</v>
          </cell>
          <cell r="F3373" t="str">
            <v>R240711024</v>
          </cell>
          <cell r="G3373">
            <v>5</v>
          </cell>
          <cell r="H3373" t="str">
            <v>singleron-3'转录组文库</v>
          </cell>
          <cell r="I3373" t="str">
            <v>YHT</v>
          </cell>
          <cell r="J3373">
            <v>15.6</v>
          </cell>
          <cell r="N3373" t="e">
            <v>#DIV/0!</v>
          </cell>
        </row>
        <row r="3374">
          <cell r="E3374" t="str">
            <v>HGC-Lib-2454918</v>
          </cell>
          <cell r="F3374" t="str">
            <v>R240711025</v>
          </cell>
          <cell r="G3374">
            <v>5</v>
          </cell>
          <cell r="H3374" t="str">
            <v>singleron-3'转录组文库</v>
          </cell>
          <cell r="I3374" t="str">
            <v>YHT</v>
          </cell>
          <cell r="J3374">
            <v>15.2</v>
          </cell>
          <cell r="N3374" t="e">
            <v>#DIV/0!</v>
          </cell>
        </row>
        <row r="3375">
          <cell r="E3375" t="str">
            <v>HGC-Lib-2454919</v>
          </cell>
          <cell r="F3375" t="str">
            <v>R240711026</v>
          </cell>
          <cell r="G3375">
            <v>5</v>
          </cell>
          <cell r="H3375" t="str">
            <v>singleron-3'转录组文库</v>
          </cell>
          <cell r="I3375" t="str">
            <v>YHT</v>
          </cell>
          <cell r="J3375">
            <v>12.9</v>
          </cell>
          <cell r="N3375" t="e">
            <v>#DIV/0!</v>
          </cell>
        </row>
        <row r="3376">
          <cell r="E3376" t="str">
            <v>HGC-POOL-2454920</v>
          </cell>
          <cell r="F3376" t="str">
            <v>PCRD-240711-004</v>
          </cell>
          <cell r="G3376">
            <v>2</v>
          </cell>
          <cell r="H3376" t="str">
            <v>其他碱基不平衡文库</v>
          </cell>
          <cell r="I3376" t="str">
            <v>YHT</v>
          </cell>
          <cell r="J3376">
            <v>22.6</v>
          </cell>
          <cell r="N3376" t="e">
            <v>#DIV/0!</v>
          </cell>
        </row>
        <row r="3377">
          <cell r="E3377" t="str">
            <v>HGC-Lib-2455016</v>
          </cell>
          <cell r="F3377" t="str">
            <v>Sewage_lib_QXL-DNA</v>
          </cell>
          <cell r="G3377">
            <v>50</v>
          </cell>
          <cell r="H3377" t="str">
            <v>宏基因组文库</v>
          </cell>
          <cell r="I3377" t="str">
            <v>YHT</v>
          </cell>
          <cell r="J3377">
            <v>4.82</v>
          </cell>
          <cell r="K3377">
            <v>481</v>
          </cell>
          <cell r="N3377">
            <v>15.416600031984601</v>
          </cell>
        </row>
        <row r="3378">
          <cell r="E3378" t="str">
            <v>HGC-Lib-2455017</v>
          </cell>
          <cell r="F3378" t="str">
            <v>Sewage_lib_PEG-DNA</v>
          </cell>
          <cell r="G3378">
            <v>50</v>
          </cell>
          <cell r="H3378" t="str">
            <v>宏基因组文库</v>
          </cell>
          <cell r="I3378" t="str">
            <v>YHT</v>
          </cell>
          <cell r="J3378">
            <v>16.8</v>
          </cell>
          <cell r="K3378">
            <v>675</v>
          </cell>
          <cell r="N3378">
            <v>38.290598290598297</v>
          </cell>
        </row>
        <row r="3379">
          <cell r="E3379" t="str">
            <v>HGC-Lib-2455018</v>
          </cell>
          <cell r="F3379" t="str">
            <v>Sewage_lib_QXL+PEG-DNA</v>
          </cell>
          <cell r="G3379">
            <v>50</v>
          </cell>
          <cell r="H3379" t="str">
            <v>宏基因组文库</v>
          </cell>
          <cell r="I3379" t="str">
            <v>YHT</v>
          </cell>
          <cell r="J3379">
            <v>27.6</v>
          </cell>
          <cell r="K3379">
            <v>442</v>
          </cell>
          <cell r="N3379">
            <v>96.066829098503305</v>
          </cell>
        </row>
        <row r="3380">
          <cell r="E3380" t="str">
            <v>HGC-Lib-2455019</v>
          </cell>
          <cell r="F3380" t="str">
            <v>Sewage_lib_QXL-RNA</v>
          </cell>
          <cell r="G3380">
            <v>50</v>
          </cell>
          <cell r="H3380" t="str">
            <v>宏转录组文库</v>
          </cell>
          <cell r="I3380" t="str">
            <v>YHT</v>
          </cell>
          <cell r="J3380">
            <v>1.19</v>
          </cell>
          <cell r="K3380">
            <v>261</v>
          </cell>
          <cell r="N3380">
            <v>7.0144414972001199</v>
          </cell>
        </row>
        <row r="3381">
          <cell r="E3381" t="str">
            <v>HGC-Lib-2455020</v>
          </cell>
          <cell r="F3381" t="str">
            <v>Sewage_lib_PEG-RNA</v>
          </cell>
          <cell r="G3381">
            <v>50</v>
          </cell>
          <cell r="H3381" t="str">
            <v>宏转录组文库</v>
          </cell>
          <cell r="I3381" t="str">
            <v>YHT</v>
          </cell>
          <cell r="J3381">
            <v>1.35</v>
          </cell>
          <cell r="K3381">
            <v>273</v>
          </cell>
          <cell r="N3381">
            <v>7.6077768385460702</v>
          </cell>
        </row>
        <row r="3382">
          <cell r="E3382" t="str">
            <v>HGC-Lib-2455021</v>
          </cell>
          <cell r="F3382" t="str">
            <v>Sewage_lib_QXL+PEG-RNA</v>
          </cell>
          <cell r="G3382">
            <v>50</v>
          </cell>
          <cell r="H3382" t="str">
            <v>宏转录组文库</v>
          </cell>
          <cell r="I3382" t="str">
            <v>YHT</v>
          </cell>
          <cell r="J3382">
            <v>1.56</v>
          </cell>
          <cell r="K3382">
            <v>262</v>
          </cell>
          <cell r="N3382">
            <v>9.1603053435114496</v>
          </cell>
        </row>
        <row r="3383">
          <cell r="E3383" t="str">
            <v>HGC-Lib-2455022</v>
          </cell>
          <cell r="F3383" t="str">
            <v>HY-N0001C-RNA-H</v>
          </cell>
          <cell r="G3383">
            <v>30</v>
          </cell>
          <cell r="H3383" t="str">
            <v>宏转录组文库</v>
          </cell>
          <cell r="I3383" t="str">
            <v>YHT</v>
          </cell>
          <cell r="J3383">
            <v>1</v>
          </cell>
          <cell r="K3383">
            <v>426</v>
          </cell>
          <cell r="N3383">
            <v>3.61141206211629</v>
          </cell>
        </row>
        <row r="3384">
          <cell r="E3384" t="str">
            <v>HGC-Lib-2455023</v>
          </cell>
          <cell r="F3384" t="str">
            <v>HY-N0006C-RNA-H</v>
          </cell>
          <cell r="G3384">
            <v>30</v>
          </cell>
          <cell r="H3384" t="str">
            <v>宏转录组文库</v>
          </cell>
          <cell r="I3384" t="str">
            <v>YHT</v>
          </cell>
          <cell r="J3384">
            <v>8.76</v>
          </cell>
          <cell r="K3384">
            <v>408</v>
          </cell>
          <cell r="N3384">
            <v>33.0316742081448</v>
          </cell>
        </row>
        <row r="3385">
          <cell r="E3385" t="str">
            <v>HGC-Lib-2455024</v>
          </cell>
          <cell r="F3385" t="str">
            <v>HY-PAQ0083C-RNA-H</v>
          </cell>
          <cell r="G3385">
            <v>30</v>
          </cell>
          <cell r="H3385" t="str">
            <v>宏转录组文库</v>
          </cell>
          <cell r="I3385" t="str">
            <v>YHT</v>
          </cell>
          <cell r="J3385">
            <v>0.93400000000000005</v>
          </cell>
          <cell r="K3385">
            <v>400</v>
          </cell>
          <cell r="N3385">
            <v>3.5923076923076902</v>
          </cell>
        </row>
        <row r="3386">
          <cell r="E3386" t="str">
            <v>HGC-Lib-2455025</v>
          </cell>
          <cell r="F3386" t="str">
            <v>HY-PAQ0085C-RNA-H</v>
          </cell>
          <cell r="G3386">
            <v>30</v>
          </cell>
          <cell r="H3386" t="str">
            <v>宏转录组文库</v>
          </cell>
          <cell r="I3386" t="str">
            <v>YHT</v>
          </cell>
          <cell r="J3386">
            <v>3.12</v>
          </cell>
          <cell r="K3386">
            <v>391</v>
          </cell>
          <cell r="N3386">
            <v>12.2762148337596</v>
          </cell>
        </row>
        <row r="3387">
          <cell r="E3387" t="str">
            <v>HGC-Lib-2455026</v>
          </cell>
          <cell r="F3387" t="str">
            <v>HY-PAQ0088C-RNA-H</v>
          </cell>
          <cell r="G3387">
            <v>30</v>
          </cell>
          <cell r="H3387" t="str">
            <v>宏转录组文库</v>
          </cell>
          <cell r="I3387" t="str">
            <v>YHT</v>
          </cell>
          <cell r="J3387">
            <v>3.28</v>
          </cell>
          <cell r="K3387">
            <v>438</v>
          </cell>
          <cell r="N3387">
            <v>11.5208991921321</v>
          </cell>
        </row>
        <row r="3388">
          <cell r="E3388" t="str">
            <v>HGC-Lib-2455027</v>
          </cell>
          <cell r="F3388" t="str">
            <v>HY-PAQ0092C-RNA-H</v>
          </cell>
          <cell r="G3388">
            <v>30</v>
          </cell>
          <cell r="H3388" t="str">
            <v>宏转录组文库</v>
          </cell>
          <cell r="I3388" t="str">
            <v>XCL</v>
          </cell>
          <cell r="J3388">
            <v>0.93</v>
          </cell>
          <cell r="K3388">
            <v>429</v>
          </cell>
          <cell r="N3388">
            <v>3.3351264120494899</v>
          </cell>
        </row>
        <row r="3389">
          <cell r="E3389" t="str">
            <v>HGC-Lib-2455028</v>
          </cell>
          <cell r="F3389" t="str">
            <v>HY-PAQ0100C-RNA-H</v>
          </cell>
          <cell r="G3389">
            <v>30</v>
          </cell>
          <cell r="H3389" t="str">
            <v>宏转录组文库</v>
          </cell>
          <cell r="I3389" t="str">
            <v>XCL</v>
          </cell>
          <cell r="J3389">
            <v>3.28</v>
          </cell>
          <cell r="K3389">
            <v>434</v>
          </cell>
          <cell r="N3389">
            <v>11.6270825948245</v>
          </cell>
        </row>
        <row r="3390">
          <cell r="E3390" t="str">
            <v>HGC-Lib-2455029</v>
          </cell>
          <cell r="F3390" t="str">
            <v>HY-PAQ0081C-RNA-H</v>
          </cell>
          <cell r="G3390">
            <v>30</v>
          </cell>
          <cell r="H3390" t="str">
            <v>宏转录组文库</v>
          </cell>
          <cell r="I3390" t="str">
            <v>XCL</v>
          </cell>
          <cell r="J3390">
            <v>23.2</v>
          </cell>
          <cell r="K3390">
            <v>413</v>
          </cell>
          <cell r="N3390">
            <v>86.422052523747396</v>
          </cell>
        </row>
        <row r="3391">
          <cell r="E3391" t="str">
            <v>HGC-Lib-2455030</v>
          </cell>
          <cell r="F3391" t="str">
            <v>HY-PAQ0082C-RNA-H</v>
          </cell>
          <cell r="G3391">
            <v>30</v>
          </cell>
          <cell r="H3391" t="str">
            <v>宏转录组文库</v>
          </cell>
          <cell r="I3391" t="str">
            <v>XCL</v>
          </cell>
          <cell r="J3391">
            <v>17.100000000000001</v>
          </cell>
          <cell r="K3391">
            <v>378</v>
          </cell>
          <cell r="N3391">
            <v>69.597069597069606</v>
          </cell>
        </row>
        <row r="3392">
          <cell r="E3392" t="str">
            <v>HGC-Lib-2455031</v>
          </cell>
          <cell r="F3392" t="str">
            <v>HY-PAQ0087C-RNA-H</v>
          </cell>
          <cell r="G3392">
            <v>30</v>
          </cell>
          <cell r="H3392" t="str">
            <v>宏转录组文库</v>
          </cell>
          <cell r="I3392" t="str">
            <v>XCL</v>
          </cell>
          <cell r="J3392">
            <v>1.21</v>
          </cell>
          <cell r="K3392">
            <v>412</v>
          </cell>
          <cell r="N3392">
            <v>4.5182972367438401</v>
          </cell>
        </row>
        <row r="3393">
          <cell r="E3393" t="str">
            <v>HGC-Lib-2455032</v>
          </cell>
          <cell r="F3393" t="str">
            <v>HY-PAQ0089C-RNA-H</v>
          </cell>
          <cell r="G3393">
            <v>30</v>
          </cell>
          <cell r="H3393" t="str">
            <v>宏转录组文库</v>
          </cell>
          <cell r="I3393" t="str">
            <v>XCL</v>
          </cell>
          <cell r="J3393">
            <v>4.42</v>
          </cell>
          <cell r="K3393">
            <v>437</v>
          </cell>
          <cell r="N3393">
            <v>15.5606407322654</v>
          </cell>
        </row>
        <row r="3394">
          <cell r="E3394" t="str">
            <v>HGC-Lib-2455033</v>
          </cell>
          <cell r="F3394" t="str">
            <v>HY-PAQ0090C-RNA-H</v>
          </cell>
          <cell r="G3394">
            <v>30</v>
          </cell>
          <cell r="H3394" t="str">
            <v>宏转录组文库</v>
          </cell>
          <cell r="I3394" t="str">
            <v>XCL</v>
          </cell>
          <cell r="J3394">
            <v>4.62</v>
          </cell>
          <cell r="K3394">
            <v>396</v>
          </cell>
          <cell r="N3394">
            <v>17.948717948717999</v>
          </cell>
        </row>
        <row r="3395">
          <cell r="E3395" t="str">
            <v>HGC-Lib-2455034</v>
          </cell>
          <cell r="F3395" t="str">
            <v>HY-N0001C-RNA-M</v>
          </cell>
          <cell r="G3395">
            <v>30</v>
          </cell>
          <cell r="H3395" t="str">
            <v>宏转录组文库</v>
          </cell>
          <cell r="I3395" t="str">
            <v>XCL</v>
          </cell>
          <cell r="J3395">
            <v>2.2999999999999998</v>
          </cell>
          <cell r="K3395">
            <v>281</v>
          </cell>
          <cell r="N3395">
            <v>12.592389816589099</v>
          </cell>
        </row>
        <row r="3396">
          <cell r="E3396" t="str">
            <v>HGC-Lib-2455035</v>
          </cell>
          <cell r="F3396" t="str">
            <v>HY-N0006C-RNA-M</v>
          </cell>
          <cell r="G3396">
            <v>30</v>
          </cell>
          <cell r="H3396" t="str">
            <v>宏转录组文库</v>
          </cell>
          <cell r="I3396" t="str">
            <v>XCL</v>
          </cell>
          <cell r="J3396">
            <v>7.14</v>
          </cell>
          <cell r="K3396">
            <v>336</v>
          </cell>
          <cell r="N3396">
            <v>32.692307692307701</v>
          </cell>
        </row>
        <row r="3397">
          <cell r="E3397" t="str">
            <v>HGC-Lib-2455036</v>
          </cell>
          <cell r="F3397" t="str">
            <v>HY-PAQ0083C-RNA-M</v>
          </cell>
          <cell r="G3397">
            <v>30</v>
          </cell>
          <cell r="H3397" t="str">
            <v>宏转录组文库</v>
          </cell>
          <cell r="I3397" t="str">
            <v>XCL</v>
          </cell>
          <cell r="J3397">
            <v>3.66</v>
          </cell>
          <cell r="K3397">
            <v>344</v>
          </cell>
          <cell r="N3397">
            <v>16.368515205724499</v>
          </cell>
        </row>
        <row r="3398">
          <cell r="E3398" t="str">
            <v>HGC-Lib-2455037</v>
          </cell>
          <cell r="F3398" t="str">
            <v>HY-PAQ0085C-RNA-M</v>
          </cell>
          <cell r="G3398">
            <v>30</v>
          </cell>
          <cell r="H3398" t="str">
            <v>宏转录组文库</v>
          </cell>
          <cell r="I3398" t="str">
            <v>XCL</v>
          </cell>
          <cell r="J3398">
            <v>1.95</v>
          </cell>
          <cell r="K3398">
            <v>357</v>
          </cell>
          <cell r="N3398">
            <v>8.4033613445378208</v>
          </cell>
        </row>
        <row r="3399">
          <cell r="E3399" t="str">
            <v>HGC-Lib-2455038</v>
          </cell>
          <cell r="F3399" t="str">
            <v>HY-PAQ0088C-RNA-M</v>
          </cell>
          <cell r="G3399">
            <v>30</v>
          </cell>
          <cell r="H3399" t="str">
            <v>宏转录组文库</v>
          </cell>
          <cell r="I3399" t="str">
            <v>XCL</v>
          </cell>
          <cell r="J3399">
            <v>15.1</v>
          </cell>
          <cell r="K3399">
            <v>321</v>
          </cell>
          <cell r="N3399">
            <v>72.369997603642503</v>
          </cell>
        </row>
        <row r="3400">
          <cell r="E3400" t="str">
            <v>HGC-Lib-2455039</v>
          </cell>
          <cell r="F3400" t="str">
            <v>HY-PAQ0092C-RNA-M</v>
          </cell>
          <cell r="G3400">
            <v>30</v>
          </cell>
          <cell r="H3400" t="str">
            <v>宏转录组文库</v>
          </cell>
          <cell r="I3400" t="str">
            <v>XCL</v>
          </cell>
          <cell r="J3400">
            <v>8.7799999999999994</v>
          </cell>
          <cell r="K3400">
            <v>337</v>
          </cell>
          <cell r="N3400">
            <v>40.082173019858502</v>
          </cell>
        </row>
        <row r="3401">
          <cell r="E3401" t="str">
            <v>HGC-Lib-2455040</v>
          </cell>
          <cell r="F3401" t="str">
            <v>HY-PAQ0100C-RNA-M</v>
          </cell>
          <cell r="G3401">
            <v>30</v>
          </cell>
          <cell r="H3401" t="str">
            <v>宏转录组文库</v>
          </cell>
          <cell r="I3401" t="str">
            <v>XCL</v>
          </cell>
          <cell r="J3401">
            <v>11.3</v>
          </cell>
          <cell r="K3401">
            <v>341</v>
          </cell>
          <cell r="N3401">
            <v>50.981276787728397</v>
          </cell>
        </row>
        <row r="3402">
          <cell r="E3402" t="str">
            <v>HGC-Lib-2455041</v>
          </cell>
          <cell r="F3402" t="str">
            <v>HY-PAQ0081C-RNA-M</v>
          </cell>
          <cell r="G3402">
            <v>30</v>
          </cell>
          <cell r="H3402" t="str">
            <v>宏转录组文库</v>
          </cell>
          <cell r="I3402" t="str">
            <v>XCL</v>
          </cell>
          <cell r="J3402">
            <v>8.92</v>
          </cell>
          <cell r="K3402">
            <v>367</v>
          </cell>
          <cell r="N3402">
            <v>37.3925801718717</v>
          </cell>
        </row>
        <row r="3403">
          <cell r="E3403" t="str">
            <v>HGC-Lib-2455042</v>
          </cell>
          <cell r="F3403" t="str">
            <v>HY-PAQ0082C-RNA-M</v>
          </cell>
          <cell r="G3403">
            <v>30</v>
          </cell>
          <cell r="H3403" t="str">
            <v>宏转录组文库</v>
          </cell>
          <cell r="I3403" t="str">
            <v>XCL</v>
          </cell>
          <cell r="J3403">
            <v>3.56</v>
          </cell>
          <cell r="K3403">
            <v>317</v>
          </cell>
          <cell r="N3403">
            <v>17.2773598641107</v>
          </cell>
        </row>
        <row r="3404">
          <cell r="E3404" t="str">
            <v>HGC-Lib-2455043</v>
          </cell>
          <cell r="F3404" t="str">
            <v>HY-PAQ0087C-RNA-M</v>
          </cell>
          <cell r="G3404">
            <v>30</v>
          </cell>
          <cell r="H3404" t="str">
            <v>宏转录组文库</v>
          </cell>
          <cell r="I3404" t="str">
            <v>XCL</v>
          </cell>
          <cell r="J3404">
            <v>11.7</v>
          </cell>
          <cell r="K3404">
            <v>348</v>
          </cell>
          <cell r="N3404">
            <v>51.724137931034498</v>
          </cell>
        </row>
        <row r="3405">
          <cell r="E3405" t="str">
            <v>HGC-Lib-2455044</v>
          </cell>
          <cell r="F3405" t="str">
            <v>HY-PAQ0089C-RNA-M</v>
          </cell>
          <cell r="G3405">
            <v>30</v>
          </cell>
          <cell r="H3405" t="str">
            <v>宏转录组文库</v>
          </cell>
          <cell r="I3405" t="str">
            <v>XCL</v>
          </cell>
          <cell r="J3405">
            <v>31.2</v>
          </cell>
          <cell r="K3405">
            <v>362</v>
          </cell>
          <cell r="N3405">
            <v>132.59668508287299</v>
          </cell>
        </row>
        <row r="3406">
          <cell r="E3406" t="str">
            <v>HGC-Lib-2455045</v>
          </cell>
          <cell r="F3406" t="str">
            <v>HY-PAQ0090C-RNA-M</v>
          </cell>
          <cell r="G3406">
            <v>30</v>
          </cell>
          <cell r="H3406" t="str">
            <v>宏转录组文库</v>
          </cell>
          <cell r="I3406" t="str">
            <v>XCL</v>
          </cell>
          <cell r="J3406">
            <v>0.152</v>
          </cell>
          <cell r="K3406">
            <v>364</v>
          </cell>
          <cell r="N3406">
            <v>0.64243448858833496</v>
          </cell>
        </row>
        <row r="3407">
          <cell r="E3407" t="str">
            <v>HGC-Lib-2455218</v>
          </cell>
          <cell r="F3407" t="str">
            <v>OL27488-GW130450</v>
          </cell>
          <cell r="G3407">
            <v>1000</v>
          </cell>
          <cell r="H3407" t="str">
            <v>10× 3'单细胞</v>
          </cell>
          <cell r="I3407" t="str">
            <v>GZQ</v>
          </cell>
          <cell r="J3407">
            <v>2.04</v>
          </cell>
          <cell r="K3407">
            <v>449</v>
          </cell>
          <cell r="L3407" t="str">
            <v>GZQ</v>
          </cell>
          <cell r="N3407">
            <v>6.98989206784307</v>
          </cell>
        </row>
        <row r="3408">
          <cell r="E3408" t="str">
            <v>HGC-Lib-2454085</v>
          </cell>
          <cell r="F3408" t="str">
            <v>YZ1</v>
          </cell>
          <cell r="G3408">
            <v>30</v>
          </cell>
          <cell r="H3408" t="str">
            <v>BD-单细胞</v>
          </cell>
          <cell r="N3408" t="e">
            <v>#DIV/0!</v>
          </cell>
        </row>
        <row r="3409">
          <cell r="E3409" t="str">
            <v>HGC-Lib-2454086</v>
          </cell>
          <cell r="F3409" t="str">
            <v>YZ2</v>
          </cell>
          <cell r="G3409">
            <v>30</v>
          </cell>
          <cell r="H3409" t="str">
            <v>BD-单细胞</v>
          </cell>
          <cell r="N3409" t="e">
            <v>#DIV/0!</v>
          </cell>
        </row>
        <row r="3410">
          <cell r="E3410" t="str">
            <v>HGC-POOL-2454196</v>
          </cell>
          <cell r="F3410" t="str">
            <v>HYZ-0710-L1</v>
          </cell>
          <cell r="G3410">
            <v>24</v>
          </cell>
          <cell r="H3410" t="str">
            <v>PCR产物文库</v>
          </cell>
          <cell r="N3410" t="e">
            <v>#DIV/0!</v>
          </cell>
        </row>
        <row r="3411">
          <cell r="E3411" t="str">
            <v>HGC-POOL-2454197</v>
          </cell>
          <cell r="F3411" t="str">
            <v>HYZ-0710-L2</v>
          </cell>
          <cell r="G3411">
            <v>24</v>
          </cell>
          <cell r="H3411" t="str">
            <v>PCR产物文库</v>
          </cell>
          <cell r="N3411" t="e">
            <v>#DIV/0!</v>
          </cell>
        </row>
        <row r="3412">
          <cell r="E3412" t="str">
            <v>HGC-Lib-2454921</v>
          </cell>
          <cell r="F3412" t="str">
            <v>D24070161</v>
          </cell>
          <cell r="G3412" t="str">
            <v>7G</v>
          </cell>
          <cell r="H3412" t="str">
            <v>重测序</v>
          </cell>
          <cell r="I3412" t="str">
            <v>WWH</v>
          </cell>
          <cell r="J3412">
            <v>56.56</v>
          </cell>
          <cell r="N3412" t="e">
            <v>#DIV/0!</v>
          </cell>
        </row>
        <row r="3413">
          <cell r="E3413" t="str">
            <v>HGC-Lib-2454922</v>
          </cell>
          <cell r="F3413" t="str">
            <v>D24070162</v>
          </cell>
          <cell r="G3413" t="str">
            <v>7G</v>
          </cell>
          <cell r="H3413" t="str">
            <v>重测序</v>
          </cell>
          <cell r="I3413" t="str">
            <v>WWH</v>
          </cell>
          <cell r="J3413">
            <v>34.090000000000003</v>
          </cell>
          <cell r="N3413" t="e">
            <v>#DIV/0!</v>
          </cell>
        </row>
        <row r="3414">
          <cell r="E3414" t="str">
            <v>HGC-Lib-2454923</v>
          </cell>
          <cell r="F3414" t="str">
            <v>D24070163</v>
          </cell>
          <cell r="G3414" t="str">
            <v>7G</v>
          </cell>
          <cell r="H3414" t="str">
            <v>重测序</v>
          </cell>
          <cell r="I3414" t="str">
            <v>WWH</v>
          </cell>
          <cell r="J3414">
            <v>64.64</v>
          </cell>
          <cell r="N3414" t="e">
            <v>#DIV/0!</v>
          </cell>
        </row>
        <row r="3415">
          <cell r="E3415" t="str">
            <v>HGC-Lib-2454924</v>
          </cell>
          <cell r="F3415" t="str">
            <v>D24070164</v>
          </cell>
          <cell r="G3415" t="str">
            <v>7G</v>
          </cell>
          <cell r="H3415" t="str">
            <v>重测序</v>
          </cell>
          <cell r="I3415" t="str">
            <v>WWH</v>
          </cell>
          <cell r="J3415">
            <v>39.46</v>
          </cell>
          <cell r="N3415" t="e">
            <v>#DIV/0!</v>
          </cell>
        </row>
        <row r="3416">
          <cell r="E3416" t="str">
            <v>HGC-Lib-2454925</v>
          </cell>
          <cell r="F3416" t="str">
            <v>D24070165</v>
          </cell>
          <cell r="G3416" t="str">
            <v>7G</v>
          </cell>
          <cell r="H3416" t="str">
            <v>重测序</v>
          </cell>
          <cell r="I3416" t="str">
            <v>WWH</v>
          </cell>
          <cell r="J3416">
            <v>44.56</v>
          </cell>
          <cell r="N3416" t="e">
            <v>#DIV/0!</v>
          </cell>
        </row>
        <row r="3417">
          <cell r="E3417" t="str">
            <v>HGC-Lib-2454926</v>
          </cell>
          <cell r="F3417" t="str">
            <v>D24070166</v>
          </cell>
          <cell r="G3417" t="str">
            <v>7G</v>
          </cell>
          <cell r="H3417" t="str">
            <v>重测序</v>
          </cell>
          <cell r="I3417" t="str">
            <v>WWH</v>
          </cell>
          <cell r="J3417">
            <v>22.94</v>
          </cell>
          <cell r="N3417" t="e">
            <v>#DIV/0!</v>
          </cell>
        </row>
        <row r="3418">
          <cell r="E3418" t="str">
            <v>HGC-Lib-2454927</v>
          </cell>
          <cell r="F3418" t="str">
            <v>D24070167</v>
          </cell>
          <cell r="G3418" t="str">
            <v>7G</v>
          </cell>
          <cell r="H3418" t="str">
            <v>重测序</v>
          </cell>
          <cell r="I3418" t="str">
            <v>WWH</v>
          </cell>
          <cell r="J3418">
            <v>23.17</v>
          </cell>
          <cell r="N3418" t="e">
            <v>#DIV/0!</v>
          </cell>
        </row>
        <row r="3419">
          <cell r="E3419" t="str">
            <v>HGC-Lib-2454928</v>
          </cell>
          <cell r="F3419" t="str">
            <v>D24040302</v>
          </cell>
          <cell r="G3419" t="str">
            <v>2G</v>
          </cell>
          <cell r="H3419" t="str">
            <v>重测序</v>
          </cell>
          <cell r="I3419" t="str">
            <v>WWH</v>
          </cell>
          <cell r="J3419">
            <v>57.27</v>
          </cell>
          <cell r="N3419" t="e">
            <v>#DIV/0!</v>
          </cell>
        </row>
        <row r="3420">
          <cell r="E3420" t="str">
            <v>HGC-Lib-2454929</v>
          </cell>
          <cell r="F3420" t="str">
            <v>D24040303</v>
          </cell>
          <cell r="G3420" t="str">
            <v>2G</v>
          </cell>
          <cell r="H3420" t="str">
            <v>重测序</v>
          </cell>
          <cell r="I3420" t="str">
            <v>WWH</v>
          </cell>
          <cell r="J3420">
            <v>44.45</v>
          </cell>
          <cell r="N3420" t="e">
            <v>#DIV/0!</v>
          </cell>
        </row>
        <row r="3421">
          <cell r="E3421" t="str">
            <v>HGC-Lib-2454930</v>
          </cell>
          <cell r="F3421" t="str">
            <v>D24040304</v>
          </cell>
          <cell r="G3421" t="str">
            <v>2G</v>
          </cell>
          <cell r="H3421" t="str">
            <v>重测序</v>
          </cell>
          <cell r="I3421" t="str">
            <v>WWH</v>
          </cell>
          <cell r="J3421">
            <v>44.67</v>
          </cell>
          <cell r="N3421" t="e">
            <v>#DIV/0!</v>
          </cell>
        </row>
        <row r="3422">
          <cell r="E3422" t="str">
            <v>HGC-Lib-2454931</v>
          </cell>
          <cell r="F3422" t="str">
            <v>D24040305</v>
          </cell>
          <cell r="G3422" t="str">
            <v>2G</v>
          </cell>
          <cell r="H3422" t="str">
            <v>重测序</v>
          </cell>
          <cell r="I3422" t="str">
            <v>WWH</v>
          </cell>
          <cell r="J3422">
            <v>39.630000000000003</v>
          </cell>
          <cell r="N3422" t="e">
            <v>#DIV/0!</v>
          </cell>
        </row>
        <row r="3423">
          <cell r="E3423" t="str">
            <v>HGC-Lib-2454932</v>
          </cell>
          <cell r="F3423" t="str">
            <v>D24040306</v>
          </cell>
          <cell r="G3423" t="str">
            <v>2G</v>
          </cell>
          <cell r="H3423" t="str">
            <v>重测序</v>
          </cell>
          <cell r="I3423" t="str">
            <v>WWH</v>
          </cell>
          <cell r="J3423">
            <v>42.58</v>
          </cell>
          <cell r="N3423" t="e">
            <v>#DIV/0!</v>
          </cell>
        </row>
        <row r="3424">
          <cell r="E3424" t="str">
            <v>HGC-Lib-2454933</v>
          </cell>
          <cell r="F3424" t="str">
            <v>D24040307</v>
          </cell>
          <cell r="G3424" t="str">
            <v>2G</v>
          </cell>
          <cell r="H3424" t="str">
            <v>重测序</v>
          </cell>
          <cell r="I3424" t="str">
            <v>WWH</v>
          </cell>
          <cell r="J3424">
            <v>38.869999999999997</v>
          </cell>
          <cell r="N3424" t="e">
            <v>#DIV/0!</v>
          </cell>
        </row>
        <row r="3425">
          <cell r="E3425" t="str">
            <v>HGC-Lib-2454934</v>
          </cell>
          <cell r="F3425" t="str">
            <v>D24040308</v>
          </cell>
          <cell r="G3425" t="str">
            <v>2G</v>
          </cell>
          <cell r="H3425" t="str">
            <v>重测序</v>
          </cell>
          <cell r="I3425" t="str">
            <v>WWH</v>
          </cell>
          <cell r="J3425">
            <v>29.84</v>
          </cell>
          <cell r="N3425" t="e">
            <v>#DIV/0!</v>
          </cell>
        </row>
        <row r="3426">
          <cell r="E3426" t="str">
            <v>HGC-Lib-2454935</v>
          </cell>
          <cell r="F3426" t="str">
            <v>D24040309</v>
          </cell>
          <cell r="G3426" t="str">
            <v>2G</v>
          </cell>
          <cell r="H3426" t="str">
            <v>重测序</v>
          </cell>
          <cell r="I3426" t="str">
            <v>WWH</v>
          </cell>
          <cell r="J3426">
            <v>29.91</v>
          </cell>
          <cell r="N3426" t="e">
            <v>#DIV/0!</v>
          </cell>
        </row>
        <row r="3427">
          <cell r="E3427" t="str">
            <v>HGC-Lib-2454936</v>
          </cell>
          <cell r="F3427" t="str">
            <v>D24040310</v>
          </cell>
          <cell r="G3427" t="str">
            <v>2G</v>
          </cell>
          <cell r="H3427" t="str">
            <v>重测序</v>
          </cell>
          <cell r="I3427" t="str">
            <v>WWH</v>
          </cell>
          <cell r="J3427">
            <v>36.57</v>
          </cell>
          <cell r="N3427" t="e">
            <v>#DIV/0!</v>
          </cell>
        </row>
        <row r="3428">
          <cell r="E3428" t="str">
            <v>HGC-Lib-2454937</v>
          </cell>
          <cell r="F3428" t="str">
            <v>D24040311</v>
          </cell>
          <cell r="G3428" t="str">
            <v>2G</v>
          </cell>
          <cell r="H3428" t="str">
            <v>重测序</v>
          </cell>
          <cell r="I3428" t="str">
            <v>WWH</v>
          </cell>
          <cell r="J3428">
            <v>39.01</v>
          </cell>
          <cell r="N3428" t="e">
            <v>#DIV/0!</v>
          </cell>
        </row>
        <row r="3429">
          <cell r="E3429" t="str">
            <v>HGC-Lib-2454938</v>
          </cell>
          <cell r="F3429" t="str">
            <v>D24040689</v>
          </cell>
          <cell r="G3429" t="str">
            <v>2G</v>
          </cell>
          <cell r="H3429" t="str">
            <v>重测序</v>
          </cell>
          <cell r="I3429" t="str">
            <v>WWH</v>
          </cell>
          <cell r="J3429">
            <v>17.04</v>
          </cell>
          <cell r="N3429" t="e">
            <v>#DIV/0!</v>
          </cell>
        </row>
        <row r="3430">
          <cell r="E3430" t="str">
            <v>HGC-Lib-2454939</v>
          </cell>
          <cell r="F3430" t="str">
            <v>D24040690</v>
          </cell>
          <cell r="G3430" t="str">
            <v>2G</v>
          </cell>
          <cell r="H3430" t="str">
            <v>重测序</v>
          </cell>
          <cell r="I3430" t="str">
            <v>WWH</v>
          </cell>
          <cell r="J3430">
            <v>62.52</v>
          </cell>
          <cell r="N3430" t="e">
            <v>#DIV/0!</v>
          </cell>
        </row>
        <row r="3431">
          <cell r="E3431" t="str">
            <v>HGC-Lib-2454940</v>
          </cell>
          <cell r="F3431" t="str">
            <v>D24040692</v>
          </cell>
          <cell r="G3431" t="str">
            <v>2G</v>
          </cell>
          <cell r="H3431" t="str">
            <v>重测序</v>
          </cell>
          <cell r="I3431" t="str">
            <v>WWH</v>
          </cell>
          <cell r="J3431">
            <v>61.1</v>
          </cell>
          <cell r="N3431" t="e">
            <v>#DIV/0!</v>
          </cell>
        </row>
        <row r="3432">
          <cell r="E3432" t="str">
            <v>HGC-Lib-2454941</v>
          </cell>
          <cell r="F3432" t="str">
            <v>D24040693</v>
          </cell>
          <cell r="G3432" t="str">
            <v>2G</v>
          </cell>
          <cell r="H3432" t="str">
            <v>重测序</v>
          </cell>
          <cell r="I3432" t="str">
            <v>WWH</v>
          </cell>
          <cell r="J3432">
            <v>46.66</v>
          </cell>
          <cell r="N3432" t="e">
            <v>#DIV/0!</v>
          </cell>
        </row>
        <row r="3433">
          <cell r="E3433" t="str">
            <v>HGC-Lib-2454942</v>
          </cell>
          <cell r="F3433" t="str">
            <v>D24040694</v>
          </cell>
          <cell r="G3433" t="str">
            <v>2G</v>
          </cell>
          <cell r="H3433" t="str">
            <v>重测序</v>
          </cell>
          <cell r="I3433" t="str">
            <v>WWH</v>
          </cell>
          <cell r="J3433">
            <v>20</v>
          </cell>
          <cell r="N3433" t="e">
            <v>#DIV/0!</v>
          </cell>
        </row>
        <row r="3434">
          <cell r="E3434" t="str">
            <v>HGC-Lib-2454943</v>
          </cell>
          <cell r="F3434" t="str">
            <v>D24040695</v>
          </cell>
          <cell r="G3434" t="str">
            <v>2G</v>
          </cell>
          <cell r="H3434" t="str">
            <v>重测序</v>
          </cell>
          <cell r="I3434" t="str">
            <v>WWH</v>
          </cell>
          <cell r="J3434">
            <v>40.53</v>
          </cell>
          <cell r="N3434" t="e">
            <v>#DIV/0!</v>
          </cell>
        </row>
        <row r="3435">
          <cell r="E3435" t="str">
            <v>HGC-Lib-2454944</v>
          </cell>
          <cell r="F3435" t="str">
            <v>D24040696</v>
          </cell>
          <cell r="G3435" t="str">
            <v>2G</v>
          </cell>
          <cell r="H3435" t="str">
            <v>重测序</v>
          </cell>
          <cell r="I3435" t="str">
            <v>WWH</v>
          </cell>
          <cell r="J3435">
            <v>27.38</v>
          </cell>
          <cell r="N3435" t="e">
            <v>#DIV/0!</v>
          </cell>
        </row>
        <row r="3436">
          <cell r="E3436" t="str">
            <v>HGC-Lib-2454945</v>
          </cell>
          <cell r="F3436" t="str">
            <v>D24040697</v>
          </cell>
          <cell r="G3436" t="str">
            <v>2G</v>
          </cell>
          <cell r="H3436" t="str">
            <v>重测序</v>
          </cell>
          <cell r="I3436" t="str">
            <v>WWH</v>
          </cell>
          <cell r="J3436">
            <v>22.99</v>
          </cell>
          <cell r="N3436" t="e">
            <v>#DIV/0!</v>
          </cell>
        </row>
        <row r="3437">
          <cell r="E3437" t="str">
            <v>HGC-Lib-2454946</v>
          </cell>
          <cell r="F3437" t="str">
            <v>D24040698</v>
          </cell>
          <cell r="G3437" t="str">
            <v>2G</v>
          </cell>
          <cell r="H3437" t="str">
            <v>重测序</v>
          </cell>
          <cell r="I3437" t="str">
            <v>WWH</v>
          </cell>
          <cell r="J3437">
            <v>41.71</v>
          </cell>
          <cell r="N3437" t="e">
            <v>#DIV/0!</v>
          </cell>
        </row>
        <row r="3438">
          <cell r="E3438" t="str">
            <v>HGC-Lib-2454947</v>
          </cell>
          <cell r="F3438" t="str">
            <v>D24040699</v>
          </cell>
          <cell r="G3438" t="str">
            <v>2G</v>
          </cell>
          <cell r="H3438" t="str">
            <v>重测序</v>
          </cell>
          <cell r="I3438" t="str">
            <v>WWH</v>
          </cell>
          <cell r="J3438">
            <v>45.71</v>
          </cell>
          <cell r="N3438" t="e">
            <v>#DIV/0!</v>
          </cell>
        </row>
        <row r="3439">
          <cell r="E3439" t="str">
            <v>HGC-Lib-2454948</v>
          </cell>
          <cell r="F3439" t="str">
            <v>D24040700</v>
          </cell>
          <cell r="G3439" t="str">
            <v>2G</v>
          </cell>
          <cell r="H3439" t="str">
            <v>重测序</v>
          </cell>
          <cell r="I3439" t="str">
            <v>WWH</v>
          </cell>
          <cell r="J3439">
            <v>15.41</v>
          </cell>
          <cell r="N3439" t="e">
            <v>#DIV/0!</v>
          </cell>
        </row>
        <row r="3440">
          <cell r="E3440" t="str">
            <v>HGC-Lib-2454949</v>
          </cell>
          <cell r="F3440" t="str">
            <v>D24040701</v>
          </cell>
          <cell r="G3440" t="str">
            <v>2G</v>
          </cell>
          <cell r="H3440" t="str">
            <v>重测序</v>
          </cell>
          <cell r="I3440" t="str">
            <v>WWH</v>
          </cell>
          <cell r="J3440">
            <v>20.46</v>
          </cell>
          <cell r="N3440" t="e">
            <v>#DIV/0!</v>
          </cell>
        </row>
        <row r="3441">
          <cell r="E3441" t="str">
            <v>HGC-Lib-2454950</v>
          </cell>
          <cell r="F3441" t="str">
            <v>D24040702</v>
          </cell>
          <cell r="G3441" t="str">
            <v>2G</v>
          </cell>
          <cell r="H3441" t="str">
            <v>重测序</v>
          </cell>
          <cell r="I3441" t="str">
            <v>WWH</v>
          </cell>
          <cell r="J3441">
            <v>50.12</v>
          </cell>
          <cell r="N3441" t="e">
            <v>#DIV/0!</v>
          </cell>
        </row>
        <row r="3442">
          <cell r="E3442" t="str">
            <v>HGC-Lib-2454951</v>
          </cell>
          <cell r="F3442" t="str">
            <v>D24040704</v>
          </cell>
          <cell r="G3442" t="str">
            <v>2G</v>
          </cell>
          <cell r="H3442" t="str">
            <v>重测序</v>
          </cell>
          <cell r="I3442" t="str">
            <v>WWH</v>
          </cell>
          <cell r="J3442">
            <v>42.5</v>
          </cell>
          <cell r="N3442" t="e">
            <v>#DIV/0!</v>
          </cell>
        </row>
        <row r="3443">
          <cell r="E3443" t="str">
            <v>HGC-Lib-2454952</v>
          </cell>
          <cell r="F3443" t="str">
            <v>D24040705</v>
          </cell>
          <cell r="G3443" t="str">
            <v>2G</v>
          </cell>
          <cell r="H3443" t="str">
            <v>重测序</v>
          </cell>
          <cell r="I3443" t="str">
            <v>WWH</v>
          </cell>
          <cell r="J3443">
            <v>29.4</v>
          </cell>
          <cell r="N3443" t="e">
            <v>#DIV/0!</v>
          </cell>
        </row>
        <row r="3444">
          <cell r="E3444" t="str">
            <v>HGC-Lib-2454953</v>
          </cell>
          <cell r="F3444" t="str">
            <v>D24040706</v>
          </cell>
          <cell r="G3444" t="str">
            <v>2G</v>
          </cell>
          <cell r="H3444" t="str">
            <v>重测序</v>
          </cell>
          <cell r="I3444" t="str">
            <v>WWH</v>
          </cell>
          <cell r="J3444">
            <v>39.42</v>
          </cell>
          <cell r="N3444" t="e">
            <v>#DIV/0!</v>
          </cell>
        </row>
        <row r="3445">
          <cell r="E3445" t="str">
            <v>HGC-Lib-2454954</v>
          </cell>
          <cell r="F3445" t="str">
            <v>D24040707</v>
          </cell>
          <cell r="G3445" t="str">
            <v>2G</v>
          </cell>
          <cell r="H3445" t="str">
            <v>重测序</v>
          </cell>
          <cell r="I3445" t="str">
            <v>WWH</v>
          </cell>
          <cell r="J3445">
            <v>52.48</v>
          </cell>
          <cell r="N3445" t="e">
            <v>#DIV/0!</v>
          </cell>
        </row>
        <row r="3446">
          <cell r="E3446" t="str">
            <v>HGC-Lib-2454955</v>
          </cell>
          <cell r="F3446" t="str">
            <v>D24040708</v>
          </cell>
          <cell r="G3446" t="str">
            <v>2G</v>
          </cell>
          <cell r="H3446" t="str">
            <v>重测序</v>
          </cell>
          <cell r="I3446" t="str">
            <v>WWH</v>
          </cell>
          <cell r="J3446">
            <v>47.19</v>
          </cell>
          <cell r="N3446" t="e">
            <v>#DIV/0!</v>
          </cell>
        </row>
        <row r="3447">
          <cell r="E3447" t="str">
            <v>HGC-Lib-2454956</v>
          </cell>
          <cell r="F3447" t="str">
            <v>D24040710</v>
          </cell>
          <cell r="G3447" t="str">
            <v>2G</v>
          </cell>
          <cell r="H3447" t="str">
            <v>重测序</v>
          </cell>
          <cell r="I3447" t="str">
            <v>WWH</v>
          </cell>
          <cell r="J3447">
            <v>34.07</v>
          </cell>
          <cell r="N3447" t="e">
            <v>#DIV/0!</v>
          </cell>
        </row>
        <row r="3448">
          <cell r="E3448" t="str">
            <v>HGC-Lib-2454957</v>
          </cell>
          <cell r="F3448" t="str">
            <v>D24040711</v>
          </cell>
          <cell r="G3448" t="str">
            <v>2G</v>
          </cell>
          <cell r="H3448" t="str">
            <v>重测序</v>
          </cell>
          <cell r="I3448" t="str">
            <v>WWH</v>
          </cell>
          <cell r="J3448">
            <v>29.08</v>
          </cell>
          <cell r="N3448" t="e">
            <v>#DIV/0!</v>
          </cell>
        </row>
        <row r="3449">
          <cell r="E3449" t="str">
            <v>HGC-Lib-2454958</v>
          </cell>
          <cell r="F3449" t="str">
            <v>D24040714</v>
          </cell>
          <cell r="G3449" t="str">
            <v>2G</v>
          </cell>
          <cell r="H3449" t="str">
            <v>重测序</v>
          </cell>
          <cell r="I3449" t="str">
            <v>WWH</v>
          </cell>
          <cell r="J3449">
            <v>29.22</v>
          </cell>
          <cell r="N3449" t="e">
            <v>#DIV/0!</v>
          </cell>
        </row>
        <row r="3450">
          <cell r="E3450" t="str">
            <v>HGC-Lib-2454959</v>
          </cell>
          <cell r="F3450" t="str">
            <v>D24040718</v>
          </cell>
          <cell r="G3450" t="str">
            <v>2G</v>
          </cell>
          <cell r="H3450" t="str">
            <v>重测序</v>
          </cell>
          <cell r="I3450" t="str">
            <v>WWH</v>
          </cell>
          <cell r="J3450">
            <v>31.54</v>
          </cell>
          <cell r="N3450" t="e">
            <v>#DIV/0!</v>
          </cell>
        </row>
        <row r="3451">
          <cell r="E3451" t="str">
            <v>HGC-Lib-2454960</v>
          </cell>
          <cell r="F3451" t="str">
            <v>D24040719</v>
          </cell>
          <cell r="G3451" t="str">
            <v>2G</v>
          </cell>
          <cell r="H3451" t="str">
            <v>重测序</v>
          </cell>
          <cell r="I3451" t="str">
            <v>WWH</v>
          </cell>
          <cell r="J3451">
            <v>28.99</v>
          </cell>
          <cell r="N3451" t="e">
            <v>#DIV/0!</v>
          </cell>
        </row>
        <row r="3452">
          <cell r="E3452" t="str">
            <v>HGC-Lib-2454961</v>
          </cell>
          <cell r="F3452" t="str">
            <v>D24040720</v>
          </cell>
          <cell r="G3452" t="str">
            <v>2G</v>
          </cell>
          <cell r="H3452" t="str">
            <v>重测序</v>
          </cell>
          <cell r="I3452" t="str">
            <v>WWH</v>
          </cell>
          <cell r="J3452">
            <v>43.75</v>
          </cell>
          <cell r="N3452" t="e">
            <v>#DIV/0!</v>
          </cell>
        </row>
        <row r="3453">
          <cell r="E3453" t="str">
            <v>HGC-Lib-2454962</v>
          </cell>
          <cell r="F3453" t="str">
            <v>D24040721</v>
          </cell>
          <cell r="G3453" t="str">
            <v>2G</v>
          </cell>
          <cell r="H3453" t="str">
            <v>重测序</v>
          </cell>
          <cell r="I3453" t="str">
            <v>WWH</v>
          </cell>
          <cell r="J3453">
            <v>41.78</v>
          </cell>
          <cell r="N3453" t="e">
            <v>#DIV/0!</v>
          </cell>
        </row>
        <row r="3454">
          <cell r="E3454" t="str">
            <v>HGC-Lib-2454963</v>
          </cell>
          <cell r="F3454" t="str">
            <v>D24040722</v>
          </cell>
          <cell r="G3454" t="str">
            <v>2G</v>
          </cell>
          <cell r="H3454" t="str">
            <v>重测序</v>
          </cell>
          <cell r="I3454" t="str">
            <v>WWH</v>
          </cell>
          <cell r="J3454">
            <v>35.369999999999997</v>
          </cell>
          <cell r="N3454" t="e">
            <v>#DIV/0!</v>
          </cell>
        </row>
        <row r="3455">
          <cell r="E3455" t="str">
            <v>HGC-Lib-2454964</v>
          </cell>
          <cell r="F3455" t="str">
            <v>D24040723</v>
          </cell>
          <cell r="G3455" t="str">
            <v>2G</v>
          </cell>
          <cell r="H3455" t="str">
            <v>重测序</v>
          </cell>
          <cell r="I3455" t="str">
            <v>WWH</v>
          </cell>
          <cell r="J3455">
            <v>20.170000000000002</v>
          </cell>
          <cell r="N3455" t="e">
            <v>#DIV/0!</v>
          </cell>
        </row>
        <row r="3456">
          <cell r="E3456" t="str">
            <v>HGC-Lib-2454965</v>
          </cell>
          <cell r="F3456" t="str">
            <v>D24040726</v>
          </cell>
          <cell r="G3456" t="str">
            <v>2G</v>
          </cell>
          <cell r="H3456" t="str">
            <v>重测序</v>
          </cell>
          <cell r="I3456" t="str">
            <v>WWH</v>
          </cell>
          <cell r="J3456">
            <v>54.7</v>
          </cell>
          <cell r="N3456" t="e">
            <v>#DIV/0!</v>
          </cell>
        </row>
        <row r="3457">
          <cell r="E3457" t="str">
            <v>HGC-Lib-2454966</v>
          </cell>
          <cell r="F3457" t="str">
            <v>D24040728</v>
          </cell>
          <cell r="G3457" t="str">
            <v>2G</v>
          </cell>
          <cell r="H3457" t="str">
            <v>重测序</v>
          </cell>
          <cell r="I3457" t="str">
            <v>WWH</v>
          </cell>
          <cell r="J3457">
            <v>34.82</v>
          </cell>
          <cell r="N3457" t="e">
            <v>#DIV/0!</v>
          </cell>
        </row>
        <row r="3458">
          <cell r="E3458" t="str">
            <v>HGC-Lib-2454967</v>
          </cell>
          <cell r="F3458" t="str">
            <v>D24040729</v>
          </cell>
          <cell r="G3458" t="str">
            <v>2G</v>
          </cell>
          <cell r="H3458" t="str">
            <v>重测序</v>
          </cell>
          <cell r="I3458" t="str">
            <v>WWH</v>
          </cell>
          <cell r="J3458">
            <v>67.59</v>
          </cell>
          <cell r="N3458" t="e">
            <v>#DIV/0!</v>
          </cell>
        </row>
        <row r="3459">
          <cell r="E3459" t="str">
            <v>HGC-Lib-2454968</v>
          </cell>
          <cell r="F3459" t="str">
            <v>D24040730</v>
          </cell>
          <cell r="G3459" t="str">
            <v>2G</v>
          </cell>
          <cell r="H3459" t="str">
            <v>重测序</v>
          </cell>
          <cell r="I3459" t="str">
            <v>WWH</v>
          </cell>
          <cell r="J3459">
            <v>43.36</v>
          </cell>
          <cell r="N3459" t="e">
            <v>#DIV/0!</v>
          </cell>
        </row>
        <row r="3460">
          <cell r="E3460" t="str">
            <v>HGC-Lib-2454969</v>
          </cell>
          <cell r="F3460" t="str">
            <v>D24040731</v>
          </cell>
          <cell r="G3460" t="str">
            <v>2G</v>
          </cell>
          <cell r="H3460" t="str">
            <v>重测序</v>
          </cell>
          <cell r="I3460" t="str">
            <v>WWH</v>
          </cell>
          <cell r="J3460">
            <v>62.36</v>
          </cell>
          <cell r="N3460" t="e">
            <v>#DIV/0!</v>
          </cell>
        </row>
        <row r="3461">
          <cell r="E3461" t="str">
            <v>HGC-Lib-2454970</v>
          </cell>
          <cell r="F3461" t="str">
            <v>D24040732</v>
          </cell>
          <cell r="G3461" t="str">
            <v>2G</v>
          </cell>
          <cell r="H3461" t="str">
            <v>重测序</v>
          </cell>
          <cell r="I3461" t="str">
            <v>WWH</v>
          </cell>
          <cell r="J3461">
            <v>42.44</v>
          </cell>
          <cell r="N3461" t="e">
            <v>#DIV/0!</v>
          </cell>
        </row>
        <row r="3462">
          <cell r="E3462" t="str">
            <v>HGC-Lib-2454971</v>
          </cell>
          <cell r="F3462" t="str">
            <v>D24040733</v>
          </cell>
          <cell r="G3462" t="str">
            <v>2G</v>
          </cell>
          <cell r="H3462" t="str">
            <v>重测序</v>
          </cell>
          <cell r="I3462" t="str">
            <v>WWH</v>
          </cell>
          <cell r="J3462">
            <v>30.48</v>
          </cell>
          <cell r="N3462" t="e">
            <v>#DIV/0!</v>
          </cell>
        </row>
        <row r="3463">
          <cell r="E3463" t="str">
            <v>HGC-Lib-2454972</v>
          </cell>
          <cell r="F3463" t="str">
            <v>D24040734</v>
          </cell>
          <cell r="G3463" t="str">
            <v>2G</v>
          </cell>
          <cell r="H3463" t="str">
            <v>重测序</v>
          </cell>
          <cell r="I3463" t="str">
            <v>WWH</v>
          </cell>
          <cell r="J3463">
            <v>78.83</v>
          </cell>
          <cell r="N3463" t="e">
            <v>#DIV/0!</v>
          </cell>
        </row>
        <row r="3464">
          <cell r="E3464" t="str">
            <v>HGC-Lib-2454973</v>
          </cell>
          <cell r="F3464" t="str">
            <v>D24040735</v>
          </cell>
          <cell r="G3464" t="str">
            <v>2G</v>
          </cell>
          <cell r="H3464" t="str">
            <v>重测序</v>
          </cell>
          <cell r="I3464" t="str">
            <v>WWH</v>
          </cell>
          <cell r="J3464">
            <v>45.94</v>
          </cell>
          <cell r="N3464" t="e">
            <v>#DIV/0!</v>
          </cell>
        </row>
        <row r="3465">
          <cell r="E3465" t="str">
            <v>HGC-Lib-2454974</v>
          </cell>
          <cell r="F3465" t="str">
            <v>D24040736</v>
          </cell>
          <cell r="G3465" t="str">
            <v>2G</v>
          </cell>
          <cell r="H3465" t="str">
            <v>重测序</v>
          </cell>
          <cell r="I3465" t="str">
            <v>WWH</v>
          </cell>
          <cell r="J3465">
            <v>48.82</v>
          </cell>
          <cell r="N3465" t="e">
            <v>#DIV/0!</v>
          </cell>
        </row>
        <row r="3466">
          <cell r="E3466" t="str">
            <v>HGC-Lib-2454975</v>
          </cell>
          <cell r="F3466" t="str">
            <v>D24040737</v>
          </cell>
          <cell r="G3466" t="str">
            <v>2G</v>
          </cell>
          <cell r="H3466" t="str">
            <v>重测序</v>
          </cell>
          <cell r="I3466" t="str">
            <v>WWH</v>
          </cell>
          <cell r="J3466">
            <v>53.47</v>
          </cell>
          <cell r="N3466" t="e">
            <v>#DIV/0!</v>
          </cell>
        </row>
        <row r="3467">
          <cell r="E3467" t="str">
            <v>HGC-Lib-2454976</v>
          </cell>
          <cell r="F3467" t="str">
            <v>D24040738</v>
          </cell>
          <cell r="G3467" t="str">
            <v>2G</v>
          </cell>
          <cell r="H3467" t="str">
            <v>重测序</v>
          </cell>
          <cell r="I3467" t="str">
            <v>WWH</v>
          </cell>
          <cell r="J3467">
            <v>77.03</v>
          </cell>
          <cell r="N3467" t="e">
            <v>#DIV/0!</v>
          </cell>
        </row>
        <row r="3468">
          <cell r="E3468" t="str">
            <v>HGC-Lib-2454977</v>
          </cell>
          <cell r="F3468" t="str">
            <v>D24050095</v>
          </cell>
          <cell r="G3468" t="str">
            <v>2G</v>
          </cell>
          <cell r="H3468" t="str">
            <v>重测序</v>
          </cell>
          <cell r="I3468" t="str">
            <v>WWH</v>
          </cell>
          <cell r="J3468">
            <v>58.93</v>
          </cell>
          <cell r="N3468" t="e">
            <v>#DIV/0!</v>
          </cell>
        </row>
        <row r="3469">
          <cell r="E3469" t="str">
            <v>HGC-Lib-2454978</v>
          </cell>
          <cell r="F3469" t="str">
            <v>D24050096</v>
          </cell>
          <cell r="G3469" t="str">
            <v>2G</v>
          </cell>
          <cell r="H3469" t="str">
            <v>重测序</v>
          </cell>
          <cell r="I3469" t="str">
            <v>WWH</v>
          </cell>
          <cell r="J3469">
            <v>57.14</v>
          </cell>
          <cell r="N3469" t="e">
            <v>#DIV/0!</v>
          </cell>
        </row>
        <row r="3470">
          <cell r="E3470" t="str">
            <v>HGC-Lib-2454979</v>
          </cell>
          <cell r="F3470" t="str">
            <v>D24050097</v>
          </cell>
          <cell r="G3470" t="str">
            <v>2G</v>
          </cell>
          <cell r="H3470" t="str">
            <v>重测序</v>
          </cell>
          <cell r="I3470" t="str">
            <v>WWH</v>
          </cell>
          <cell r="J3470">
            <v>56.91</v>
          </cell>
          <cell r="N3470" t="e">
            <v>#DIV/0!</v>
          </cell>
        </row>
        <row r="3471">
          <cell r="E3471" t="str">
            <v>HGC-Lib-2454980</v>
          </cell>
          <cell r="F3471" t="str">
            <v>D24050098</v>
          </cell>
          <cell r="G3471" t="str">
            <v>2G</v>
          </cell>
          <cell r="H3471" t="str">
            <v>重测序</v>
          </cell>
          <cell r="I3471" t="str">
            <v>WWH</v>
          </cell>
          <cell r="J3471">
            <v>59.53</v>
          </cell>
          <cell r="N3471" t="e">
            <v>#DIV/0!</v>
          </cell>
        </row>
        <row r="3472">
          <cell r="E3472" t="str">
            <v>HGC-Lib-2454981</v>
          </cell>
          <cell r="F3472" t="str">
            <v>D24050099</v>
          </cell>
          <cell r="G3472" t="str">
            <v>2G</v>
          </cell>
          <cell r="H3472" t="str">
            <v>重测序</v>
          </cell>
          <cell r="I3472" t="str">
            <v>WWH</v>
          </cell>
          <cell r="J3472">
            <v>58.46</v>
          </cell>
          <cell r="N3472" t="e">
            <v>#DIV/0!</v>
          </cell>
        </row>
        <row r="3473">
          <cell r="E3473" t="str">
            <v>HGC-Lib-2454982</v>
          </cell>
          <cell r="F3473" t="str">
            <v>D24050100</v>
          </cell>
          <cell r="G3473" t="str">
            <v>2G</v>
          </cell>
          <cell r="H3473" t="str">
            <v>重测序</v>
          </cell>
          <cell r="I3473" t="str">
            <v>WWH</v>
          </cell>
          <cell r="J3473">
            <v>44.17</v>
          </cell>
          <cell r="N3473" t="e">
            <v>#DIV/0!</v>
          </cell>
        </row>
        <row r="3474">
          <cell r="E3474" t="str">
            <v>HGC-Lib-2454983</v>
          </cell>
          <cell r="F3474" t="str">
            <v>D24050101</v>
          </cell>
          <cell r="G3474" t="str">
            <v>2G</v>
          </cell>
          <cell r="H3474" t="str">
            <v>重测序</v>
          </cell>
          <cell r="I3474" t="str">
            <v>WWH</v>
          </cell>
          <cell r="J3474">
            <v>55.4</v>
          </cell>
          <cell r="N3474" t="e">
            <v>#DIV/0!</v>
          </cell>
        </row>
        <row r="3475">
          <cell r="E3475" t="str">
            <v>HGC-Lib-2454984</v>
          </cell>
          <cell r="F3475" t="str">
            <v>D24050102</v>
          </cell>
          <cell r="G3475" t="str">
            <v>2G</v>
          </cell>
          <cell r="H3475" t="str">
            <v>重测序</v>
          </cell>
          <cell r="I3475" t="str">
            <v>WWH</v>
          </cell>
          <cell r="J3475">
            <v>46.1</v>
          </cell>
          <cell r="N3475" t="e">
            <v>#DIV/0!</v>
          </cell>
        </row>
        <row r="3476">
          <cell r="E3476" t="str">
            <v>HGC-Lib-2454985</v>
          </cell>
          <cell r="F3476" t="str">
            <v>D24050103</v>
          </cell>
          <cell r="G3476" t="str">
            <v>2G</v>
          </cell>
          <cell r="H3476" t="str">
            <v>重测序</v>
          </cell>
          <cell r="I3476" t="str">
            <v>WWH</v>
          </cell>
          <cell r="J3476">
            <v>55.11</v>
          </cell>
          <cell r="N3476" t="e">
            <v>#DIV/0!</v>
          </cell>
        </row>
        <row r="3477">
          <cell r="E3477" t="str">
            <v>HGC-Lib-2454986</v>
          </cell>
          <cell r="F3477" t="str">
            <v>D24050104</v>
          </cell>
          <cell r="G3477" t="str">
            <v>2G</v>
          </cell>
          <cell r="H3477" t="str">
            <v>重测序</v>
          </cell>
          <cell r="I3477" t="str">
            <v>WWH</v>
          </cell>
          <cell r="J3477">
            <v>35.36</v>
          </cell>
          <cell r="N3477" t="e">
            <v>#DIV/0!</v>
          </cell>
        </row>
        <row r="3478">
          <cell r="E3478" t="str">
            <v>HGC-Lib-2454987</v>
          </cell>
          <cell r="F3478" t="str">
            <v>D24050472</v>
          </cell>
          <cell r="G3478" t="str">
            <v>2G</v>
          </cell>
          <cell r="H3478" t="str">
            <v>重测序</v>
          </cell>
          <cell r="I3478" t="str">
            <v>WWH</v>
          </cell>
          <cell r="J3478">
            <v>48.66</v>
          </cell>
          <cell r="N3478" t="e">
            <v>#DIV/0!</v>
          </cell>
        </row>
        <row r="3479">
          <cell r="E3479" t="str">
            <v>HGC-Lib-2454988</v>
          </cell>
          <cell r="F3479" t="str">
            <v>D24050473</v>
          </cell>
          <cell r="G3479" t="str">
            <v>2G</v>
          </cell>
          <cell r="H3479" t="str">
            <v>重测序</v>
          </cell>
          <cell r="I3479" t="str">
            <v>WWH</v>
          </cell>
          <cell r="J3479">
            <v>34.619999999999997</v>
          </cell>
          <cell r="N3479" t="e">
            <v>#DIV/0!</v>
          </cell>
        </row>
        <row r="3480">
          <cell r="E3480" t="str">
            <v>HGC-Lib-2454989</v>
          </cell>
          <cell r="F3480" t="str">
            <v>D24050474</v>
          </cell>
          <cell r="G3480" t="str">
            <v>2G</v>
          </cell>
          <cell r="H3480" t="str">
            <v>重测序</v>
          </cell>
          <cell r="I3480" t="str">
            <v>WWH</v>
          </cell>
          <cell r="J3480">
            <v>58.97</v>
          </cell>
          <cell r="N3480" t="e">
            <v>#DIV/0!</v>
          </cell>
        </row>
        <row r="3481">
          <cell r="E3481" t="str">
            <v>HGC-Lib-2454990</v>
          </cell>
          <cell r="F3481" t="str">
            <v>D24050475</v>
          </cell>
          <cell r="G3481" t="str">
            <v>2G</v>
          </cell>
          <cell r="H3481" t="str">
            <v>重测序</v>
          </cell>
          <cell r="I3481" t="str">
            <v>WWH</v>
          </cell>
          <cell r="J3481">
            <v>42.03</v>
          </cell>
          <cell r="N3481" t="e">
            <v>#DIV/0!</v>
          </cell>
        </row>
        <row r="3482">
          <cell r="E3482" t="str">
            <v>HGC-Lib-2454991</v>
          </cell>
          <cell r="F3482" t="str">
            <v>D24050476</v>
          </cell>
          <cell r="G3482" t="str">
            <v>2G</v>
          </cell>
          <cell r="H3482" t="str">
            <v>重测序</v>
          </cell>
          <cell r="I3482" t="str">
            <v>WWH</v>
          </cell>
          <cell r="J3482">
            <v>42.75</v>
          </cell>
          <cell r="N3482" t="e">
            <v>#DIV/0!</v>
          </cell>
        </row>
        <row r="3483">
          <cell r="E3483" t="str">
            <v>HGC-Lib-2454992</v>
          </cell>
          <cell r="F3483" t="str">
            <v>D24050477</v>
          </cell>
          <cell r="G3483" t="str">
            <v>2G</v>
          </cell>
          <cell r="H3483" t="str">
            <v>重测序</v>
          </cell>
          <cell r="I3483" t="str">
            <v>WWH</v>
          </cell>
          <cell r="J3483">
            <v>21.79</v>
          </cell>
          <cell r="N3483" t="e">
            <v>#DIV/0!</v>
          </cell>
        </row>
        <row r="3484">
          <cell r="E3484" t="str">
            <v>HGC-Lib-2454993</v>
          </cell>
          <cell r="F3484" t="str">
            <v>D24050478</v>
          </cell>
          <cell r="G3484" t="str">
            <v>2G</v>
          </cell>
          <cell r="H3484" t="str">
            <v>重测序</v>
          </cell>
          <cell r="I3484" t="str">
            <v>WWH</v>
          </cell>
          <cell r="J3484">
            <v>22.57</v>
          </cell>
          <cell r="N3484" t="e">
            <v>#DIV/0!</v>
          </cell>
        </row>
        <row r="3485">
          <cell r="E3485" t="str">
            <v>HGC-Lib-2454994</v>
          </cell>
          <cell r="F3485" t="str">
            <v>D24050479</v>
          </cell>
          <cell r="G3485" t="str">
            <v>2G</v>
          </cell>
          <cell r="H3485" t="str">
            <v>重测序</v>
          </cell>
          <cell r="I3485" t="str">
            <v>WWH</v>
          </cell>
          <cell r="J3485">
            <v>53.82</v>
          </cell>
          <cell r="N3485" t="e">
            <v>#DIV/0!</v>
          </cell>
        </row>
        <row r="3486">
          <cell r="E3486" t="str">
            <v>HGC-Lib-2454995</v>
          </cell>
          <cell r="F3486" t="str">
            <v>D24050480</v>
          </cell>
          <cell r="G3486" t="str">
            <v>2G</v>
          </cell>
          <cell r="H3486" t="str">
            <v>重测序</v>
          </cell>
          <cell r="I3486" t="str">
            <v>WWH</v>
          </cell>
          <cell r="J3486">
            <v>40.479999999999997</v>
          </cell>
          <cell r="N3486" t="e">
            <v>#DIV/0!</v>
          </cell>
        </row>
        <row r="3487">
          <cell r="E3487" t="str">
            <v>HGC-Lib-2454996</v>
          </cell>
          <cell r="F3487" t="str">
            <v>D24050481</v>
          </cell>
          <cell r="G3487" t="str">
            <v>2G</v>
          </cell>
          <cell r="H3487" t="str">
            <v>重测序</v>
          </cell>
          <cell r="I3487" t="str">
            <v>WWH</v>
          </cell>
          <cell r="J3487">
            <v>41.04</v>
          </cell>
          <cell r="N3487" t="e">
            <v>#DIV/0!</v>
          </cell>
        </row>
        <row r="3488">
          <cell r="E3488" t="str">
            <v>HGC-Lib-2454997</v>
          </cell>
          <cell r="F3488" t="str">
            <v>D24061066</v>
          </cell>
          <cell r="G3488" t="str">
            <v>2G</v>
          </cell>
          <cell r="H3488" t="str">
            <v>重测序</v>
          </cell>
          <cell r="I3488" t="str">
            <v>WWH</v>
          </cell>
          <cell r="J3488">
            <v>34.840000000000003</v>
          </cell>
          <cell r="N3488" t="e">
            <v>#DIV/0!</v>
          </cell>
        </row>
        <row r="3489">
          <cell r="E3489" t="str">
            <v>HGC-Lib-2454998</v>
          </cell>
          <cell r="F3489" t="str">
            <v>D24061067</v>
          </cell>
          <cell r="G3489" t="str">
            <v>2G</v>
          </cell>
          <cell r="H3489" t="str">
            <v>重测序</v>
          </cell>
          <cell r="I3489" t="str">
            <v>WWH</v>
          </cell>
          <cell r="J3489">
            <v>39.46</v>
          </cell>
          <cell r="N3489" t="e">
            <v>#DIV/0!</v>
          </cell>
        </row>
        <row r="3490">
          <cell r="E3490" t="str">
            <v>HGC-Lib-2454999</v>
          </cell>
          <cell r="F3490" t="str">
            <v>D24061068</v>
          </cell>
          <cell r="G3490" t="str">
            <v>2G</v>
          </cell>
          <cell r="H3490" t="str">
            <v>重测序</v>
          </cell>
          <cell r="I3490" t="str">
            <v>WWH</v>
          </cell>
          <cell r="J3490">
            <v>39.47</v>
          </cell>
          <cell r="N3490" t="e">
            <v>#DIV/0!</v>
          </cell>
        </row>
        <row r="3491">
          <cell r="E3491" t="str">
            <v>HGC-Lib-2455000</v>
          </cell>
          <cell r="F3491" t="str">
            <v>D24061069</v>
          </cell>
          <cell r="G3491" t="str">
            <v>2G</v>
          </cell>
          <cell r="H3491" t="str">
            <v>重测序</v>
          </cell>
          <cell r="I3491" t="str">
            <v>WWH</v>
          </cell>
          <cell r="J3491">
            <v>43.01</v>
          </cell>
          <cell r="N3491" t="e">
            <v>#DIV/0!</v>
          </cell>
        </row>
        <row r="3492">
          <cell r="E3492" t="str">
            <v>HGC-Lib-2455001</v>
          </cell>
          <cell r="F3492" t="str">
            <v>D24061070</v>
          </cell>
          <cell r="G3492" t="str">
            <v>2G</v>
          </cell>
          <cell r="H3492" t="str">
            <v>重测序</v>
          </cell>
          <cell r="I3492" t="str">
            <v>WWH</v>
          </cell>
          <cell r="J3492">
            <v>32.89</v>
          </cell>
          <cell r="N3492" t="e">
            <v>#DIV/0!</v>
          </cell>
        </row>
        <row r="3493">
          <cell r="E3493" t="str">
            <v>HGC-Lib-2455002</v>
          </cell>
          <cell r="F3493" t="str">
            <v>D24061071</v>
          </cell>
          <cell r="G3493" t="str">
            <v>2G</v>
          </cell>
          <cell r="H3493" t="str">
            <v>重测序</v>
          </cell>
          <cell r="I3493" t="str">
            <v>WWH</v>
          </cell>
          <cell r="J3493">
            <v>25</v>
          </cell>
          <cell r="N3493" t="e">
            <v>#DIV/0!</v>
          </cell>
        </row>
        <row r="3494">
          <cell r="E3494" t="str">
            <v>HGC-Lib-2455003</v>
          </cell>
          <cell r="F3494" t="str">
            <v>D24061072</v>
          </cell>
          <cell r="G3494" t="str">
            <v>2G</v>
          </cell>
          <cell r="H3494" t="str">
            <v>重测序</v>
          </cell>
          <cell r="I3494" t="str">
            <v>WWH</v>
          </cell>
          <cell r="J3494">
            <v>36.409999999999997</v>
          </cell>
          <cell r="N3494" t="e">
            <v>#DIV/0!</v>
          </cell>
        </row>
        <row r="3495">
          <cell r="E3495" t="str">
            <v>HGC-Lib-2455004</v>
          </cell>
          <cell r="F3495" t="str">
            <v>D24061073</v>
          </cell>
          <cell r="G3495" t="str">
            <v>2G</v>
          </cell>
          <cell r="H3495" t="str">
            <v>重测序</v>
          </cell>
          <cell r="I3495" t="str">
            <v>WWH</v>
          </cell>
          <cell r="J3495">
            <v>16.64</v>
          </cell>
          <cell r="N3495" t="e">
            <v>#DIV/0!</v>
          </cell>
        </row>
        <row r="3496">
          <cell r="E3496" t="str">
            <v>HGC-Lib-2455005</v>
          </cell>
          <cell r="F3496" t="str">
            <v>D24061074</v>
          </cell>
          <cell r="G3496" t="str">
            <v>2G</v>
          </cell>
          <cell r="H3496" t="str">
            <v>重测序</v>
          </cell>
          <cell r="I3496" t="str">
            <v>WWH</v>
          </cell>
          <cell r="J3496">
            <v>49.72</v>
          </cell>
          <cell r="N3496" t="e">
            <v>#DIV/0!</v>
          </cell>
        </row>
        <row r="3497">
          <cell r="E3497" t="str">
            <v>HGC-Lib-2455006</v>
          </cell>
          <cell r="F3497" t="str">
            <v>D24061075</v>
          </cell>
          <cell r="G3497" t="str">
            <v>2G</v>
          </cell>
          <cell r="H3497" t="str">
            <v>重测序</v>
          </cell>
          <cell r="I3497" t="str">
            <v>WWH</v>
          </cell>
          <cell r="J3497">
            <v>46.29</v>
          </cell>
          <cell r="N3497" t="e">
            <v>#DIV/0!</v>
          </cell>
        </row>
        <row r="3498">
          <cell r="E3498" t="str">
            <v>HGC-Lib-2455007</v>
          </cell>
          <cell r="F3498" t="str">
            <v>D24050445</v>
          </cell>
          <cell r="G3498" t="str">
            <v>9G</v>
          </cell>
          <cell r="H3498" t="str">
            <v>宏基因组</v>
          </cell>
          <cell r="I3498" t="str">
            <v>YHT</v>
          </cell>
          <cell r="J3498">
            <v>8.44</v>
          </cell>
          <cell r="N3498" t="e">
            <v>#DIV/0!</v>
          </cell>
        </row>
        <row r="3499">
          <cell r="E3499" t="str">
            <v>HGC-Lib-2455008</v>
          </cell>
          <cell r="F3499" t="str">
            <v>D24050446</v>
          </cell>
          <cell r="G3499" t="str">
            <v>9G</v>
          </cell>
          <cell r="H3499" t="str">
            <v>宏基因组</v>
          </cell>
          <cell r="I3499" t="str">
            <v>YHT</v>
          </cell>
          <cell r="J3499">
            <v>12.5</v>
          </cell>
          <cell r="N3499" t="e">
            <v>#DIV/0!</v>
          </cell>
        </row>
        <row r="3500">
          <cell r="E3500" t="str">
            <v>HGC-Lib-2455009</v>
          </cell>
          <cell r="F3500" t="str">
            <v>D24050447</v>
          </cell>
          <cell r="G3500" t="str">
            <v>9G</v>
          </cell>
          <cell r="H3500" t="str">
            <v>宏基因组</v>
          </cell>
          <cell r="I3500" t="str">
            <v>YHT</v>
          </cell>
          <cell r="J3500">
            <v>11.2</v>
          </cell>
          <cell r="N3500" t="e">
            <v>#DIV/0!</v>
          </cell>
        </row>
        <row r="3501">
          <cell r="E3501" t="str">
            <v>HGC-Lib-2455010</v>
          </cell>
          <cell r="F3501" t="str">
            <v>D24050448</v>
          </cell>
          <cell r="G3501" t="str">
            <v>9G</v>
          </cell>
          <cell r="H3501" t="str">
            <v>宏基因组</v>
          </cell>
          <cell r="I3501" t="str">
            <v>YHT</v>
          </cell>
          <cell r="J3501">
            <v>11.8</v>
          </cell>
          <cell r="N3501" t="e">
            <v>#DIV/0!</v>
          </cell>
        </row>
        <row r="3502">
          <cell r="E3502" t="str">
            <v>HGC-Lib-2455011</v>
          </cell>
          <cell r="F3502" t="str">
            <v>D24050449</v>
          </cell>
          <cell r="G3502" t="str">
            <v>9G</v>
          </cell>
          <cell r="H3502" t="str">
            <v>宏基因组</v>
          </cell>
          <cell r="I3502" t="str">
            <v>YHT</v>
          </cell>
          <cell r="J3502">
            <v>9.86</v>
          </cell>
          <cell r="N3502" t="e">
            <v>#DIV/0!</v>
          </cell>
        </row>
        <row r="3503">
          <cell r="E3503" t="str">
            <v>HGC-Lib-2455012</v>
          </cell>
          <cell r="F3503" t="str">
            <v>D24050450</v>
          </cell>
          <cell r="G3503" t="str">
            <v>9G</v>
          </cell>
          <cell r="H3503" t="str">
            <v>宏基因组</v>
          </cell>
          <cell r="I3503" t="str">
            <v>YHT</v>
          </cell>
          <cell r="J3503">
            <v>11.5</v>
          </cell>
          <cell r="N3503" t="e">
            <v>#DIV/0!</v>
          </cell>
        </row>
        <row r="3504">
          <cell r="E3504" t="str">
            <v>HGC-Lib-2455013</v>
          </cell>
          <cell r="F3504" t="str">
            <v>D24060925</v>
          </cell>
          <cell r="G3504" t="str">
            <v>9G</v>
          </cell>
          <cell r="H3504" t="str">
            <v>宏基因组</v>
          </cell>
          <cell r="I3504" t="str">
            <v>YHT</v>
          </cell>
          <cell r="J3504">
            <v>9.98</v>
          </cell>
          <cell r="N3504" t="e">
            <v>#DIV/0!</v>
          </cell>
        </row>
        <row r="3505">
          <cell r="E3505" t="str">
            <v>HGC-Lib-2455014</v>
          </cell>
          <cell r="F3505" t="str">
            <v>D24060926</v>
          </cell>
          <cell r="G3505" t="str">
            <v>9G</v>
          </cell>
          <cell r="H3505" t="str">
            <v>宏基因组</v>
          </cell>
          <cell r="I3505" t="str">
            <v>YHT</v>
          </cell>
          <cell r="J3505">
            <v>10.8</v>
          </cell>
          <cell r="N3505" t="e">
            <v>#DIV/0!</v>
          </cell>
        </row>
        <row r="3506">
          <cell r="E3506" t="str">
            <v>HGC-Lib-2455015</v>
          </cell>
          <cell r="F3506" t="str">
            <v>D24060927</v>
          </cell>
          <cell r="G3506" t="str">
            <v>9G</v>
          </cell>
          <cell r="H3506" t="str">
            <v>宏基因组</v>
          </cell>
          <cell r="I3506" t="str">
            <v>YHT</v>
          </cell>
          <cell r="J3506">
            <v>10.9</v>
          </cell>
          <cell r="N3506" t="e">
            <v>#DIV/0!</v>
          </cell>
        </row>
        <row r="3507">
          <cell r="E3507" t="str">
            <v>HGC-Lib-2455117</v>
          </cell>
          <cell r="F3507" t="str">
            <v>T828-1</v>
          </cell>
          <cell r="G3507">
            <v>6</v>
          </cell>
          <cell r="H3507" t="str">
            <v>mRNA文库</v>
          </cell>
          <cell r="I3507" t="str">
            <v>YHT</v>
          </cell>
          <cell r="J3507">
            <v>60.6</v>
          </cell>
          <cell r="N3507" t="e">
            <v>#DIV/0!</v>
          </cell>
        </row>
        <row r="3508">
          <cell r="E3508" t="str">
            <v>HGC-Lib-2455118</v>
          </cell>
          <cell r="F3508" t="str">
            <v>T828-2</v>
          </cell>
          <cell r="G3508">
            <v>6</v>
          </cell>
          <cell r="H3508" t="str">
            <v>mRNA文库</v>
          </cell>
          <cell r="I3508" t="str">
            <v>YHT</v>
          </cell>
          <cell r="J3508">
            <v>51</v>
          </cell>
          <cell r="N3508" t="e">
            <v>#DIV/0!</v>
          </cell>
        </row>
        <row r="3509">
          <cell r="E3509" t="str">
            <v>HGC-Lib-2455119</v>
          </cell>
          <cell r="F3509" t="str">
            <v>T828-3</v>
          </cell>
          <cell r="G3509">
            <v>6</v>
          </cell>
          <cell r="H3509" t="str">
            <v>mRNA文库</v>
          </cell>
          <cell r="I3509" t="str">
            <v>YHT</v>
          </cell>
          <cell r="J3509">
            <v>49.2</v>
          </cell>
          <cell r="N3509" t="e">
            <v>#DIV/0!</v>
          </cell>
        </row>
        <row r="3510">
          <cell r="E3510" t="str">
            <v>HGC-Lib-2455120</v>
          </cell>
          <cell r="F3510" t="str">
            <v>T828-4</v>
          </cell>
          <cell r="G3510">
            <v>6</v>
          </cell>
          <cell r="H3510" t="str">
            <v>mRNA文库</v>
          </cell>
          <cell r="I3510" t="str">
            <v>YHT</v>
          </cell>
          <cell r="J3510">
            <v>64.599999999999994</v>
          </cell>
          <cell r="N3510" t="e">
            <v>#DIV/0!</v>
          </cell>
        </row>
        <row r="3511">
          <cell r="E3511" t="str">
            <v>HGC-Lib-2455121</v>
          </cell>
          <cell r="F3511" t="str">
            <v>T828-5</v>
          </cell>
          <cell r="G3511">
            <v>6</v>
          </cell>
          <cell r="H3511" t="str">
            <v>mRNA文库</v>
          </cell>
          <cell r="I3511" t="str">
            <v>YHT</v>
          </cell>
          <cell r="J3511">
            <v>23.4</v>
          </cell>
          <cell r="N3511" t="e">
            <v>#DIV/0!</v>
          </cell>
        </row>
        <row r="3512">
          <cell r="E3512" t="str">
            <v>HGC-Lib-2455122</v>
          </cell>
          <cell r="F3512" t="str">
            <v>T828-6</v>
          </cell>
          <cell r="G3512">
            <v>6</v>
          </cell>
          <cell r="H3512" t="str">
            <v>mRNA文库</v>
          </cell>
          <cell r="I3512" t="str">
            <v>YHT</v>
          </cell>
          <cell r="J3512">
            <v>63.8</v>
          </cell>
          <cell r="N3512" t="e">
            <v>#DIV/0!</v>
          </cell>
        </row>
        <row r="3513">
          <cell r="E3513" t="str">
            <v>HGC-Lib-2455123</v>
          </cell>
          <cell r="F3513" t="str">
            <v>T835-1</v>
          </cell>
          <cell r="G3513">
            <v>6</v>
          </cell>
          <cell r="H3513" t="str">
            <v>mRNA文库</v>
          </cell>
          <cell r="I3513" t="str">
            <v>YHT</v>
          </cell>
          <cell r="J3513">
            <v>43.2</v>
          </cell>
          <cell r="N3513" t="e">
            <v>#DIV/0!</v>
          </cell>
        </row>
        <row r="3514">
          <cell r="E3514" t="str">
            <v>HGC-Lib-2455124</v>
          </cell>
          <cell r="F3514" t="str">
            <v>T835-2</v>
          </cell>
          <cell r="G3514">
            <v>6</v>
          </cell>
          <cell r="H3514" t="str">
            <v>mRNA文库</v>
          </cell>
          <cell r="I3514" t="str">
            <v>YHT</v>
          </cell>
          <cell r="J3514">
            <v>27.6</v>
          </cell>
          <cell r="N3514" t="e">
            <v>#DIV/0!</v>
          </cell>
        </row>
        <row r="3515">
          <cell r="E3515" t="str">
            <v>HGC-Lib-2455125</v>
          </cell>
          <cell r="F3515" t="str">
            <v>T835-3</v>
          </cell>
          <cell r="G3515">
            <v>6</v>
          </cell>
          <cell r="H3515" t="str">
            <v>mRNA文库</v>
          </cell>
          <cell r="I3515" t="str">
            <v>YHT</v>
          </cell>
          <cell r="J3515">
            <v>40.6</v>
          </cell>
          <cell r="N3515" t="e">
            <v>#DIV/0!</v>
          </cell>
        </row>
        <row r="3516">
          <cell r="E3516" t="str">
            <v>HGC-Lib-2455126</v>
          </cell>
          <cell r="F3516" t="str">
            <v>T835-4</v>
          </cell>
          <cell r="G3516">
            <v>6</v>
          </cell>
          <cell r="H3516" t="str">
            <v>mRNA文库</v>
          </cell>
          <cell r="I3516" t="str">
            <v>YHT</v>
          </cell>
          <cell r="J3516">
            <v>21.6</v>
          </cell>
          <cell r="N3516" t="e">
            <v>#DIV/0!</v>
          </cell>
        </row>
        <row r="3517">
          <cell r="E3517" t="str">
            <v>HGC-Lib-2455127</v>
          </cell>
          <cell r="F3517" t="str">
            <v>T835-5</v>
          </cell>
          <cell r="G3517">
            <v>6</v>
          </cell>
          <cell r="H3517" t="str">
            <v>mRNA文库</v>
          </cell>
          <cell r="I3517" t="str">
            <v>YHT</v>
          </cell>
          <cell r="J3517">
            <v>26.2</v>
          </cell>
          <cell r="N3517" t="e">
            <v>#DIV/0!</v>
          </cell>
        </row>
        <row r="3518">
          <cell r="E3518" t="str">
            <v>HGC-Lib-2455128</v>
          </cell>
          <cell r="F3518" t="str">
            <v>T835-6</v>
          </cell>
          <cell r="G3518">
            <v>6</v>
          </cell>
          <cell r="H3518" t="str">
            <v>mRNA文库</v>
          </cell>
          <cell r="I3518" t="str">
            <v>YHT</v>
          </cell>
          <cell r="J3518">
            <v>25</v>
          </cell>
          <cell r="N3518" t="e">
            <v>#DIV/0!</v>
          </cell>
        </row>
        <row r="3519">
          <cell r="E3519" t="str">
            <v>HGC-Lib-2455129</v>
          </cell>
          <cell r="F3519" t="str">
            <v>T835-7</v>
          </cell>
          <cell r="G3519">
            <v>6</v>
          </cell>
          <cell r="H3519" t="str">
            <v>mRNA文库</v>
          </cell>
          <cell r="I3519" t="str">
            <v>YHT</v>
          </cell>
          <cell r="J3519">
            <v>15.3</v>
          </cell>
          <cell r="N3519" t="e">
            <v>#DIV/0!</v>
          </cell>
        </row>
        <row r="3520">
          <cell r="E3520" t="str">
            <v>HGC-Lib-2455130</v>
          </cell>
          <cell r="F3520" t="str">
            <v>T835-8</v>
          </cell>
          <cell r="G3520">
            <v>6</v>
          </cell>
          <cell r="H3520" t="str">
            <v>mRNA文库</v>
          </cell>
          <cell r="I3520" t="str">
            <v>YHT</v>
          </cell>
          <cell r="J3520">
            <v>32.6</v>
          </cell>
          <cell r="N3520" t="e">
            <v>#DIV/0!</v>
          </cell>
        </row>
        <row r="3521">
          <cell r="E3521" t="str">
            <v>HGC-Lib-2455131</v>
          </cell>
          <cell r="F3521" t="str">
            <v>T835-9</v>
          </cell>
          <cell r="G3521">
            <v>6</v>
          </cell>
          <cell r="H3521" t="str">
            <v>mRNA文库</v>
          </cell>
          <cell r="I3521" t="str">
            <v>YHT</v>
          </cell>
          <cell r="J3521">
            <v>23.6</v>
          </cell>
          <cell r="N3521" t="e">
            <v>#DIV/0!</v>
          </cell>
        </row>
        <row r="3522">
          <cell r="E3522" t="str">
            <v>HGC-Lib-2455132</v>
          </cell>
          <cell r="F3522" t="str">
            <v>T835-10</v>
          </cell>
          <cell r="G3522">
            <v>6</v>
          </cell>
          <cell r="H3522" t="str">
            <v>mRNA文库</v>
          </cell>
          <cell r="I3522" t="str">
            <v>YHT</v>
          </cell>
          <cell r="J3522">
            <v>27.6</v>
          </cell>
          <cell r="N3522" t="e">
            <v>#DIV/0!</v>
          </cell>
        </row>
        <row r="3523">
          <cell r="E3523" t="str">
            <v>HGC-Lib-2455133</v>
          </cell>
          <cell r="F3523" t="str">
            <v>T835-11</v>
          </cell>
          <cell r="G3523">
            <v>6</v>
          </cell>
          <cell r="H3523" t="str">
            <v>mRNA文库</v>
          </cell>
          <cell r="I3523" t="str">
            <v>YHT</v>
          </cell>
          <cell r="J3523">
            <v>29.4</v>
          </cell>
          <cell r="N3523" t="e">
            <v>#DIV/0!</v>
          </cell>
        </row>
        <row r="3524">
          <cell r="E3524" t="str">
            <v>HGC-Lib-2455134</v>
          </cell>
          <cell r="F3524" t="str">
            <v>T835-12</v>
          </cell>
          <cell r="G3524">
            <v>6</v>
          </cell>
          <cell r="H3524" t="str">
            <v>mRNA文库</v>
          </cell>
          <cell r="I3524" t="str">
            <v>YHT</v>
          </cell>
          <cell r="J3524">
            <v>20.8</v>
          </cell>
          <cell r="N3524" t="e">
            <v>#DIV/0!</v>
          </cell>
        </row>
        <row r="3525">
          <cell r="E3525" t="str">
            <v>HGC-Lib-2455135</v>
          </cell>
          <cell r="F3525" t="str">
            <v>T797-1</v>
          </cell>
          <cell r="G3525">
            <v>6</v>
          </cell>
          <cell r="H3525" t="str">
            <v>mRNA文库</v>
          </cell>
          <cell r="I3525" t="str">
            <v>YHT</v>
          </cell>
          <cell r="J3525">
            <v>22.2</v>
          </cell>
          <cell r="N3525" t="e">
            <v>#DIV/0!</v>
          </cell>
        </row>
        <row r="3526">
          <cell r="E3526" t="str">
            <v>HGC-Lib-2455136</v>
          </cell>
          <cell r="F3526" t="str">
            <v>T797-2</v>
          </cell>
          <cell r="G3526">
            <v>6</v>
          </cell>
          <cell r="H3526" t="str">
            <v>mRNA文库</v>
          </cell>
          <cell r="I3526" t="str">
            <v>YHT</v>
          </cell>
          <cell r="J3526">
            <v>35.4</v>
          </cell>
          <cell r="N3526" t="e">
            <v>#DIV/0!</v>
          </cell>
        </row>
        <row r="3527">
          <cell r="E3527" t="str">
            <v>HGC-Lib-2455137</v>
          </cell>
          <cell r="F3527" t="str">
            <v>T797-3</v>
          </cell>
          <cell r="G3527">
            <v>6</v>
          </cell>
          <cell r="H3527" t="str">
            <v>mRNA文库</v>
          </cell>
          <cell r="I3527" t="str">
            <v>YHT</v>
          </cell>
          <cell r="J3527">
            <v>33.4</v>
          </cell>
          <cell r="N3527" t="e">
            <v>#DIV/0!</v>
          </cell>
        </row>
        <row r="3528">
          <cell r="E3528" t="str">
            <v>HGC-Lib-2455138</v>
          </cell>
          <cell r="F3528" t="str">
            <v>T797-4</v>
          </cell>
          <cell r="G3528">
            <v>6</v>
          </cell>
          <cell r="H3528" t="str">
            <v>mRNA文库</v>
          </cell>
          <cell r="I3528" t="str">
            <v>YHT</v>
          </cell>
          <cell r="J3528">
            <v>45.4</v>
          </cell>
          <cell r="N3528" t="e">
            <v>#DIV/0!</v>
          </cell>
        </row>
        <row r="3529">
          <cell r="E3529" t="str">
            <v>HGC-Lib-2455139</v>
          </cell>
          <cell r="F3529" t="str">
            <v>T797-5</v>
          </cell>
          <cell r="G3529">
            <v>6</v>
          </cell>
          <cell r="H3529" t="str">
            <v>mRNA文库</v>
          </cell>
          <cell r="I3529" t="str">
            <v>YHT</v>
          </cell>
          <cell r="J3529">
            <v>34</v>
          </cell>
          <cell r="N3529" t="e">
            <v>#DIV/0!</v>
          </cell>
        </row>
        <row r="3530">
          <cell r="E3530" t="str">
            <v>HGC-Lib-2455140</v>
          </cell>
          <cell r="F3530" t="str">
            <v>T797-6</v>
          </cell>
          <cell r="G3530">
            <v>6</v>
          </cell>
          <cell r="H3530" t="str">
            <v>mRNA文库</v>
          </cell>
          <cell r="I3530" t="str">
            <v>YHT</v>
          </cell>
          <cell r="J3530">
            <v>46.4</v>
          </cell>
          <cell r="N3530" t="e">
            <v>#DIV/0!</v>
          </cell>
        </row>
        <row r="3531">
          <cell r="E3531" t="str">
            <v>HGC-Lib-2455141</v>
          </cell>
          <cell r="F3531" t="str">
            <v>LFTC240629021CK</v>
          </cell>
          <cell r="G3531">
            <v>10</v>
          </cell>
          <cell r="H3531" t="str">
            <v>singleron-3'全长转录组文库</v>
          </cell>
          <cell r="I3531" t="str">
            <v>YHT</v>
          </cell>
          <cell r="J3531">
            <v>18</v>
          </cell>
          <cell r="N3531" t="e">
            <v>#DIV/0!</v>
          </cell>
        </row>
        <row r="3532">
          <cell r="E3532" t="str">
            <v>HGC-Lib-2455142</v>
          </cell>
          <cell r="F3532" t="str">
            <v>LFTC240629024</v>
          </cell>
          <cell r="G3532">
            <v>150</v>
          </cell>
          <cell r="H3532" t="str">
            <v>singleron-3'全长转录组文库</v>
          </cell>
          <cell r="I3532" t="str">
            <v>YHT</v>
          </cell>
          <cell r="J3532">
            <v>17.899999999999999</v>
          </cell>
          <cell r="N3532" t="e">
            <v>#DIV/0!</v>
          </cell>
        </row>
        <row r="3533">
          <cell r="E3533" t="str">
            <v>HGC-Lib-2455143</v>
          </cell>
          <cell r="F3533" t="str">
            <v>LFTC240629025</v>
          </cell>
          <cell r="G3533">
            <v>150</v>
          </cell>
          <cell r="H3533" t="str">
            <v>singleron-3'全长转录组文库</v>
          </cell>
          <cell r="I3533" t="str">
            <v>YHT</v>
          </cell>
          <cell r="J3533">
            <v>17.5</v>
          </cell>
          <cell r="N3533" t="e">
            <v>#DIV/0!</v>
          </cell>
        </row>
        <row r="3534">
          <cell r="E3534" t="str">
            <v>HGC-Lib-2455144</v>
          </cell>
          <cell r="F3534" t="str">
            <v>LFTC240629026</v>
          </cell>
          <cell r="G3534">
            <v>150</v>
          </cell>
          <cell r="H3534" t="str">
            <v>singleron-3'全长转录组文库</v>
          </cell>
          <cell r="I3534" t="str">
            <v>YHT</v>
          </cell>
          <cell r="J3534">
            <v>18.5</v>
          </cell>
          <cell r="N3534" t="e">
            <v>#DIV/0!</v>
          </cell>
        </row>
        <row r="3535">
          <cell r="E3535" t="str">
            <v>HGC-Lib-2455145</v>
          </cell>
          <cell r="F3535" t="str">
            <v>LFTC240629027</v>
          </cell>
          <cell r="G3535">
            <v>150</v>
          </cell>
          <cell r="H3535" t="str">
            <v>singleron-3'全长转录组文库</v>
          </cell>
          <cell r="I3535" t="str">
            <v>YHT</v>
          </cell>
          <cell r="J3535">
            <v>16.3</v>
          </cell>
          <cell r="N3535" t="e">
            <v>#DIV/0!</v>
          </cell>
        </row>
        <row r="3536">
          <cell r="E3536" t="str">
            <v>HGC-Lib-2455146</v>
          </cell>
          <cell r="F3536" t="str">
            <v>LFTC240629020CK</v>
          </cell>
          <cell r="G3536">
            <v>10</v>
          </cell>
          <cell r="H3536" t="str">
            <v>singleron-3'全长转录组文库</v>
          </cell>
          <cell r="I3536" t="str">
            <v>YHT</v>
          </cell>
          <cell r="J3536">
            <v>15.4</v>
          </cell>
          <cell r="N3536" t="e">
            <v>#DIV/0!</v>
          </cell>
        </row>
        <row r="3537">
          <cell r="E3537" t="str">
            <v>HGC-Lib-2455147</v>
          </cell>
          <cell r="F3537" t="str">
            <v>LFTC240629022CK</v>
          </cell>
          <cell r="G3537">
            <v>10</v>
          </cell>
          <cell r="H3537" t="str">
            <v>singleron-3'全长转录组文库</v>
          </cell>
          <cell r="I3537" t="str">
            <v>YHT</v>
          </cell>
          <cell r="J3537">
            <v>18.3</v>
          </cell>
          <cell r="N3537" t="e">
            <v>#DIV/0!</v>
          </cell>
        </row>
        <row r="3538">
          <cell r="E3538" t="str">
            <v>HGC-Lib-2455148</v>
          </cell>
          <cell r="F3538" t="str">
            <v>LFTC240629023CK</v>
          </cell>
          <cell r="G3538">
            <v>10</v>
          </cell>
          <cell r="H3538" t="str">
            <v>singleron-3'全长转录组文库</v>
          </cell>
          <cell r="I3538" t="str">
            <v>YHT</v>
          </cell>
          <cell r="J3538">
            <v>16.899999999999999</v>
          </cell>
          <cell r="N3538" t="e">
            <v>#DIV/0!</v>
          </cell>
        </row>
        <row r="3539">
          <cell r="E3539" t="str">
            <v>HGC-Lib-2455149</v>
          </cell>
          <cell r="F3539" t="str">
            <v>LPMFTBC240705017</v>
          </cell>
          <cell r="G3539">
            <v>160</v>
          </cell>
          <cell r="H3539" t="str">
            <v>singleron-3'全长转录组文库</v>
          </cell>
          <cell r="I3539" t="str">
            <v>YHT</v>
          </cell>
          <cell r="J3539">
            <v>30.4</v>
          </cell>
          <cell r="N3539" t="e">
            <v>#DIV/0!</v>
          </cell>
        </row>
        <row r="3540">
          <cell r="E3540" t="str">
            <v>HGC-Lib-2455150</v>
          </cell>
          <cell r="F3540" t="str">
            <v>LFTBC240704024</v>
          </cell>
          <cell r="G3540">
            <v>100</v>
          </cell>
          <cell r="H3540" t="str">
            <v>singleron-3'全长转录组文库</v>
          </cell>
          <cell r="I3540" t="str">
            <v>YHT</v>
          </cell>
          <cell r="J3540">
            <v>26.4</v>
          </cell>
          <cell r="N3540" t="e">
            <v>#DIV/0!</v>
          </cell>
        </row>
        <row r="3541">
          <cell r="E3541" t="str">
            <v>HGC-Lib-2455151</v>
          </cell>
          <cell r="F3541" t="str">
            <v>LFTBC240704025</v>
          </cell>
          <cell r="G3541">
            <v>100</v>
          </cell>
          <cell r="H3541" t="str">
            <v>singleron-3'全长转录组文库</v>
          </cell>
          <cell r="I3541" t="str">
            <v>YHT</v>
          </cell>
          <cell r="J3541">
            <v>23.8</v>
          </cell>
          <cell r="N3541" t="e">
            <v>#DIV/0!</v>
          </cell>
        </row>
        <row r="3542">
          <cell r="E3542" t="str">
            <v>HGC-Lib-2455152</v>
          </cell>
          <cell r="F3542" t="str">
            <v>PMLPMFTBC240705017</v>
          </cell>
          <cell r="G3542">
            <v>12</v>
          </cell>
          <cell r="H3542" t="str">
            <v>其他碱基不平衡文库</v>
          </cell>
          <cell r="I3542" t="str">
            <v>YHT</v>
          </cell>
          <cell r="J3542">
            <v>24</v>
          </cell>
          <cell r="N3542" t="e">
            <v>#DIV/0!</v>
          </cell>
        </row>
        <row r="3543">
          <cell r="E3543" t="str">
            <v>HGC-Lib-2455153</v>
          </cell>
          <cell r="F3543" t="str">
            <v>LC240705076</v>
          </cell>
          <cell r="G3543">
            <v>100</v>
          </cell>
          <cell r="H3543" t="str">
            <v>singleron-3'转录组文库</v>
          </cell>
          <cell r="I3543" t="str">
            <v>YHT</v>
          </cell>
          <cell r="J3543">
            <v>21.8</v>
          </cell>
          <cell r="N3543" t="e">
            <v>#DIV/0!</v>
          </cell>
        </row>
        <row r="3544">
          <cell r="E3544" t="str">
            <v>HGC-Lib-2455154</v>
          </cell>
          <cell r="F3544" t="str">
            <v>LC240705075</v>
          </cell>
          <cell r="G3544">
            <v>100</v>
          </cell>
          <cell r="H3544" t="str">
            <v>singleron-3'转录组文库</v>
          </cell>
          <cell r="I3544" t="str">
            <v>YHT</v>
          </cell>
          <cell r="J3544">
            <v>29.2</v>
          </cell>
          <cell r="N3544" t="e">
            <v>#DIV/0!</v>
          </cell>
        </row>
        <row r="3545">
          <cell r="E3545" t="str">
            <v>HGC-Lib-2455155</v>
          </cell>
          <cell r="F3545" t="str">
            <v>LC240702024</v>
          </cell>
          <cell r="G3545">
            <v>10</v>
          </cell>
          <cell r="H3545" t="str">
            <v>singleron-3'转录组文库</v>
          </cell>
          <cell r="I3545" t="str">
            <v>YHT</v>
          </cell>
          <cell r="J3545">
            <v>18.2</v>
          </cell>
          <cell r="N3545" t="e">
            <v>#DIV/0!</v>
          </cell>
        </row>
        <row r="3546">
          <cell r="E3546" t="str">
            <v>HGC-Lib-2455156</v>
          </cell>
          <cell r="F3546" t="str">
            <v>LC240621011</v>
          </cell>
          <cell r="G3546">
            <v>150</v>
          </cell>
          <cell r="H3546" t="str">
            <v>singleron-3'转录组文库</v>
          </cell>
          <cell r="I3546" t="str">
            <v>YHT</v>
          </cell>
          <cell r="J3546">
            <v>8.52</v>
          </cell>
          <cell r="N3546" t="e">
            <v>#DIV/0!</v>
          </cell>
        </row>
        <row r="3547">
          <cell r="E3547" t="str">
            <v>HGC-Lib-2455157</v>
          </cell>
          <cell r="F3547" t="str">
            <v>LC240620004</v>
          </cell>
          <cell r="G3547">
            <v>150</v>
          </cell>
          <cell r="H3547" t="str">
            <v>singleron-3'转录组文库</v>
          </cell>
          <cell r="I3547" t="str">
            <v>YHT</v>
          </cell>
          <cell r="J3547">
            <v>14.1</v>
          </cell>
          <cell r="N3547" t="e">
            <v>#DIV/0!</v>
          </cell>
        </row>
        <row r="3548">
          <cell r="E3548" t="str">
            <v>HGC-Lib-2455158</v>
          </cell>
          <cell r="F3548" t="str">
            <v>LC240620005</v>
          </cell>
          <cell r="G3548">
            <v>150</v>
          </cell>
          <cell r="H3548" t="str">
            <v>singleron-3'转录组文库</v>
          </cell>
          <cell r="I3548" t="str">
            <v>YHT</v>
          </cell>
          <cell r="J3548">
            <v>11.5</v>
          </cell>
          <cell r="N3548" t="e">
            <v>#DIV/0!</v>
          </cell>
        </row>
        <row r="3549">
          <cell r="E3549" t="str">
            <v>HGC-Lib-2455159</v>
          </cell>
          <cell r="F3549" t="str">
            <v>LC240620008</v>
          </cell>
          <cell r="G3549">
            <v>150</v>
          </cell>
          <cell r="H3549" t="str">
            <v>singleron-3'转录组文库</v>
          </cell>
          <cell r="I3549" t="str">
            <v>YHT</v>
          </cell>
          <cell r="J3549">
            <v>11.7</v>
          </cell>
          <cell r="N3549" t="e">
            <v>#DIV/0!</v>
          </cell>
        </row>
        <row r="3550">
          <cell r="E3550" t="str">
            <v>HGC-Lib-2455160</v>
          </cell>
          <cell r="F3550" t="str">
            <v>LC240705066</v>
          </cell>
          <cell r="G3550">
            <v>100</v>
          </cell>
          <cell r="H3550" t="str">
            <v>singleron-3'转录组文库</v>
          </cell>
          <cell r="I3550" t="str">
            <v>YHT</v>
          </cell>
          <cell r="J3550">
            <v>25.6</v>
          </cell>
          <cell r="N3550" t="e">
            <v>#DIV/0!</v>
          </cell>
        </row>
        <row r="3551">
          <cell r="E3551" t="str">
            <v>HGC-Lib-2455161</v>
          </cell>
          <cell r="F3551" t="str">
            <v>LA240703085</v>
          </cell>
          <cell r="G3551">
            <v>100</v>
          </cell>
          <cell r="H3551" t="str">
            <v>singleron-3'转录组文库</v>
          </cell>
          <cell r="I3551" t="str">
            <v>YHT</v>
          </cell>
          <cell r="J3551">
            <v>16.399999999999999</v>
          </cell>
          <cell r="N3551" t="e">
            <v>#DIV/0!</v>
          </cell>
        </row>
        <row r="3552">
          <cell r="E3552" t="str">
            <v>HGC-Lib-2455162</v>
          </cell>
          <cell r="F3552" t="str">
            <v>LA240703086</v>
          </cell>
          <cell r="G3552">
            <v>100</v>
          </cell>
          <cell r="H3552" t="str">
            <v>singleron-3'转录组文库</v>
          </cell>
          <cell r="I3552" t="str">
            <v>YHT</v>
          </cell>
          <cell r="J3552">
            <v>15.6</v>
          </cell>
          <cell r="N3552" t="e">
            <v>#DIV/0!</v>
          </cell>
        </row>
        <row r="3553">
          <cell r="E3553" t="str">
            <v>HGC-Lib-2455163</v>
          </cell>
          <cell r="F3553" t="str">
            <v>LC240706036</v>
          </cell>
          <cell r="G3553">
            <v>100</v>
          </cell>
          <cell r="H3553" t="str">
            <v>singleron-3'转录组文库</v>
          </cell>
          <cell r="I3553" t="str">
            <v>YHT</v>
          </cell>
          <cell r="J3553">
            <v>15.1</v>
          </cell>
          <cell r="N3553" t="e">
            <v>#DIV/0!</v>
          </cell>
        </row>
        <row r="3554">
          <cell r="E3554" t="str">
            <v>HGC-Lib-2455164</v>
          </cell>
          <cell r="F3554" t="str">
            <v>LC240706028</v>
          </cell>
          <cell r="G3554">
            <v>100</v>
          </cell>
          <cell r="H3554" t="str">
            <v>singleron-3'转录组文库</v>
          </cell>
          <cell r="I3554" t="str">
            <v>YHT</v>
          </cell>
          <cell r="J3554">
            <v>8.3000000000000007</v>
          </cell>
          <cell r="N3554" t="e">
            <v>#DIV/0!</v>
          </cell>
        </row>
        <row r="3555">
          <cell r="E3555" t="str">
            <v>HGC-Lib-2455165</v>
          </cell>
          <cell r="F3555" t="str">
            <v>LC240626080FS</v>
          </cell>
          <cell r="G3555">
            <v>100</v>
          </cell>
          <cell r="H3555" t="str">
            <v>singleron-3'转录组文库</v>
          </cell>
          <cell r="I3555" t="str">
            <v>DY</v>
          </cell>
          <cell r="J3555">
            <v>11.1</v>
          </cell>
          <cell r="N3555" t="e">
            <v>#DIV/0!</v>
          </cell>
        </row>
        <row r="3556">
          <cell r="E3556" t="str">
            <v>HGC-Lib-2455166</v>
          </cell>
          <cell r="F3556" t="str">
            <v>LC240328077FS</v>
          </cell>
          <cell r="G3556">
            <v>100</v>
          </cell>
          <cell r="H3556" t="str">
            <v>singleron-3'转录组文库</v>
          </cell>
          <cell r="I3556" t="str">
            <v>DY</v>
          </cell>
          <cell r="J3556">
            <v>13.6</v>
          </cell>
          <cell r="N3556" t="e">
            <v>#DIV/0!</v>
          </cell>
        </row>
        <row r="3557">
          <cell r="E3557" t="str">
            <v>HGC-Lib-2455167</v>
          </cell>
          <cell r="F3557" t="str">
            <v>LHC231116008CT</v>
          </cell>
          <cell r="G3557">
            <v>200</v>
          </cell>
          <cell r="H3557" t="str">
            <v>singleron-3'转录组文库</v>
          </cell>
          <cell r="I3557" t="str">
            <v>DY</v>
          </cell>
          <cell r="J3557">
            <v>5.6</v>
          </cell>
          <cell r="N3557" t="e">
            <v>#DIV/0!</v>
          </cell>
        </row>
        <row r="3558">
          <cell r="E3558" t="str">
            <v>HGC-Lib-2455168</v>
          </cell>
          <cell r="F3558" t="str">
            <v>R240625047</v>
          </cell>
          <cell r="G3558">
            <v>40</v>
          </cell>
          <cell r="H3558" t="str">
            <v>singleron-3'转录组文库</v>
          </cell>
          <cell r="I3558" t="str">
            <v>DY</v>
          </cell>
          <cell r="J3558">
            <v>19.7</v>
          </cell>
          <cell r="N3558" t="e">
            <v>#DIV/0!</v>
          </cell>
        </row>
        <row r="3559">
          <cell r="E3559" t="str">
            <v>HGC-Lib-2455244</v>
          </cell>
          <cell r="F3559" t="str">
            <v>LFTC240708033</v>
          </cell>
          <cell r="G3559">
            <v>100</v>
          </cell>
          <cell r="H3559" t="str">
            <v>singleron-3'全长转录组文库</v>
          </cell>
          <cell r="I3559" t="str">
            <v>HZK</v>
          </cell>
          <cell r="J3559">
            <v>23</v>
          </cell>
          <cell r="N3559" t="e">
            <v>#DIV/0!</v>
          </cell>
        </row>
        <row r="3560">
          <cell r="E3560" t="str">
            <v>HGC-Lib-2455245</v>
          </cell>
          <cell r="F3560" t="str">
            <v>LC240706032</v>
          </cell>
          <cell r="G3560">
            <v>100</v>
          </cell>
          <cell r="H3560" t="str">
            <v>singleron-3'转录组文库</v>
          </cell>
          <cell r="I3560" t="str">
            <v>HZK</v>
          </cell>
          <cell r="J3560">
            <v>31.4</v>
          </cell>
          <cell r="N3560" t="e">
            <v>#DIV/0!</v>
          </cell>
        </row>
        <row r="3561">
          <cell r="E3561" t="str">
            <v>HGC-Lib-2455246</v>
          </cell>
          <cell r="F3561" t="str">
            <v>LC240706033</v>
          </cell>
          <cell r="G3561">
            <v>100</v>
          </cell>
          <cell r="H3561" t="str">
            <v>singleron-3'转录组文库</v>
          </cell>
          <cell r="I3561" t="str">
            <v>HZK</v>
          </cell>
          <cell r="J3561">
            <v>16.899999999999999</v>
          </cell>
          <cell r="N3561" t="e">
            <v>#DIV/0!</v>
          </cell>
        </row>
        <row r="3562">
          <cell r="E3562" t="str">
            <v>HGC-Lib-2455247</v>
          </cell>
          <cell r="F3562" t="str">
            <v>LA240706044X2</v>
          </cell>
          <cell r="G3562">
            <v>20</v>
          </cell>
          <cell r="H3562" t="str">
            <v>singleron-3'转录组文库</v>
          </cell>
          <cell r="I3562" t="str">
            <v>HZK</v>
          </cell>
          <cell r="J3562">
            <v>18.899999999999999</v>
          </cell>
          <cell r="N3562" t="e">
            <v>#DIV/0!</v>
          </cell>
        </row>
        <row r="3563">
          <cell r="E3563" t="str">
            <v>HGC-Lib-2455248</v>
          </cell>
          <cell r="F3563" t="str">
            <v>LA240706044X1</v>
          </cell>
          <cell r="G3563">
            <v>20</v>
          </cell>
          <cell r="H3563" t="str">
            <v>singleron-3'转录组文库</v>
          </cell>
          <cell r="I3563" t="str">
            <v>HZK</v>
          </cell>
          <cell r="J3563">
            <v>24.4</v>
          </cell>
          <cell r="N3563" t="e">
            <v>#DIV/0!</v>
          </cell>
        </row>
        <row r="3564">
          <cell r="E3564" t="str">
            <v>HGC-Lib-2455249</v>
          </cell>
          <cell r="F3564" t="str">
            <v>LA240706046X1</v>
          </cell>
          <cell r="G3564">
            <v>20</v>
          </cell>
          <cell r="H3564" t="str">
            <v>singleron-3'转录组文库</v>
          </cell>
          <cell r="I3564" t="str">
            <v>HZK</v>
          </cell>
          <cell r="J3564">
            <v>21.8</v>
          </cell>
          <cell r="N3564" t="e">
            <v>#DIV/0!</v>
          </cell>
        </row>
        <row r="3565">
          <cell r="E3565" t="str">
            <v>HGC-Lib-2455250</v>
          </cell>
          <cell r="F3565" t="str">
            <v>LA240706045X2</v>
          </cell>
          <cell r="G3565">
            <v>20</v>
          </cell>
          <cell r="H3565" t="str">
            <v>singleron-3'转录组文库</v>
          </cell>
          <cell r="I3565" t="str">
            <v>HZK</v>
          </cell>
          <cell r="J3565">
            <v>29.8</v>
          </cell>
          <cell r="N3565" t="e">
            <v>#DIV/0!</v>
          </cell>
        </row>
        <row r="3566">
          <cell r="E3566" t="str">
            <v>HGC-Lib-2455251</v>
          </cell>
          <cell r="F3566" t="str">
            <v>LA240706046X2</v>
          </cell>
          <cell r="G3566">
            <v>20</v>
          </cell>
          <cell r="H3566" t="str">
            <v>singleron-3'转录组文库</v>
          </cell>
          <cell r="I3566" t="str">
            <v>HZK</v>
          </cell>
          <cell r="J3566">
            <v>23.2</v>
          </cell>
          <cell r="N3566" t="e">
            <v>#DIV/0!</v>
          </cell>
        </row>
        <row r="3567">
          <cell r="E3567" t="str">
            <v>HGC-Lib-2455252</v>
          </cell>
          <cell r="F3567" t="str">
            <v>LA240706045X1</v>
          </cell>
          <cell r="G3567">
            <v>20</v>
          </cell>
          <cell r="H3567" t="str">
            <v>singleron-3'转录组文库</v>
          </cell>
          <cell r="I3567" t="str">
            <v>HZK</v>
          </cell>
          <cell r="J3567">
            <v>27.6</v>
          </cell>
          <cell r="N3567" t="e">
            <v>#DIV/0!</v>
          </cell>
        </row>
        <row r="3568">
          <cell r="E3568" t="str">
            <v>HGC-Lib-2455253</v>
          </cell>
          <cell r="F3568" t="str">
            <v>LA240627046X1</v>
          </cell>
          <cell r="G3568">
            <v>100</v>
          </cell>
          <cell r="H3568" t="str">
            <v>singleron-3'转录组文库</v>
          </cell>
          <cell r="I3568" t="str">
            <v>HZK</v>
          </cell>
          <cell r="J3568">
            <v>27.6</v>
          </cell>
          <cell r="N3568" t="e">
            <v>#DIV/0!</v>
          </cell>
        </row>
        <row r="3569">
          <cell r="E3569" t="str">
            <v>HGC-Lib-2455254</v>
          </cell>
          <cell r="F3569" t="str">
            <v>LC240707049</v>
          </cell>
          <cell r="G3569">
            <v>150</v>
          </cell>
          <cell r="H3569" t="str">
            <v>singleron-3'转录组文库</v>
          </cell>
          <cell r="I3569" t="str">
            <v>HZK</v>
          </cell>
          <cell r="J3569">
            <v>16.5</v>
          </cell>
          <cell r="N3569" t="e">
            <v>#DIV/0!</v>
          </cell>
        </row>
        <row r="3570">
          <cell r="E3570" t="str">
            <v>HGC-Lib-2455255</v>
          </cell>
          <cell r="F3570" t="str">
            <v>LC240707047</v>
          </cell>
          <cell r="G3570">
            <v>150</v>
          </cell>
          <cell r="H3570" t="str">
            <v>singleron-3'转录组文库</v>
          </cell>
          <cell r="I3570" t="str">
            <v>HZK</v>
          </cell>
          <cell r="J3570">
            <v>13.1</v>
          </cell>
          <cell r="N3570" t="e">
            <v>#DIV/0!</v>
          </cell>
        </row>
        <row r="3571">
          <cell r="E3571" t="str">
            <v>HGC-Lib-2455256</v>
          </cell>
          <cell r="F3571" t="str">
            <v>LC240707048</v>
          </cell>
          <cell r="G3571">
            <v>150</v>
          </cell>
          <cell r="H3571" t="str">
            <v>singleron-3'转录组文库</v>
          </cell>
          <cell r="I3571" t="str">
            <v>HZK</v>
          </cell>
          <cell r="J3571">
            <v>16.3</v>
          </cell>
          <cell r="N3571" t="e">
            <v>#DIV/0!</v>
          </cell>
        </row>
        <row r="3572">
          <cell r="E3572" t="str">
            <v>HGC-Lib-2455257</v>
          </cell>
          <cell r="F3572" t="str">
            <v>LC240708016</v>
          </cell>
          <cell r="G3572">
            <v>100</v>
          </cell>
          <cell r="H3572" t="str">
            <v>singleron-3'转录组文库</v>
          </cell>
          <cell r="I3572" t="str">
            <v>HZK</v>
          </cell>
          <cell r="J3572">
            <v>29.4</v>
          </cell>
          <cell r="N3572" t="e">
            <v>#DIV/0!</v>
          </cell>
        </row>
        <row r="3573">
          <cell r="E3573" t="str">
            <v>HGC-Lib-2455258</v>
          </cell>
          <cell r="F3573" t="str">
            <v>LC240708015</v>
          </cell>
          <cell r="G3573">
            <v>100</v>
          </cell>
          <cell r="H3573" t="str">
            <v>singleron-3'转录组文库</v>
          </cell>
          <cell r="I3573" t="str">
            <v>HZK</v>
          </cell>
          <cell r="J3573">
            <v>20.399999999999999</v>
          </cell>
          <cell r="N3573" t="e">
            <v>#DIV/0!</v>
          </cell>
        </row>
        <row r="3574">
          <cell r="E3574" t="str">
            <v>HGC-Lib-2455259</v>
          </cell>
          <cell r="F3574" t="str">
            <v>LTC240525079</v>
          </cell>
          <cell r="G3574">
            <v>90</v>
          </cell>
          <cell r="H3574" t="str">
            <v>singleron-3'转录组文库</v>
          </cell>
          <cell r="I3574" t="str">
            <v>HZK</v>
          </cell>
          <cell r="J3574">
            <v>10.4</v>
          </cell>
          <cell r="N3574" t="e">
            <v>#DIV/0!</v>
          </cell>
        </row>
        <row r="3575">
          <cell r="E3575" t="str">
            <v>HGC-Lib-2455260</v>
          </cell>
          <cell r="F3575" t="str">
            <v>LFTC240425004</v>
          </cell>
          <cell r="G3575">
            <v>100</v>
          </cell>
          <cell r="H3575" t="str">
            <v>singleron-3'全长转录组文库</v>
          </cell>
          <cell r="I3575" t="str">
            <v>HZK</v>
          </cell>
          <cell r="J3575">
            <v>18.100000000000001</v>
          </cell>
          <cell r="N3575" t="e">
            <v>#DIV/0!</v>
          </cell>
        </row>
        <row r="3576">
          <cell r="E3576" t="str">
            <v>HGC-POOL-2455261</v>
          </cell>
          <cell r="F3576" t="str">
            <v>PCRD-240712-002</v>
          </cell>
          <cell r="G3576">
            <v>20</v>
          </cell>
          <cell r="H3576" t="str">
            <v>mRNA文库</v>
          </cell>
          <cell r="I3576" t="str">
            <v>HZK</v>
          </cell>
          <cell r="J3576">
            <v>8.5</v>
          </cell>
          <cell r="N3576" t="e">
            <v>#DIV/0!</v>
          </cell>
        </row>
        <row r="3577">
          <cell r="E3577" t="str">
            <v>HGC-Lib-2455262</v>
          </cell>
          <cell r="F3577" t="str">
            <v>R240712013</v>
          </cell>
          <cell r="G3577">
            <v>5</v>
          </cell>
          <cell r="H3577" t="str">
            <v>singleron-3'转录组文库</v>
          </cell>
          <cell r="I3577" t="str">
            <v>HZK</v>
          </cell>
          <cell r="J3577">
            <v>24</v>
          </cell>
          <cell r="N3577" t="e">
            <v>#DIV/0!</v>
          </cell>
        </row>
        <row r="3578">
          <cell r="E3578" t="str">
            <v>HGC-Lib-2455263</v>
          </cell>
          <cell r="F3578" t="str">
            <v>R240712014</v>
          </cell>
          <cell r="G3578">
            <v>5</v>
          </cell>
          <cell r="H3578" t="str">
            <v>singleron-3'转录组文库</v>
          </cell>
          <cell r="I3578" t="str">
            <v>HZK</v>
          </cell>
          <cell r="J3578">
            <v>21.6</v>
          </cell>
          <cell r="N3578" t="e">
            <v>#DIV/0!</v>
          </cell>
        </row>
        <row r="3579">
          <cell r="E3579" t="str">
            <v>HGC-Lib-2455264</v>
          </cell>
          <cell r="F3579" t="str">
            <v>R240712015</v>
          </cell>
          <cell r="G3579">
            <v>5</v>
          </cell>
          <cell r="H3579" t="str">
            <v>singleron-3'转录组文库</v>
          </cell>
          <cell r="I3579" t="str">
            <v>YHT</v>
          </cell>
          <cell r="J3579">
            <v>23.8</v>
          </cell>
          <cell r="N3579" t="e">
            <v>#DIV/0!</v>
          </cell>
        </row>
        <row r="3580">
          <cell r="E3580" t="str">
            <v>HGC-Lib-2455265</v>
          </cell>
          <cell r="F3580" t="str">
            <v>N_B_N4701-2H-10X5PI30</v>
          </cell>
          <cell r="G3580">
            <v>100</v>
          </cell>
          <cell r="H3580" t="str">
            <v>10x 5'单细胞</v>
          </cell>
          <cell r="I3580" t="str">
            <v>YHT</v>
          </cell>
          <cell r="J3580">
            <v>27</v>
          </cell>
          <cell r="N3580" t="e">
            <v>#DIV/0!</v>
          </cell>
        </row>
        <row r="3581">
          <cell r="E3581" t="str">
            <v>HGC-Lib-2455266</v>
          </cell>
          <cell r="F3581" t="str">
            <v>N_B_N4701-2H-10X5TCRPI30-2</v>
          </cell>
          <cell r="G3581">
            <v>10</v>
          </cell>
          <cell r="H3581" t="str">
            <v>TCR文库</v>
          </cell>
          <cell r="I3581" t="str">
            <v>YHT</v>
          </cell>
          <cell r="J3581">
            <v>66</v>
          </cell>
          <cell r="N3581" t="e">
            <v>#DIV/0!</v>
          </cell>
        </row>
        <row r="3582">
          <cell r="E3582" t="str">
            <v>HGC-Lib-2455267</v>
          </cell>
          <cell r="F3582" t="str">
            <v>N_B_N4701-2H-10X5BCRPI30-3</v>
          </cell>
          <cell r="G3582">
            <v>10</v>
          </cell>
          <cell r="H3582" t="str">
            <v>BCR文库</v>
          </cell>
          <cell r="I3582" t="str">
            <v>YHT</v>
          </cell>
          <cell r="J3582">
            <v>39.6</v>
          </cell>
          <cell r="N3582" t="e">
            <v>#DIV/0!</v>
          </cell>
        </row>
        <row r="3583">
          <cell r="E3583" t="str">
            <v>HGC-Lib-2455268</v>
          </cell>
          <cell r="F3583" t="str">
            <v>N_B_N4704-2E-10X5BCBM20240704</v>
          </cell>
          <cell r="G3583">
            <v>100</v>
          </cell>
          <cell r="H3583" t="str">
            <v>10x 5'单细胞</v>
          </cell>
          <cell r="I3583" t="str">
            <v>YHT</v>
          </cell>
          <cell r="J3583">
            <v>31</v>
          </cell>
          <cell r="N3583" t="e">
            <v>#DIV/0!</v>
          </cell>
        </row>
        <row r="3584">
          <cell r="E3584" t="str">
            <v>HGC-Lib-2455269</v>
          </cell>
          <cell r="F3584" t="str">
            <v>N_B_N4701-25-10X3CR-hLM296</v>
          </cell>
          <cell r="G3584">
            <v>100</v>
          </cell>
          <cell r="H3584" t="str">
            <v>10× 3'单细胞</v>
          </cell>
          <cell r="I3584" t="str">
            <v>YHT</v>
          </cell>
          <cell r="J3584">
            <v>23</v>
          </cell>
          <cell r="N3584" t="e">
            <v>#DIV/0!</v>
          </cell>
        </row>
        <row r="3585">
          <cell r="E3585" t="str">
            <v>HGC-Lib-2455270</v>
          </cell>
          <cell r="F3585" t="str">
            <v>N_B_N4701-26-10X3CR-hLM297</v>
          </cell>
          <cell r="G3585">
            <v>100</v>
          </cell>
          <cell r="H3585" t="str">
            <v>10× 3'单细胞</v>
          </cell>
          <cell r="I3585" t="str">
            <v>YHT</v>
          </cell>
          <cell r="J3585">
            <v>19.2</v>
          </cell>
          <cell r="N3585" t="e">
            <v>#DIV/0!</v>
          </cell>
        </row>
        <row r="3586">
          <cell r="E3586" t="str">
            <v>HGC-Lib-2455271</v>
          </cell>
          <cell r="F3586" t="str">
            <v>N_B_N4701-27-10X3CR-hLM298</v>
          </cell>
          <cell r="G3586">
            <v>100</v>
          </cell>
          <cell r="H3586" t="str">
            <v>10× 3'单细胞</v>
          </cell>
          <cell r="I3586" t="str">
            <v>YHT</v>
          </cell>
          <cell r="J3586">
            <v>18.600000000000001</v>
          </cell>
          <cell r="N3586" t="e">
            <v>#DIV/0!</v>
          </cell>
        </row>
        <row r="3587">
          <cell r="E3587" t="str">
            <v>HGC-Lib-2455272</v>
          </cell>
          <cell r="F3587" t="str">
            <v>N_B_N4701-28-10X3CR-hBO195</v>
          </cell>
          <cell r="G3587">
            <v>100</v>
          </cell>
          <cell r="H3587" t="str">
            <v>10× 3'单细胞</v>
          </cell>
          <cell r="I3587" t="str">
            <v>YHT</v>
          </cell>
          <cell r="J3587">
            <v>22.8</v>
          </cell>
          <cell r="N3587" t="e">
            <v>#DIV/0!</v>
          </cell>
        </row>
        <row r="3588">
          <cell r="E3588" t="str">
            <v>HGC-Lib-2455273</v>
          </cell>
          <cell r="F3588" t="str">
            <v>N_B_N4701-3C-10X3Mm-010-LXD</v>
          </cell>
          <cell r="G3588">
            <v>100</v>
          </cell>
          <cell r="H3588" t="str">
            <v>10× 3'单细胞</v>
          </cell>
          <cell r="I3588" t="str">
            <v>YHT</v>
          </cell>
          <cell r="J3588">
            <v>20.2</v>
          </cell>
          <cell r="N3588" t="e">
            <v>#DIV/0!</v>
          </cell>
        </row>
        <row r="3589">
          <cell r="E3589" t="str">
            <v>HGC-Lib-2455274</v>
          </cell>
          <cell r="F3589" t="str">
            <v>N_B_N4702-1H-10X310M-011-RYJ</v>
          </cell>
          <cell r="G3589">
            <v>100</v>
          </cell>
          <cell r="H3589" t="str">
            <v>10× 3'单细胞</v>
          </cell>
          <cell r="I3589" t="str">
            <v>YHT</v>
          </cell>
          <cell r="J3589">
            <v>18.100000000000001</v>
          </cell>
          <cell r="N3589" t="e">
            <v>#DIV/0!</v>
          </cell>
        </row>
        <row r="3590">
          <cell r="E3590" t="str">
            <v>HGC-Lib-2455275</v>
          </cell>
          <cell r="F3590" t="str">
            <v>N_B_N4704-01-10X3ZC</v>
          </cell>
          <cell r="G3590">
            <v>100</v>
          </cell>
          <cell r="H3590" t="str">
            <v>10× 3'单细胞</v>
          </cell>
          <cell r="I3590" t="str">
            <v>YHT</v>
          </cell>
          <cell r="J3590">
            <v>16.7</v>
          </cell>
          <cell r="N3590" t="e">
            <v>#DIV/0!</v>
          </cell>
        </row>
        <row r="3591">
          <cell r="E3591" t="str">
            <v>HGC-Lib-2455276</v>
          </cell>
          <cell r="F3591" t="str">
            <v>N_B_N4704-02-10X3RGL</v>
          </cell>
          <cell r="G3591">
            <v>100</v>
          </cell>
          <cell r="H3591" t="str">
            <v>10× 3'单细胞</v>
          </cell>
          <cell r="I3591" t="str">
            <v>YHT</v>
          </cell>
          <cell r="J3591">
            <v>12.8</v>
          </cell>
          <cell r="N3591" t="e">
            <v>#DIV/0!</v>
          </cell>
        </row>
        <row r="3592">
          <cell r="E3592" t="str">
            <v>HGC-Lib-2455277</v>
          </cell>
          <cell r="F3592" t="str">
            <v>N_B_N4703-13-10X3CR-hPB169</v>
          </cell>
          <cell r="G3592">
            <v>100</v>
          </cell>
          <cell r="H3592" t="str">
            <v>10× 3'单细胞</v>
          </cell>
          <cell r="I3592" t="str">
            <v>YHT</v>
          </cell>
          <cell r="J3592">
            <v>21.8</v>
          </cell>
          <cell r="N3592" t="e">
            <v>#DIV/0!</v>
          </cell>
        </row>
        <row r="3593">
          <cell r="E3593" t="str">
            <v>HGC-Lib-2455278</v>
          </cell>
          <cell r="F3593" t="str">
            <v>N_B_N4627-45-10X3D14</v>
          </cell>
          <cell r="G3593">
            <v>100</v>
          </cell>
          <cell r="H3593" t="str">
            <v>10× 3'单细胞</v>
          </cell>
          <cell r="I3593" t="str">
            <v>YHT</v>
          </cell>
          <cell r="J3593">
            <v>15.1</v>
          </cell>
          <cell r="N3593" t="e">
            <v>#DIV/0!</v>
          </cell>
        </row>
        <row r="3594">
          <cell r="E3594" t="str">
            <v>HGC-Lib-2455279</v>
          </cell>
          <cell r="F3594" t="str">
            <v>N_B_N4627-46-10X3i9-35</v>
          </cell>
          <cell r="G3594">
            <v>100</v>
          </cell>
          <cell r="H3594" t="str">
            <v>10× 3'单细胞</v>
          </cell>
          <cell r="I3594" t="str">
            <v>YHT</v>
          </cell>
          <cell r="J3594">
            <v>14.5</v>
          </cell>
          <cell r="N3594" t="e">
            <v>#DIV/0!</v>
          </cell>
        </row>
        <row r="3595">
          <cell r="E3595" t="str">
            <v>HGC-Lib-2455280</v>
          </cell>
          <cell r="F3595" t="str">
            <v>N_B_N4704-21-10X3A16_0704_shengyuxinzang-2</v>
          </cell>
          <cell r="G3595">
            <v>100</v>
          </cell>
          <cell r="H3595" t="str">
            <v>10× 3'单细胞</v>
          </cell>
          <cell r="I3595" t="str">
            <v>YHT</v>
          </cell>
          <cell r="J3595">
            <v>24.4</v>
          </cell>
          <cell r="N3595" t="e">
            <v>#DIV/0!</v>
          </cell>
        </row>
        <row r="3596">
          <cell r="E3596" t="str">
            <v>HGC-Lib-2455281</v>
          </cell>
          <cell r="F3596" t="str">
            <v>N_B_N4704-22-10X3A16_0704_shengyuxinzang-1</v>
          </cell>
          <cell r="G3596">
            <v>100</v>
          </cell>
          <cell r="H3596" t="str">
            <v>10× 3'单细胞</v>
          </cell>
          <cell r="I3596" t="str">
            <v>YHT</v>
          </cell>
          <cell r="J3596">
            <v>12.3</v>
          </cell>
          <cell r="N3596" t="e">
            <v>#DIV/0!</v>
          </cell>
        </row>
        <row r="3597">
          <cell r="E3597" t="str">
            <v>HGC-Lib-2455282</v>
          </cell>
          <cell r="F3597" t="str">
            <v>N_B_N4704-23-10X3A16_0704_banmayuzaishengzuzhi</v>
          </cell>
          <cell r="G3597">
            <v>100</v>
          </cell>
          <cell r="H3597" t="str">
            <v>10× 3'单细胞</v>
          </cell>
          <cell r="I3597" t="str">
            <v>YHT</v>
          </cell>
          <cell r="J3597">
            <v>13.1</v>
          </cell>
          <cell r="N3597" t="e">
            <v>#DIV/0!</v>
          </cell>
        </row>
        <row r="3598">
          <cell r="E3598" t="str">
            <v>HGC-Lib-2455283</v>
          </cell>
          <cell r="F3598" t="str">
            <v>N_B_N4703-0R-10X3chenzhongkui-240703</v>
          </cell>
          <cell r="G3598">
            <v>100</v>
          </cell>
          <cell r="H3598" t="str">
            <v>10× 3'单细胞</v>
          </cell>
          <cell r="I3598" t="str">
            <v>YHT</v>
          </cell>
          <cell r="J3598">
            <v>29.8</v>
          </cell>
          <cell r="N3598" t="e">
            <v>#DIV/0!</v>
          </cell>
        </row>
        <row r="3599">
          <cell r="E3599" t="str">
            <v>HGC-Lib-2455284</v>
          </cell>
          <cell r="F3599" t="str">
            <v>N_B_N4704-1T-10X3BMY-2</v>
          </cell>
          <cell r="G3599">
            <v>100</v>
          </cell>
          <cell r="H3599" t="str">
            <v>10× 3'单细胞</v>
          </cell>
          <cell r="I3599" t="str">
            <v>YHT</v>
          </cell>
          <cell r="J3599">
            <v>21.6</v>
          </cell>
          <cell r="N3599" t="e">
            <v>#DIV/0!</v>
          </cell>
        </row>
        <row r="3600">
          <cell r="E3600" t="str">
            <v>HGC-Lib-2455285</v>
          </cell>
          <cell r="F3600" t="str">
            <v>N_B_N4701-2D-BDv2CMQ</v>
          </cell>
          <cell r="G3600">
            <v>100</v>
          </cell>
          <cell r="H3600" t="str">
            <v>BD-单细胞</v>
          </cell>
          <cell r="I3600" t="str">
            <v>YHT</v>
          </cell>
          <cell r="J3600">
            <v>15.5</v>
          </cell>
          <cell r="N3600" t="e">
            <v>#DIV/0!</v>
          </cell>
        </row>
        <row r="3601">
          <cell r="E3601" t="str">
            <v>HGC-Lib-2455286</v>
          </cell>
          <cell r="F3601" t="str">
            <v>N_B_N4702-14-BDv2FC-LBJ</v>
          </cell>
          <cell r="G3601">
            <v>200</v>
          </cell>
          <cell r="H3601" t="str">
            <v>BD-单细胞</v>
          </cell>
          <cell r="I3601" t="str">
            <v>YHT</v>
          </cell>
          <cell r="J3601">
            <v>16.8</v>
          </cell>
          <cell r="N3601" t="e">
            <v>#DIV/0!</v>
          </cell>
        </row>
        <row r="3602">
          <cell r="E3602" t="str">
            <v>HGC-Lib-2455287</v>
          </cell>
          <cell r="F3602" t="str">
            <v>N_B_N4702-15-BDv2FC-QLX</v>
          </cell>
          <cell r="G3602">
            <v>200</v>
          </cell>
          <cell r="H3602" t="str">
            <v>BD-单细胞</v>
          </cell>
          <cell r="I3602" t="str">
            <v>YHT</v>
          </cell>
          <cell r="J3602">
            <v>21.4</v>
          </cell>
          <cell r="N3602" t="e">
            <v>#DIV/0!</v>
          </cell>
        </row>
        <row r="3603">
          <cell r="E3603" t="str">
            <v>HGC-Lib-2455288</v>
          </cell>
          <cell r="F3603" t="str">
            <v>N_B_N4702-1G-BDv2GERCLG</v>
          </cell>
          <cell r="G3603">
            <v>100</v>
          </cell>
          <cell r="H3603" t="str">
            <v>BD-单细胞</v>
          </cell>
          <cell r="I3603" t="str">
            <v>YHT</v>
          </cell>
          <cell r="J3603">
            <v>22</v>
          </cell>
          <cell r="N3603" t="e">
            <v>#DIV/0!</v>
          </cell>
        </row>
        <row r="3604">
          <cell r="E3604" t="str">
            <v>HGC-Lib-2455289</v>
          </cell>
          <cell r="F3604" t="str">
            <v>N_B_N4703-12-BDv21929226</v>
          </cell>
          <cell r="G3604">
            <v>100</v>
          </cell>
          <cell r="H3604" t="str">
            <v>BD-单细胞</v>
          </cell>
          <cell r="I3604" t="str">
            <v>YHT</v>
          </cell>
          <cell r="J3604">
            <v>25.4</v>
          </cell>
          <cell r="N3604" t="e">
            <v>#DIV/0!</v>
          </cell>
        </row>
        <row r="3605">
          <cell r="E3605" t="str">
            <v>HGC-Lib-2455290</v>
          </cell>
          <cell r="F3605" t="str">
            <v>N_B_N4702-2Q-BDv2LF-QC</v>
          </cell>
          <cell r="G3605">
            <v>200</v>
          </cell>
          <cell r="H3605" t="str">
            <v>BD-单细胞</v>
          </cell>
          <cell r="I3605" t="str">
            <v>YHT</v>
          </cell>
          <cell r="J3605">
            <v>25.8</v>
          </cell>
          <cell r="N3605" t="e">
            <v>#DIV/0!</v>
          </cell>
        </row>
        <row r="3606">
          <cell r="E3606" t="str">
            <v>HGC-Lib-2455291</v>
          </cell>
          <cell r="F3606" t="str">
            <v>N_B_N4703-0S-BDv21928761</v>
          </cell>
          <cell r="G3606">
            <v>100</v>
          </cell>
          <cell r="H3606" t="str">
            <v>BD-单细胞</v>
          </cell>
          <cell r="I3606" t="str">
            <v>YHT</v>
          </cell>
          <cell r="J3606">
            <v>21</v>
          </cell>
          <cell r="N3606" t="e">
            <v>#DIV/0!</v>
          </cell>
        </row>
        <row r="3607">
          <cell r="E3607" t="str">
            <v>HGC-Lib-2455292</v>
          </cell>
          <cell r="F3607" t="str">
            <v>N_B_N4705-01-BDv22009749</v>
          </cell>
          <cell r="G3607">
            <v>100</v>
          </cell>
          <cell r="H3607" t="str">
            <v>BD-单细胞</v>
          </cell>
          <cell r="I3607" t="str">
            <v>YHT</v>
          </cell>
          <cell r="J3607">
            <v>25.6</v>
          </cell>
          <cell r="N3607" t="e">
            <v>#DIV/0!</v>
          </cell>
        </row>
        <row r="3608">
          <cell r="E3608" t="str">
            <v>HGC-Lib-2455293</v>
          </cell>
          <cell r="F3608" t="str">
            <v>N_B_N4705-1Y-BDv2649306</v>
          </cell>
          <cell r="G3608">
            <v>100</v>
          </cell>
          <cell r="H3608" t="str">
            <v>BD-单细胞</v>
          </cell>
          <cell r="I3608" t="str">
            <v>YHT</v>
          </cell>
          <cell r="J3608">
            <v>25.2</v>
          </cell>
          <cell r="N3608" t="e">
            <v>#DIV/0!</v>
          </cell>
        </row>
        <row r="3609">
          <cell r="E3609" t="str">
            <v>HGC-Lib-2455294</v>
          </cell>
          <cell r="F3609" t="str">
            <v>MS24061378</v>
          </cell>
          <cell r="G3609">
            <v>9</v>
          </cell>
          <cell r="H3609" t="str">
            <v>10X-3-转录组</v>
          </cell>
          <cell r="I3609" t="str">
            <v>GZQ</v>
          </cell>
          <cell r="J3609">
            <v>47.2</v>
          </cell>
          <cell r="N3609" t="e">
            <v>#DIV/0!</v>
          </cell>
        </row>
        <row r="3610">
          <cell r="E3610" t="str">
            <v>HGC-Lib-2455295</v>
          </cell>
          <cell r="F3610" t="str">
            <v>MS24061379</v>
          </cell>
          <cell r="G3610">
            <v>9</v>
          </cell>
          <cell r="H3610" t="str">
            <v>10X-3-转录组</v>
          </cell>
          <cell r="I3610" t="str">
            <v>GZQ</v>
          </cell>
          <cell r="J3610">
            <v>42.8</v>
          </cell>
          <cell r="N3610" t="e">
            <v>#DIV/0!</v>
          </cell>
        </row>
        <row r="3611">
          <cell r="E3611" t="str">
            <v>HGC-Lib-2455296</v>
          </cell>
          <cell r="F3611" t="str">
            <v>MS24061380</v>
          </cell>
          <cell r="G3611">
            <v>9</v>
          </cell>
          <cell r="H3611" t="str">
            <v>10X-3-转录组</v>
          </cell>
          <cell r="I3611" t="str">
            <v>GZQ</v>
          </cell>
          <cell r="J3611">
            <v>40.4</v>
          </cell>
          <cell r="N3611" t="e">
            <v>#DIV/0!</v>
          </cell>
        </row>
        <row r="3612">
          <cell r="E3612" t="str">
            <v>HGC-Lib-2455297</v>
          </cell>
          <cell r="F3612" t="str">
            <v>MS24061383</v>
          </cell>
          <cell r="G3612">
            <v>9</v>
          </cell>
          <cell r="H3612" t="str">
            <v>10X-3-转录组</v>
          </cell>
          <cell r="I3612" t="str">
            <v>GZQ</v>
          </cell>
          <cell r="J3612">
            <v>62.6</v>
          </cell>
          <cell r="N3612" t="e">
            <v>#DIV/0!</v>
          </cell>
        </row>
        <row r="3613">
          <cell r="E3613" t="str">
            <v>HGC-Lib-2455298</v>
          </cell>
          <cell r="F3613" t="str">
            <v>MS24061385</v>
          </cell>
          <cell r="G3613">
            <v>9</v>
          </cell>
          <cell r="H3613" t="str">
            <v>10X-3-转录组</v>
          </cell>
          <cell r="I3613" t="str">
            <v>GZQ</v>
          </cell>
          <cell r="J3613">
            <v>30.6</v>
          </cell>
          <cell r="N3613" t="e">
            <v>#DIV/0!</v>
          </cell>
        </row>
        <row r="3614">
          <cell r="E3614" t="str">
            <v>HGC-Lib-2455299</v>
          </cell>
          <cell r="F3614" t="str">
            <v>MS24061386</v>
          </cell>
          <cell r="G3614">
            <v>9</v>
          </cell>
          <cell r="H3614" t="str">
            <v>10X-3-转录组</v>
          </cell>
          <cell r="I3614" t="str">
            <v>GZQ</v>
          </cell>
          <cell r="J3614">
            <v>68.8</v>
          </cell>
          <cell r="N3614" t="e">
            <v>#DIV/0!</v>
          </cell>
        </row>
        <row r="3615">
          <cell r="E3615" t="str">
            <v>HGC-Lib-2455300</v>
          </cell>
          <cell r="F3615" t="str">
            <v>MS24061387</v>
          </cell>
          <cell r="G3615">
            <v>9</v>
          </cell>
          <cell r="H3615" t="str">
            <v>10X-3-转录组</v>
          </cell>
          <cell r="I3615" t="str">
            <v>GZQ</v>
          </cell>
          <cell r="J3615">
            <v>72.2</v>
          </cell>
          <cell r="N3615" t="e">
            <v>#DIV/0!</v>
          </cell>
        </row>
        <row r="3616">
          <cell r="E3616" t="str">
            <v>HGC-Lib-2455301</v>
          </cell>
          <cell r="F3616" t="str">
            <v>MS24061388</v>
          </cell>
          <cell r="G3616">
            <v>9</v>
          </cell>
          <cell r="H3616" t="str">
            <v>10X-3-转录组</v>
          </cell>
          <cell r="I3616" t="str">
            <v>GZQ</v>
          </cell>
          <cell r="J3616">
            <v>47</v>
          </cell>
          <cell r="N3616" t="e">
            <v>#DIV/0!</v>
          </cell>
        </row>
        <row r="3617">
          <cell r="E3617" t="str">
            <v>HGC-Lib-2455302</v>
          </cell>
          <cell r="F3617" t="str">
            <v>MS24061389</v>
          </cell>
          <cell r="G3617">
            <v>9</v>
          </cell>
          <cell r="H3617" t="str">
            <v>10X-3-转录组</v>
          </cell>
          <cell r="I3617" t="str">
            <v>GZQ</v>
          </cell>
          <cell r="J3617">
            <v>33.200000000000003</v>
          </cell>
          <cell r="N3617" t="e">
            <v>#DIV/0!</v>
          </cell>
        </row>
        <row r="3618">
          <cell r="E3618" t="str">
            <v>HGC-Lib-2455303</v>
          </cell>
          <cell r="F3618" t="str">
            <v>MS24061390</v>
          </cell>
          <cell r="G3618">
            <v>9</v>
          </cell>
          <cell r="H3618" t="str">
            <v>10X-3-转录组</v>
          </cell>
          <cell r="I3618" t="str">
            <v>GZQ</v>
          </cell>
          <cell r="J3618">
            <v>43.4</v>
          </cell>
          <cell r="N3618" t="e">
            <v>#DIV/0!</v>
          </cell>
        </row>
        <row r="3619">
          <cell r="E3619" t="str">
            <v>HGC-Lib-2455304</v>
          </cell>
          <cell r="F3619" t="str">
            <v>MS24061391</v>
          </cell>
          <cell r="G3619">
            <v>9</v>
          </cell>
          <cell r="H3619" t="str">
            <v>10X-3-转录组</v>
          </cell>
          <cell r="I3619" t="str">
            <v>GZQ</v>
          </cell>
          <cell r="J3619">
            <v>46.6</v>
          </cell>
          <cell r="N3619" t="e">
            <v>#DIV/0!</v>
          </cell>
        </row>
        <row r="3620">
          <cell r="E3620" t="str">
            <v>HGC-Lib-2455305</v>
          </cell>
          <cell r="F3620" t="str">
            <v>MS24061392</v>
          </cell>
          <cell r="G3620">
            <v>9</v>
          </cell>
          <cell r="H3620" t="str">
            <v>10X-3-转录组</v>
          </cell>
          <cell r="I3620" t="str">
            <v>GZQ</v>
          </cell>
          <cell r="J3620">
            <v>43.8</v>
          </cell>
          <cell r="N3620" t="e">
            <v>#DIV/0!</v>
          </cell>
        </row>
        <row r="3621">
          <cell r="E3621" t="str">
            <v>HGC-Lib-2455306</v>
          </cell>
          <cell r="F3621" t="str">
            <v>MS24061393</v>
          </cell>
          <cell r="G3621">
            <v>9</v>
          </cell>
          <cell r="H3621" t="str">
            <v>10X-3-转录组</v>
          </cell>
          <cell r="I3621" t="str">
            <v>GZQ</v>
          </cell>
          <cell r="J3621">
            <v>42.6</v>
          </cell>
          <cell r="N3621" t="e">
            <v>#DIV/0!</v>
          </cell>
        </row>
        <row r="3622">
          <cell r="E3622" t="str">
            <v>HGC-Lib-2455307</v>
          </cell>
          <cell r="F3622" t="str">
            <v>MS24061395</v>
          </cell>
          <cell r="G3622">
            <v>9</v>
          </cell>
          <cell r="H3622" t="str">
            <v>10X-3-转录组</v>
          </cell>
          <cell r="I3622" t="str">
            <v>GZQ</v>
          </cell>
          <cell r="J3622">
            <v>69.8</v>
          </cell>
          <cell r="N3622" t="e">
            <v>#DIV/0!</v>
          </cell>
        </row>
        <row r="3623">
          <cell r="E3623" t="str">
            <v>HGC-Lib-2455308</v>
          </cell>
          <cell r="F3623" t="str">
            <v>MS24061396</v>
          </cell>
          <cell r="G3623">
            <v>9</v>
          </cell>
          <cell r="H3623" t="str">
            <v>10X-3-转录组</v>
          </cell>
          <cell r="I3623" t="str">
            <v>GZQ</v>
          </cell>
          <cell r="J3623">
            <v>50.6</v>
          </cell>
          <cell r="N3623" t="e">
            <v>#DIV/0!</v>
          </cell>
        </row>
        <row r="3624">
          <cell r="E3624" t="str">
            <v>HGC-Lib-2455309</v>
          </cell>
          <cell r="F3624" t="str">
            <v>MS24061397</v>
          </cell>
          <cell r="G3624">
            <v>9</v>
          </cell>
          <cell r="H3624" t="str">
            <v>10X-3-转录组</v>
          </cell>
          <cell r="I3624" t="str">
            <v>GZQ</v>
          </cell>
          <cell r="J3624">
            <v>56.6</v>
          </cell>
          <cell r="N3624" t="e">
            <v>#DIV/0!</v>
          </cell>
        </row>
        <row r="3625">
          <cell r="E3625" t="str">
            <v>HGC-Lib-2455310</v>
          </cell>
          <cell r="F3625" t="str">
            <v>MS24061398</v>
          </cell>
          <cell r="G3625">
            <v>9</v>
          </cell>
          <cell r="H3625" t="str">
            <v>10X-3-转录组</v>
          </cell>
          <cell r="I3625" t="str">
            <v>GZQ</v>
          </cell>
          <cell r="J3625">
            <v>30</v>
          </cell>
          <cell r="N3625" t="e">
            <v>#DIV/0!</v>
          </cell>
        </row>
        <row r="3626">
          <cell r="E3626" t="str">
            <v>HGC-Lib-2455311</v>
          </cell>
          <cell r="F3626" t="str">
            <v>MS24061400</v>
          </cell>
          <cell r="G3626">
            <v>9</v>
          </cell>
          <cell r="H3626" t="str">
            <v>10X-3-转录组</v>
          </cell>
          <cell r="I3626" t="str">
            <v>GZQ</v>
          </cell>
          <cell r="J3626">
            <v>34.6</v>
          </cell>
          <cell r="N3626" t="e">
            <v>#DIV/0!</v>
          </cell>
        </row>
        <row r="3627">
          <cell r="E3627" t="str">
            <v>HGC-Lib-2455312</v>
          </cell>
          <cell r="F3627" t="str">
            <v>MS24061418</v>
          </cell>
          <cell r="G3627">
            <v>9</v>
          </cell>
          <cell r="H3627" t="str">
            <v>10X-3-转录组</v>
          </cell>
          <cell r="I3627" t="str">
            <v>GZQ</v>
          </cell>
          <cell r="J3627">
            <v>31.6</v>
          </cell>
          <cell r="N3627" t="e">
            <v>#DIV/0!</v>
          </cell>
        </row>
        <row r="3628">
          <cell r="E3628" t="str">
            <v>HGC-Lib-2455313</v>
          </cell>
          <cell r="F3628" t="str">
            <v>MS24061419</v>
          </cell>
          <cell r="G3628">
            <v>9</v>
          </cell>
          <cell r="H3628" t="str">
            <v>10X-3-转录组</v>
          </cell>
          <cell r="I3628" t="str">
            <v>GZQ</v>
          </cell>
          <cell r="J3628">
            <v>23.2</v>
          </cell>
          <cell r="N3628" t="e">
            <v>#DIV/0!</v>
          </cell>
        </row>
        <row r="3629">
          <cell r="E3629" t="str">
            <v>HGC-Lib-2455314</v>
          </cell>
          <cell r="F3629" t="str">
            <v>MS24061407</v>
          </cell>
          <cell r="G3629">
            <v>90</v>
          </cell>
          <cell r="H3629" t="str">
            <v>10X-3-转录组</v>
          </cell>
          <cell r="I3629" t="str">
            <v>GZQ</v>
          </cell>
          <cell r="J3629">
            <v>28</v>
          </cell>
          <cell r="N3629" t="e">
            <v>#DIV/0!</v>
          </cell>
        </row>
        <row r="3630">
          <cell r="E3630" t="str">
            <v>HGC-Lib-2455315</v>
          </cell>
          <cell r="F3630" t="str">
            <v>MS24061377</v>
          </cell>
          <cell r="G3630">
            <v>90</v>
          </cell>
          <cell r="H3630" t="str">
            <v>10X-3-转录组</v>
          </cell>
          <cell r="I3630" t="str">
            <v>GZQ</v>
          </cell>
          <cell r="J3630">
            <v>70.2</v>
          </cell>
          <cell r="N3630" t="e">
            <v>#DIV/0!</v>
          </cell>
        </row>
        <row r="3631">
          <cell r="E3631" t="str">
            <v>HGC-Lib-2455316</v>
          </cell>
          <cell r="F3631" t="str">
            <v>MS24061369</v>
          </cell>
          <cell r="G3631">
            <v>90</v>
          </cell>
          <cell r="H3631" t="str">
            <v>10X-3-转录组</v>
          </cell>
          <cell r="I3631" t="str">
            <v>GZQ</v>
          </cell>
          <cell r="J3631">
            <v>27.4</v>
          </cell>
          <cell r="N3631" t="e">
            <v>#DIV/0!</v>
          </cell>
        </row>
        <row r="3632">
          <cell r="E3632" t="str">
            <v>HGC-Lib-2455317</v>
          </cell>
          <cell r="F3632" t="str">
            <v>MS24061409</v>
          </cell>
          <cell r="G3632">
            <v>90</v>
          </cell>
          <cell r="H3632" t="str">
            <v>10X-3-转录组</v>
          </cell>
          <cell r="I3632" t="str">
            <v>GZQ</v>
          </cell>
          <cell r="J3632">
            <v>22.8</v>
          </cell>
          <cell r="N3632" t="e">
            <v>#DIV/0!</v>
          </cell>
        </row>
        <row r="3633">
          <cell r="E3633" t="str">
            <v>HGC-Lib-2455318</v>
          </cell>
          <cell r="F3633" t="str">
            <v>MS24061410</v>
          </cell>
          <cell r="G3633">
            <v>90</v>
          </cell>
          <cell r="H3633" t="str">
            <v>10X-3-转录组</v>
          </cell>
          <cell r="I3633" t="str">
            <v>GZQ</v>
          </cell>
          <cell r="J3633">
            <v>16.7</v>
          </cell>
          <cell r="N3633" t="e">
            <v>#DIV/0!</v>
          </cell>
        </row>
        <row r="3634">
          <cell r="E3634" t="str">
            <v>HGC-Lib-2455319</v>
          </cell>
          <cell r="F3634" t="str">
            <v>MS24071051</v>
          </cell>
          <cell r="G3634">
            <v>90</v>
          </cell>
          <cell r="H3634" t="str">
            <v>10X-3-转录组</v>
          </cell>
          <cell r="I3634" t="str">
            <v>GZQ</v>
          </cell>
          <cell r="J3634">
            <v>18.399999999999999</v>
          </cell>
          <cell r="N3634" t="e">
            <v>#DIV/0!</v>
          </cell>
        </row>
        <row r="3635">
          <cell r="E3635" t="str">
            <v>HGC-Lib-2455320</v>
          </cell>
          <cell r="F3635" t="str">
            <v>MS24071077</v>
          </cell>
          <cell r="G3635">
            <v>90</v>
          </cell>
          <cell r="H3635" t="str">
            <v>10X-3-转录组</v>
          </cell>
          <cell r="I3635" t="str">
            <v>GZQ</v>
          </cell>
          <cell r="J3635">
            <v>20.6</v>
          </cell>
          <cell r="N3635" t="e">
            <v>#DIV/0!</v>
          </cell>
        </row>
        <row r="3636">
          <cell r="E3636" t="str">
            <v>HGC-Lib-2455321</v>
          </cell>
          <cell r="F3636" t="str">
            <v>MS24071078</v>
          </cell>
          <cell r="G3636">
            <v>90</v>
          </cell>
          <cell r="H3636" t="str">
            <v>10X-3-转录组</v>
          </cell>
          <cell r="I3636" t="str">
            <v>GZQ</v>
          </cell>
          <cell r="J3636">
            <v>19.5</v>
          </cell>
          <cell r="N3636" t="e">
            <v>#DIV/0!</v>
          </cell>
        </row>
        <row r="3637">
          <cell r="E3637" t="str">
            <v>HGC-Lib-2455322</v>
          </cell>
          <cell r="F3637" t="str">
            <v>MS24070042</v>
          </cell>
          <cell r="G3637">
            <v>90</v>
          </cell>
          <cell r="H3637" t="str">
            <v>10X-3-转录组</v>
          </cell>
          <cell r="I3637" t="str">
            <v>GZQ</v>
          </cell>
          <cell r="J3637">
            <v>15.3</v>
          </cell>
          <cell r="N3637" t="e">
            <v>#DIV/0!</v>
          </cell>
        </row>
        <row r="3638">
          <cell r="E3638" t="str">
            <v>HGC-Lib-2455323</v>
          </cell>
          <cell r="F3638" t="str">
            <v>MS24060176</v>
          </cell>
          <cell r="G3638">
            <v>108</v>
          </cell>
          <cell r="H3638" t="str">
            <v>10X-3-转录组</v>
          </cell>
          <cell r="I3638" t="str">
            <v>GZQ</v>
          </cell>
          <cell r="J3638">
            <v>79.8</v>
          </cell>
          <cell r="N3638" t="e">
            <v>#DIV/0!</v>
          </cell>
        </row>
        <row r="3639">
          <cell r="E3639" t="str">
            <v>HGC-Lib-2455324</v>
          </cell>
          <cell r="F3639" t="str">
            <v>MS24060177</v>
          </cell>
          <cell r="G3639">
            <v>108</v>
          </cell>
          <cell r="H3639" t="str">
            <v>10X-3-转录组</v>
          </cell>
          <cell r="I3639" t="str">
            <v>GZQ</v>
          </cell>
          <cell r="J3639">
            <v>29</v>
          </cell>
          <cell r="N3639" t="e">
            <v>#DIV/0!</v>
          </cell>
        </row>
        <row r="3640">
          <cell r="E3640" t="str">
            <v>HGC-Lib-2455325</v>
          </cell>
          <cell r="F3640" t="str">
            <v>MS24061331</v>
          </cell>
          <cell r="G3640">
            <v>90</v>
          </cell>
          <cell r="H3640" t="str">
            <v>10X-3-转录组</v>
          </cell>
          <cell r="I3640" t="str">
            <v>GZQ</v>
          </cell>
          <cell r="J3640">
            <v>44.6</v>
          </cell>
          <cell r="N3640" t="e">
            <v>#DIV/0!</v>
          </cell>
        </row>
        <row r="3641">
          <cell r="E3641" t="str">
            <v>HGC-Lib-2455326</v>
          </cell>
          <cell r="F3641" t="str">
            <v>MS24061381</v>
          </cell>
          <cell r="G3641">
            <v>9</v>
          </cell>
          <cell r="H3641" t="str">
            <v>10X-3-转录组</v>
          </cell>
          <cell r="I3641" t="str">
            <v>GZQ</v>
          </cell>
          <cell r="J3641">
            <v>55.2</v>
          </cell>
          <cell r="N3641" t="e">
            <v>#DIV/0!</v>
          </cell>
        </row>
        <row r="3642">
          <cell r="E3642" t="str">
            <v>HGC-Lib-2455327</v>
          </cell>
          <cell r="F3642" t="str">
            <v>MS24061382</v>
          </cell>
          <cell r="G3642">
            <v>9</v>
          </cell>
          <cell r="H3642" t="str">
            <v>10X-3-转录组</v>
          </cell>
          <cell r="I3642" t="str">
            <v>GZQ</v>
          </cell>
          <cell r="J3642">
            <v>33.799999999999997</v>
          </cell>
          <cell r="N3642" t="e">
            <v>#DIV/0!</v>
          </cell>
        </row>
        <row r="3643">
          <cell r="E3643" t="str">
            <v>HGC-Lib-2455328</v>
          </cell>
          <cell r="F3643" t="str">
            <v>MS24061406</v>
          </cell>
          <cell r="G3643">
            <v>90</v>
          </cell>
          <cell r="H3643" t="str">
            <v>10X-3-转录组</v>
          </cell>
          <cell r="I3643" t="str">
            <v>GZQ</v>
          </cell>
          <cell r="J3643">
            <v>41.6</v>
          </cell>
          <cell r="N3643" t="e">
            <v>#DIV/0!</v>
          </cell>
        </row>
        <row r="3644">
          <cell r="E3644" t="str">
            <v>HGC-Lib-2455329</v>
          </cell>
          <cell r="F3644" t="str">
            <v>MS24071087</v>
          </cell>
          <cell r="G3644">
            <v>90</v>
          </cell>
          <cell r="H3644" t="str">
            <v>10X-3-转录组</v>
          </cell>
          <cell r="I3644" t="str">
            <v>GZQ</v>
          </cell>
          <cell r="J3644">
            <v>16.5</v>
          </cell>
          <cell r="N3644" t="e">
            <v>#DIV/0!</v>
          </cell>
        </row>
        <row r="3645">
          <cell r="E3645" t="str">
            <v>HGC-Lib-2455330</v>
          </cell>
          <cell r="F3645" t="str">
            <v>MS24071088</v>
          </cell>
          <cell r="G3645">
            <v>90</v>
          </cell>
          <cell r="H3645" t="str">
            <v>10X-3-转录组</v>
          </cell>
          <cell r="I3645" t="str">
            <v>GZQ</v>
          </cell>
          <cell r="J3645">
            <v>19.7</v>
          </cell>
          <cell r="N3645" t="e">
            <v>#DIV/0!</v>
          </cell>
        </row>
        <row r="3646">
          <cell r="E3646" t="str">
            <v>HGC-Lib-2455331</v>
          </cell>
          <cell r="F3646" t="str">
            <v>MS24071090</v>
          </cell>
          <cell r="G3646">
            <v>90</v>
          </cell>
          <cell r="H3646" t="str">
            <v>10X-3-转录组</v>
          </cell>
          <cell r="I3646" t="str">
            <v>GZQ</v>
          </cell>
          <cell r="J3646">
            <v>17.8</v>
          </cell>
          <cell r="N3646" t="e">
            <v>#DIV/0!</v>
          </cell>
        </row>
        <row r="3647">
          <cell r="E3647" t="str">
            <v>HGC-Lib-2455332</v>
          </cell>
          <cell r="F3647" t="str">
            <v>MS24071092</v>
          </cell>
          <cell r="G3647">
            <v>90</v>
          </cell>
          <cell r="H3647" t="str">
            <v>10X-3-转录组</v>
          </cell>
          <cell r="I3647" t="str">
            <v>GZQ</v>
          </cell>
          <cell r="J3647">
            <v>16.7</v>
          </cell>
          <cell r="N3647" t="e">
            <v>#DIV/0!</v>
          </cell>
        </row>
        <row r="3648">
          <cell r="E3648" t="str">
            <v>HGC-Lib-2455333</v>
          </cell>
          <cell r="F3648" t="str">
            <v>MS24071063</v>
          </cell>
          <cell r="G3648">
            <v>108</v>
          </cell>
          <cell r="H3648" t="str">
            <v>10X-3-转录组</v>
          </cell>
          <cell r="I3648" t="str">
            <v>GZQ</v>
          </cell>
          <cell r="J3648">
            <v>19.7</v>
          </cell>
          <cell r="N3648" t="e">
            <v>#DIV/0!</v>
          </cell>
        </row>
        <row r="3649">
          <cell r="E3649" t="str">
            <v>HGC-Lib-2455334</v>
          </cell>
          <cell r="F3649" t="str">
            <v>MS24071064</v>
          </cell>
          <cell r="G3649">
            <v>108</v>
          </cell>
          <cell r="H3649" t="str">
            <v>10X-3-转录组</v>
          </cell>
          <cell r="I3649" t="str">
            <v>GZQ</v>
          </cell>
          <cell r="J3649">
            <v>19.8</v>
          </cell>
          <cell r="N3649" t="e">
            <v>#DIV/0!</v>
          </cell>
        </row>
        <row r="3650">
          <cell r="E3650" t="str">
            <v>HGC-Lib-2455335</v>
          </cell>
          <cell r="F3650" t="str">
            <v>MS24060156</v>
          </cell>
          <cell r="G3650">
            <v>90</v>
          </cell>
          <cell r="H3650" t="str">
            <v>10X-3-转录组</v>
          </cell>
          <cell r="I3650" t="str">
            <v>GZQ</v>
          </cell>
          <cell r="J3650">
            <v>94.8</v>
          </cell>
          <cell r="N3650" t="e">
            <v>#DIV/0!</v>
          </cell>
        </row>
        <row r="3651">
          <cell r="E3651" t="str">
            <v>HGC-Lib-2455336</v>
          </cell>
          <cell r="F3651" t="str">
            <v>MS24060157</v>
          </cell>
          <cell r="G3651">
            <v>90</v>
          </cell>
          <cell r="H3651" t="str">
            <v>10X-3-转录组</v>
          </cell>
          <cell r="I3651" t="str">
            <v>GZQ</v>
          </cell>
          <cell r="J3651">
            <v>28.4</v>
          </cell>
          <cell r="N3651" t="e">
            <v>#DIV/0!</v>
          </cell>
        </row>
        <row r="3652">
          <cell r="E3652" t="str">
            <v>HGC-Lib-2455337</v>
          </cell>
          <cell r="F3652" t="str">
            <v>MS24061295</v>
          </cell>
          <cell r="G3652">
            <v>9</v>
          </cell>
          <cell r="H3652" t="str">
            <v>10X-3-转录组</v>
          </cell>
          <cell r="I3652" t="str">
            <v>GZQ</v>
          </cell>
          <cell r="J3652">
            <v>37.4</v>
          </cell>
          <cell r="N3652" t="e">
            <v>#DIV/0!</v>
          </cell>
        </row>
        <row r="3653">
          <cell r="E3653" t="str">
            <v>HGC-Lib-2455338</v>
          </cell>
          <cell r="F3653" t="str">
            <v>MS24060188</v>
          </cell>
          <cell r="G3653">
            <v>90</v>
          </cell>
          <cell r="H3653" t="str">
            <v>10X-3-转录组</v>
          </cell>
          <cell r="I3653" t="str">
            <v>GZQ</v>
          </cell>
          <cell r="J3653">
            <v>32.6</v>
          </cell>
          <cell r="N3653" t="e">
            <v>#DIV/0!</v>
          </cell>
        </row>
        <row r="3654">
          <cell r="E3654" t="str">
            <v>HGC-Lib-2455339</v>
          </cell>
          <cell r="F3654" t="str">
            <v>MS24060189</v>
          </cell>
          <cell r="G3654">
            <v>90</v>
          </cell>
          <cell r="H3654" t="str">
            <v>10X-3-转录组</v>
          </cell>
          <cell r="I3654" t="str">
            <v>GZQ</v>
          </cell>
          <cell r="J3654">
            <v>34.6</v>
          </cell>
          <cell r="N3654" t="e">
            <v>#DIV/0!</v>
          </cell>
        </row>
        <row r="3655">
          <cell r="E3655" t="str">
            <v>HGC-Lib-2455340</v>
          </cell>
          <cell r="F3655" t="str">
            <v>MS24060190</v>
          </cell>
          <cell r="G3655">
            <v>90</v>
          </cell>
          <cell r="H3655" t="str">
            <v>10X-3-转录组</v>
          </cell>
          <cell r="I3655" t="str">
            <v>GZQ</v>
          </cell>
          <cell r="J3655">
            <v>35.799999999999997</v>
          </cell>
          <cell r="N3655" t="e">
            <v>#DIV/0!</v>
          </cell>
        </row>
        <row r="3656">
          <cell r="E3656" t="str">
            <v>HGC-Lib-2455341</v>
          </cell>
          <cell r="F3656" t="str">
            <v>MS24060191</v>
          </cell>
          <cell r="G3656">
            <v>90</v>
          </cell>
          <cell r="H3656" t="str">
            <v>10X-3-转录组</v>
          </cell>
          <cell r="I3656" t="str">
            <v>GZQ</v>
          </cell>
          <cell r="J3656">
            <v>29</v>
          </cell>
          <cell r="N3656" t="e">
            <v>#DIV/0!</v>
          </cell>
        </row>
        <row r="3657">
          <cell r="E3657" t="str">
            <v>HGC-Lib-2455342</v>
          </cell>
          <cell r="F3657" t="str">
            <v>MS24060192</v>
          </cell>
          <cell r="G3657">
            <v>90</v>
          </cell>
          <cell r="H3657" t="str">
            <v>10X-3-转录组</v>
          </cell>
          <cell r="I3657" t="str">
            <v>ZZ</v>
          </cell>
          <cell r="J3657">
            <v>49.6</v>
          </cell>
          <cell r="N3657" t="e">
            <v>#DIV/0!</v>
          </cell>
        </row>
        <row r="3658">
          <cell r="E3658" t="str">
            <v>HGC-Lib-2455343</v>
          </cell>
          <cell r="F3658" t="str">
            <v>MS24060193</v>
          </cell>
          <cell r="G3658">
            <v>90</v>
          </cell>
          <cell r="H3658" t="str">
            <v>10X-3-转录组</v>
          </cell>
          <cell r="I3658" t="str">
            <v>ZZ</v>
          </cell>
          <cell r="J3658">
            <v>92.4</v>
          </cell>
          <cell r="N3658" t="e">
            <v>#DIV/0!</v>
          </cell>
        </row>
        <row r="3659">
          <cell r="E3659" t="str">
            <v>HGC-Lib-2455344</v>
          </cell>
          <cell r="F3659" t="str">
            <v>MS24061352</v>
          </cell>
          <cell r="G3659">
            <v>9</v>
          </cell>
          <cell r="H3659" t="str">
            <v>10X-3-转录组</v>
          </cell>
          <cell r="I3659" t="str">
            <v>ZZ</v>
          </cell>
          <cell r="J3659">
            <v>37.799999999999997</v>
          </cell>
          <cell r="N3659" t="e">
            <v>#DIV/0!</v>
          </cell>
        </row>
        <row r="3660">
          <cell r="E3660" t="str">
            <v>HGC-Lib-2455345</v>
          </cell>
          <cell r="F3660" t="str">
            <v>MS24061353</v>
          </cell>
          <cell r="G3660">
            <v>9</v>
          </cell>
          <cell r="H3660" t="str">
            <v>10X-3-转录组</v>
          </cell>
          <cell r="I3660" t="str">
            <v>ZZ</v>
          </cell>
          <cell r="J3660">
            <v>34.4</v>
          </cell>
          <cell r="N3660" t="e">
            <v>#DIV/0!</v>
          </cell>
        </row>
        <row r="3661">
          <cell r="E3661" t="str">
            <v>HGC-Lib-2455346</v>
          </cell>
          <cell r="F3661" t="str">
            <v>MS24061368</v>
          </cell>
          <cell r="G3661">
            <v>90</v>
          </cell>
          <cell r="H3661" t="str">
            <v>10X-3-转录组</v>
          </cell>
          <cell r="I3661" t="str">
            <v>ZZ</v>
          </cell>
          <cell r="J3661">
            <v>38.200000000000003</v>
          </cell>
          <cell r="N3661" t="e">
            <v>#DIV/0!</v>
          </cell>
        </row>
        <row r="3662">
          <cell r="E3662" t="str">
            <v>HGC-Lib-2455347</v>
          </cell>
          <cell r="F3662" t="str">
            <v>MS24061417</v>
          </cell>
          <cell r="G3662">
            <v>108</v>
          </cell>
          <cell r="H3662" t="str">
            <v>10X-3-转录组</v>
          </cell>
          <cell r="I3662" t="str">
            <v>ZZ</v>
          </cell>
          <cell r="J3662">
            <v>58.6</v>
          </cell>
          <cell r="N3662" t="e">
            <v>#DIV/0!</v>
          </cell>
        </row>
        <row r="3663">
          <cell r="E3663" t="str">
            <v>HGC-Lib-2455348</v>
          </cell>
          <cell r="F3663" t="str">
            <v>MS24070034</v>
          </cell>
          <cell r="G3663">
            <v>9</v>
          </cell>
          <cell r="H3663" t="str">
            <v>10X-3-转录组</v>
          </cell>
          <cell r="I3663" t="str">
            <v>ZZ</v>
          </cell>
          <cell r="J3663">
            <v>16.8</v>
          </cell>
          <cell r="N3663" t="e">
            <v>#DIV/0!</v>
          </cell>
        </row>
        <row r="3664">
          <cell r="E3664" t="str">
            <v>HGC-Lib-2455349</v>
          </cell>
          <cell r="F3664" t="str">
            <v>MS24070023</v>
          </cell>
          <cell r="G3664">
            <v>9</v>
          </cell>
          <cell r="H3664" t="str">
            <v>10X-3-转录组</v>
          </cell>
          <cell r="I3664" t="str">
            <v>ZZ</v>
          </cell>
          <cell r="J3664">
            <v>23.2</v>
          </cell>
          <cell r="N3664" t="e">
            <v>#DIV/0!</v>
          </cell>
        </row>
        <row r="3665">
          <cell r="E3665" t="str">
            <v>HGC-Lib-2455350</v>
          </cell>
          <cell r="F3665" t="str">
            <v>MS24070024</v>
          </cell>
          <cell r="G3665">
            <v>9</v>
          </cell>
          <cell r="H3665" t="str">
            <v>10X-3-转录组</v>
          </cell>
          <cell r="I3665" t="str">
            <v>ZZ</v>
          </cell>
          <cell r="J3665">
            <v>25.4</v>
          </cell>
          <cell r="N3665" t="e">
            <v>#DIV/0!</v>
          </cell>
        </row>
        <row r="3666">
          <cell r="E3666" t="str">
            <v>HGC-Lib-2455351</v>
          </cell>
          <cell r="F3666" t="str">
            <v>MS24070025</v>
          </cell>
          <cell r="G3666">
            <v>9</v>
          </cell>
          <cell r="H3666" t="str">
            <v>10X-3-转录组</v>
          </cell>
          <cell r="I3666" t="str">
            <v>ZZ</v>
          </cell>
          <cell r="J3666">
            <v>17.7</v>
          </cell>
          <cell r="N3666" t="e">
            <v>#DIV/0!</v>
          </cell>
        </row>
        <row r="3667">
          <cell r="E3667" t="str">
            <v>HGC-Lib-2455352</v>
          </cell>
          <cell r="F3667" t="str">
            <v>MS24070026</v>
          </cell>
          <cell r="G3667">
            <v>9</v>
          </cell>
          <cell r="H3667" t="str">
            <v>10X-3-转录组</v>
          </cell>
          <cell r="I3667" t="str">
            <v>ZZ</v>
          </cell>
          <cell r="J3667">
            <v>18.3</v>
          </cell>
          <cell r="N3667" t="e">
            <v>#DIV/0!</v>
          </cell>
        </row>
        <row r="3668">
          <cell r="E3668" t="str">
            <v>HGC-Lib-2455353</v>
          </cell>
          <cell r="F3668" t="str">
            <v>MS24060152</v>
          </cell>
          <cell r="G3668">
            <v>90</v>
          </cell>
          <cell r="H3668" t="str">
            <v>10X-3-转录组</v>
          </cell>
          <cell r="I3668" t="str">
            <v>ZZ</v>
          </cell>
          <cell r="J3668">
            <v>31.2</v>
          </cell>
          <cell r="N3668" t="e">
            <v>#DIV/0!</v>
          </cell>
        </row>
        <row r="3669">
          <cell r="E3669" t="str">
            <v>HGC-Lib-2455354</v>
          </cell>
          <cell r="F3669" t="str">
            <v>MS24060153</v>
          </cell>
          <cell r="G3669">
            <v>90</v>
          </cell>
          <cell r="H3669" t="str">
            <v>10X-3-转录组</v>
          </cell>
          <cell r="I3669" t="str">
            <v>ZZ</v>
          </cell>
          <cell r="J3669">
            <v>33.6</v>
          </cell>
          <cell r="N3669" t="e">
            <v>#DIV/0!</v>
          </cell>
        </row>
        <row r="3670">
          <cell r="E3670" t="str">
            <v>HGC-Lib-2455355</v>
          </cell>
          <cell r="F3670" t="str">
            <v>MS24060154</v>
          </cell>
          <cell r="G3670">
            <v>90</v>
          </cell>
          <cell r="H3670" t="str">
            <v>10X-3-转录组</v>
          </cell>
          <cell r="I3670" t="str">
            <v>ZZ</v>
          </cell>
          <cell r="J3670">
            <v>34.4</v>
          </cell>
          <cell r="N3670" t="e">
            <v>#DIV/0!</v>
          </cell>
        </row>
        <row r="3671">
          <cell r="E3671" t="str">
            <v>HGC-Lib-2455356</v>
          </cell>
          <cell r="F3671" t="str">
            <v>MS24060155</v>
          </cell>
          <cell r="G3671">
            <v>90</v>
          </cell>
          <cell r="H3671" t="str">
            <v>10X-3-转录组</v>
          </cell>
          <cell r="I3671" t="str">
            <v>ZZ</v>
          </cell>
          <cell r="J3671">
            <v>81</v>
          </cell>
          <cell r="N3671" t="e">
            <v>#DIV/0!</v>
          </cell>
        </row>
        <row r="3672">
          <cell r="E3672" t="str">
            <v>HGC-Lib-2455357</v>
          </cell>
          <cell r="F3672" t="str">
            <v>MS24071001</v>
          </cell>
          <cell r="G3672">
            <v>90</v>
          </cell>
          <cell r="H3672" t="str">
            <v>10X-3-转录组</v>
          </cell>
          <cell r="I3672" t="str">
            <v>ZZ</v>
          </cell>
          <cell r="J3672">
            <v>18.100000000000001</v>
          </cell>
          <cell r="N3672" t="e">
            <v>#DIV/0!</v>
          </cell>
        </row>
        <row r="3673">
          <cell r="E3673" t="str">
            <v>HGC-Lib-2455358</v>
          </cell>
          <cell r="F3673" t="str">
            <v>MS24071005</v>
          </cell>
          <cell r="G3673">
            <v>90</v>
          </cell>
          <cell r="H3673" t="str">
            <v>10X-3-转录组</v>
          </cell>
          <cell r="I3673" t="str">
            <v>ZZ</v>
          </cell>
          <cell r="J3673">
            <v>18.100000000000001</v>
          </cell>
          <cell r="N3673" t="e">
            <v>#DIV/0!</v>
          </cell>
        </row>
        <row r="3674">
          <cell r="E3674" t="str">
            <v>HGC-Lib-2455359</v>
          </cell>
          <cell r="F3674" t="str">
            <v>MS24071030</v>
          </cell>
          <cell r="G3674">
            <v>90</v>
          </cell>
          <cell r="H3674" t="str">
            <v>10X-3-转录组</v>
          </cell>
          <cell r="I3674" t="str">
            <v>ZZ</v>
          </cell>
          <cell r="J3674">
            <v>17.100000000000001</v>
          </cell>
          <cell r="N3674" t="e">
            <v>#DIV/0!</v>
          </cell>
        </row>
        <row r="3675">
          <cell r="E3675" t="str">
            <v>HGC-Lib-2455360</v>
          </cell>
          <cell r="F3675" t="str">
            <v>MS24071031</v>
          </cell>
          <cell r="G3675">
            <v>90</v>
          </cell>
          <cell r="H3675" t="str">
            <v>10X-3-转录组</v>
          </cell>
          <cell r="I3675" t="str">
            <v>ZZ</v>
          </cell>
          <cell r="J3675">
            <v>16.899999999999999</v>
          </cell>
          <cell r="N3675" t="e">
            <v>#DIV/0!</v>
          </cell>
        </row>
        <row r="3676">
          <cell r="E3676" t="str">
            <v>HGC-Lib-2455361</v>
          </cell>
          <cell r="F3676" t="str">
            <v>MS24071039</v>
          </cell>
          <cell r="G3676">
            <v>90</v>
          </cell>
          <cell r="H3676" t="str">
            <v>10X-3-转录组</v>
          </cell>
          <cell r="I3676" t="str">
            <v>ZZ</v>
          </cell>
          <cell r="J3676">
            <v>17.8</v>
          </cell>
          <cell r="N3676" t="e">
            <v>#DIV/0!</v>
          </cell>
        </row>
        <row r="3677">
          <cell r="E3677" t="str">
            <v>HGC-Lib-2455362</v>
          </cell>
          <cell r="F3677" t="str">
            <v>MS24071054</v>
          </cell>
          <cell r="G3677">
            <v>90</v>
          </cell>
          <cell r="H3677" t="str">
            <v>10X-3-转录组</v>
          </cell>
          <cell r="I3677" t="str">
            <v>ZZ</v>
          </cell>
          <cell r="J3677">
            <v>22</v>
          </cell>
          <cell r="N3677" t="e">
            <v>#DIV/0!</v>
          </cell>
        </row>
        <row r="3678">
          <cell r="E3678" t="str">
            <v>HGC-Lib-2455363</v>
          </cell>
          <cell r="F3678" t="str">
            <v>MS24070041</v>
          </cell>
          <cell r="G3678">
            <v>90</v>
          </cell>
          <cell r="H3678" t="str">
            <v>10X-3-转录组</v>
          </cell>
          <cell r="I3678" t="str">
            <v>ZZ</v>
          </cell>
          <cell r="J3678">
            <v>14.5</v>
          </cell>
          <cell r="N3678" t="e">
            <v>#DIV/0!</v>
          </cell>
        </row>
        <row r="3679">
          <cell r="E3679" t="str">
            <v>HGC-Lib-2455364</v>
          </cell>
          <cell r="F3679" t="str">
            <v>MS24060185</v>
          </cell>
          <cell r="G3679">
            <v>108</v>
          </cell>
          <cell r="H3679" t="str">
            <v>10X-3-转录组</v>
          </cell>
          <cell r="I3679" t="str">
            <v>ZZ</v>
          </cell>
          <cell r="J3679">
            <v>42.2</v>
          </cell>
          <cell r="N3679" t="e">
            <v>#DIV/0!</v>
          </cell>
        </row>
        <row r="3680">
          <cell r="E3680" t="str">
            <v>HGC-Lib-2455365</v>
          </cell>
          <cell r="F3680" t="str">
            <v>MS24060186</v>
          </cell>
          <cell r="G3680">
            <v>108</v>
          </cell>
          <cell r="H3680" t="str">
            <v>10X-3-转录组</v>
          </cell>
          <cell r="I3680" t="str">
            <v>ZZ</v>
          </cell>
          <cell r="J3680">
            <v>40.799999999999997</v>
          </cell>
          <cell r="N3680" t="e">
            <v>#DIV/0!</v>
          </cell>
        </row>
        <row r="3681">
          <cell r="E3681" t="str">
            <v>HGC-Lib-2455366</v>
          </cell>
          <cell r="F3681" t="str">
            <v>MS24061416</v>
          </cell>
          <cell r="G3681">
            <v>108</v>
          </cell>
          <cell r="H3681" t="str">
            <v>10X-3-转录组</v>
          </cell>
          <cell r="I3681" t="str">
            <v>ZZ</v>
          </cell>
          <cell r="J3681">
            <v>53.8</v>
          </cell>
          <cell r="N3681" t="e">
            <v>#DIV/0!</v>
          </cell>
        </row>
        <row r="3682">
          <cell r="E3682" t="str">
            <v>HGC-Lib-2455367</v>
          </cell>
          <cell r="F3682" t="str">
            <v>MS24071028</v>
          </cell>
          <cell r="G3682">
            <v>108</v>
          </cell>
          <cell r="H3682" t="str">
            <v>10X-3-转录组</v>
          </cell>
          <cell r="I3682" t="str">
            <v>ZZ</v>
          </cell>
          <cell r="J3682">
            <v>19</v>
          </cell>
          <cell r="N3682" t="e">
            <v>#DIV/0!</v>
          </cell>
        </row>
        <row r="3683">
          <cell r="E3683" t="str">
            <v>HGC-Lib-2455368</v>
          </cell>
          <cell r="F3683" t="str">
            <v>MS24071029</v>
          </cell>
          <cell r="G3683">
            <v>108</v>
          </cell>
          <cell r="H3683" t="str">
            <v>10X-3-转录组</v>
          </cell>
          <cell r="I3683" t="str">
            <v>ZZ</v>
          </cell>
          <cell r="J3683">
            <v>19.100000000000001</v>
          </cell>
          <cell r="N3683" t="e">
            <v>#DIV/0!</v>
          </cell>
        </row>
        <row r="3684">
          <cell r="E3684" t="str">
            <v>HGC-Lib-2455369</v>
          </cell>
          <cell r="F3684" t="str">
            <v>MS24070011</v>
          </cell>
          <cell r="G3684">
            <v>90</v>
          </cell>
          <cell r="H3684" t="str">
            <v>10X-3-转录组</v>
          </cell>
          <cell r="I3684" t="str">
            <v>ZZ</v>
          </cell>
          <cell r="J3684">
            <v>82</v>
          </cell>
          <cell r="N3684" t="e">
            <v>#DIV/0!</v>
          </cell>
        </row>
        <row r="3685">
          <cell r="E3685" t="str">
            <v>HGC-Lib-2455370</v>
          </cell>
          <cell r="F3685" t="str">
            <v>MS24071066</v>
          </cell>
          <cell r="G3685">
            <v>90</v>
          </cell>
          <cell r="H3685" t="str">
            <v>10X-3-转录组</v>
          </cell>
          <cell r="I3685" t="str">
            <v>ZZ</v>
          </cell>
          <cell r="J3685">
            <v>23.6</v>
          </cell>
          <cell r="N3685" t="e">
            <v>#DIV/0!</v>
          </cell>
        </row>
        <row r="3686">
          <cell r="E3686" t="str">
            <v>HGC-Lib-2455371</v>
          </cell>
          <cell r="F3686" t="str">
            <v>MS24070020</v>
          </cell>
          <cell r="G3686">
            <v>9</v>
          </cell>
          <cell r="H3686" t="str">
            <v>10X-3-转录组</v>
          </cell>
          <cell r="I3686" t="str">
            <v>ZZ</v>
          </cell>
          <cell r="J3686">
            <v>21.6</v>
          </cell>
          <cell r="N3686" t="e">
            <v>#DIV/0!</v>
          </cell>
        </row>
        <row r="3687">
          <cell r="E3687" t="str">
            <v>HGC-Lib-2455372</v>
          </cell>
          <cell r="F3687" t="str">
            <v>MS24070021</v>
          </cell>
          <cell r="G3687">
            <v>9</v>
          </cell>
          <cell r="H3687" t="str">
            <v>10X-3-转录组</v>
          </cell>
          <cell r="I3687" t="str">
            <v>ZZ</v>
          </cell>
          <cell r="J3687">
            <v>24.2</v>
          </cell>
          <cell r="N3687" t="e">
            <v>#DIV/0!</v>
          </cell>
        </row>
        <row r="3688">
          <cell r="E3688" t="str">
            <v>HGC-Lib-2455373</v>
          </cell>
          <cell r="F3688" t="str">
            <v>MS24070022</v>
          </cell>
          <cell r="G3688">
            <v>9</v>
          </cell>
          <cell r="H3688" t="str">
            <v>10X-3-转录组</v>
          </cell>
          <cell r="I3688" t="str">
            <v>ZZ</v>
          </cell>
          <cell r="J3688">
            <v>19.600000000000001</v>
          </cell>
          <cell r="N3688" t="e">
            <v>#DIV/0!</v>
          </cell>
        </row>
        <row r="3689">
          <cell r="E3689" t="str">
            <v>HGC-Lib-2455374</v>
          </cell>
          <cell r="F3689" t="str">
            <v>MS24060116</v>
          </cell>
          <cell r="G3689">
            <v>9</v>
          </cell>
          <cell r="H3689" t="str">
            <v>10X-3-转录组</v>
          </cell>
          <cell r="I3689" t="str">
            <v>ZZ</v>
          </cell>
          <cell r="J3689">
            <v>85</v>
          </cell>
          <cell r="N3689" t="e">
            <v>#DIV/0!</v>
          </cell>
        </row>
        <row r="3690">
          <cell r="E3690" t="str">
            <v>HGC-Lib-2455375</v>
          </cell>
          <cell r="F3690" t="str">
            <v>MS24060117</v>
          </cell>
          <cell r="G3690">
            <v>9</v>
          </cell>
          <cell r="H3690" t="str">
            <v>10X-3-转录组</v>
          </cell>
          <cell r="I3690" t="str">
            <v>ZZ</v>
          </cell>
          <cell r="J3690">
            <v>21.4</v>
          </cell>
          <cell r="N3690" t="e">
            <v>#DIV/0!</v>
          </cell>
        </row>
        <row r="3691">
          <cell r="E3691" t="str">
            <v>HGC-Lib-2455376</v>
          </cell>
          <cell r="F3691" t="str">
            <v>MS24060118</v>
          </cell>
          <cell r="G3691">
            <v>9</v>
          </cell>
          <cell r="H3691" t="str">
            <v>10X-3-转录组</v>
          </cell>
          <cell r="I3691" t="str">
            <v>ZZ</v>
          </cell>
          <cell r="J3691">
            <v>50</v>
          </cell>
          <cell r="N3691" t="e">
            <v>#DIV/0!</v>
          </cell>
        </row>
        <row r="3692">
          <cell r="E3692" t="str">
            <v>HGC-Lib-2455377</v>
          </cell>
          <cell r="F3692" t="str">
            <v>MS24060137</v>
          </cell>
          <cell r="G3692">
            <v>9</v>
          </cell>
          <cell r="H3692" t="str">
            <v>10X-3-转录组</v>
          </cell>
          <cell r="I3692" t="str">
            <v>ZZ</v>
          </cell>
          <cell r="J3692">
            <v>33.4</v>
          </cell>
          <cell r="N3692" t="e">
            <v>#DIV/0!</v>
          </cell>
        </row>
        <row r="3693">
          <cell r="E3693" t="str">
            <v>HGC-Lib-2455378</v>
          </cell>
          <cell r="F3693" t="str">
            <v>MS24060228</v>
          </cell>
          <cell r="G3693">
            <v>108</v>
          </cell>
          <cell r="H3693" t="str">
            <v>10X-3-转录组</v>
          </cell>
          <cell r="I3693" t="str">
            <v>ZZ</v>
          </cell>
          <cell r="J3693">
            <v>17.399999999999999</v>
          </cell>
          <cell r="N3693" t="e">
            <v>#DIV/0!</v>
          </cell>
        </row>
        <row r="3694">
          <cell r="E3694" t="str">
            <v>HGC-Lib-2455379</v>
          </cell>
          <cell r="F3694" t="str">
            <v>MS24060229</v>
          </cell>
          <cell r="G3694">
            <v>108</v>
          </cell>
          <cell r="H3694" t="str">
            <v>10X-3-转录组</v>
          </cell>
          <cell r="I3694" t="str">
            <v>ZZ</v>
          </cell>
          <cell r="J3694">
            <v>16.7</v>
          </cell>
          <cell r="N3694" t="e">
            <v>#DIV/0!</v>
          </cell>
        </row>
        <row r="3695">
          <cell r="E3695" t="str">
            <v>HGC-Lib-2455380</v>
          </cell>
          <cell r="F3695" t="str">
            <v>MS24061335</v>
          </cell>
          <cell r="G3695">
            <v>90</v>
          </cell>
          <cell r="H3695" t="str">
            <v>10X-3-转录组</v>
          </cell>
          <cell r="I3695" t="str">
            <v>ZZ</v>
          </cell>
          <cell r="J3695">
            <v>29.8</v>
          </cell>
          <cell r="N3695" t="e">
            <v>#DIV/0!</v>
          </cell>
        </row>
        <row r="3696">
          <cell r="E3696" t="str">
            <v>HGC-Lib-2455381</v>
          </cell>
          <cell r="F3696" t="str">
            <v>MS24061336</v>
          </cell>
          <cell r="G3696">
            <v>90</v>
          </cell>
          <cell r="H3696" t="str">
            <v>10X-3-转录组</v>
          </cell>
          <cell r="I3696" t="str">
            <v>ZZ</v>
          </cell>
          <cell r="J3696">
            <v>29.8</v>
          </cell>
          <cell r="N3696" t="e">
            <v>#DIV/0!</v>
          </cell>
        </row>
        <row r="3697">
          <cell r="E3697" t="str">
            <v>HGC-Lib-2455382</v>
          </cell>
          <cell r="F3697" t="str">
            <v>MS24061334</v>
          </cell>
          <cell r="G3697">
            <v>90</v>
          </cell>
          <cell r="H3697" t="str">
            <v>10X-3-转录组</v>
          </cell>
          <cell r="I3697" t="str">
            <v>ZZ</v>
          </cell>
          <cell r="J3697">
            <v>57.8</v>
          </cell>
          <cell r="N3697" t="e">
            <v>#DIV/0!</v>
          </cell>
        </row>
        <row r="3698">
          <cell r="E3698" t="str">
            <v>HGC-Lib-2455383</v>
          </cell>
          <cell r="F3698" t="str">
            <v>MS24071004</v>
          </cell>
          <cell r="G3698">
            <v>90</v>
          </cell>
          <cell r="H3698" t="str">
            <v>10X-3-转录组</v>
          </cell>
          <cell r="I3698" t="str">
            <v>ZZ</v>
          </cell>
          <cell r="J3698">
            <v>19.600000000000001</v>
          </cell>
          <cell r="N3698" t="e">
            <v>#DIV/0!</v>
          </cell>
        </row>
        <row r="3699">
          <cell r="E3699" t="str">
            <v>HGC-Lib-2455384</v>
          </cell>
          <cell r="F3699" t="str">
            <v>MS24061414</v>
          </cell>
          <cell r="G3699">
            <v>108</v>
          </cell>
          <cell r="H3699" t="str">
            <v>10X-3-转录组</v>
          </cell>
          <cell r="I3699" t="str">
            <v>ZZ</v>
          </cell>
          <cell r="J3699">
            <v>59.4</v>
          </cell>
          <cell r="N3699" t="e">
            <v>#DIV/0!</v>
          </cell>
        </row>
        <row r="3700">
          <cell r="E3700" t="str">
            <v>HGC-Lib-2455385</v>
          </cell>
          <cell r="F3700" t="str">
            <v>MS24061415</v>
          </cell>
          <cell r="G3700">
            <v>108</v>
          </cell>
          <cell r="H3700" t="str">
            <v>10X-3-转录组</v>
          </cell>
          <cell r="I3700" t="str">
            <v>ZZ</v>
          </cell>
          <cell r="J3700">
            <v>58.2</v>
          </cell>
          <cell r="N3700" t="e">
            <v>#DIV/0!</v>
          </cell>
        </row>
        <row r="3701">
          <cell r="E3701" t="str">
            <v>HGC-Lib-2455386</v>
          </cell>
          <cell r="F3701" t="str">
            <v>MS24061411</v>
          </cell>
          <cell r="G3701">
            <v>90</v>
          </cell>
          <cell r="H3701" t="str">
            <v>10X-3-转录组</v>
          </cell>
          <cell r="I3701" t="str">
            <v>ZZ</v>
          </cell>
          <cell r="J3701">
            <v>19.100000000000001</v>
          </cell>
          <cell r="N3701" t="e">
            <v>#DIV/0!</v>
          </cell>
        </row>
        <row r="3702">
          <cell r="E3702" t="str">
            <v>HGC-Lib-2455387</v>
          </cell>
          <cell r="F3702" t="str">
            <v>MS24071025</v>
          </cell>
          <cell r="G3702">
            <v>108</v>
          </cell>
          <cell r="H3702" t="str">
            <v>10X-3-转录组</v>
          </cell>
          <cell r="I3702" t="str">
            <v>ZZ</v>
          </cell>
          <cell r="J3702">
            <v>16.600000000000001</v>
          </cell>
          <cell r="N3702" t="e">
            <v>#DIV/0!</v>
          </cell>
        </row>
        <row r="3703">
          <cell r="E3703" t="str">
            <v>HGC-Lib-2455388</v>
          </cell>
          <cell r="F3703" t="str">
            <v>MS24071026</v>
          </cell>
          <cell r="G3703">
            <v>108</v>
          </cell>
          <cell r="H3703" t="str">
            <v>10X-3-转录组</v>
          </cell>
          <cell r="I3703" t="str">
            <v>ZZ</v>
          </cell>
          <cell r="J3703">
            <v>17.3</v>
          </cell>
          <cell r="N3703" t="e">
            <v>#DIV/0!</v>
          </cell>
        </row>
        <row r="3704">
          <cell r="E3704" t="str">
            <v>HGC-Lib-2455389</v>
          </cell>
          <cell r="F3704" t="str">
            <v>MS24071027</v>
          </cell>
          <cell r="G3704">
            <v>108</v>
          </cell>
          <cell r="H3704" t="str">
            <v>10X-3-转录组</v>
          </cell>
          <cell r="I3704" t="str">
            <v>ZZ</v>
          </cell>
          <cell r="J3704">
            <v>18.399999999999999</v>
          </cell>
          <cell r="N3704" t="e">
            <v>#DIV/0!</v>
          </cell>
        </row>
        <row r="3705">
          <cell r="E3705" t="str">
            <v>HGC-Lib-2455390</v>
          </cell>
          <cell r="F3705" t="str">
            <v>MS24060146</v>
          </cell>
          <cell r="G3705">
            <v>90</v>
          </cell>
          <cell r="H3705" t="str">
            <v>10X-3-转录组</v>
          </cell>
          <cell r="I3705" t="str">
            <v>YHT</v>
          </cell>
          <cell r="J3705">
            <v>60.2</v>
          </cell>
          <cell r="M3705" t="str">
            <v>加水50ul</v>
          </cell>
          <cell r="N3705" t="e">
            <v>#DIV/0!</v>
          </cell>
        </row>
        <row r="3706">
          <cell r="E3706" t="str">
            <v>HGC-Lib-2455391</v>
          </cell>
          <cell r="F3706" t="str">
            <v>MS24060147</v>
          </cell>
          <cell r="G3706">
            <v>90</v>
          </cell>
          <cell r="H3706" t="str">
            <v>10X-3-转录组</v>
          </cell>
          <cell r="I3706" t="str">
            <v>YHT</v>
          </cell>
          <cell r="J3706">
            <v>49.8</v>
          </cell>
          <cell r="N3706" t="e">
            <v>#DIV/0!</v>
          </cell>
        </row>
        <row r="3707">
          <cell r="E3707" t="str">
            <v>HGC-Lib-2455392</v>
          </cell>
          <cell r="F3707" t="str">
            <v>MS24060148</v>
          </cell>
          <cell r="G3707">
            <v>90</v>
          </cell>
          <cell r="H3707" t="str">
            <v>10X-3-转录组</v>
          </cell>
          <cell r="I3707" t="str">
            <v>YHT</v>
          </cell>
          <cell r="J3707">
            <v>35.6</v>
          </cell>
          <cell r="N3707" t="e">
            <v>#DIV/0!</v>
          </cell>
        </row>
        <row r="3708">
          <cell r="E3708" t="str">
            <v>HGC-Lib-2455393</v>
          </cell>
          <cell r="F3708" t="str">
            <v>MS24060149</v>
          </cell>
          <cell r="G3708">
            <v>90</v>
          </cell>
          <cell r="H3708" t="str">
            <v>10X-3-转录组</v>
          </cell>
          <cell r="I3708" t="str">
            <v>YHT</v>
          </cell>
          <cell r="J3708">
            <v>35</v>
          </cell>
          <cell r="N3708" t="e">
            <v>#DIV/0!</v>
          </cell>
        </row>
        <row r="3709">
          <cell r="E3709" t="str">
            <v>HGC-Lib-2455394</v>
          </cell>
          <cell r="F3709" t="str">
            <v>MS24061412</v>
          </cell>
          <cell r="G3709">
            <v>108</v>
          </cell>
          <cell r="H3709" t="str">
            <v>10X-3-转录组</v>
          </cell>
          <cell r="I3709" t="str">
            <v>YHT</v>
          </cell>
          <cell r="J3709">
            <v>66.8</v>
          </cell>
          <cell r="N3709" t="e">
            <v>#DIV/0!</v>
          </cell>
        </row>
        <row r="3710">
          <cell r="E3710" t="str">
            <v>HGC-Lib-2455395</v>
          </cell>
          <cell r="F3710" t="str">
            <v>MS24061413</v>
          </cell>
          <cell r="G3710">
            <v>108</v>
          </cell>
          <cell r="H3710" t="str">
            <v>10X-3-转录组</v>
          </cell>
          <cell r="I3710" t="str">
            <v>YHT</v>
          </cell>
          <cell r="J3710">
            <v>90.6</v>
          </cell>
          <cell r="N3710" t="e">
            <v>#DIV/0!</v>
          </cell>
        </row>
        <row r="3711">
          <cell r="E3711" t="str">
            <v>HGC-Lib-2455396</v>
          </cell>
          <cell r="F3711" t="str">
            <v>MS24071016</v>
          </cell>
          <cell r="G3711">
            <v>108</v>
          </cell>
          <cell r="H3711" t="str">
            <v>10X-3-转录组</v>
          </cell>
          <cell r="I3711" t="str">
            <v>YHT</v>
          </cell>
          <cell r="J3711">
            <v>14.5</v>
          </cell>
          <cell r="N3711" t="e">
            <v>#DIV/0!</v>
          </cell>
        </row>
        <row r="3712">
          <cell r="E3712" t="str">
            <v>HGC-Lib-2455397</v>
          </cell>
          <cell r="F3712" t="str">
            <v>MS24071017</v>
          </cell>
          <cell r="G3712">
            <v>108</v>
          </cell>
          <cell r="H3712" t="str">
            <v>10X-3-转录组</v>
          </cell>
          <cell r="I3712" t="str">
            <v>YHT</v>
          </cell>
          <cell r="J3712">
            <v>16.100000000000001</v>
          </cell>
          <cell r="N3712" t="e">
            <v>#DIV/0!</v>
          </cell>
        </row>
        <row r="3713">
          <cell r="E3713" t="str">
            <v>HGC-Lib-2455398</v>
          </cell>
          <cell r="F3713" t="str">
            <v>MS24071024</v>
          </cell>
          <cell r="G3713">
            <v>108</v>
          </cell>
          <cell r="H3713" t="str">
            <v>10X-3-转录组</v>
          </cell>
          <cell r="I3713" t="str">
            <v>YHT</v>
          </cell>
          <cell r="J3713">
            <v>11.9</v>
          </cell>
          <cell r="N3713" t="e">
            <v>#DIV/0!</v>
          </cell>
        </row>
        <row r="3714">
          <cell r="E3714" t="str">
            <v>HGC-Lib-2455399</v>
          </cell>
          <cell r="F3714" t="str">
            <v>MS24071036</v>
          </cell>
          <cell r="G3714">
            <v>108</v>
          </cell>
          <cell r="H3714" t="str">
            <v>10X-3-转录组</v>
          </cell>
          <cell r="I3714" t="str">
            <v>YHT</v>
          </cell>
          <cell r="J3714">
            <v>23.2</v>
          </cell>
          <cell r="N3714" t="e">
            <v>#DIV/0!</v>
          </cell>
        </row>
        <row r="3715">
          <cell r="E3715" t="str">
            <v>HGC-Lib-2455400</v>
          </cell>
          <cell r="F3715" t="str">
            <v>MS24060139</v>
          </cell>
          <cell r="G3715">
            <v>90</v>
          </cell>
          <cell r="H3715" t="str">
            <v>10X-3-转录组</v>
          </cell>
          <cell r="I3715" t="str">
            <v>YHT</v>
          </cell>
          <cell r="J3715">
            <v>38.6</v>
          </cell>
          <cell r="M3715" t="str">
            <v>加水50ul</v>
          </cell>
          <cell r="N3715" t="e">
            <v>#DIV/0!</v>
          </cell>
        </row>
        <row r="3716">
          <cell r="E3716" t="str">
            <v>HGC-Lib-2455401</v>
          </cell>
          <cell r="F3716" t="str">
            <v>MS24060140</v>
          </cell>
          <cell r="G3716">
            <v>90</v>
          </cell>
          <cell r="H3716" t="str">
            <v>10X-3-转录组</v>
          </cell>
          <cell r="I3716" t="str">
            <v>YHT</v>
          </cell>
          <cell r="J3716">
            <v>35.4</v>
          </cell>
          <cell r="N3716" t="e">
            <v>#DIV/0!</v>
          </cell>
        </row>
        <row r="3717">
          <cell r="E3717" t="str">
            <v>HGC-Lib-2455402</v>
          </cell>
          <cell r="F3717" t="str">
            <v>MS24060141</v>
          </cell>
          <cell r="G3717">
            <v>90</v>
          </cell>
          <cell r="H3717" t="str">
            <v>10X-3-转录组</v>
          </cell>
          <cell r="I3717" t="str">
            <v>YHT</v>
          </cell>
          <cell r="J3717">
            <v>36</v>
          </cell>
          <cell r="N3717" t="e">
            <v>#DIV/0!</v>
          </cell>
        </row>
        <row r="3718">
          <cell r="E3718" t="str">
            <v>HGC-Lib-2455403</v>
          </cell>
          <cell r="F3718" t="str">
            <v>MS24060142</v>
          </cell>
          <cell r="G3718">
            <v>90</v>
          </cell>
          <cell r="H3718" t="str">
            <v>10X-3-转录组</v>
          </cell>
          <cell r="I3718" t="str">
            <v>YHT</v>
          </cell>
          <cell r="J3718">
            <v>43.8</v>
          </cell>
          <cell r="N3718" t="e">
            <v>#DIV/0!</v>
          </cell>
        </row>
        <row r="3719">
          <cell r="E3719" t="str">
            <v>HGC-Lib-2455404</v>
          </cell>
          <cell r="F3719" t="str">
            <v>MS24060143</v>
          </cell>
          <cell r="G3719">
            <v>90</v>
          </cell>
          <cell r="H3719" t="str">
            <v>10X-3-转录组</v>
          </cell>
          <cell r="I3719" t="str">
            <v>YHT</v>
          </cell>
          <cell r="J3719">
            <v>40.6</v>
          </cell>
          <cell r="N3719" t="e">
            <v>#DIV/0!</v>
          </cell>
        </row>
        <row r="3720">
          <cell r="E3720" t="str">
            <v>HGC-Lib-2455405</v>
          </cell>
          <cell r="F3720" t="str">
            <v>MS24060144</v>
          </cell>
          <cell r="G3720">
            <v>90</v>
          </cell>
          <cell r="H3720" t="str">
            <v>10X-3-转录组</v>
          </cell>
          <cell r="I3720" t="str">
            <v>YHT</v>
          </cell>
          <cell r="J3720">
            <v>51.2</v>
          </cell>
          <cell r="N3720" t="e">
            <v>#DIV/0!</v>
          </cell>
        </row>
        <row r="3721">
          <cell r="E3721" t="str">
            <v>HGC-Lib-2455406</v>
          </cell>
          <cell r="F3721" t="str">
            <v>MS24060145</v>
          </cell>
          <cell r="G3721">
            <v>90</v>
          </cell>
          <cell r="H3721" t="str">
            <v>10X-3-转录组</v>
          </cell>
          <cell r="I3721" t="str">
            <v>YHT</v>
          </cell>
          <cell r="J3721">
            <v>36.4</v>
          </cell>
          <cell r="N3721" t="e">
            <v>#DIV/0!</v>
          </cell>
        </row>
        <row r="3722">
          <cell r="E3722" t="str">
            <v>HGC-Lib-2455407</v>
          </cell>
          <cell r="F3722" t="str">
            <v>MS24071015</v>
          </cell>
          <cell r="G3722">
            <v>108</v>
          </cell>
          <cell r="H3722" t="str">
            <v>10X-3-转录组</v>
          </cell>
          <cell r="I3722" t="str">
            <v>YHT</v>
          </cell>
          <cell r="J3722">
            <v>13.2</v>
          </cell>
          <cell r="N3722" t="e">
            <v>#DIV/0!</v>
          </cell>
        </row>
        <row r="3723">
          <cell r="E3723" t="str">
            <v>HGC-Lib-2455408</v>
          </cell>
          <cell r="F3723" t="str">
            <v>MS24071035</v>
          </cell>
          <cell r="G3723">
            <v>108</v>
          </cell>
          <cell r="H3723" t="str">
            <v>10X-3-转录组</v>
          </cell>
          <cell r="I3723" t="str">
            <v>YHT</v>
          </cell>
          <cell r="J3723">
            <v>26.8</v>
          </cell>
          <cell r="N3723" t="e">
            <v>#DIV/0!</v>
          </cell>
        </row>
        <row r="3724">
          <cell r="E3724" t="str">
            <v>HGC-Lib-2455409</v>
          </cell>
          <cell r="F3724" t="str">
            <v>MS24071034</v>
          </cell>
          <cell r="G3724">
            <v>108</v>
          </cell>
          <cell r="H3724" t="str">
            <v>10X-3-转录组</v>
          </cell>
          <cell r="I3724" t="str">
            <v>YHT</v>
          </cell>
          <cell r="J3724">
            <v>89.8</v>
          </cell>
          <cell r="N3724" t="e">
            <v>#DIV/0!</v>
          </cell>
        </row>
        <row r="3725">
          <cell r="E3725" t="str">
            <v>HGC-Lib-2455410</v>
          </cell>
          <cell r="F3725" t="str">
            <v>MS24070018</v>
          </cell>
          <cell r="G3725">
            <v>9</v>
          </cell>
          <cell r="H3725" t="str">
            <v>10X-3-转录组</v>
          </cell>
          <cell r="I3725" t="str">
            <v>YHT</v>
          </cell>
          <cell r="J3725">
            <v>21</v>
          </cell>
          <cell r="N3725" t="e">
            <v>#DIV/0!</v>
          </cell>
        </row>
        <row r="3726">
          <cell r="E3726" t="str">
            <v>HGC-Lib-2455411</v>
          </cell>
          <cell r="F3726" t="str">
            <v>MS24070019</v>
          </cell>
          <cell r="G3726">
            <v>9</v>
          </cell>
          <cell r="H3726" t="str">
            <v>10X-3-转录组</v>
          </cell>
          <cell r="I3726" t="str">
            <v>YHT</v>
          </cell>
          <cell r="J3726">
            <v>22.2</v>
          </cell>
          <cell r="N3726" t="e">
            <v>#DIV/0!</v>
          </cell>
        </row>
        <row r="3727">
          <cell r="E3727" t="str">
            <v>HGC-Lib-2455412</v>
          </cell>
          <cell r="F3727" t="str">
            <v>MS24060114</v>
          </cell>
          <cell r="G3727">
            <v>9</v>
          </cell>
          <cell r="H3727" t="str">
            <v>10X-3-转录组</v>
          </cell>
          <cell r="I3727" t="str">
            <v>YHT</v>
          </cell>
          <cell r="J3727">
            <v>22.8</v>
          </cell>
          <cell r="N3727" t="e">
            <v>#DIV/0!</v>
          </cell>
        </row>
        <row r="3728">
          <cell r="E3728" t="str">
            <v>HGC-Lib-2455413</v>
          </cell>
          <cell r="F3728" t="str">
            <v>MS24060115</v>
          </cell>
          <cell r="G3728">
            <v>9</v>
          </cell>
          <cell r="H3728" t="str">
            <v>10X-3-转录组</v>
          </cell>
          <cell r="I3728" t="str">
            <v>YHT</v>
          </cell>
          <cell r="J3728">
            <v>38.200000000000003</v>
          </cell>
          <cell r="N3728" t="e">
            <v>#DIV/0!</v>
          </cell>
        </row>
        <row r="3729">
          <cell r="E3729" t="str">
            <v>HGC-Lib-2455414</v>
          </cell>
          <cell r="F3729" t="str">
            <v>MS24060168</v>
          </cell>
          <cell r="G3729">
            <v>90</v>
          </cell>
          <cell r="H3729" t="str">
            <v>10X-3-转录组</v>
          </cell>
          <cell r="I3729" t="str">
            <v>YHT</v>
          </cell>
          <cell r="J3729">
            <v>21.2</v>
          </cell>
          <cell r="N3729" t="e">
            <v>#DIV/0!</v>
          </cell>
        </row>
        <row r="3730">
          <cell r="E3730" t="str">
            <v>HGC-Lib-2455415</v>
          </cell>
          <cell r="F3730" t="str">
            <v>MS24060138</v>
          </cell>
          <cell r="G3730">
            <v>90</v>
          </cell>
          <cell r="H3730" t="str">
            <v>10X-3-转录组</v>
          </cell>
          <cell r="I3730" t="str">
            <v>YHT</v>
          </cell>
          <cell r="J3730">
            <v>37.4</v>
          </cell>
          <cell r="M3730" t="str">
            <v>加水50ul</v>
          </cell>
          <cell r="N3730" t="e">
            <v>#DIV/0!</v>
          </cell>
        </row>
        <row r="3731">
          <cell r="E3731" t="str">
            <v>HGC-Lib-2455416</v>
          </cell>
          <cell r="F3731" t="str">
            <v>MS24061332</v>
          </cell>
          <cell r="G3731">
            <v>90</v>
          </cell>
          <cell r="H3731" t="str">
            <v>10X-3-转录组</v>
          </cell>
          <cell r="I3731" t="str">
            <v>YHT</v>
          </cell>
          <cell r="J3731">
            <v>30.6</v>
          </cell>
          <cell r="N3731" t="e">
            <v>#DIV/0!</v>
          </cell>
        </row>
        <row r="3732">
          <cell r="E3732" t="str">
            <v>HGC-Lib-2455417</v>
          </cell>
          <cell r="F3732" t="str">
            <v>MS24061333</v>
          </cell>
          <cell r="G3732">
            <v>90</v>
          </cell>
          <cell r="H3732" t="str">
            <v>10X-3-转录组</v>
          </cell>
          <cell r="I3732" t="str">
            <v>YHT</v>
          </cell>
          <cell r="J3732">
            <v>62.4</v>
          </cell>
          <cell r="N3732" t="e">
            <v>#DIV/0!</v>
          </cell>
        </row>
        <row r="3733">
          <cell r="E3733" t="str">
            <v>HGC-Lib-2455418</v>
          </cell>
          <cell r="F3733" t="str">
            <v>MS24071006</v>
          </cell>
          <cell r="G3733">
            <v>90</v>
          </cell>
          <cell r="H3733" t="str">
            <v>10X-3-转录组</v>
          </cell>
          <cell r="I3733" t="str">
            <v>YHT</v>
          </cell>
          <cell r="J3733">
            <v>14.7</v>
          </cell>
          <cell r="N3733" t="e">
            <v>#DIV/0!</v>
          </cell>
        </row>
        <row r="3734">
          <cell r="E3734" t="str">
            <v>HGC-Lib-2455419</v>
          </cell>
          <cell r="F3734" t="str">
            <v>MS24071007</v>
          </cell>
          <cell r="G3734">
            <v>90</v>
          </cell>
          <cell r="H3734" t="str">
            <v>10X-3-转录组</v>
          </cell>
          <cell r="I3734" t="str">
            <v>YHT</v>
          </cell>
          <cell r="J3734">
            <v>17.5</v>
          </cell>
          <cell r="N3734" t="e">
            <v>#DIV/0!</v>
          </cell>
        </row>
        <row r="3735">
          <cell r="E3735" t="str">
            <v>HGC-Lib-2455420</v>
          </cell>
          <cell r="F3735" t="str">
            <v>MS24071008</v>
          </cell>
          <cell r="G3735">
            <v>90</v>
          </cell>
          <cell r="H3735" t="str">
            <v>10X-3-转录组</v>
          </cell>
          <cell r="I3735" t="str">
            <v>YHT</v>
          </cell>
          <cell r="J3735">
            <v>44.4</v>
          </cell>
          <cell r="N3735" t="e">
            <v>#DIV/0!</v>
          </cell>
        </row>
        <row r="3736">
          <cell r="E3736" t="str">
            <v>HGC-Lib-2455421</v>
          </cell>
          <cell r="F3736" t="str">
            <v>MS24060231</v>
          </cell>
          <cell r="G3736">
            <v>108</v>
          </cell>
          <cell r="H3736" t="str">
            <v>10X-3-转录组</v>
          </cell>
          <cell r="I3736" t="str">
            <v>YHT</v>
          </cell>
          <cell r="J3736">
            <v>17.5</v>
          </cell>
          <cell r="N3736" t="e">
            <v>#DIV/0!</v>
          </cell>
        </row>
        <row r="3737">
          <cell r="E3737" t="str">
            <v>HGC-Lib-2455422</v>
          </cell>
          <cell r="F3737" t="str">
            <v>MS24070015</v>
          </cell>
          <cell r="G3737">
            <v>90</v>
          </cell>
          <cell r="H3737" t="str">
            <v>10X-3-转录组</v>
          </cell>
          <cell r="I3737" t="str">
            <v>YHT</v>
          </cell>
          <cell r="J3737">
            <v>14</v>
          </cell>
          <cell r="N3737" t="e">
            <v>#DIV/0!</v>
          </cell>
        </row>
        <row r="3738">
          <cell r="E3738" t="str">
            <v>HGC-Lib-2455423</v>
          </cell>
          <cell r="F3738" t="str">
            <v>MS24070012</v>
          </cell>
          <cell r="G3738">
            <v>90</v>
          </cell>
          <cell r="H3738" t="str">
            <v>10X-3-转录组</v>
          </cell>
          <cell r="I3738" t="str">
            <v>YHT</v>
          </cell>
          <cell r="J3738">
            <v>18.7</v>
          </cell>
          <cell r="N3738" t="e">
            <v>#DIV/0!</v>
          </cell>
        </row>
        <row r="3739">
          <cell r="E3739" t="str">
            <v>HGC-Lib-2455424</v>
          </cell>
          <cell r="F3739" t="str">
            <v>MS24070013</v>
          </cell>
          <cell r="G3739">
            <v>90</v>
          </cell>
          <cell r="H3739" t="str">
            <v>10X-3-转录组</v>
          </cell>
          <cell r="I3739" t="str">
            <v>YHT</v>
          </cell>
          <cell r="J3739">
            <v>16.899999999999999</v>
          </cell>
          <cell r="N3739" t="e">
            <v>#DIV/0!</v>
          </cell>
        </row>
        <row r="3740">
          <cell r="E3740" t="str">
            <v>HGC-Lib-2455425</v>
          </cell>
          <cell r="F3740" t="str">
            <v>MS24061420</v>
          </cell>
          <cell r="G3740">
            <v>9</v>
          </cell>
          <cell r="H3740" t="str">
            <v>10X-3-转录组</v>
          </cell>
          <cell r="I3740" t="str">
            <v>YHT</v>
          </cell>
          <cell r="J3740">
            <v>37.799999999999997</v>
          </cell>
          <cell r="N3740" t="e">
            <v>#DIV/0!</v>
          </cell>
        </row>
        <row r="3741">
          <cell r="E3741" t="str">
            <v>HGC-Lib-2455426</v>
          </cell>
          <cell r="F3741" t="str">
            <v>MS24061421</v>
          </cell>
          <cell r="G3741">
            <v>9</v>
          </cell>
          <cell r="H3741" t="str">
            <v>10X-3-转录组</v>
          </cell>
          <cell r="I3741" t="str">
            <v>YHT</v>
          </cell>
          <cell r="J3741">
            <v>48.4</v>
          </cell>
          <cell r="N3741" t="e">
            <v>#DIV/0!</v>
          </cell>
        </row>
        <row r="3742">
          <cell r="E3742" t="str">
            <v>HGC-Lib-2455427</v>
          </cell>
          <cell r="F3742" t="str">
            <v>MS24071003</v>
          </cell>
          <cell r="G3742">
            <v>90</v>
          </cell>
          <cell r="H3742" t="str">
            <v>10X-3-转录组</v>
          </cell>
          <cell r="I3742" t="str">
            <v>YHT</v>
          </cell>
          <cell r="J3742">
            <v>83.8</v>
          </cell>
          <cell r="N3742" t="e">
            <v>#DIV/0!</v>
          </cell>
        </row>
        <row r="3743">
          <cell r="E3743" t="str">
            <v>HGC-Lib-2455428</v>
          </cell>
          <cell r="F3743" t="str">
            <v>MS24061408</v>
          </cell>
          <cell r="G3743">
            <v>90</v>
          </cell>
          <cell r="H3743" t="str">
            <v>10X-3-转录组</v>
          </cell>
          <cell r="I3743" t="str">
            <v>YHT</v>
          </cell>
          <cell r="J3743">
            <v>19.2</v>
          </cell>
          <cell r="N3743" t="e">
            <v>#DIV/0!</v>
          </cell>
        </row>
        <row r="3744">
          <cell r="E3744" t="str">
            <v>HGC-Lib-2455429</v>
          </cell>
          <cell r="F3744" t="str">
            <v>MS24060230</v>
          </cell>
          <cell r="G3744">
            <v>108</v>
          </cell>
          <cell r="H3744" t="str">
            <v>10X-3-转录组</v>
          </cell>
          <cell r="I3744" t="str">
            <v>YHT</v>
          </cell>
          <cell r="J3744">
            <v>15.8</v>
          </cell>
          <cell r="N3744" t="e">
            <v>#DIV/0!</v>
          </cell>
        </row>
        <row r="3745">
          <cell r="E3745" t="str">
            <v>HGC-Lib-2455430</v>
          </cell>
          <cell r="F3745" t="str">
            <v>MS24070014</v>
          </cell>
          <cell r="G3745">
            <v>90</v>
          </cell>
          <cell r="H3745" t="str">
            <v>10X-3-转录组</v>
          </cell>
          <cell r="I3745" t="str">
            <v>YHT</v>
          </cell>
          <cell r="J3745">
            <v>17.2</v>
          </cell>
          <cell r="N3745" t="e">
            <v>#DIV/0!</v>
          </cell>
        </row>
        <row r="3746">
          <cell r="E3746" t="str">
            <v>HGC-Lib-2455431</v>
          </cell>
          <cell r="F3746" t="str">
            <v>MS24061401</v>
          </cell>
          <cell r="G3746">
            <v>9</v>
          </cell>
          <cell r="H3746" t="str">
            <v>10X-5-转录组</v>
          </cell>
          <cell r="I3746" t="str">
            <v>YHT</v>
          </cell>
          <cell r="J3746">
            <v>23.8</v>
          </cell>
          <cell r="N3746" t="e">
            <v>#DIV/0!</v>
          </cell>
        </row>
        <row r="3747">
          <cell r="E3747" t="str">
            <v>HGC-Lib-2455432</v>
          </cell>
          <cell r="F3747" t="str">
            <v>MS24071019</v>
          </cell>
          <cell r="G3747">
            <v>9</v>
          </cell>
          <cell r="H3747" t="str">
            <v>10X-5-转录组</v>
          </cell>
          <cell r="I3747" t="str">
            <v>YHT</v>
          </cell>
          <cell r="J3747">
            <v>17.399999999999999</v>
          </cell>
          <cell r="N3747" t="e">
            <v>#DIV/0!</v>
          </cell>
        </row>
        <row r="3748">
          <cell r="E3748" t="str">
            <v>HGC-Lib-2455433</v>
          </cell>
          <cell r="F3748" t="str">
            <v>MS24071020</v>
          </cell>
          <cell r="G3748">
            <v>9</v>
          </cell>
          <cell r="H3748" t="str">
            <v>10X-5-转录组</v>
          </cell>
          <cell r="I3748" t="str">
            <v>YHT</v>
          </cell>
          <cell r="J3748">
            <v>20.8</v>
          </cell>
          <cell r="N3748" t="e">
            <v>#DIV/0!</v>
          </cell>
        </row>
        <row r="3749">
          <cell r="E3749" t="str">
            <v>HGC-Lib-2455434</v>
          </cell>
          <cell r="F3749" t="str">
            <v>MS24071021</v>
          </cell>
          <cell r="G3749">
            <v>9</v>
          </cell>
          <cell r="H3749" t="str">
            <v>10X-5-转录组</v>
          </cell>
          <cell r="I3749" t="str">
            <v>YHT</v>
          </cell>
          <cell r="J3749">
            <v>18.2</v>
          </cell>
          <cell r="N3749" t="e">
            <v>#DIV/0!</v>
          </cell>
        </row>
        <row r="3750">
          <cell r="E3750" t="str">
            <v>HGC-Lib-2455435</v>
          </cell>
          <cell r="F3750" t="str">
            <v>MS24071022</v>
          </cell>
          <cell r="G3750">
            <v>9</v>
          </cell>
          <cell r="H3750" t="str">
            <v>10X-5-转录组</v>
          </cell>
          <cell r="I3750" t="str">
            <v>YHT</v>
          </cell>
          <cell r="J3750">
            <v>18.8</v>
          </cell>
          <cell r="N3750" t="e">
            <v>#DIV/0!</v>
          </cell>
        </row>
        <row r="3751">
          <cell r="E3751" t="str">
            <v>HGC-Lib-2455436</v>
          </cell>
          <cell r="F3751" t="str">
            <v>MS24071023</v>
          </cell>
          <cell r="G3751">
            <v>9</v>
          </cell>
          <cell r="H3751" t="str">
            <v>10X-5-转录组</v>
          </cell>
          <cell r="I3751" t="str">
            <v>YHT</v>
          </cell>
          <cell r="J3751">
            <v>24</v>
          </cell>
          <cell r="N3751" t="e">
            <v>#DIV/0!</v>
          </cell>
        </row>
        <row r="3752">
          <cell r="E3752" t="str">
            <v>HGC-Lib-2455437</v>
          </cell>
          <cell r="F3752" t="str">
            <v>MS24071058</v>
          </cell>
          <cell r="G3752">
            <v>108</v>
          </cell>
          <cell r="H3752" t="str">
            <v>10X-5-转录组</v>
          </cell>
          <cell r="I3752" t="str">
            <v>YHT</v>
          </cell>
          <cell r="J3752">
            <v>24.2</v>
          </cell>
          <cell r="N3752" t="e">
            <v>#DIV/0!</v>
          </cell>
        </row>
        <row r="3753">
          <cell r="E3753" t="str">
            <v>HGC-Lib-2455438</v>
          </cell>
          <cell r="F3753" t="str">
            <v>MS24071095</v>
          </cell>
          <cell r="G3753">
            <v>90</v>
          </cell>
          <cell r="H3753" t="str">
            <v>10X-5-转录组</v>
          </cell>
          <cell r="I3753" t="str">
            <v>YHT</v>
          </cell>
          <cell r="J3753">
            <v>23.4</v>
          </cell>
          <cell r="N3753" t="e">
            <v>#DIV/0!</v>
          </cell>
        </row>
        <row r="3754">
          <cell r="E3754" t="str">
            <v>HGC-Lib-2455439</v>
          </cell>
          <cell r="F3754" t="str">
            <v>MS24071096</v>
          </cell>
          <cell r="G3754">
            <v>90</v>
          </cell>
          <cell r="H3754" t="str">
            <v>10X-5-转录组</v>
          </cell>
          <cell r="I3754" t="str">
            <v>YHT</v>
          </cell>
          <cell r="J3754">
            <v>22.6</v>
          </cell>
          <cell r="N3754" t="e">
            <v>#DIV/0!</v>
          </cell>
        </row>
        <row r="3755">
          <cell r="E3755" t="str">
            <v>HGC-Lib-2455440</v>
          </cell>
          <cell r="F3755" t="str">
            <v>MS24071097</v>
          </cell>
          <cell r="G3755">
            <v>90</v>
          </cell>
          <cell r="H3755" t="str">
            <v>10X-5-转录组</v>
          </cell>
          <cell r="I3755" t="str">
            <v>YHT</v>
          </cell>
          <cell r="J3755">
            <v>21.8</v>
          </cell>
          <cell r="N3755" t="e">
            <v>#DIV/0!</v>
          </cell>
        </row>
        <row r="3756">
          <cell r="E3756" t="str">
            <v>HGC-Lib-2455441</v>
          </cell>
          <cell r="F3756" t="str">
            <v>D24070177</v>
          </cell>
          <cell r="G3756">
            <v>31</v>
          </cell>
          <cell r="H3756" t="str">
            <v>重测序</v>
          </cell>
          <cell r="I3756" t="str">
            <v>WWH</v>
          </cell>
          <cell r="J3756">
            <v>28.1</v>
          </cell>
          <cell r="N3756" t="e">
            <v>#DIV/0!</v>
          </cell>
        </row>
        <row r="3757">
          <cell r="E3757" t="str">
            <v>HGC-Lib-2455442</v>
          </cell>
          <cell r="F3757" t="str">
            <v>D24070178</v>
          </cell>
          <cell r="G3757">
            <v>31</v>
          </cell>
          <cell r="H3757" t="str">
            <v>重测序</v>
          </cell>
          <cell r="I3757" t="str">
            <v>WWH</v>
          </cell>
          <cell r="J3757">
            <v>28.62</v>
          </cell>
          <cell r="N3757" t="e">
            <v>#DIV/0!</v>
          </cell>
        </row>
        <row r="3758">
          <cell r="E3758" t="str">
            <v>HGC-Lib-2455443</v>
          </cell>
          <cell r="F3758" t="str">
            <v>D24070179</v>
          </cell>
          <cell r="G3758">
            <v>31</v>
          </cell>
          <cell r="H3758" t="str">
            <v>重测序</v>
          </cell>
          <cell r="I3758" t="str">
            <v>WWH</v>
          </cell>
          <cell r="J3758">
            <v>27.14</v>
          </cell>
          <cell r="N3758" t="e">
            <v>#DIV/0!</v>
          </cell>
        </row>
        <row r="3759">
          <cell r="E3759" t="str">
            <v>HGC-Lib-2455444</v>
          </cell>
          <cell r="F3759" t="str">
            <v>D24070180</v>
          </cell>
          <cell r="G3759">
            <v>31</v>
          </cell>
          <cell r="H3759" t="str">
            <v>重测序</v>
          </cell>
          <cell r="I3759" t="str">
            <v>WWH</v>
          </cell>
          <cell r="J3759">
            <v>20.92</v>
          </cell>
          <cell r="N3759" t="e">
            <v>#DIV/0!</v>
          </cell>
        </row>
        <row r="3760">
          <cell r="E3760" t="str">
            <v>HGC-Lib-2455445</v>
          </cell>
          <cell r="F3760" t="str">
            <v>D24070181</v>
          </cell>
          <cell r="G3760">
            <v>31</v>
          </cell>
          <cell r="H3760" t="str">
            <v>重测序</v>
          </cell>
          <cell r="I3760" t="str">
            <v>WWH</v>
          </cell>
          <cell r="J3760">
            <v>24.47</v>
          </cell>
          <cell r="N3760" t="e">
            <v>#DIV/0!</v>
          </cell>
        </row>
        <row r="3761">
          <cell r="E3761" t="str">
            <v>HGC-Lib-2455446</v>
          </cell>
          <cell r="F3761" t="str">
            <v>D24070182</v>
          </cell>
          <cell r="G3761">
            <v>31</v>
          </cell>
          <cell r="H3761" t="str">
            <v>重测序</v>
          </cell>
          <cell r="I3761" t="str">
            <v>WWH</v>
          </cell>
          <cell r="J3761">
            <v>23.49</v>
          </cell>
          <cell r="N3761" t="e">
            <v>#DIV/0!</v>
          </cell>
        </row>
        <row r="3762">
          <cell r="E3762" t="str">
            <v>HGC-Lib-2455447</v>
          </cell>
          <cell r="F3762" t="str">
            <v>D24060885</v>
          </cell>
          <cell r="G3762">
            <v>5</v>
          </cell>
          <cell r="H3762" t="str">
            <v>重测序</v>
          </cell>
          <cell r="I3762" t="str">
            <v>WWH</v>
          </cell>
          <cell r="J3762">
            <v>11.88</v>
          </cell>
          <cell r="N3762" t="e">
            <v>#DIV/0!</v>
          </cell>
        </row>
        <row r="3763">
          <cell r="E3763" t="str">
            <v>HGC-Lib-2455448</v>
          </cell>
          <cell r="F3763" t="str">
            <v>D24060886</v>
          </cell>
          <cell r="G3763">
            <v>5</v>
          </cell>
          <cell r="H3763" t="str">
            <v>重测序</v>
          </cell>
          <cell r="I3763" t="str">
            <v>WWH</v>
          </cell>
          <cell r="J3763">
            <v>10.199999999999999</v>
          </cell>
          <cell r="N3763" t="e">
            <v>#DIV/0!</v>
          </cell>
        </row>
        <row r="3764">
          <cell r="E3764" t="str">
            <v>HGC-Lib-2455449</v>
          </cell>
          <cell r="F3764" t="str">
            <v>D24060887</v>
          </cell>
          <cell r="G3764">
            <v>5</v>
          </cell>
          <cell r="H3764" t="str">
            <v>重测序</v>
          </cell>
          <cell r="I3764" t="str">
            <v>WWH</v>
          </cell>
          <cell r="J3764">
            <v>15.61</v>
          </cell>
          <cell r="N3764" t="e">
            <v>#DIV/0!</v>
          </cell>
        </row>
        <row r="3765">
          <cell r="E3765" t="str">
            <v>HGC-Lib-2455450</v>
          </cell>
          <cell r="F3765" t="str">
            <v>D24060888</v>
          </cell>
          <cell r="G3765">
            <v>5</v>
          </cell>
          <cell r="H3765" t="str">
            <v>重测序</v>
          </cell>
          <cell r="I3765" t="str">
            <v>WWH</v>
          </cell>
          <cell r="J3765">
            <v>20</v>
          </cell>
          <cell r="N3765" t="e">
            <v>#DIV/0!</v>
          </cell>
        </row>
        <row r="3766">
          <cell r="E3766" t="str">
            <v>HGC-Lib-2455451</v>
          </cell>
          <cell r="F3766" t="str">
            <v>D24060889</v>
          </cell>
          <cell r="G3766">
            <v>5</v>
          </cell>
          <cell r="H3766" t="str">
            <v>重测序</v>
          </cell>
          <cell r="I3766" t="str">
            <v>WWH</v>
          </cell>
          <cell r="J3766">
            <v>14.6</v>
          </cell>
          <cell r="N3766" t="e">
            <v>#DIV/0!</v>
          </cell>
        </row>
        <row r="3767">
          <cell r="E3767" t="str">
            <v>HGC-Lib-2455452</v>
          </cell>
          <cell r="F3767" t="str">
            <v>D24060890</v>
          </cell>
          <cell r="G3767">
            <v>5</v>
          </cell>
          <cell r="H3767" t="str">
            <v>重测序</v>
          </cell>
          <cell r="I3767" t="str">
            <v>WWH</v>
          </cell>
          <cell r="J3767">
            <v>12.41</v>
          </cell>
          <cell r="N3767" t="e">
            <v>#DIV/0!</v>
          </cell>
        </row>
        <row r="3768">
          <cell r="E3768" t="str">
            <v>HGC-Lib-2455453</v>
          </cell>
          <cell r="F3768" t="str">
            <v>D24070011</v>
          </cell>
          <cell r="G3768">
            <v>5</v>
          </cell>
          <cell r="H3768" t="str">
            <v>重测序</v>
          </cell>
          <cell r="I3768" t="str">
            <v>WWH</v>
          </cell>
          <cell r="J3768">
            <v>23.77</v>
          </cell>
          <cell r="N3768" t="e">
            <v>#DIV/0!</v>
          </cell>
        </row>
        <row r="3769">
          <cell r="E3769" t="str">
            <v>HGC-Lib-2455454</v>
          </cell>
          <cell r="F3769" t="str">
            <v>D24070012</v>
          </cell>
          <cell r="G3769">
            <v>5</v>
          </cell>
          <cell r="H3769" t="str">
            <v>重测序</v>
          </cell>
          <cell r="I3769" t="str">
            <v>WWH</v>
          </cell>
          <cell r="J3769">
            <v>17.25</v>
          </cell>
          <cell r="N3769" t="e">
            <v>#DIV/0!</v>
          </cell>
        </row>
        <row r="3770">
          <cell r="E3770" t="str">
            <v>HGC-Lib-2455455</v>
          </cell>
          <cell r="F3770" t="str">
            <v>D24070013</v>
          </cell>
          <cell r="G3770">
            <v>5</v>
          </cell>
          <cell r="H3770" t="str">
            <v>重测序</v>
          </cell>
          <cell r="I3770" t="str">
            <v>WWH</v>
          </cell>
          <cell r="J3770">
            <v>14.06</v>
          </cell>
          <cell r="N3770" t="e">
            <v>#DIV/0!</v>
          </cell>
        </row>
        <row r="3771">
          <cell r="E3771" t="str">
            <v>HGC-Lib-2455456</v>
          </cell>
          <cell r="F3771" t="str">
            <v>D24070014</v>
          </cell>
          <cell r="G3771">
            <v>5</v>
          </cell>
          <cell r="H3771" t="str">
            <v>重测序</v>
          </cell>
          <cell r="I3771" t="str">
            <v>WWH</v>
          </cell>
          <cell r="J3771">
            <v>15.56</v>
          </cell>
          <cell r="N3771" t="e">
            <v>#DIV/0!</v>
          </cell>
        </row>
        <row r="3772">
          <cell r="E3772" t="str">
            <v>HGC-Lib-2455457</v>
          </cell>
          <cell r="F3772" t="str">
            <v>D24070015</v>
          </cell>
          <cell r="G3772">
            <v>5</v>
          </cell>
          <cell r="H3772" t="str">
            <v>重测序</v>
          </cell>
          <cell r="I3772" t="str">
            <v>WWH</v>
          </cell>
          <cell r="J3772">
            <v>13.29</v>
          </cell>
          <cell r="N3772" t="e">
            <v>#DIV/0!</v>
          </cell>
        </row>
        <row r="3773">
          <cell r="E3773" t="str">
            <v>HGC-Lib-2455458</v>
          </cell>
          <cell r="F3773" t="str">
            <v>D24070017</v>
          </cell>
          <cell r="G3773">
            <v>5</v>
          </cell>
          <cell r="H3773" t="str">
            <v>重测序</v>
          </cell>
          <cell r="I3773" t="str">
            <v>WWH</v>
          </cell>
          <cell r="J3773">
            <v>21.42</v>
          </cell>
          <cell r="N3773" t="e">
            <v>#DIV/0!</v>
          </cell>
        </row>
        <row r="3774">
          <cell r="E3774" t="str">
            <v>HGC-Lib-2455459</v>
          </cell>
          <cell r="F3774" t="str">
            <v>D24070018</v>
          </cell>
          <cell r="G3774">
            <v>5</v>
          </cell>
          <cell r="H3774" t="str">
            <v>重测序</v>
          </cell>
          <cell r="I3774" t="str">
            <v>WWH</v>
          </cell>
          <cell r="J3774">
            <v>15.66</v>
          </cell>
          <cell r="N3774" t="e">
            <v>#DIV/0!</v>
          </cell>
        </row>
        <row r="3775">
          <cell r="E3775" t="str">
            <v>HGC-Lib-2455460</v>
          </cell>
          <cell r="F3775" t="str">
            <v>D24070019</v>
          </cell>
          <cell r="G3775">
            <v>5</v>
          </cell>
          <cell r="H3775" t="str">
            <v>重测序</v>
          </cell>
          <cell r="I3775" t="str">
            <v>WWH</v>
          </cell>
          <cell r="J3775">
            <v>11.78</v>
          </cell>
          <cell r="N3775" t="e">
            <v>#DIV/0!</v>
          </cell>
        </row>
        <row r="3776">
          <cell r="E3776" t="str">
            <v>HGC-Lib-2455461</v>
          </cell>
          <cell r="F3776" t="str">
            <v>D24070020</v>
          </cell>
          <cell r="G3776">
            <v>5</v>
          </cell>
          <cell r="H3776" t="str">
            <v>重测序</v>
          </cell>
          <cell r="I3776" t="str">
            <v>WWH</v>
          </cell>
          <cell r="J3776">
            <v>16.940000000000001</v>
          </cell>
          <cell r="N3776" t="e">
            <v>#DIV/0!</v>
          </cell>
        </row>
        <row r="3777">
          <cell r="E3777" t="str">
            <v>HGC-Lib-2455462</v>
          </cell>
          <cell r="F3777" t="str">
            <v>D24070022</v>
          </cell>
          <cell r="G3777">
            <v>5</v>
          </cell>
          <cell r="H3777" t="str">
            <v>重测序</v>
          </cell>
          <cell r="I3777" t="str">
            <v>WWH</v>
          </cell>
          <cell r="J3777">
            <v>17.54</v>
          </cell>
          <cell r="N3777" t="e">
            <v>#DIV/0!</v>
          </cell>
        </row>
        <row r="3778">
          <cell r="E3778" t="str">
            <v>HGC-Lib-2455463</v>
          </cell>
          <cell r="F3778" t="str">
            <v>D24070030</v>
          </cell>
          <cell r="G3778">
            <v>5</v>
          </cell>
          <cell r="H3778" t="str">
            <v>重测序</v>
          </cell>
          <cell r="I3778" t="str">
            <v>WWH</v>
          </cell>
          <cell r="J3778">
            <v>12.04</v>
          </cell>
          <cell r="N3778" t="e">
            <v>#DIV/0!</v>
          </cell>
        </row>
        <row r="3779">
          <cell r="E3779" t="str">
            <v>HGC-Lib-2455464</v>
          </cell>
          <cell r="F3779" t="str">
            <v>D24070031</v>
          </cell>
          <cell r="G3779">
            <v>5</v>
          </cell>
          <cell r="H3779" t="str">
            <v>重测序</v>
          </cell>
          <cell r="I3779" t="str">
            <v>WWH</v>
          </cell>
          <cell r="J3779">
            <v>15.23</v>
          </cell>
          <cell r="N3779" t="e">
            <v>#DIV/0!</v>
          </cell>
        </row>
        <row r="3780">
          <cell r="E3780" t="str">
            <v>HGC-Lib-2455465</v>
          </cell>
          <cell r="F3780" t="str">
            <v>D24070033</v>
          </cell>
          <cell r="G3780">
            <v>5</v>
          </cell>
          <cell r="H3780" t="str">
            <v>重测序</v>
          </cell>
          <cell r="I3780" t="str">
            <v>WWH</v>
          </cell>
          <cell r="J3780">
            <v>12.25</v>
          </cell>
          <cell r="N3780" t="e">
            <v>#DIV/0!</v>
          </cell>
        </row>
        <row r="3781">
          <cell r="E3781" t="str">
            <v>HGC-Lib-2455466</v>
          </cell>
          <cell r="F3781" t="str">
            <v>D24070041</v>
          </cell>
          <cell r="G3781">
            <v>5</v>
          </cell>
          <cell r="H3781" t="str">
            <v>重测序</v>
          </cell>
          <cell r="I3781" t="str">
            <v>WWH</v>
          </cell>
          <cell r="J3781">
            <v>14.49</v>
          </cell>
          <cell r="N3781" t="e">
            <v>#DIV/0!</v>
          </cell>
        </row>
        <row r="3782">
          <cell r="E3782" t="str">
            <v>HGC-Lib-2455467</v>
          </cell>
          <cell r="F3782" t="str">
            <v>D24070052</v>
          </cell>
          <cell r="G3782">
            <v>5</v>
          </cell>
          <cell r="H3782" t="str">
            <v>重测序</v>
          </cell>
          <cell r="I3782" t="str">
            <v>WWH</v>
          </cell>
          <cell r="J3782">
            <v>15.93</v>
          </cell>
          <cell r="N3782" t="e">
            <v>#DIV/0!</v>
          </cell>
        </row>
        <row r="3783">
          <cell r="E3783" t="str">
            <v>HGC-Lib-2455468</v>
          </cell>
          <cell r="F3783" t="str">
            <v>D24070062</v>
          </cell>
          <cell r="G3783">
            <v>5</v>
          </cell>
          <cell r="H3783" t="str">
            <v>重测序</v>
          </cell>
          <cell r="I3783" t="str">
            <v>WWH</v>
          </cell>
          <cell r="J3783">
            <v>12.01</v>
          </cell>
          <cell r="N3783" t="e">
            <v>#DIV/0!</v>
          </cell>
        </row>
        <row r="3784">
          <cell r="E3784" t="str">
            <v>HGC-Lib-2455469</v>
          </cell>
          <cell r="F3784" t="str">
            <v>D24070069</v>
          </cell>
          <cell r="G3784">
            <v>5</v>
          </cell>
          <cell r="H3784" t="str">
            <v>重测序</v>
          </cell>
          <cell r="I3784" t="str">
            <v>WWH</v>
          </cell>
          <cell r="J3784">
            <v>9.86</v>
          </cell>
          <cell r="N3784" t="e">
            <v>#DIV/0!</v>
          </cell>
        </row>
        <row r="3785">
          <cell r="E3785" t="str">
            <v>HGC-Lib-2455470</v>
          </cell>
          <cell r="F3785" t="str">
            <v>D24070078</v>
          </cell>
          <cell r="G3785">
            <v>5</v>
          </cell>
          <cell r="H3785" t="str">
            <v>重测序</v>
          </cell>
          <cell r="I3785" t="str">
            <v>WWH</v>
          </cell>
          <cell r="J3785">
            <v>15.67</v>
          </cell>
          <cell r="N3785" t="e">
            <v>#DIV/0!</v>
          </cell>
        </row>
        <row r="3786">
          <cell r="E3786" t="str">
            <v>HGC-Lib-2455471</v>
          </cell>
          <cell r="F3786" t="str">
            <v>D24070093</v>
          </cell>
          <cell r="G3786">
            <v>5</v>
          </cell>
          <cell r="H3786" t="str">
            <v>重测序</v>
          </cell>
          <cell r="I3786" t="str">
            <v>WWH</v>
          </cell>
          <cell r="J3786">
            <v>17.66</v>
          </cell>
          <cell r="N3786" t="e">
            <v>#DIV/0!</v>
          </cell>
        </row>
        <row r="3787">
          <cell r="E3787" t="str">
            <v>HGC-Lib-2455472</v>
          </cell>
          <cell r="F3787" t="str">
            <v>D24070094</v>
          </cell>
          <cell r="G3787">
            <v>5</v>
          </cell>
          <cell r="H3787" t="str">
            <v>重测序</v>
          </cell>
          <cell r="I3787" t="str">
            <v>WWH</v>
          </cell>
          <cell r="J3787">
            <v>9.85</v>
          </cell>
          <cell r="N3787" t="e">
            <v>#DIV/0!</v>
          </cell>
        </row>
        <row r="3788">
          <cell r="E3788" t="str">
            <v>HGC-Lib-2455473</v>
          </cell>
          <cell r="F3788" t="str">
            <v>D24070095</v>
          </cell>
          <cell r="G3788">
            <v>5</v>
          </cell>
          <cell r="H3788" t="str">
            <v>重测序</v>
          </cell>
          <cell r="I3788" t="str">
            <v>WWH</v>
          </cell>
          <cell r="J3788">
            <v>16.89</v>
          </cell>
          <cell r="N3788" t="e">
            <v>#DIV/0!</v>
          </cell>
        </row>
        <row r="3789">
          <cell r="E3789" t="str">
            <v>HGC-Lib-2455474</v>
          </cell>
          <cell r="F3789" t="str">
            <v>D24070096</v>
          </cell>
          <cell r="G3789">
            <v>5</v>
          </cell>
          <cell r="H3789" t="str">
            <v>重测序</v>
          </cell>
          <cell r="I3789" t="str">
            <v>WWH</v>
          </cell>
          <cell r="J3789">
            <v>13.65</v>
          </cell>
          <cell r="N3789" t="e">
            <v>#DIV/0!</v>
          </cell>
        </row>
        <row r="3790">
          <cell r="E3790" t="str">
            <v>HGC-Lib-2455475</v>
          </cell>
          <cell r="F3790" t="str">
            <v>D24070097</v>
          </cell>
          <cell r="G3790">
            <v>5</v>
          </cell>
          <cell r="H3790" t="str">
            <v>重测序</v>
          </cell>
          <cell r="I3790" t="str">
            <v>WWH</v>
          </cell>
          <cell r="J3790">
            <v>21.4</v>
          </cell>
          <cell r="N3790" t="e">
            <v>#DIV/0!</v>
          </cell>
        </row>
        <row r="3791">
          <cell r="E3791" t="str">
            <v>HGC-Lib-2455476</v>
          </cell>
          <cell r="F3791" t="str">
            <v>D24070098</v>
          </cell>
          <cell r="G3791">
            <v>5</v>
          </cell>
          <cell r="H3791" t="str">
            <v>重测序</v>
          </cell>
          <cell r="I3791" t="str">
            <v>WWH</v>
          </cell>
          <cell r="J3791">
            <v>16.2</v>
          </cell>
          <cell r="N3791" t="e">
            <v>#DIV/0!</v>
          </cell>
        </row>
        <row r="3792">
          <cell r="E3792" t="str">
            <v>HGC-Lib-2455477</v>
          </cell>
          <cell r="F3792" t="str">
            <v>D24070099</v>
          </cell>
          <cell r="G3792">
            <v>5</v>
          </cell>
          <cell r="H3792" t="str">
            <v>重测序</v>
          </cell>
          <cell r="I3792" t="str">
            <v>WWH</v>
          </cell>
          <cell r="J3792">
            <v>13.88</v>
          </cell>
          <cell r="N3792" t="e">
            <v>#DIV/0!</v>
          </cell>
        </row>
        <row r="3793">
          <cell r="E3793" t="str">
            <v>HGC-Lib-2455478</v>
          </cell>
          <cell r="F3793" t="str">
            <v>D24070101</v>
          </cell>
          <cell r="G3793">
            <v>5</v>
          </cell>
          <cell r="H3793" t="str">
            <v>重测序</v>
          </cell>
          <cell r="I3793" t="str">
            <v>WWH</v>
          </cell>
          <cell r="J3793">
            <v>13.15</v>
          </cell>
          <cell r="N3793" t="e">
            <v>#DIV/0!</v>
          </cell>
        </row>
        <row r="3794">
          <cell r="E3794" t="str">
            <v>HGC-Lib-2455479</v>
          </cell>
          <cell r="F3794" t="str">
            <v>D24070102</v>
          </cell>
          <cell r="G3794">
            <v>5</v>
          </cell>
          <cell r="H3794" t="str">
            <v>重测序</v>
          </cell>
          <cell r="I3794" t="str">
            <v>WWH</v>
          </cell>
          <cell r="J3794">
            <v>22.63</v>
          </cell>
          <cell r="N3794" t="e">
            <v>#DIV/0!</v>
          </cell>
        </row>
        <row r="3795">
          <cell r="E3795" t="str">
            <v>HGC-Lib-2455480</v>
          </cell>
          <cell r="F3795" t="str">
            <v>D24070103</v>
          </cell>
          <cell r="G3795">
            <v>5</v>
          </cell>
          <cell r="H3795" t="str">
            <v>重测序</v>
          </cell>
          <cell r="I3795" t="str">
            <v>WWH</v>
          </cell>
          <cell r="J3795">
            <v>12.28</v>
          </cell>
          <cell r="N3795" t="e">
            <v>#DIV/0!</v>
          </cell>
        </row>
        <row r="3796">
          <cell r="E3796" t="str">
            <v>HGC-Lib-2455481</v>
          </cell>
          <cell r="F3796" t="str">
            <v>D24070104</v>
          </cell>
          <cell r="G3796">
            <v>5</v>
          </cell>
          <cell r="H3796" t="str">
            <v>重测序</v>
          </cell>
          <cell r="I3796" t="str">
            <v>WWH</v>
          </cell>
          <cell r="J3796">
            <v>10.37</v>
          </cell>
          <cell r="N3796" t="e">
            <v>#DIV/0!</v>
          </cell>
        </row>
        <row r="3797">
          <cell r="E3797" t="str">
            <v>HGC-Lib-2455482</v>
          </cell>
          <cell r="F3797" t="str">
            <v>D24070105</v>
          </cell>
          <cell r="G3797">
            <v>5</v>
          </cell>
          <cell r="H3797" t="str">
            <v>重测序</v>
          </cell>
          <cell r="I3797" t="str">
            <v>WWH</v>
          </cell>
          <cell r="J3797">
            <v>19.670000000000002</v>
          </cell>
          <cell r="N3797" t="e">
            <v>#DIV/0!</v>
          </cell>
        </row>
        <row r="3798">
          <cell r="E3798" t="str">
            <v>HGC-Lib-2455483</v>
          </cell>
          <cell r="F3798" t="str">
            <v>D24070106</v>
          </cell>
          <cell r="G3798">
            <v>5</v>
          </cell>
          <cell r="H3798" t="str">
            <v>重测序</v>
          </cell>
          <cell r="I3798" t="str">
            <v>WWH</v>
          </cell>
          <cell r="J3798">
            <v>13.48</v>
          </cell>
          <cell r="N3798" t="e">
            <v>#DIV/0!</v>
          </cell>
        </row>
        <row r="3799">
          <cell r="E3799" t="str">
            <v>HGC-Lib-2455484</v>
          </cell>
          <cell r="F3799" t="str">
            <v>D24070107</v>
          </cell>
          <cell r="G3799">
            <v>5</v>
          </cell>
          <cell r="H3799" t="str">
            <v>重测序</v>
          </cell>
          <cell r="I3799" t="str">
            <v>WWH</v>
          </cell>
          <cell r="J3799">
            <v>12.56</v>
          </cell>
          <cell r="N3799" t="e">
            <v>#DIV/0!</v>
          </cell>
        </row>
        <row r="3800">
          <cell r="E3800" t="str">
            <v>HGC-Lib-2455485</v>
          </cell>
          <cell r="F3800" t="str">
            <v>D24070108</v>
          </cell>
          <cell r="G3800">
            <v>5</v>
          </cell>
          <cell r="H3800" t="str">
            <v>重测序</v>
          </cell>
          <cell r="I3800" t="str">
            <v>WWH</v>
          </cell>
          <cell r="J3800">
            <v>9.92</v>
          </cell>
          <cell r="N3800" t="e">
            <v>#DIV/0!</v>
          </cell>
        </row>
        <row r="3801">
          <cell r="E3801" t="str">
            <v>HGC-Lib-2455486</v>
          </cell>
          <cell r="F3801" t="str">
            <v>D24070109</v>
          </cell>
          <cell r="G3801">
            <v>5</v>
          </cell>
          <cell r="H3801" t="str">
            <v>重测序</v>
          </cell>
          <cell r="I3801" t="str">
            <v>WWH</v>
          </cell>
          <cell r="J3801">
            <v>19.64</v>
          </cell>
          <cell r="N3801" t="e">
            <v>#DIV/0!</v>
          </cell>
        </row>
        <row r="3802">
          <cell r="E3802" t="str">
            <v>HGC-Lib-2455487</v>
          </cell>
          <cell r="F3802" t="str">
            <v>D24070110</v>
          </cell>
          <cell r="G3802">
            <v>5</v>
          </cell>
          <cell r="H3802" t="str">
            <v>重测序</v>
          </cell>
          <cell r="I3802" t="str">
            <v>WWH</v>
          </cell>
          <cell r="J3802">
            <v>14.54</v>
          </cell>
          <cell r="N3802" t="e">
            <v>#DIV/0!</v>
          </cell>
        </row>
        <row r="3803">
          <cell r="E3803" t="str">
            <v>HGC-Lib-2455488</v>
          </cell>
          <cell r="F3803" t="str">
            <v>D24070111</v>
          </cell>
          <cell r="G3803">
            <v>5</v>
          </cell>
          <cell r="H3803" t="str">
            <v>重测序</v>
          </cell>
          <cell r="I3803" t="str">
            <v>WWH</v>
          </cell>
          <cell r="J3803">
            <v>22.81</v>
          </cell>
          <cell r="N3803" t="e">
            <v>#DIV/0!</v>
          </cell>
        </row>
        <row r="3804">
          <cell r="E3804" t="str">
            <v>HGC-Lib-2455489</v>
          </cell>
          <cell r="F3804" t="str">
            <v>D24070112</v>
          </cell>
          <cell r="G3804">
            <v>5</v>
          </cell>
          <cell r="H3804" t="str">
            <v>重测序</v>
          </cell>
          <cell r="I3804" t="str">
            <v>WWH</v>
          </cell>
          <cell r="J3804">
            <v>12.89</v>
          </cell>
          <cell r="N3804" t="e">
            <v>#DIV/0!</v>
          </cell>
        </row>
        <row r="3805">
          <cell r="E3805" t="str">
            <v>HGC-Lib-2455490</v>
          </cell>
          <cell r="F3805" t="str">
            <v>D24070113</v>
          </cell>
          <cell r="G3805">
            <v>5</v>
          </cell>
          <cell r="H3805" t="str">
            <v>重测序</v>
          </cell>
          <cell r="I3805" t="str">
            <v>WWH</v>
          </cell>
          <cell r="J3805">
            <v>18.84</v>
          </cell>
          <cell r="N3805" t="e">
            <v>#DIV/0!</v>
          </cell>
        </row>
        <row r="3806">
          <cell r="E3806" t="str">
            <v>HGC-Lib-2455491</v>
          </cell>
          <cell r="F3806" t="str">
            <v>D24070114</v>
          </cell>
          <cell r="G3806">
            <v>5</v>
          </cell>
          <cell r="H3806" t="str">
            <v>重测序</v>
          </cell>
          <cell r="I3806" t="str">
            <v>WWH</v>
          </cell>
          <cell r="J3806">
            <v>13.44</v>
          </cell>
          <cell r="N3806" t="e">
            <v>#DIV/0!</v>
          </cell>
        </row>
        <row r="3807">
          <cell r="E3807" t="str">
            <v>HGC-Lib-2455492</v>
          </cell>
          <cell r="F3807" t="str">
            <v>D24070115</v>
          </cell>
          <cell r="G3807">
            <v>5</v>
          </cell>
          <cell r="H3807" t="str">
            <v>重测序</v>
          </cell>
          <cell r="I3807" t="str">
            <v>WWH</v>
          </cell>
          <cell r="J3807">
            <v>18.04</v>
          </cell>
          <cell r="N3807" t="e">
            <v>#DIV/0!</v>
          </cell>
        </row>
        <row r="3808">
          <cell r="E3808" t="str">
            <v>HGC-Lib-2455493</v>
          </cell>
          <cell r="F3808" t="str">
            <v>D24070116</v>
          </cell>
          <cell r="G3808">
            <v>5</v>
          </cell>
          <cell r="H3808" t="str">
            <v>重测序</v>
          </cell>
          <cell r="I3808" t="str">
            <v>WWH</v>
          </cell>
          <cell r="J3808">
            <v>14.44</v>
          </cell>
          <cell r="N3808" t="e">
            <v>#DIV/0!</v>
          </cell>
        </row>
        <row r="3809">
          <cell r="E3809" t="str">
            <v>HGC-Lib-2455494</v>
          </cell>
          <cell r="F3809" t="str">
            <v>D24070117</v>
          </cell>
          <cell r="G3809">
            <v>5</v>
          </cell>
          <cell r="H3809" t="str">
            <v>重测序</v>
          </cell>
          <cell r="I3809" t="str">
            <v>WWH</v>
          </cell>
          <cell r="J3809">
            <v>10.76</v>
          </cell>
          <cell r="N3809" t="e">
            <v>#DIV/0!</v>
          </cell>
        </row>
        <row r="3810">
          <cell r="E3810" t="str">
            <v>HGC-Lib-2455495</v>
          </cell>
          <cell r="F3810" t="str">
            <v>D24070118</v>
          </cell>
          <cell r="G3810">
            <v>5</v>
          </cell>
          <cell r="H3810" t="str">
            <v>重测序</v>
          </cell>
          <cell r="I3810" t="str">
            <v>WWH</v>
          </cell>
          <cell r="J3810">
            <v>16.52</v>
          </cell>
          <cell r="N3810" t="e">
            <v>#DIV/0!</v>
          </cell>
        </row>
        <row r="3811">
          <cell r="E3811" t="str">
            <v>HGC-Lib-2455496</v>
          </cell>
          <cell r="F3811" t="str">
            <v>D24070119</v>
          </cell>
          <cell r="G3811">
            <v>5</v>
          </cell>
          <cell r="H3811" t="str">
            <v>重测序</v>
          </cell>
          <cell r="I3811" t="str">
            <v>WWH</v>
          </cell>
          <cell r="J3811">
            <v>24.63</v>
          </cell>
          <cell r="N3811" t="e">
            <v>#DIV/0!</v>
          </cell>
        </row>
        <row r="3812">
          <cell r="E3812" t="str">
            <v>HGC-Lib-2455497</v>
          </cell>
          <cell r="F3812" t="str">
            <v>D24070120</v>
          </cell>
          <cell r="G3812">
            <v>5</v>
          </cell>
          <cell r="H3812" t="str">
            <v>重测序</v>
          </cell>
          <cell r="I3812" t="str">
            <v>WWH</v>
          </cell>
          <cell r="J3812">
            <v>14.47</v>
          </cell>
          <cell r="N3812" t="e">
            <v>#DIV/0!</v>
          </cell>
        </row>
        <row r="3813">
          <cell r="E3813" t="str">
            <v>HGC-Lib-2455498</v>
          </cell>
          <cell r="F3813" t="str">
            <v>D24070121</v>
          </cell>
          <cell r="G3813">
            <v>5</v>
          </cell>
          <cell r="H3813" t="str">
            <v>重测序</v>
          </cell>
          <cell r="I3813" t="str">
            <v>WWH</v>
          </cell>
          <cell r="J3813">
            <v>15.62</v>
          </cell>
          <cell r="N3813" t="e">
            <v>#DIV/0!</v>
          </cell>
        </row>
        <row r="3814">
          <cell r="E3814" t="str">
            <v>HGC-Lib-2455499</v>
          </cell>
          <cell r="F3814" t="str">
            <v>D24070122</v>
          </cell>
          <cell r="G3814">
            <v>5</v>
          </cell>
          <cell r="H3814" t="str">
            <v>重测序</v>
          </cell>
          <cell r="I3814" t="str">
            <v>WWH</v>
          </cell>
          <cell r="J3814">
            <v>11.67</v>
          </cell>
          <cell r="N3814" t="e">
            <v>#DIV/0!</v>
          </cell>
        </row>
        <row r="3815">
          <cell r="E3815" t="str">
            <v>HGC-Lib-2455500</v>
          </cell>
          <cell r="F3815" t="str">
            <v>D24070124</v>
          </cell>
          <cell r="G3815">
            <v>5</v>
          </cell>
          <cell r="H3815" t="str">
            <v>重测序</v>
          </cell>
          <cell r="I3815" t="str">
            <v>WWH</v>
          </cell>
          <cell r="J3815">
            <v>15.02</v>
          </cell>
          <cell r="N3815" t="e">
            <v>#DIV/0!</v>
          </cell>
        </row>
        <row r="3816">
          <cell r="E3816" t="str">
            <v>HGC-Lib-2455501</v>
          </cell>
          <cell r="F3816" t="str">
            <v>D24070063</v>
          </cell>
          <cell r="G3816">
            <v>5</v>
          </cell>
          <cell r="H3816" t="str">
            <v>重测序</v>
          </cell>
          <cell r="I3816" t="str">
            <v>WWH</v>
          </cell>
          <cell r="J3816">
            <v>13.62</v>
          </cell>
          <cell r="N3816" t="e">
            <v>#DIV/0!</v>
          </cell>
        </row>
        <row r="3817">
          <cell r="E3817" t="str">
            <v>HGC-Lib-2455502</v>
          </cell>
          <cell r="F3817" t="str">
            <v>D24070071</v>
          </cell>
          <cell r="G3817">
            <v>5</v>
          </cell>
          <cell r="H3817" t="str">
            <v>重测序</v>
          </cell>
          <cell r="I3817" t="str">
            <v>WWH</v>
          </cell>
          <cell r="J3817">
            <v>11.59</v>
          </cell>
          <cell r="N3817" t="e">
            <v>#DIV/0!</v>
          </cell>
        </row>
        <row r="3818">
          <cell r="E3818" t="str">
            <v>HGC-Lib-2455503</v>
          </cell>
          <cell r="F3818" t="str">
            <v>D24070624</v>
          </cell>
          <cell r="G3818">
            <v>20</v>
          </cell>
          <cell r="H3818" t="str">
            <v>重测序</v>
          </cell>
          <cell r="I3818" t="str">
            <v>WWH</v>
          </cell>
          <cell r="J3818">
            <v>113.31</v>
          </cell>
          <cell r="N3818" t="e">
            <v>#DIV/0!</v>
          </cell>
        </row>
        <row r="3819">
          <cell r="E3819" t="str">
            <v>HGC-Lib-2455504</v>
          </cell>
          <cell r="F3819" t="str">
            <v>D24070625</v>
          </cell>
          <cell r="G3819">
            <v>20</v>
          </cell>
          <cell r="H3819" t="str">
            <v>重测序</v>
          </cell>
          <cell r="I3819" t="str">
            <v>WWH</v>
          </cell>
          <cell r="J3819">
            <v>77.010000000000005</v>
          </cell>
          <cell r="N3819" t="e">
            <v>#DIV/0!</v>
          </cell>
        </row>
        <row r="3820">
          <cell r="E3820" t="str">
            <v>HGC-Lib-2455505</v>
          </cell>
          <cell r="F3820" t="str">
            <v>D24070626</v>
          </cell>
          <cell r="G3820">
            <v>20</v>
          </cell>
          <cell r="H3820" t="str">
            <v>重测序</v>
          </cell>
          <cell r="I3820" t="str">
            <v>WWH</v>
          </cell>
          <cell r="J3820">
            <v>135.02000000000001</v>
          </cell>
          <cell r="N3820" t="e">
            <v>#DIV/0!</v>
          </cell>
        </row>
        <row r="3821">
          <cell r="E3821" t="str">
            <v>HGC-Lib-2455506</v>
          </cell>
          <cell r="F3821" t="str">
            <v>D24070627</v>
          </cell>
          <cell r="G3821">
            <v>20</v>
          </cell>
          <cell r="H3821" t="str">
            <v>重测序</v>
          </cell>
          <cell r="I3821" t="str">
            <v>WWH</v>
          </cell>
          <cell r="J3821">
            <v>79.5</v>
          </cell>
          <cell r="N3821" t="e">
            <v>#DIV/0!</v>
          </cell>
        </row>
        <row r="3822">
          <cell r="E3822" t="str">
            <v>HGC-Lib-2455507</v>
          </cell>
          <cell r="F3822" t="str">
            <v>D24070628</v>
          </cell>
          <cell r="G3822">
            <v>20</v>
          </cell>
          <cell r="H3822" t="str">
            <v>重测序</v>
          </cell>
          <cell r="I3822" t="str">
            <v>WWH</v>
          </cell>
          <cell r="J3822">
            <v>70.64</v>
          </cell>
          <cell r="N3822" t="e">
            <v>#DIV/0!</v>
          </cell>
        </row>
        <row r="3823">
          <cell r="E3823" t="str">
            <v>HGC-Lib-2455508</v>
          </cell>
          <cell r="F3823" t="str">
            <v>D24070629</v>
          </cell>
          <cell r="G3823">
            <v>20</v>
          </cell>
          <cell r="H3823" t="str">
            <v>重测序</v>
          </cell>
          <cell r="I3823" t="str">
            <v>WWH</v>
          </cell>
          <cell r="J3823">
            <v>44.53</v>
          </cell>
          <cell r="N3823" t="e">
            <v>#DIV/0!</v>
          </cell>
        </row>
        <row r="3824">
          <cell r="E3824" t="str">
            <v>HGC-Lib-2455509</v>
          </cell>
          <cell r="F3824" t="str">
            <v>D24070630</v>
          </cell>
          <cell r="G3824">
            <v>20</v>
          </cell>
          <cell r="H3824" t="str">
            <v>重测序</v>
          </cell>
          <cell r="I3824" t="str">
            <v>WWH</v>
          </cell>
          <cell r="J3824">
            <v>44.87</v>
          </cell>
          <cell r="N3824" t="e">
            <v>#DIV/0!</v>
          </cell>
        </row>
        <row r="3825">
          <cell r="E3825" t="str">
            <v>HGC-Lib-2455510</v>
          </cell>
          <cell r="F3825" t="str">
            <v>D24070631</v>
          </cell>
          <cell r="G3825">
            <v>20</v>
          </cell>
          <cell r="H3825" t="str">
            <v>重测序</v>
          </cell>
          <cell r="I3825" t="str">
            <v>WWH</v>
          </cell>
          <cell r="J3825">
            <v>92.51</v>
          </cell>
          <cell r="N3825" t="e">
            <v>#DIV/0!</v>
          </cell>
        </row>
        <row r="3826">
          <cell r="E3826" t="str">
            <v>HGC-Lib-2455511</v>
          </cell>
          <cell r="F3826" t="str">
            <v>D24070632</v>
          </cell>
          <cell r="G3826">
            <v>20</v>
          </cell>
          <cell r="H3826" t="str">
            <v>重测序</v>
          </cell>
          <cell r="I3826" t="str">
            <v>WWH</v>
          </cell>
          <cell r="J3826">
            <v>102.32</v>
          </cell>
          <cell r="N3826" t="e">
            <v>#DIV/0!</v>
          </cell>
        </row>
        <row r="3827">
          <cell r="E3827" t="str">
            <v>HGC-Lib-2455512</v>
          </cell>
          <cell r="F3827" t="str">
            <v>D24070633</v>
          </cell>
          <cell r="G3827">
            <v>20</v>
          </cell>
          <cell r="H3827" t="str">
            <v>重测序</v>
          </cell>
          <cell r="I3827" t="str">
            <v>WWH</v>
          </cell>
          <cell r="J3827">
            <v>72.400000000000006</v>
          </cell>
          <cell r="N3827" t="e">
            <v>#DIV/0!</v>
          </cell>
        </row>
        <row r="3828">
          <cell r="E3828" t="str">
            <v>HGC-Lib-2455513</v>
          </cell>
          <cell r="F3828" t="str">
            <v>D24070634</v>
          </cell>
          <cell r="G3828">
            <v>20</v>
          </cell>
          <cell r="H3828" t="str">
            <v>重测序</v>
          </cell>
          <cell r="I3828" t="str">
            <v>WWH</v>
          </cell>
          <cell r="J3828">
            <v>81.13</v>
          </cell>
          <cell r="N3828" t="e">
            <v>#DIV/0!</v>
          </cell>
        </row>
        <row r="3829">
          <cell r="E3829" t="str">
            <v>HGC-Lib-2455514</v>
          </cell>
          <cell r="F3829" t="str">
            <v>D24070635</v>
          </cell>
          <cell r="G3829">
            <v>20</v>
          </cell>
          <cell r="H3829" t="str">
            <v>重测序</v>
          </cell>
          <cell r="I3829" t="str">
            <v>WWH</v>
          </cell>
          <cell r="J3829">
            <v>90.88</v>
          </cell>
          <cell r="N3829" t="e">
            <v>#DIV/0!</v>
          </cell>
        </row>
        <row r="3830">
          <cell r="E3830" t="str">
            <v>HGC-Lib-2455515</v>
          </cell>
          <cell r="F3830" t="str">
            <v>D24070636</v>
          </cell>
          <cell r="G3830">
            <v>20</v>
          </cell>
          <cell r="H3830" t="str">
            <v>重测序</v>
          </cell>
          <cell r="I3830" t="str">
            <v>WWH</v>
          </cell>
          <cell r="J3830">
            <v>74.08</v>
          </cell>
          <cell r="N3830" t="e">
            <v>#DIV/0!</v>
          </cell>
        </row>
        <row r="3831">
          <cell r="E3831" t="str">
            <v>HGC-Lib-2455516</v>
          </cell>
          <cell r="F3831" t="str">
            <v>D24070637</v>
          </cell>
          <cell r="G3831">
            <v>20</v>
          </cell>
          <cell r="H3831" t="str">
            <v>重测序</v>
          </cell>
          <cell r="I3831" t="str">
            <v>WWH</v>
          </cell>
          <cell r="J3831">
            <v>58.12</v>
          </cell>
          <cell r="N3831" t="e">
            <v>#DIV/0!</v>
          </cell>
        </row>
        <row r="3832">
          <cell r="E3832" t="str">
            <v>HGC-Lib-2455517</v>
          </cell>
          <cell r="F3832" t="str">
            <v>D24070638</v>
          </cell>
          <cell r="G3832">
            <v>20</v>
          </cell>
          <cell r="H3832" t="str">
            <v>重测序</v>
          </cell>
          <cell r="I3832" t="str">
            <v>WWH</v>
          </cell>
          <cell r="J3832">
            <v>57.9</v>
          </cell>
          <cell r="N3832" t="e">
            <v>#DIV/0!</v>
          </cell>
        </row>
        <row r="3833">
          <cell r="E3833" t="str">
            <v>HGC-Lib-2455518</v>
          </cell>
          <cell r="F3833" t="str">
            <v>D24070639</v>
          </cell>
          <cell r="G3833">
            <v>20</v>
          </cell>
          <cell r="H3833" t="str">
            <v>重测序</v>
          </cell>
          <cell r="I3833" t="str">
            <v>WWH</v>
          </cell>
          <cell r="J3833">
            <v>50.46</v>
          </cell>
          <cell r="N3833" t="e">
            <v>#DIV/0!</v>
          </cell>
        </row>
        <row r="3834">
          <cell r="E3834" t="str">
            <v>HGC-Lib-2455519</v>
          </cell>
          <cell r="F3834" t="str">
            <v>D24070640</v>
          </cell>
          <cell r="G3834">
            <v>20</v>
          </cell>
          <cell r="H3834" t="str">
            <v>重测序</v>
          </cell>
          <cell r="I3834" t="str">
            <v>WWH</v>
          </cell>
          <cell r="J3834">
            <v>87.11</v>
          </cell>
          <cell r="N3834" t="e">
            <v>#DIV/0!</v>
          </cell>
        </row>
        <row r="3835">
          <cell r="E3835" t="str">
            <v>HGC-Lib-2455520</v>
          </cell>
          <cell r="F3835" t="str">
            <v>D24070641</v>
          </cell>
          <cell r="G3835">
            <v>20</v>
          </cell>
          <cell r="H3835" t="str">
            <v>重测序</v>
          </cell>
          <cell r="I3835" t="str">
            <v>WWH</v>
          </cell>
          <cell r="J3835">
            <v>51.93</v>
          </cell>
          <cell r="N3835" t="e">
            <v>#DIV/0!</v>
          </cell>
        </row>
        <row r="3836">
          <cell r="E3836" t="str">
            <v>HGC-Lib-2455521</v>
          </cell>
          <cell r="F3836" t="str">
            <v>D24070642</v>
          </cell>
          <cell r="G3836">
            <v>20</v>
          </cell>
          <cell r="H3836" t="str">
            <v>重测序</v>
          </cell>
          <cell r="I3836" t="str">
            <v>WWH</v>
          </cell>
          <cell r="J3836">
            <v>82.59</v>
          </cell>
          <cell r="N3836" t="e">
            <v>#DIV/0!</v>
          </cell>
        </row>
        <row r="3837">
          <cell r="E3837" t="str">
            <v>HGC-Lib-2455522</v>
          </cell>
          <cell r="F3837" t="str">
            <v>D24070643</v>
          </cell>
          <cell r="G3837">
            <v>20</v>
          </cell>
          <cell r="H3837" t="str">
            <v>重测序</v>
          </cell>
          <cell r="I3837" t="str">
            <v>WWH</v>
          </cell>
          <cell r="J3837">
            <v>89.27</v>
          </cell>
          <cell r="N3837" t="e">
            <v>#DIV/0!</v>
          </cell>
        </row>
        <row r="3838">
          <cell r="E3838" t="str">
            <v>HGC-Lib-2455523</v>
          </cell>
          <cell r="F3838" t="str">
            <v>D24070644</v>
          </cell>
          <cell r="G3838">
            <v>20</v>
          </cell>
          <cell r="H3838" t="str">
            <v>重测序</v>
          </cell>
          <cell r="I3838" t="str">
            <v>WWH</v>
          </cell>
          <cell r="J3838">
            <v>80.69</v>
          </cell>
          <cell r="N3838" t="e">
            <v>#DIV/0!</v>
          </cell>
        </row>
        <row r="3839">
          <cell r="E3839" t="str">
            <v>HGC-Lib-2455524</v>
          </cell>
          <cell r="F3839" t="str">
            <v>D24070645</v>
          </cell>
          <cell r="G3839">
            <v>20</v>
          </cell>
          <cell r="H3839" t="str">
            <v>重测序</v>
          </cell>
          <cell r="I3839" t="str">
            <v>WWH</v>
          </cell>
          <cell r="J3839">
            <v>44.27</v>
          </cell>
          <cell r="N3839" t="e">
            <v>#DIV/0!</v>
          </cell>
        </row>
        <row r="3840">
          <cell r="E3840" t="str">
            <v>HGC-Lib-2455525</v>
          </cell>
          <cell r="F3840" t="str">
            <v>D24070646</v>
          </cell>
          <cell r="G3840">
            <v>20</v>
          </cell>
          <cell r="H3840" t="str">
            <v>重测序</v>
          </cell>
          <cell r="I3840" t="str">
            <v>WWH</v>
          </cell>
          <cell r="J3840">
            <v>109.8</v>
          </cell>
          <cell r="N3840" t="e">
            <v>#DIV/0!</v>
          </cell>
        </row>
        <row r="3841">
          <cell r="E3841" t="str">
            <v>HGC-Lib-2455526</v>
          </cell>
          <cell r="F3841" t="str">
            <v>D24070647</v>
          </cell>
          <cell r="G3841">
            <v>20</v>
          </cell>
          <cell r="H3841" t="str">
            <v>重测序</v>
          </cell>
          <cell r="I3841" t="str">
            <v>WWH</v>
          </cell>
          <cell r="J3841">
            <v>56.33</v>
          </cell>
          <cell r="N3841" t="e">
            <v>#DIV/0!</v>
          </cell>
        </row>
        <row r="3842">
          <cell r="E3842" t="str">
            <v>HGC-Lib-2455527</v>
          </cell>
          <cell r="F3842" t="str">
            <v>D24070648</v>
          </cell>
          <cell r="G3842">
            <v>20</v>
          </cell>
          <cell r="H3842" t="str">
            <v>重测序</v>
          </cell>
          <cell r="I3842" t="str">
            <v>WWH</v>
          </cell>
          <cell r="J3842">
            <v>143.79</v>
          </cell>
          <cell r="N3842" t="e">
            <v>#DIV/0!</v>
          </cell>
        </row>
        <row r="3843">
          <cell r="E3843" t="str">
            <v>HGC-Lib-2455528</v>
          </cell>
          <cell r="F3843" t="str">
            <v>D24070007</v>
          </cell>
          <cell r="G3843">
            <v>22</v>
          </cell>
          <cell r="H3843" t="str">
            <v>全基因组甲基化(BS)</v>
          </cell>
          <cell r="I3843" t="str">
            <v>YHT</v>
          </cell>
          <cell r="J3843">
            <v>60.6</v>
          </cell>
          <cell r="N3843" t="e">
            <v>#DIV/0!</v>
          </cell>
        </row>
        <row r="3844">
          <cell r="E3844" t="str">
            <v>HGC-Lib-2455529</v>
          </cell>
          <cell r="F3844" t="str">
            <v>D24070006</v>
          </cell>
          <cell r="G3844">
            <v>22</v>
          </cell>
          <cell r="H3844" t="str">
            <v>全基因组甲基化(BS)</v>
          </cell>
          <cell r="I3844" t="str">
            <v>YHT</v>
          </cell>
          <cell r="J3844">
            <v>67.2</v>
          </cell>
          <cell r="N3844" t="e">
            <v>#DIV/0!</v>
          </cell>
        </row>
        <row r="3845">
          <cell r="E3845" t="str">
            <v>HGC-Lib-2455530</v>
          </cell>
          <cell r="F3845" t="str">
            <v>D24070005</v>
          </cell>
          <cell r="G3845">
            <v>22</v>
          </cell>
          <cell r="H3845" t="str">
            <v>全基因组甲基化(BS)</v>
          </cell>
          <cell r="I3845" t="str">
            <v>YHT</v>
          </cell>
          <cell r="J3845">
            <v>79</v>
          </cell>
          <cell r="N3845" t="e">
            <v>#DIV/0!</v>
          </cell>
        </row>
        <row r="3846">
          <cell r="E3846" t="str">
            <v>HGC-Lib-2455531</v>
          </cell>
          <cell r="F3846" t="str">
            <v>D24070004</v>
          </cell>
          <cell r="G3846">
            <v>22</v>
          </cell>
          <cell r="H3846" t="str">
            <v>全基因组甲基化(BS)</v>
          </cell>
          <cell r="I3846" t="str">
            <v>YHT</v>
          </cell>
          <cell r="J3846">
            <v>85.2</v>
          </cell>
          <cell r="N3846" t="e">
            <v>#DIV/0!</v>
          </cell>
        </row>
        <row r="3847">
          <cell r="E3847" t="str">
            <v>HGC-Lib-2455532</v>
          </cell>
          <cell r="F3847" t="str">
            <v>D24070003</v>
          </cell>
          <cell r="G3847">
            <v>22</v>
          </cell>
          <cell r="H3847" t="str">
            <v>全基因组甲基化(BS)</v>
          </cell>
          <cell r="I3847" t="str">
            <v>YHT</v>
          </cell>
          <cell r="J3847">
            <v>67.599999999999994</v>
          </cell>
          <cell r="N3847" t="e">
            <v>#DIV/0!</v>
          </cell>
        </row>
        <row r="3848">
          <cell r="E3848" t="str">
            <v>HGC-Lib-2455533</v>
          </cell>
          <cell r="F3848" t="str">
            <v>D24070002</v>
          </cell>
          <cell r="G3848">
            <v>22</v>
          </cell>
          <cell r="H3848" t="str">
            <v>全基因组甲基化(BS)</v>
          </cell>
          <cell r="I3848" t="str">
            <v>YHT</v>
          </cell>
          <cell r="J3848">
            <v>76.599999999999994</v>
          </cell>
          <cell r="N3848" t="e">
            <v>#DIV/0!</v>
          </cell>
        </row>
        <row r="3849">
          <cell r="E3849" t="str">
            <v>HGC-Lib-2455534</v>
          </cell>
          <cell r="F3849" t="str">
            <v>D24060930</v>
          </cell>
          <cell r="G3849">
            <v>22</v>
          </cell>
          <cell r="H3849" t="str">
            <v>全基因组甲基化(BS)</v>
          </cell>
          <cell r="I3849" t="str">
            <v>YHT</v>
          </cell>
          <cell r="J3849">
            <v>61.6</v>
          </cell>
          <cell r="N3849" t="e">
            <v>#DIV/0!</v>
          </cell>
        </row>
        <row r="3850">
          <cell r="E3850" t="str">
            <v>HGC-Lib-2455535</v>
          </cell>
          <cell r="F3850" t="str">
            <v>D24060929</v>
          </cell>
          <cell r="G3850">
            <v>22</v>
          </cell>
          <cell r="H3850" t="str">
            <v>全基因组甲基化(BS)</v>
          </cell>
          <cell r="I3850" t="str">
            <v>YHT</v>
          </cell>
          <cell r="J3850">
            <v>80</v>
          </cell>
          <cell r="N3850" t="e">
            <v>#DIV/0!</v>
          </cell>
        </row>
        <row r="3851">
          <cell r="E3851" t="str">
            <v>HGC-Lib-2455536</v>
          </cell>
          <cell r="F3851" t="str">
            <v>D24060928</v>
          </cell>
          <cell r="G3851">
            <v>22</v>
          </cell>
          <cell r="H3851" t="str">
            <v>全基因组甲基化(BS)</v>
          </cell>
          <cell r="I3851" t="str">
            <v>YHT</v>
          </cell>
          <cell r="J3851">
            <v>58.2</v>
          </cell>
          <cell r="N3851" t="e">
            <v>#DIV/0!</v>
          </cell>
        </row>
        <row r="3852">
          <cell r="E3852" t="str">
            <v>HGC-Lib-2455537</v>
          </cell>
          <cell r="F3852" t="str">
            <v>D24061046</v>
          </cell>
          <cell r="G3852">
            <v>26</v>
          </cell>
          <cell r="H3852" t="str">
            <v>全基因组甲基化(BS)</v>
          </cell>
          <cell r="I3852" t="str">
            <v>YHT</v>
          </cell>
          <cell r="J3852">
            <v>47.6</v>
          </cell>
          <cell r="N3852" t="e">
            <v>#DIV/0!</v>
          </cell>
        </row>
        <row r="3853">
          <cell r="E3853" t="str">
            <v>HGC-Lib-2455538</v>
          </cell>
          <cell r="F3853" t="str">
            <v>D24061047</v>
          </cell>
          <cell r="G3853">
            <v>26</v>
          </cell>
          <cell r="H3853" t="str">
            <v>全基因组甲基化(BS)</v>
          </cell>
          <cell r="I3853" t="str">
            <v>YHT</v>
          </cell>
          <cell r="J3853">
            <v>96.8</v>
          </cell>
          <cell r="N3853" t="e">
            <v>#DIV/0!</v>
          </cell>
        </row>
        <row r="3854">
          <cell r="E3854" t="str">
            <v>HGC-Lib-2455539</v>
          </cell>
          <cell r="F3854" t="str">
            <v>D24061048</v>
          </cell>
          <cell r="G3854">
            <v>26</v>
          </cell>
          <cell r="H3854" t="str">
            <v>全基因组甲基化(BS)</v>
          </cell>
          <cell r="I3854" t="str">
            <v>YHT</v>
          </cell>
          <cell r="J3854">
            <v>35.6</v>
          </cell>
          <cell r="N3854" t="e">
            <v>#DIV/0!</v>
          </cell>
        </row>
        <row r="3855">
          <cell r="E3855" t="str">
            <v>HGC-Lib-2455540</v>
          </cell>
          <cell r="F3855" t="str">
            <v>D24061050</v>
          </cell>
          <cell r="G3855">
            <v>26</v>
          </cell>
          <cell r="H3855" t="str">
            <v>全基因组甲基化(BS)</v>
          </cell>
          <cell r="I3855" t="str">
            <v>YHT</v>
          </cell>
          <cell r="J3855">
            <v>56.4</v>
          </cell>
          <cell r="N3855" t="e">
            <v>#DIV/0!</v>
          </cell>
        </row>
        <row r="3856">
          <cell r="E3856" t="str">
            <v>HGC-Lib-2455541</v>
          </cell>
          <cell r="F3856" t="str">
            <v>D24061051</v>
          </cell>
          <cell r="G3856">
            <v>26</v>
          </cell>
          <cell r="H3856" t="str">
            <v>全基因组甲基化(BS)</v>
          </cell>
          <cell r="I3856" t="str">
            <v>YHT</v>
          </cell>
          <cell r="J3856">
            <v>50.4</v>
          </cell>
          <cell r="N3856" t="e">
            <v>#DIV/0!</v>
          </cell>
        </row>
        <row r="3857">
          <cell r="E3857" t="str">
            <v>HGC-Lib-2455542</v>
          </cell>
          <cell r="F3857" t="str">
            <v>D24070168</v>
          </cell>
          <cell r="G3857">
            <v>26</v>
          </cell>
          <cell r="H3857" t="str">
            <v>全基因组甲基化(BS)</v>
          </cell>
          <cell r="I3857" t="str">
            <v>YHT</v>
          </cell>
          <cell r="J3857">
            <v>97.2</v>
          </cell>
          <cell r="N3857" t="e">
            <v>#DIV/0!</v>
          </cell>
        </row>
        <row r="3858">
          <cell r="E3858" t="str">
            <v>HGC-Lib-2455543</v>
          </cell>
          <cell r="F3858" t="str">
            <v>T798-1</v>
          </cell>
          <cell r="G3858">
            <v>12</v>
          </cell>
          <cell r="H3858" t="str">
            <v>lncRNA文库</v>
          </cell>
          <cell r="I3858" t="str">
            <v>YHT</v>
          </cell>
          <cell r="J3858">
            <v>23.2</v>
          </cell>
          <cell r="N3858" t="e">
            <v>#DIV/0!</v>
          </cell>
        </row>
        <row r="3859">
          <cell r="E3859" t="str">
            <v>HGC-Lib-2455544</v>
          </cell>
          <cell r="F3859" t="str">
            <v>T798-2</v>
          </cell>
          <cell r="G3859">
            <v>12</v>
          </cell>
          <cell r="H3859" t="str">
            <v>lncRNA文库</v>
          </cell>
          <cell r="I3859" t="str">
            <v>YHT</v>
          </cell>
          <cell r="J3859">
            <v>27.4</v>
          </cell>
          <cell r="N3859" t="e">
            <v>#DIV/0!</v>
          </cell>
        </row>
        <row r="3860">
          <cell r="E3860" t="str">
            <v>HGC-Lib-2455545</v>
          </cell>
          <cell r="F3860" t="str">
            <v>T798-3</v>
          </cell>
          <cell r="G3860">
            <v>12</v>
          </cell>
          <cell r="H3860" t="str">
            <v>lncRNA文库</v>
          </cell>
          <cell r="I3860" t="str">
            <v>YHT</v>
          </cell>
          <cell r="J3860">
            <v>33</v>
          </cell>
          <cell r="N3860" t="e">
            <v>#DIV/0!</v>
          </cell>
        </row>
        <row r="3861">
          <cell r="E3861" t="str">
            <v>HGC-Lib-2455546</v>
          </cell>
          <cell r="F3861" t="str">
            <v>T798-4</v>
          </cell>
          <cell r="G3861">
            <v>12</v>
          </cell>
          <cell r="H3861" t="str">
            <v>lncRNA文库</v>
          </cell>
          <cell r="I3861" t="str">
            <v>YHT</v>
          </cell>
          <cell r="J3861">
            <v>35.799999999999997</v>
          </cell>
          <cell r="N3861" t="e">
            <v>#DIV/0!</v>
          </cell>
        </row>
        <row r="3862">
          <cell r="E3862" t="str">
            <v>HGC-Lib-2455547</v>
          </cell>
          <cell r="F3862" t="str">
            <v>T798-5</v>
          </cell>
          <cell r="G3862">
            <v>12</v>
          </cell>
          <cell r="H3862" t="str">
            <v>lncRNA文库</v>
          </cell>
          <cell r="I3862" t="str">
            <v>YHT</v>
          </cell>
          <cell r="J3862">
            <v>26.4</v>
          </cell>
          <cell r="N3862" t="e">
            <v>#DIV/0!</v>
          </cell>
        </row>
        <row r="3863">
          <cell r="E3863" t="str">
            <v>HGC-Lib-2455548</v>
          </cell>
          <cell r="F3863" t="str">
            <v>T798-6</v>
          </cell>
          <cell r="G3863">
            <v>12</v>
          </cell>
          <cell r="H3863" t="str">
            <v>lncRNA文库</v>
          </cell>
          <cell r="I3863" t="str">
            <v>YHT</v>
          </cell>
          <cell r="J3863">
            <v>37.6</v>
          </cell>
          <cell r="N3863" t="e">
            <v>#DIV/0!</v>
          </cell>
        </row>
        <row r="3864">
          <cell r="E3864" t="str">
            <v>HGC-Lib-2455549</v>
          </cell>
          <cell r="F3864" t="str">
            <v>T798-7</v>
          </cell>
          <cell r="G3864">
            <v>12</v>
          </cell>
          <cell r="H3864" t="str">
            <v>lncRNA文库</v>
          </cell>
          <cell r="I3864" t="str">
            <v>YHT</v>
          </cell>
          <cell r="J3864">
            <v>14.3</v>
          </cell>
          <cell r="N3864" t="e">
            <v>#DIV/0!</v>
          </cell>
        </row>
        <row r="3865">
          <cell r="E3865" t="str">
            <v>HGC-Lib-2455550</v>
          </cell>
          <cell r="F3865" t="str">
            <v>T798-8</v>
          </cell>
          <cell r="G3865">
            <v>12</v>
          </cell>
          <cell r="H3865" t="str">
            <v>lncRNA文库</v>
          </cell>
          <cell r="I3865" t="str">
            <v>YHT</v>
          </cell>
          <cell r="J3865">
            <v>24</v>
          </cell>
          <cell r="N3865" t="e">
            <v>#DIV/0!</v>
          </cell>
        </row>
        <row r="3866">
          <cell r="E3866" t="str">
            <v>HGC-Lib-2455551</v>
          </cell>
          <cell r="F3866" t="str">
            <v>T798-9</v>
          </cell>
          <cell r="G3866">
            <v>12</v>
          </cell>
          <cell r="H3866" t="str">
            <v>lncRNA文库</v>
          </cell>
          <cell r="I3866" t="str">
            <v>YHT</v>
          </cell>
          <cell r="J3866">
            <v>3.72</v>
          </cell>
          <cell r="N3866" t="e">
            <v>#DIV/0!</v>
          </cell>
        </row>
        <row r="3867">
          <cell r="E3867" t="str">
            <v>HGC-Lib-2455552</v>
          </cell>
          <cell r="F3867" t="str">
            <v>T798-10</v>
          </cell>
          <cell r="G3867">
            <v>12</v>
          </cell>
          <cell r="H3867" t="str">
            <v>lncRNA文库</v>
          </cell>
          <cell r="I3867" t="str">
            <v>YHT</v>
          </cell>
          <cell r="J3867">
            <v>25</v>
          </cell>
          <cell r="N3867" t="e">
            <v>#DIV/0!</v>
          </cell>
        </row>
        <row r="3868">
          <cell r="E3868" t="str">
            <v>HGC-POOL-2455553</v>
          </cell>
          <cell r="F3868" t="str">
            <v>T818pooling2</v>
          </cell>
          <cell r="G3868">
            <v>13</v>
          </cell>
          <cell r="H3868" t="str">
            <v>WES/panel捕获文库</v>
          </cell>
          <cell r="I3868" t="str">
            <v>YHT</v>
          </cell>
          <cell r="J3868">
            <v>3</v>
          </cell>
          <cell r="N3868" t="e">
            <v>#DIV/0!</v>
          </cell>
        </row>
        <row r="3869">
          <cell r="E3869" t="str">
            <v>HGC-POOL-2455554</v>
          </cell>
          <cell r="F3869" t="str">
            <v>T818pooling3</v>
          </cell>
          <cell r="G3869">
            <v>8</v>
          </cell>
          <cell r="H3869" t="str">
            <v>WES/panel捕获文库</v>
          </cell>
          <cell r="I3869" t="str">
            <v>YHT</v>
          </cell>
          <cell r="J3869">
            <v>3.52</v>
          </cell>
          <cell r="N3869" t="e">
            <v>#DIV/0!</v>
          </cell>
        </row>
        <row r="3870">
          <cell r="E3870" t="str">
            <v>HGC-POOL-2455555</v>
          </cell>
          <cell r="F3870" t="str">
            <v>T818pooling4</v>
          </cell>
          <cell r="G3870">
            <v>8</v>
          </cell>
          <cell r="H3870" t="str">
            <v>WES/panel捕获文库</v>
          </cell>
          <cell r="I3870" t="str">
            <v>YHT</v>
          </cell>
          <cell r="J3870">
            <v>3.1</v>
          </cell>
          <cell r="N3870" t="e">
            <v>#DIV/0!</v>
          </cell>
        </row>
        <row r="3871">
          <cell r="E3871" t="str">
            <v>HGC-POOL-2455556</v>
          </cell>
          <cell r="F3871" t="str">
            <v>T818pooling5</v>
          </cell>
          <cell r="G3871">
            <v>8</v>
          </cell>
          <cell r="H3871" t="str">
            <v>WES/panel捕获文库</v>
          </cell>
          <cell r="I3871" t="str">
            <v>YHT</v>
          </cell>
          <cell r="J3871">
            <v>3.74</v>
          </cell>
          <cell r="N3871" t="e">
            <v>#DIV/0!</v>
          </cell>
        </row>
        <row r="3872">
          <cell r="E3872" t="str">
            <v>HGC-POOL-2455557</v>
          </cell>
          <cell r="F3872" t="str">
            <v>T818pooling6</v>
          </cell>
          <cell r="G3872">
            <v>8</v>
          </cell>
          <cell r="H3872" t="str">
            <v>WES/panel捕获文库</v>
          </cell>
          <cell r="I3872" t="str">
            <v>YHT</v>
          </cell>
          <cell r="J3872">
            <v>4.42</v>
          </cell>
          <cell r="N3872" t="e">
            <v>#DIV/0!</v>
          </cell>
        </row>
        <row r="3873">
          <cell r="E3873" t="str">
            <v>HGC-POOL-2455558</v>
          </cell>
          <cell r="F3873" t="str">
            <v>T818pooling7</v>
          </cell>
          <cell r="G3873">
            <v>8</v>
          </cell>
          <cell r="H3873" t="str">
            <v>WES/panel捕获文库</v>
          </cell>
          <cell r="I3873" t="str">
            <v>YHT</v>
          </cell>
          <cell r="J3873">
            <v>3.72</v>
          </cell>
          <cell r="N3873" t="e">
            <v>#DIV/0!</v>
          </cell>
        </row>
        <row r="3874">
          <cell r="E3874" t="str">
            <v>HGC-POOL-2455559</v>
          </cell>
          <cell r="F3874" t="str">
            <v>T818pooling8</v>
          </cell>
          <cell r="G3874">
            <v>8</v>
          </cell>
          <cell r="H3874" t="str">
            <v>WES/panel捕获文库</v>
          </cell>
          <cell r="I3874" t="str">
            <v>YHT</v>
          </cell>
          <cell r="J3874">
            <v>2.98</v>
          </cell>
          <cell r="N3874" t="e">
            <v>#DIV/0!</v>
          </cell>
        </row>
        <row r="3875">
          <cell r="E3875" t="str">
            <v>HGC-POOL-2455560</v>
          </cell>
          <cell r="F3875" t="str">
            <v>T818pooling9</v>
          </cell>
          <cell r="G3875">
            <v>11</v>
          </cell>
          <cell r="H3875" t="str">
            <v>WES/panel捕获文库</v>
          </cell>
          <cell r="I3875" t="str">
            <v>YHT</v>
          </cell>
          <cell r="J3875">
            <v>3.62</v>
          </cell>
          <cell r="N3875" t="e">
            <v>#DIV/0!</v>
          </cell>
        </row>
        <row r="3876">
          <cell r="E3876" t="str">
            <v>HGC-POOL-2455561</v>
          </cell>
          <cell r="F3876" t="str">
            <v>T818pooling10</v>
          </cell>
          <cell r="G3876">
            <v>8</v>
          </cell>
          <cell r="H3876" t="str">
            <v>WES/panel捕获文库</v>
          </cell>
          <cell r="I3876" t="str">
            <v>YHT</v>
          </cell>
          <cell r="J3876">
            <v>3.3</v>
          </cell>
          <cell r="N3876" t="e">
            <v>#DIV/0!</v>
          </cell>
        </row>
        <row r="3877">
          <cell r="E3877" t="str">
            <v>HGC-Lib-2455577</v>
          </cell>
          <cell r="F3877" t="str">
            <v>LC240705077</v>
          </cell>
          <cell r="G3877">
            <v>30</v>
          </cell>
          <cell r="H3877" t="str">
            <v>singleron-3'转录组文库</v>
          </cell>
          <cell r="I3877" t="str">
            <v>GZQ</v>
          </cell>
          <cell r="J3877">
            <v>18.2</v>
          </cell>
          <cell r="N3877" t="e">
            <v>#DIV/0!</v>
          </cell>
        </row>
        <row r="3878">
          <cell r="E3878" t="str">
            <v>HGC-Lib-2455578</v>
          </cell>
          <cell r="F3878" t="str">
            <v>LFTBC240629001</v>
          </cell>
          <cell r="G3878">
            <v>100</v>
          </cell>
          <cell r="H3878" t="str">
            <v>singleron-3'全长转录组文库</v>
          </cell>
          <cell r="I3878" t="str">
            <v>GZQ</v>
          </cell>
          <cell r="J3878">
            <v>26.2</v>
          </cell>
          <cell r="N3878" t="e">
            <v>#DIV/0!</v>
          </cell>
        </row>
        <row r="3879">
          <cell r="E3879" t="str">
            <v>HGC-Lib-2455579</v>
          </cell>
          <cell r="F3879" t="str">
            <v>LFTBC240629002</v>
          </cell>
          <cell r="G3879">
            <v>100</v>
          </cell>
          <cell r="H3879" t="str">
            <v>singleron-3'全长转录组文库</v>
          </cell>
          <cell r="I3879" t="str">
            <v>GZQ</v>
          </cell>
          <cell r="J3879">
            <v>32.4</v>
          </cell>
          <cell r="N3879" t="e">
            <v>#DIV/0!</v>
          </cell>
        </row>
        <row r="3880">
          <cell r="E3880" t="str">
            <v>HGC-Lib-2455580</v>
          </cell>
          <cell r="F3880" t="str">
            <v>LFTBC240629003</v>
          </cell>
          <cell r="G3880">
            <v>100</v>
          </cell>
          <cell r="H3880" t="str">
            <v>singleron-3'全长转录组文库</v>
          </cell>
          <cell r="I3880" t="str">
            <v>GZQ</v>
          </cell>
          <cell r="J3880">
            <v>23.6</v>
          </cell>
          <cell r="N3880" t="e">
            <v>#DIV/0!</v>
          </cell>
        </row>
        <row r="3881">
          <cell r="E3881" t="str">
            <v>HGC-Lib-2455581</v>
          </cell>
          <cell r="F3881" t="str">
            <v>LFTBC240629004</v>
          </cell>
          <cell r="G3881">
            <v>100</v>
          </cell>
          <cell r="H3881" t="str">
            <v>singleron-3'全长转录组文库</v>
          </cell>
          <cell r="I3881" t="str">
            <v>GZQ</v>
          </cell>
          <cell r="J3881">
            <v>28.4</v>
          </cell>
          <cell r="N3881" t="e">
            <v>#DIV/0!</v>
          </cell>
        </row>
        <row r="3882">
          <cell r="E3882" t="str">
            <v>HGC-Lib-2455582</v>
          </cell>
          <cell r="F3882" t="str">
            <v>LFTBC240705055</v>
          </cell>
          <cell r="G3882">
            <v>100</v>
          </cell>
          <cell r="H3882" t="str">
            <v>singleron-3'全长转录组文库</v>
          </cell>
          <cell r="I3882" t="str">
            <v>GZQ</v>
          </cell>
          <cell r="J3882">
            <v>35.799999999999997</v>
          </cell>
          <cell r="N3882" t="e">
            <v>#DIV/0!</v>
          </cell>
        </row>
        <row r="3883">
          <cell r="E3883" t="str">
            <v>HGC-Lib-2455583</v>
          </cell>
          <cell r="F3883" t="str">
            <v>LFTBC240705056</v>
          </cell>
          <cell r="G3883">
            <v>100</v>
          </cell>
          <cell r="H3883" t="str">
            <v>singleron-3'全长转录组文库</v>
          </cell>
          <cell r="I3883" t="str">
            <v>GZQ</v>
          </cell>
          <cell r="J3883">
            <v>33</v>
          </cell>
          <cell r="N3883" t="e">
            <v>#DIV/0!</v>
          </cell>
        </row>
        <row r="3884">
          <cell r="E3884" t="str">
            <v>HGC-Lib-2455584</v>
          </cell>
          <cell r="F3884" t="str">
            <v>LFTBC240705057</v>
          </cell>
          <cell r="G3884">
            <v>100</v>
          </cell>
          <cell r="H3884" t="str">
            <v>singleron-3'全长转录组文库</v>
          </cell>
          <cell r="I3884" t="str">
            <v>GZQ</v>
          </cell>
          <cell r="J3884">
            <v>30.2</v>
          </cell>
          <cell r="N3884" t="e">
            <v>#DIV/0!</v>
          </cell>
        </row>
        <row r="3885">
          <cell r="E3885" t="str">
            <v>HGC-Lib-2455585</v>
          </cell>
          <cell r="F3885" t="str">
            <v>LFTBC240705058</v>
          </cell>
          <cell r="G3885">
            <v>100</v>
          </cell>
          <cell r="H3885" t="str">
            <v>singleron-3'全长转录组文库</v>
          </cell>
          <cell r="I3885" t="str">
            <v>GZQ</v>
          </cell>
          <cell r="J3885">
            <v>30.2</v>
          </cell>
          <cell r="N3885" t="e">
            <v>#DIV/0!</v>
          </cell>
        </row>
        <row r="3886">
          <cell r="E3886" t="str">
            <v>HGC-POOL-2455586</v>
          </cell>
          <cell r="F3886" t="str">
            <v>L240621007</v>
          </cell>
          <cell r="G3886">
            <v>90</v>
          </cell>
          <cell r="H3886" t="str">
            <v>10X 3'转录组文库</v>
          </cell>
          <cell r="I3886" t="str">
            <v>GZQ</v>
          </cell>
          <cell r="J3886">
            <v>17.3</v>
          </cell>
          <cell r="N3886" t="e">
            <v>#DIV/0!</v>
          </cell>
        </row>
        <row r="3887">
          <cell r="E3887" t="str">
            <v>HGC-POOL-2455587</v>
          </cell>
          <cell r="F3887" t="str">
            <v>L240621008</v>
          </cell>
          <cell r="G3887">
            <v>90</v>
          </cell>
          <cell r="H3887" t="str">
            <v>10X 3'转录组文库</v>
          </cell>
          <cell r="I3887" t="str">
            <v>GZQ</v>
          </cell>
          <cell r="J3887">
            <v>17.5</v>
          </cell>
          <cell r="N3887" t="e">
            <v>#DIV/0!</v>
          </cell>
        </row>
        <row r="3888">
          <cell r="E3888" t="str">
            <v>HGC-POOL-2455588</v>
          </cell>
          <cell r="F3888" t="str">
            <v>L240702078x5</v>
          </cell>
          <cell r="G3888">
            <v>90</v>
          </cell>
          <cell r="H3888" t="str">
            <v>10X 5'转录组文库</v>
          </cell>
          <cell r="I3888" t="str">
            <v>GZQ</v>
          </cell>
          <cell r="J3888">
            <v>22.2</v>
          </cell>
          <cell r="K3888">
            <v>493</v>
          </cell>
          <cell r="L3888" t="str">
            <v>YHT</v>
          </cell>
          <cell r="N3888">
            <v>69.277578405367393</v>
          </cell>
        </row>
        <row r="3889">
          <cell r="E3889" t="str">
            <v>HGC-POOL-2455589</v>
          </cell>
          <cell r="F3889" t="str">
            <v>L240702079x5</v>
          </cell>
          <cell r="G3889">
            <v>90</v>
          </cell>
          <cell r="H3889" t="str">
            <v>10X 5'转录组文库</v>
          </cell>
          <cell r="I3889" t="str">
            <v>GZQ</v>
          </cell>
          <cell r="J3889">
            <v>27.6</v>
          </cell>
          <cell r="K3889">
            <v>488</v>
          </cell>
          <cell r="L3889" t="str">
            <v>YHT</v>
          </cell>
          <cell r="N3889">
            <v>87.011349306431299</v>
          </cell>
        </row>
        <row r="3890">
          <cell r="E3890" t="str">
            <v>HGC-POOL-2455590</v>
          </cell>
          <cell r="F3890" t="str">
            <v>L240702080x5</v>
          </cell>
          <cell r="G3890">
            <v>90</v>
          </cell>
          <cell r="H3890" t="str">
            <v>10X 5'转录组文库</v>
          </cell>
          <cell r="I3890" t="str">
            <v>GZQ</v>
          </cell>
          <cell r="J3890">
            <v>27.2</v>
          </cell>
          <cell r="K3890">
            <v>488</v>
          </cell>
          <cell r="L3890" t="str">
            <v>YHT</v>
          </cell>
          <cell r="N3890">
            <v>85.750315258512003</v>
          </cell>
        </row>
        <row r="3891">
          <cell r="E3891" t="str">
            <v>HGC-POOL-2455591</v>
          </cell>
          <cell r="F3891" t="str">
            <v>L240702081x5</v>
          </cell>
          <cell r="G3891">
            <v>90</v>
          </cell>
          <cell r="H3891" t="str">
            <v>10X 5'转录组文库</v>
          </cell>
          <cell r="I3891" t="str">
            <v>GZQ</v>
          </cell>
          <cell r="J3891">
            <v>17.3</v>
          </cell>
          <cell r="K3891">
            <v>497</v>
          </cell>
          <cell r="L3891" t="str">
            <v>YHT</v>
          </cell>
          <cell r="N3891">
            <v>53.552081721095803</v>
          </cell>
        </row>
        <row r="3892">
          <cell r="E3892" t="str">
            <v>HGC-Lib-2455592</v>
          </cell>
          <cell r="F3892" t="str">
            <v>LC240709051</v>
          </cell>
          <cell r="G3892">
            <v>100</v>
          </cell>
          <cell r="H3892" t="str">
            <v>singleron-3'转录组文库</v>
          </cell>
          <cell r="I3892" t="str">
            <v>GZQ</v>
          </cell>
          <cell r="J3892">
            <v>31.4</v>
          </cell>
          <cell r="N3892" t="e">
            <v>#DIV/0!</v>
          </cell>
        </row>
        <row r="3893">
          <cell r="E3893" t="str">
            <v>HGC-Lib-2455593</v>
          </cell>
          <cell r="F3893" t="str">
            <v>LC240709052</v>
          </cell>
          <cell r="G3893">
            <v>90</v>
          </cell>
          <cell r="H3893" t="str">
            <v>singleron-3'转录组文库</v>
          </cell>
          <cell r="I3893" t="str">
            <v>GZQ</v>
          </cell>
          <cell r="J3893">
            <v>21.8</v>
          </cell>
          <cell r="N3893" t="e">
            <v>#DIV/0!</v>
          </cell>
        </row>
        <row r="3894">
          <cell r="E3894" t="str">
            <v>HGC-Lib-2455594</v>
          </cell>
          <cell r="F3894" t="str">
            <v>LC240710085</v>
          </cell>
          <cell r="G3894">
            <v>100</v>
          </cell>
          <cell r="H3894" t="str">
            <v>singleron-3'转录组文库</v>
          </cell>
          <cell r="I3894" t="str">
            <v>GZQ</v>
          </cell>
          <cell r="J3894">
            <v>30.2</v>
          </cell>
          <cell r="N3894" t="e">
            <v>#DIV/0!</v>
          </cell>
        </row>
        <row r="3895">
          <cell r="E3895" t="str">
            <v>HGC-Lib-2455046</v>
          </cell>
          <cell r="F3895" t="str">
            <v>C001</v>
          </cell>
          <cell r="G3895">
            <v>20</v>
          </cell>
          <cell r="H3895" t="str">
            <v>甲基化文库</v>
          </cell>
          <cell r="I3895" t="str">
            <v>GZQ</v>
          </cell>
          <cell r="J3895">
            <v>53.4</v>
          </cell>
          <cell r="K3895">
            <v>406</v>
          </cell>
          <cell r="L3895" t="str">
            <v>YHT</v>
          </cell>
          <cell r="N3895">
            <v>202.34937476316799</v>
          </cell>
        </row>
        <row r="3896">
          <cell r="E3896" t="str">
            <v>HGC-Lib-2455047</v>
          </cell>
          <cell r="F3896" t="str">
            <v>C002</v>
          </cell>
          <cell r="G3896">
            <v>20</v>
          </cell>
          <cell r="H3896" t="str">
            <v>甲基化文库</v>
          </cell>
          <cell r="I3896" t="str">
            <v>GZQ</v>
          </cell>
          <cell r="J3896">
            <v>45.2</v>
          </cell>
          <cell r="K3896">
            <v>423</v>
          </cell>
          <cell r="L3896" t="str">
            <v>YHT</v>
          </cell>
          <cell r="N3896">
            <v>164.39352609565401</v>
          </cell>
        </row>
        <row r="3897">
          <cell r="E3897" t="str">
            <v>HGC-Lib-2455048</v>
          </cell>
          <cell r="F3897" t="str">
            <v>C003</v>
          </cell>
          <cell r="G3897">
            <v>20</v>
          </cell>
          <cell r="H3897" t="str">
            <v>甲基化文库</v>
          </cell>
          <cell r="I3897" t="str">
            <v>GZQ</v>
          </cell>
          <cell r="J3897">
            <v>33.6</v>
          </cell>
          <cell r="K3897">
            <v>514</v>
          </cell>
          <cell r="L3897" t="str">
            <v>YHT</v>
          </cell>
          <cell r="N3897">
            <v>100.56869200838101</v>
          </cell>
        </row>
        <row r="3898">
          <cell r="E3898" t="str">
            <v>HGC-Lib-2455049</v>
          </cell>
          <cell r="F3898" t="str">
            <v>T70</v>
          </cell>
          <cell r="G3898">
            <v>10</v>
          </cell>
          <cell r="H3898" t="str">
            <v>甲基化文库</v>
          </cell>
          <cell r="I3898" t="str">
            <v>GZQ</v>
          </cell>
          <cell r="J3898">
            <v>1.1000000000000001</v>
          </cell>
          <cell r="K3898">
            <v>348</v>
          </cell>
          <cell r="L3898" t="str">
            <v>HZK</v>
          </cell>
          <cell r="N3898">
            <v>4.8629531388152101</v>
          </cell>
        </row>
        <row r="3899">
          <cell r="E3899" t="str">
            <v>HGC-Lib-2455050</v>
          </cell>
          <cell r="F3899" t="str">
            <v>T72</v>
          </cell>
          <cell r="G3899">
            <v>10</v>
          </cell>
          <cell r="H3899" t="str">
            <v>甲基化文库</v>
          </cell>
          <cell r="I3899" t="str">
            <v>GZQ</v>
          </cell>
          <cell r="J3899">
            <v>2.62</v>
          </cell>
          <cell r="K3899">
            <v>341</v>
          </cell>
          <cell r="L3899" t="str">
            <v>HZK</v>
          </cell>
          <cell r="N3899">
            <v>11.8204376268892</v>
          </cell>
        </row>
        <row r="3900">
          <cell r="E3900" t="str">
            <v>HGC-Lib-2455051</v>
          </cell>
          <cell r="F3900" t="str">
            <v>T56</v>
          </cell>
          <cell r="G3900">
            <v>10</v>
          </cell>
          <cell r="H3900" t="str">
            <v>甲基化文库</v>
          </cell>
          <cell r="I3900" t="str">
            <v>GZQ</v>
          </cell>
          <cell r="J3900">
            <v>1.02</v>
          </cell>
          <cell r="K3900">
            <v>310</v>
          </cell>
          <cell r="L3900" t="str">
            <v>HZK</v>
          </cell>
          <cell r="N3900">
            <v>5.0620347394540897</v>
          </cell>
        </row>
        <row r="3901">
          <cell r="E3901" t="str">
            <v>HGC-Lib-2455052</v>
          </cell>
          <cell r="F3901" t="str">
            <v>P52</v>
          </cell>
          <cell r="G3901">
            <v>10</v>
          </cell>
          <cell r="H3901" t="str">
            <v>甲基化文库</v>
          </cell>
          <cell r="I3901" t="str">
            <v>GZQ</v>
          </cell>
          <cell r="J3901">
            <v>2.52</v>
          </cell>
          <cell r="K3901">
            <v>348</v>
          </cell>
          <cell r="L3901" t="str">
            <v>HZK</v>
          </cell>
          <cell r="N3901">
            <v>11.1405835543767</v>
          </cell>
        </row>
        <row r="3902">
          <cell r="E3902" t="str">
            <v>HGC-Lib-2455053</v>
          </cell>
          <cell r="F3902" t="str">
            <v>P53</v>
          </cell>
          <cell r="G3902">
            <v>10</v>
          </cell>
          <cell r="H3902" t="str">
            <v>甲基化文库</v>
          </cell>
          <cell r="I3902" t="str">
            <v>GZQ</v>
          </cell>
          <cell r="J3902">
            <v>2.96</v>
          </cell>
          <cell r="K3902">
            <v>354</v>
          </cell>
          <cell r="L3902" t="str">
            <v>HZK</v>
          </cell>
          <cell r="N3902">
            <v>12.8639721860061</v>
          </cell>
        </row>
        <row r="3903">
          <cell r="E3903" t="str">
            <v>HGC-Lib-2455054</v>
          </cell>
          <cell r="F3903" t="str">
            <v>P71</v>
          </cell>
          <cell r="G3903">
            <v>10</v>
          </cell>
          <cell r="H3903" t="str">
            <v>甲基化文库</v>
          </cell>
          <cell r="I3903" t="str">
            <v>GZQ</v>
          </cell>
          <cell r="J3903">
            <v>1.7</v>
          </cell>
          <cell r="K3903">
            <v>346</v>
          </cell>
          <cell r="L3903" t="str">
            <v>HZK</v>
          </cell>
          <cell r="N3903">
            <v>7.5589150733659398</v>
          </cell>
        </row>
        <row r="3904">
          <cell r="E3904" t="str">
            <v>HGC-Lib-2455055</v>
          </cell>
          <cell r="F3904" t="str">
            <v>F60</v>
          </cell>
          <cell r="G3904">
            <v>10</v>
          </cell>
          <cell r="H3904" t="str">
            <v>甲基化文库</v>
          </cell>
          <cell r="I3904" t="str">
            <v>GZQ</v>
          </cell>
          <cell r="J3904">
            <v>1.65</v>
          </cell>
          <cell r="K3904">
            <v>271</v>
          </cell>
          <cell r="L3904" t="str">
            <v>HZK</v>
          </cell>
          <cell r="N3904">
            <v>9.3670167470905508</v>
          </cell>
        </row>
        <row r="3905">
          <cell r="E3905" t="str">
            <v>HGC-Lib-2455056</v>
          </cell>
          <cell r="F3905" t="str">
            <v>F74</v>
          </cell>
          <cell r="G3905">
            <v>10</v>
          </cell>
          <cell r="H3905" t="str">
            <v>甲基化文库</v>
          </cell>
          <cell r="I3905" t="str">
            <v>GZQ</v>
          </cell>
          <cell r="J3905">
            <v>1.85</v>
          </cell>
          <cell r="K3905">
            <v>292</v>
          </cell>
          <cell r="L3905" t="str">
            <v>HZK</v>
          </cell>
          <cell r="N3905">
            <v>9.7471022128556406</v>
          </cell>
        </row>
        <row r="3906">
          <cell r="E3906" t="str">
            <v>HGC-Lib-2455057</v>
          </cell>
          <cell r="F3906" t="str">
            <v>F75</v>
          </cell>
          <cell r="G3906">
            <v>10</v>
          </cell>
          <cell r="H3906" t="str">
            <v>甲基化文库</v>
          </cell>
          <cell r="I3906" t="str">
            <v>GZQ</v>
          </cell>
          <cell r="J3906">
            <v>3.24</v>
          </cell>
          <cell r="K3906">
            <v>357</v>
          </cell>
          <cell r="L3906" t="str">
            <v>HZK</v>
          </cell>
          <cell r="N3906">
            <v>13.9625080801551</v>
          </cell>
        </row>
        <row r="3907">
          <cell r="E3907" t="str">
            <v>HGC-Lib-2455058</v>
          </cell>
          <cell r="F3907" t="str">
            <v>AIC001</v>
          </cell>
          <cell r="G3907">
            <v>6</v>
          </cell>
          <cell r="H3907" t="str">
            <v>mRNA文库</v>
          </cell>
          <cell r="I3907" t="str">
            <v>GZQ</v>
          </cell>
          <cell r="J3907">
            <v>11.2</v>
          </cell>
          <cell r="K3907">
            <v>344</v>
          </cell>
          <cell r="L3907" t="str">
            <v>YHT</v>
          </cell>
          <cell r="N3907">
            <v>50.089445438282603</v>
          </cell>
        </row>
        <row r="3908">
          <cell r="E3908" t="str">
            <v>HGC-Lib-2455059</v>
          </cell>
          <cell r="F3908" t="str">
            <v>AIC002</v>
          </cell>
          <cell r="G3908">
            <v>6</v>
          </cell>
          <cell r="H3908" t="str">
            <v>mRNA文库</v>
          </cell>
          <cell r="I3908" t="str">
            <v>GZQ</v>
          </cell>
          <cell r="J3908">
            <v>11.9</v>
          </cell>
          <cell r="K3908">
            <v>337</v>
          </cell>
          <cell r="L3908" t="str">
            <v>YHT</v>
          </cell>
          <cell r="N3908">
            <v>54.325496461995002</v>
          </cell>
        </row>
        <row r="3909">
          <cell r="E3909" t="str">
            <v>HGC-Lib-2455060</v>
          </cell>
          <cell r="F3909" t="str">
            <v>AIC005</v>
          </cell>
          <cell r="G3909">
            <v>6</v>
          </cell>
          <cell r="H3909" t="str">
            <v>mRNA文库</v>
          </cell>
          <cell r="I3909" t="str">
            <v>GZQ</v>
          </cell>
          <cell r="J3909">
            <v>13.9</v>
          </cell>
          <cell r="K3909">
            <v>366</v>
          </cell>
          <cell r="L3909" t="str">
            <v>YHT</v>
          </cell>
          <cell r="N3909">
            <v>58.4279108869273</v>
          </cell>
        </row>
        <row r="3910">
          <cell r="E3910" t="str">
            <v>HGC-Lib-2455061</v>
          </cell>
          <cell r="F3910" t="str">
            <v>Prl001</v>
          </cell>
          <cell r="G3910">
            <v>6</v>
          </cell>
          <cell r="H3910" t="str">
            <v>mRNA文库</v>
          </cell>
          <cell r="I3910" t="str">
            <v>GZQ</v>
          </cell>
          <cell r="J3910">
            <v>14</v>
          </cell>
          <cell r="K3910">
            <v>361</v>
          </cell>
          <cell r="L3910" t="str">
            <v>YHT</v>
          </cell>
          <cell r="N3910">
            <v>59.663328361389297</v>
          </cell>
        </row>
        <row r="3911">
          <cell r="E3911" t="str">
            <v>HGC-Lib-2455062</v>
          </cell>
          <cell r="F3911" t="str">
            <v>H-PRL4</v>
          </cell>
          <cell r="G3911">
            <v>6</v>
          </cell>
          <cell r="H3911" t="str">
            <v>mRNA文库</v>
          </cell>
          <cell r="I3911" t="str">
            <v>GZQ</v>
          </cell>
          <cell r="J3911">
            <v>13.3</v>
          </cell>
          <cell r="K3911">
            <v>375</v>
          </cell>
          <cell r="L3911" t="str">
            <v>YHT</v>
          </cell>
          <cell r="N3911">
            <v>54.564102564102598</v>
          </cell>
        </row>
        <row r="3912">
          <cell r="E3912" t="str">
            <v>HGC-Lib-2455063</v>
          </cell>
          <cell r="F3912" t="str">
            <v>H-PRL5</v>
          </cell>
          <cell r="G3912">
            <v>6</v>
          </cell>
          <cell r="H3912" t="str">
            <v>mRNA文库</v>
          </cell>
          <cell r="I3912" t="str">
            <v>GZQ</v>
          </cell>
          <cell r="J3912">
            <v>19.600000000000001</v>
          </cell>
          <cell r="K3912">
            <v>450</v>
          </cell>
          <cell r="L3912" t="str">
            <v>YHT</v>
          </cell>
          <cell r="N3912">
            <v>67.008547008546998</v>
          </cell>
        </row>
        <row r="3913">
          <cell r="E3913" t="str">
            <v>HGC-Lib-2455064</v>
          </cell>
          <cell r="F3913" t="str">
            <v>HPrl11</v>
          </cell>
          <cell r="G3913">
            <v>6</v>
          </cell>
          <cell r="H3913" t="str">
            <v>mRNA文库</v>
          </cell>
          <cell r="I3913" t="str">
            <v>GZQ</v>
          </cell>
          <cell r="J3913">
            <v>10.199999999999999</v>
          </cell>
          <cell r="K3913">
            <v>366</v>
          </cell>
          <cell r="L3913" t="str">
            <v>YHT</v>
          </cell>
          <cell r="N3913">
            <v>42.875157629256002</v>
          </cell>
        </row>
        <row r="3914">
          <cell r="E3914" t="str">
            <v>HGC-Lib-2455065</v>
          </cell>
          <cell r="F3914" t="str">
            <v>mPrl5</v>
          </cell>
          <cell r="G3914">
            <v>6</v>
          </cell>
          <cell r="H3914" t="str">
            <v>mRNA文库</v>
          </cell>
          <cell r="I3914" t="str">
            <v>GZQ</v>
          </cell>
          <cell r="J3914">
            <v>11.8</v>
          </cell>
          <cell r="K3914">
            <v>412</v>
          </cell>
          <cell r="L3914" t="str">
            <v>YHT</v>
          </cell>
          <cell r="N3914">
            <v>44.062733383121703</v>
          </cell>
        </row>
        <row r="3915">
          <cell r="E3915" t="str">
            <v>HGC-Lib-2455066</v>
          </cell>
          <cell r="F3915" t="str">
            <v>SAIC30</v>
          </cell>
          <cell r="G3915">
            <v>6</v>
          </cell>
          <cell r="H3915" t="str">
            <v>mRNA文库</v>
          </cell>
          <cell r="I3915" t="str">
            <v>GZQ</v>
          </cell>
          <cell r="J3915">
            <v>11.6</v>
          </cell>
          <cell r="K3915">
            <v>339</v>
          </cell>
          <cell r="L3915" t="str">
            <v>YHT</v>
          </cell>
          <cell r="N3915">
            <v>52.643521670070299</v>
          </cell>
        </row>
        <row r="3916">
          <cell r="E3916" t="str">
            <v>HGC-Lib-2455067</v>
          </cell>
          <cell r="F3916" t="str">
            <v>SAIC34</v>
          </cell>
          <cell r="G3916">
            <v>6</v>
          </cell>
          <cell r="H3916" t="str">
            <v>mRNA文库</v>
          </cell>
          <cell r="I3916" t="str">
            <v>GZQ</v>
          </cell>
          <cell r="J3916">
            <v>9.9</v>
          </cell>
          <cell r="K3916">
            <v>413</v>
          </cell>
          <cell r="L3916" t="str">
            <v>HZK</v>
          </cell>
          <cell r="N3916">
            <v>36.878375861426697</v>
          </cell>
        </row>
        <row r="3917">
          <cell r="E3917" t="str">
            <v>HGC-Lib-2455068</v>
          </cell>
          <cell r="F3917" t="str">
            <v>SAIC35</v>
          </cell>
          <cell r="G3917">
            <v>6</v>
          </cell>
          <cell r="H3917" t="str">
            <v>mRNA文库</v>
          </cell>
          <cell r="I3917" t="str">
            <v>GZQ</v>
          </cell>
          <cell r="J3917">
            <v>9.0399999999999991</v>
          </cell>
          <cell r="K3917">
            <v>382</v>
          </cell>
          <cell r="L3917" t="str">
            <v>HZK</v>
          </cell>
          <cell r="N3917">
            <v>36.407571486105503</v>
          </cell>
        </row>
        <row r="3918">
          <cell r="E3918" t="str">
            <v>HGC-Lib-2455069</v>
          </cell>
          <cell r="F3918" t="str">
            <v>SAIC36</v>
          </cell>
          <cell r="G3918">
            <v>6</v>
          </cell>
          <cell r="H3918" t="str">
            <v>mRNA文库</v>
          </cell>
          <cell r="I3918" t="str">
            <v>GZQ</v>
          </cell>
          <cell r="J3918">
            <v>10.5</v>
          </cell>
          <cell r="K3918">
            <v>453</v>
          </cell>
          <cell r="L3918" t="str">
            <v>YHT</v>
          </cell>
          <cell r="N3918">
            <v>35.659704533876699</v>
          </cell>
        </row>
        <row r="3919">
          <cell r="E3919" t="str">
            <v>HGC-Lib-2455070</v>
          </cell>
          <cell r="F3919" t="str">
            <v>Hprl31</v>
          </cell>
          <cell r="G3919">
            <v>6</v>
          </cell>
          <cell r="H3919" t="str">
            <v>mRNA文库</v>
          </cell>
          <cell r="I3919" t="str">
            <v>GZQ</v>
          </cell>
          <cell r="J3919">
            <v>10.7</v>
          </cell>
          <cell r="K3919">
            <v>348</v>
          </cell>
          <cell r="L3919" t="str">
            <v>YHT</v>
          </cell>
          <cell r="N3919">
            <v>47.303271441202497</v>
          </cell>
        </row>
        <row r="3920">
          <cell r="E3920" t="str">
            <v>HGC-Lib-2455071</v>
          </cell>
          <cell r="F3920" t="str">
            <v>Hprl35</v>
          </cell>
          <cell r="G3920">
            <v>6</v>
          </cell>
          <cell r="H3920" t="str">
            <v>mRNA文库</v>
          </cell>
          <cell r="I3920" t="str">
            <v>GZQ</v>
          </cell>
          <cell r="J3920">
            <v>13.2</v>
          </cell>
          <cell r="K3920">
            <v>317</v>
          </cell>
          <cell r="L3920" t="str">
            <v>YHT</v>
          </cell>
          <cell r="N3920">
            <v>64.062120844455194</v>
          </cell>
        </row>
        <row r="3921">
          <cell r="E3921" t="str">
            <v>HGC-Lib-2455072</v>
          </cell>
          <cell r="F3921" t="str">
            <v>Hprl37</v>
          </cell>
          <cell r="G3921">
            <v>6</v>
          </cell>
          <cell r="H3921" t="str">
            <v>mRNA文库</v>
          </cell>
          <cell r="I3921" t="str">
            <v>GZQ</v>
          </cell>
          <cell r="J3921">
            <v>10.6</v>
          </cell>
          <cell r="K3921">
            <v>303</v>
          </cell>
          <cell r="L3921" t="str">
            <v>YHT</v>
          </cell>
          <cell r="N3921">
            <v>53.820766692053802</v>
          </cell>
        </row>
        <row r="3922">
          <cell r="E3922" t="str">
            <v>HGC-Lib-2455073</v>
          </cell>
          <cell r="F3922" t="str">
            <v>Hprl38</v>
          </cell>
          <cell r="G3922">
            <v>6</v>
          </cell>
          <cell r="H3922" t="str">
            <v>mRNA文库</v>
          </cell>
          <cell r="I3922" t="str">
            <v>GZQ</v>
          </cell>
          <cell r="J3922">
            <v>11.6</v>
          </cell>
          <cell r="K3922">
            <v>310</v>
          </cell>
          <cell r="L3922" t="str">
            <v>YHT</v>
          </cell>
          <cell r="N3922">
            <v>57.568238213399503</v>
          </cell>
        </row>
        <row r="3923">
          <cell r="E3923" t="str">
            <v>HGC-Lib-2455074</v>
          </cell>
          <cell r="F3923" t="str">
            <v>Hprl39</v>
          </cell>
          <cell r="G3923">
            <v>6</v>
          </cell>
          <cell r="H3923" t="str">
            <v>mRNA文库</v>
          </cell>
          <cell r="I3923" t="str">
            <v>GZQ</v>
          </cell>
          <cell r="J3923">
            <v>9.7799999999999994</v>
          </cell>
          <cell r="K3923">
            <v>368</v>
          </cell>
          <cell r="L3923" t="str">
            <v>HZK</v>
          </cell>
          <cell r="N3923">
            <v>40.886287625418099</v>
          </cell>
        </row>
        <row r="3924">
          <cell r="E3924" t="str">
            <v>HGC-Lib-2455075</v>
          </cell>
          <cell r="F3924" t="str">
            <v>hPrl46</v>
          </cell>
          <cell r="G3924">
            <v>6</v>
          </cell>
          <cell r="H3924" t="str">
            <v>mRNA文库</v>
          </cell>
          <cell r="I3924" t="str">
            <v>GZQ</v>
          </cell>
          <cell r="J3924">
            <v>9.3000000000000007</v>
          </cell>
          <cell r="K3924">
            <v>380</v>
          </cell>
          <cell r="L3924" t="str">
            <v>HZK</v>
          </cell>
          <cell r="N3924">
            <v>37.6518218623482</v>
          </cell>
        </row>
        <row r="3925">
          <cell r="E3925" t="str">
            <v>HGC-Lib-2455076</v>
          </cell>
          <cell r="F3925" t="str">
            <v>hPrl47</v>
          </cell>
          <cell r="G3925">
            <v>6</v>
          </cell>
          <cell r="H3925" t="str">
            <v>mRNA文库</v>
          </cell>
          <cell r="I3925" t="str">
            <v>GZQ</v>
          </cell>
          <cell r="J3925">
            <v>9.24</v>
          </cell>
          <cell r="K3925">
            <v>363</v>
          </cell>
          <cell r="L3925" t="str">
            <v>HZK</v>
          </cell>
          <cell r="N3925">
            <v>39.160839160839203</v>
          </cell>
        </row>
        <row r="3926">
          <cell r="E3926" t="str">
            <v>HGC-Lib-2455077</v>
          </cell>
          <cell r="F3926" t="str">
            <v>hPrl48</v>
          </cell>
          <cell r="G3926">
            <v>6</v>
          </cell>
          <cell r="H3926" t="str">
            <v>mRNA文库</v>
          </cell>
          <cell r="I3926" t="str">
            <v>GZQ</v>
          </cell>
          <cell r="J3926">
            <v>7.88</v>
          </cell>
          <cell r="K3926">
            <v>349</v>
          </cell>
          <cell r="L3926" t="str">
            <v>HZK</v>
          </cell>
          <cell r="N3926">
            <v>34.736610094776303</v>
          </cell>
        </row>
        <row r="3927">
          <cell r="E3927" t="str">
            <v>HGC-Lib-2455078</v>
          </cell>
          <cell r="F3927" t="str">
            <v>hPrl49</v>
          </cell>
          <cell r="G3927">
            <v>6</v>
          </cell>
          <cell r="H3927" t="str">
            <v>mRNA文库</v>
          </cell>
          <cell r="I3927" t="str">
            <v>GZQ</v>
          </cell>
          <cell r="J3927">
            <v>7.4</v>
          </cell>
          <cell r="K3927">
            <v>352</v>
          </cell>
          <cell r="L3927" t="str">
            <v>HZK</v>
          </cell>
          <cell r="N3927">
            <v>32.342657342657297</v>
          </cell>
        </row>
        <row r="3928">
          <cell r="E3928" t="str">
            <v>HGC-Lib-2455079</v>
          </cell>
          <cell r="F3928" t="str">
            <v>hPrl50</v>
          </cell>
          <cell r="G3928">
            <v>6</v>
          </cell>
          <cell r="H3928" t="str">
            <v>mRNA文库</v>
          </cell>
          <cell r="I3928" t="str">
            <v>GZQ</v>
          </cell>
          <cell r="J3928">
            <v>9.26</v>
          </cell>
          <cell r="K3928">
            <v>355</v>
          </cell>
          <cell r="L3928" t="str">
            <v>HZK</v>
          </cell>
          <cell r="N3928">
            <v>40.130010834236202</v>
          </cell>
        </row>
        <row r="3929">
          <cell r="E3929" t="str">
            <v>HGC-Lib-2455080</v>
          </cell>
          <cell r="F3929" t="str">
            <v>hPrl51</v>
          </cell>
          <cell r="G3929">
            <v>6</v>
          </cell>
          <cell r="H3929" t="str">
            <v>mRNA文库</v>
          </cell>
          <cell r="I3929" t="str">
            <v>GZQ</v>
          </cell>
          <cell r="J3929">
            <v>10.7</v>
          </cell>
          <cell r="K3929">
            <v>327</v>
          </cell>
          <cell r="L3929" t="str">
            <v>YHT</v>
          </cell>
          <cell r="N3929">
            <v>50.341096212655799</v>
          </cell>
        </row>
        <row r="3930">
          <cell r="E3930" t="str">
            <v>HGC-Lib-2455081</v>
          </cell>
          <cell r="F3930" t="str">
            <v>mAIC1</v>
          </cell>
          <cell r="G3930">
            <v>6</v>
          </cell>
          <cell r="H3930" t="str">
            <v>mRNA文库</v>
          </cell>
          <cell r="I3930" t="str">
            <v>GZQ</v>
          </cell>
          <cell r="J3930">
            <v>10.8</v>
          </cell>
          <cell r="K3930">
            <v>330</v>
          </cell>
          <cell r="L3930" t="str">
            <v>YHT</v>
          </cell>
          <cell r="N3930">
            <v>50.349650349650403</v>
          </cell>
        </row>
        <row r="3931">
          <cell r="E3931" t="str">
            <v>HGC-Lib-2455082</v>
          </cell>
          <cell r="F3931" t="str">
            <v>mAIC6</v>
          </cell>
          <cell r="G3931">
            <v>6</v>
          </cell>
          <cell r="H3931" t="str">
            <v>mRNA文库</v>
          </cell>
          <cell r="I3931" t="str">
            <v>GZQ</v>
          </cell>
          <cell r="J3931">
            <v>10.7</v>
          </cell>
          <cell r="K3931">
            <v>360</v>
          </cell>
          <cell r="L3931" t="str">
            <v>YHT</v>
          </cell>
          <cell r="N3931">
            <v>45.726495726495699</v>
          </cell>
        </row>
        <row r="3932">
          <cell r="E3932" t="str">
            <v>HGC-Lib-2455083</v>
          </cell>
          <cell r="F3932" t="str">
            <v>mAIC9</v>
          </cell>
          <cell r="G3932">
            <v>6</v>
          </cell>
          <cell r="H3932" t="str">
            <v>mRNA文库</v>
          </cell>
          <cell r="I3932" t="str">
            <v>GZQ</v>
          </cell>
          <cell r="J3932">
            <v>12.5</v>
          </cell>
          <cell r="K3932">
            <v>354</v>
          </cell>
          <cell r="L3932" t="str">
            <v>YHT</v>
          </cell>
          <cell r="N3932">
            <v>54.3242068665798</v>
          </cell>
        </row>
        <row r="3933">
          <cell r="E3933" t="str">
            <v>HGC-Lib-2455084</v>
          </cell>
          <cell r="F3933" t="str">
            <v>mPrl30</v>
          </cell>
          <cell r="G3933">
            <v>6</v>
          </cell>
          <cell r="H3933" t="str">
            <v>mRNA文库</v>
          </cell>
          <cell r="I3933" t="str">
            <v>GZQ</v>
          </cell>
          <cell r="J3933">
            <v>9.18</v>
          </cell>
          <cell r="K3933">
            <v>360</v>
          </cell>
          <cell r="L3933" t="str">
            <v>HZK</v>
          </cell>
          <cell r="N3933">
            <v>39.230769230769198</v>
          </cell>
        </row>
        <row r="3934">
          <cell r="E3934" t="str">
            <v>HGC-Lib-2455085</v>
          </cell>
          <cell r="F3934" t="str">
            <v>mPrl31</v>
          </cell>
          <cell r="G3934">
            <v>6</v>
          </cell>
          <cell r="H3934" t="str">
            <v>mRNA文库</v>
          </cell>
          <cell r="I3934" t="str">
            <v>GZQ</v>
          </cell>
          <cell r="J3934">
            <v>10.3</v>
          </cell>
          <cell r="K3934">
            <v>337</v>
          </cell>
          <cell r="L3934" t="str">
            <v>YHT</v>
          </cell>
          <cell r="N3934">
            <v>47.021228030130104</v>
          </cell>
        </row>
        <row r="3935">
          <cell r="E3935" t="str">
            <v>HGC-Lib-2455086</v>
          </cell>
          <cell r="F3935" t="str">
            <v>mPrl35</v>
          </cell>
          <cell r="G3935">
            <v>6</v>
          </cell>
          <cell r="H3935" t="str">
            <v>mRNA文库</v>
          </cell>
          <cell r="I3935" t="str">
            <v>GZQ</v>
          </cell>
          <cell r="J3935">
            <v>10.8</v>
          </cell>
          <cell r="K3935">
            <v>351</v>
          </cell>
          <cell r="L3935" t="str">
            <v>YHT</v>
          </cell>
          <cell r="N3935">
            <v>47.337278106508897</v>
          </cell>
        </row>
        <row r="3936">
          <cell r="E3936" t="str">
            <v>HGC-Lib-2455087</v>
          </cell>
          <cell r="F3936" t="str">
            <v>mPrl39</v>
          </cell>
          <cell r="G3936">
            <v>6</v>
          </cell>
          <cell r="H3936" t="str">
            <v>mRNA文库</v>
          </cell>
          <cell r="I3936" t="str">
            <v>GZQ</v>
          </cell>
          <cell r="J3936">
            <v>10.4</v>
          </cell>
          <cell r="K3936">
            <v>352</v>
          </cell>
          <cell r="L3936" t="str">
            <v>YHT</v>
          </cell>
          <cell r="N3936">
            <v>45.454545454545503</v>
          </cell>
        </row>
        <row r="3937">
          <cell r="E3937" t="str">
            <v>HGC-Lib-2455088</v>
          </cell>
          <cell r="F3937" t="str">
            <v>sAIC40</v>
          </cell>
          <cell r="G3937">
            <v>6</v>
          </cell>
          <cell r="H3937" t="str">
            <v>mRNA文库</v>
          </cell>
          <cell r="I3937" t="str">
            <v>GZQ</v>
          </cell>
          <cell r="J3937">
            <v>10.8</v>
          </cell>
          <cell r="K3937">
            <v>330</v>
          </cell>
          <cell r="L3937" t="str">
            <v>YHT</v>
          </cell>
          <cell r="N3937">
            <v>50.349650349650403</v>
          </cell>
        </row>
        <row r="3938">
          <cell r="E3938" t="str">
            <v>HGC-Lib-2455089</v>
          </cell>
          <cell r="F3938" t="str">
            <v>sAIC43</v>
          </cell>
          <cell r="G3938">
            <v>6</v>
          </cell>
          <cell r="H3938" t="str">
            <v>mRNA文库</v>
          </cell>
          <cell r="I3938" t="str">
            <v>GZQ</v>
          </cell>
          <cell r="J3938">
            <v>12.5</v>
          </cell>
          <cell r="K3938">
            <v>322</v>
          </cell>
          <cell r="L3938" t="str">
            <v>YHT</v>
          </cell>
          <cell r="N3938">
            <v>59.722885809842303</v>
          </cell>
        </row>
        <row r="3939">
          <cell r="E3939" t="str">
            <v>HGC-Lib-2455090</v>
          </cell>
          <cell r="F3939" t="str">
            <v>sAIC45</v>
          </cell>
          <cell r="G3939">
            <v>6</v>
          </cell>
          <cell r="H3939" t="str">
            <v>mRNA文库</v>
          </cell>
          <cell r="I3939" t="str">
            <v>GZQ</v>
          </cell>
          <cell r="J3939">
            <v>12.7</v>
          </cell>
          <cell r="K3939">
            <v>345</v>
          </cell>
          <cell r="L3939" t="str">
            <v>YHT</v>
          </cell>
          <cell r="N3939">
            <v>56.633221850613097</v>
          </cell>
        </row>
        <row r="3940">
          <cell r="E3940" t="str">
            <v>HGC-Lib-2455091</v>
          </cell>
          <cell r="F3940" t="str">
            <v>sAIC47</v>
          </cell>
          <cell r="G3940">
            <v>6</v>
          </cell>
          <cell r="H3940" t="str">
            <v>mRNA文库</v>
          </cell>
          <cell r="I3940" t="str">
            <v>GZQ</v>
          </cell>
          <cell r="J3940">
            <v>14.4</v>
          </cell>
          <cell r="K3940">
            <v>361</v>
          </cell>
          <cell r="L3940" t="str">
            <v>YHT</v>
          </cell>
          <cell r="N3940">
            <v>61.367994886000403</v>
          </cell>
        </row>
        <row r="3941">
          <cell r="E3941" t="str">
            <v>HGC-Lib-2455092</v>
          </cell>
          <cell r="F3941" t="str">
            <v>sAIC48</v>
          </cell>
          <cell r="G3941">
            <v>6</v>
          </cell>
          <cell r="H3941" t="str">
            <v>mRNA文库</v>
          </cell>
          <cell r="I3941" t="str">
            <v>GZQ</v>
          </cell>
          <cell r="J3941">
            <v>12.7</v>
          </cell>
          <cell r="K3941">
            <v>339</v>
          </cell>
          <cell r="L3941" t="str">
            <v>YHT</v>
          </cell>
          <cell r="N3941">
            <v>57.6355797594736</v>
          </cell>
        </row>
        <row r="3942">
          <cell r="E3942" t="str">
            <v>HGC-Lib-2455093</v>
          </cell>
          <cell r="F3942" t="str">
            <v>sAIC49</v>
          </cell>
          <cell r="G3942">
            <v>6</v>
          </cell>
          <cell r="H3942" t="str">
            <v>mRNA文库</v>
          </cell>
          <cell r="I3942" t="str">
            <v>GZQ</v>
          </cell>
          <cell r="J3942">
            <v>15.2</v>
          </cell>
          <cell r="K3942">
            <v>333</v>
          </cell>
          <cell r="L3942" t="str">
            <v>YHT</v>
          </cell>
          <cell r="N3942">
            <v>70.224070224070203</v>
          </cell>
        </row>
        <row r="3943">
          <cell r="E3943" t="str">
            <v>HGC-Lib-2455094</v>
          </cell>
          <cell r="F3943" t="str">
            <v>mAIC12</v>
          </cell>
          <cell r="G3943">
            <v>6</v>
          </cell>
          <cell r="H3943" t="str">
            <v>mRNA文库</v>
          </cell>
          <cell r="I3943" t="str">
            <v>GZQ</v>
          </cell>
          <cell r="J3943">
            <v>14.9</v>
          </cell>
          <cell r="K3943">
            <v>327</v>
          </cell>
          <cell r="L3943" t="str">
            <v>YHT</v>
          </cell>
          <cell r="N3943">
            <v>70.101152669960001</v>
          </cell>
        </row>
        <row r="3944">
          <cell r="E3944" t="str">
            <v>HGC-Lib-2455095</v>
          </cell>
          <cell r="F3944" t="str">
            <v>mPrl49</v>
          </cell>
          <cell r="G3944">
            <v>6</v>
          </cell>
          <cell r="H3944" t="str">
            <v>mRNA文库</v>
          </cell>
          <cell r="I3944" t="str">
            <v>GZQ</v>
          </cell>
          <cell r="J3944">
            <v>13</v>
          </cell>
          <cell r="K3944">
            <v>327</v>
          </cell>
          <cell r="L3944" t="str">
            <v>YHT</v>
          </cell>
          <cell r="N3944">
            <v>61.1620795107034</v>
          </cell>
        </row>
        <row r="3945">
          <cell r="E3945" t="str">
            <v>HGC-Lib-2455096</v>
          </cell>
          <cell r="F3945" t="str">
            <v>mAIC23</v>
          </cell>
          <cell r="G3945">
            <v>6</v>
          </cell>
          <cell r="H3945" t="str">
            <v>mRNA文库</v>
          </cell>
          <cell r="I3945" t="str">
            <v>GZQ</v>
          </cell>
          <cell r="J3945">
            <v>8.7799999999999994</v>
          </cell>
          <cell r="K3945">
            <v>350</v>
          </cell>
          <cell r="L3945" t="str">
            <v>HZK</v>
          </cell>
          <cell r="N3945">
            <v>38.593406593406598</v>
          </cell>
        </row>
        <row r="3946">
          <cell r="E3946" t="str">
            <v>HGC-Lib-2455097</v>
          </cell>
          <cell r="F3946" t="str">
            <v>mAIC24</v>
          </cell>
          <cell r="G3946">
            <v>6</v>
          </cell>
          <cell r="H3946" t="str">
            <v>mRNA文库</v>
          </cell>
          <cell r="I3946" t="str">
            <v>GZQ</v>
          </cell>
          <cell r="J3946">
            <v>9.8800000000000008</v>
          </cell>
          <cell r="K3946">
            <v>354</v>
          </cell>
          <cell r="L3946" t="str">
            <v>HZK</v>
          </cell>
          <cell r="N3946">
            <v>42.937853107344601</v>
          </cell>
        </row>
        <row r="3947">
          <cell r="E3947" t="str">
            <v>HGC-Lib-2455098</v>
          </cell>
          <cell r="F3947" t="str">
            <v>mAIC25</v>
          </cell>
          <cell r="G3947">
            <v>6</v>
          </cell>
          <cell r="H3947" t="str">
            <v>mRNA文库</v>
          </cell>
          <cell r="I3947" t="str">
            <v>GZQ</v>
          </cell>
          <cell r="J3947">
            <v>8.06</v>
          </cell>
          <cell r="K3947">
            <v>339</v>
          </cell>
          <cell r="L3947" t="str">
            <v>HZK</v>
          </cell>
          <cell r="N3947">
            <v>36.578171091445398</v>
          </cell>
        </row>
        <row r="3948">
          <cell r="E3948" t="str">
            <v>HGC-Lib-2455099</v>
          </cell>
          <cell r="F3948" t="str">
            <v>mAIC26</v>
          </cell>
          <cell r="G3948">
            <v>6</v>
          </cell>
          <cell r="H3948" t="str">
            <v>mRNA文库</v>
          </cell>
          <cell r="I3948" t="str">
            <v>GZQ</v>
          </cell>
          <cell r="J3948">
            <v>13.8</v>
          </cell>
          <cell r="K3948">
            <v>337</v>
          </cell>
          <cell r="L3948" t="str">
            <v>YHT</v>
          </cell>
          <cell r="N3948">
            <v>62.999315224834497</v>
          </cell>
        </row>
        <row r="3949">
          <cell r="E3949" t="str">
            <v>HGC-Lib-2455100</v>
          </cell>
          <cell r="F3949" t="str">
            <v>mAIC27</v>
          </cell>
          <cell r="G3949">
            <v>6</v>
          </cell>
          <cell r="H3949" t="str">
            <v>mRNA文库</v>
          </cell>
          <cell r="I3949" t="str">
            <v>GZQ</v>
          </cell>
          <cell r="J3949">
            <v>13.4</v>
          </cell>
          <cell r="K3949">
            <v>329</v>
          </cell>
          <cell r="L3949" t="str">
            <v>YHT</v>
          </cell>
          <cell r="N3949">
            <v>62.660743511807397</v>
          </cell>
        </row>
        <row r="3950">
          <cell r="E3950" t="str">
            <v>HGC-Lib-2455101</v>
          </cell>
          <cell r="F3950" t="str">
            <v>mAIC30</v>
          </cell>
          <cell r="G3950">
            <v>6</v>
          </cell>
          <cell r="H3950" t="str">
            <v>mRNA文库</v>
          </cell>
          <cell r="I3950" t="str">
            <v>GZQ</v>
          </cell>
          <cell r="J3950">
            <v>16</v>
          </cell>
          <cell r="K3950">
            <v>331</v>
          </cell>
          <cell r="L3950" t="str">
            <v>YHT</v>
          </cell>
          <cell r="N3950">
            <v>74.366720892400707</v>
          </cell>
        </row>
        <row r="3951">
          <cell r="E3951" t="str">
            <v>HGC-Lib-2455102</v>
          </cell>
          <cell r="F3951" t="str">
            <v>mAIC31</v>
          </cell>
          <cell r="G3951">
            <v>6</v>
          </cell>
          <cell r="H3951" t="str">
            <v>mRNA文库</v>
          </cell>
          <cell r="I3951" t="str">
            <v>GZQ</v>
          </cell>
          <cell r="J3951">
            <v>15.9</v>
          </cell>
          <cell r="K3951">
            <v>364</v>
          </cell>
          <cell r="L3951" t="str">
            <v>YHT</v>
          </cell>
          <cell r="N3951">
            <v>67.202028740490306</v>
          </cell>
        </row>
        <row r="3952">
          <cell r="E3952" t="str">
            <v>HGC-Lib-2455103</v>
          </cell>
          <cell r="F3952" t="str">
            <v>mAIC33</v>
          </cell>
          <cell r="G3952">
            <v>6</v>
          </cell>
          <cell r="H3952" t="str">
            <v>mRNA文库</v>
          </cell>
          <cell r="I3952" t="str">
            <v>GZQ</v>
          </cell>
          <cell r="J3952">
            <v>19.100000000000001</v>
          </cell>
          <cell r="K3952">
            <v>357</v>
          </cell>
          <cell r="L3952" t="str">
            <v>YHT</v>
          </cell>
          <cell r="N3952">
            <v>82.309847015729403</v>
          </cell>
        </row>
        <row r="3953">
          <cell r="E3953" t="str">
            <v>HGC-Lib-2455104</v>
          </cell>
          <cell r="F3953" t="str">
            <v>mPrl52</v>
          </cell>
          <cell r="G3953">
            <v>6</v>
          </cell>
          <cell r="H3953" t="str">
            <v>mRNA文库</v>
          </cell>
          <cell r="I3953" t="str">
            <v>GZQ</v>
          </cell>
          <cell r="J3953">
            <v>11.7</v>
          </cell>
          <cell r="K3953">
            <v>353</v>
          </cell>
          <cell r="L3953" t="str">
            <v>YHT</v>
          </cell>
          <cell r="N3953">
            <v>50.991501416430602</v>
          </cell>
        </row>
        <row r="3954">
          <cell r="E3954" t="str">
            <v>HGC-Lib-2455105</v>
          </cell>
          <cell r="F3954" t="str">
            <v>mPrl53</v>
          </cell>
          <cell r="G3954">
            <v>6</v>
          </cell>
          <cell r="H3954" t="str">
            <v>mRNA文库</v>
          </cell>
          <cell r="I3954" t="str">
            <v>GZQ</v>
          </cell>
          <cell r="J3954">
            <v>13.6</v>
          </cell>
          <cell r="K3954">
            <v>327</v>
          </cell>
          <cell r="L3954" t="str">
            <v>YHT</v>
          </cell>
          <cell r="N3954">
            <v>63.9849447188897</v>
          </cell>
        </row>
        <row r="3955">
          <cell r="E3955" t="str">
            <v>HGC-Lib-2455106</v>
          </cell>
          <cell r="F3955" t="str">
            <v>mPrl54</v>
          </cell>
          <cell r="G3955">
            <v>6</v>
          </cell>
          <cell r="H3955" t="str">
            <v>mRNA文库</v>
          </cell>
          <cell r="I3955" t="str">
            <v>GZQ</v>
          </cell>
          <cell r="J3955">
            <v>13</v>
          </cell>
          <cell r="K3955">
            <v>344</v>
          </cell>
          <cell r="L3955" t="str">
            <v>YHT</v>
          </cell>
          <cell r="N3955">
            <v>58.139534883720899</v>
          </cell>
        </row>
        <row r="3956">
          <cell r="E3956" t="str">
            <v>HGC-Lib-2455107</v>
          </cell>
          <cell r="F3956" t="str">
            <v>mPrl55</v>
          </cell>
          <cell r="G3956">
            <v>6</v>
          </cell>
          <cell r="H3956" t="str">
            <v>mRNA文库</v>
          </cell>
          <cell r="I3956" t="str">
            <v>GZQ</v>
          </cell>
          <cell r="J3956">
            <v>14.6</v>
          </cell>
          <cell r="K3956">
            <v>366</v>
          </cell>
          <cell r="L3956" t="str">
            <v>YHT</v>
          </cell>
          <cell r="N3956">
            <v>61.3703236654056</v>
          </cell>
        </row>
        <row r="3957">
          <cell r="E3957" t="str">
            <v>HGC-Lib-2455108</v>
          </cell>
          <cell r="F3957" t="str">
            <v>mPrl56</v>
          </cell>
          <cell r="G3957">
            <v>6</v>
          </cell>
          <cell r="H3957" t="str">
            <v>mRNA文库</v>
          </cell>
          <cell r="I3957" t="str">
            <v>GZQ</v>
          </cell>
          <cell r="J3957">
            <v>14.8</v>
          </cell>
          <cell r="K3957">
            <v>359</v>
          </cell>
          <cell r="L3957" t="str">
            <v>YHT</v>
          </cell>
          <cell r="N3957">
            <v>63.4240411399186</v>
          </cell>
        </row>
        <row r="3958">
          <cell r="E3958" t="str">
            <v>HGC-Lib-2455109</v>
          </cell>
          <cell r="F3958" t="str">
            <v>mPrl57</v>
          </cell>
          <cell r="G3958">
            <v>6</v>
          </cell>
          <cell r="H3958" t="str">
            <v>mRNA文库</v>
          </cell>
          <cell r="I3958" t="str">
            <v>GZQ</v>
          </cell>
          <cell r="J3958">
            <v>17.3</v>
          </cell>
          <cell r="K3958">
            <v>359</v>
          </cell>
          <cell r="L3958" t="str">
            <v>YHT</v>
          </cell>
          <cell r="N3958">
            <v>74.137561602742693</v>
          </cell>
        </row>
        <row r="3959">
          <cell r="E3959" t="str">
            <v>HGC-Lib-2455110</v>
          </cell>
          <cell r="F3959" t="str">
            <v>mPrl59</v>
          </cell>
          <cell r="G3959">
            <v>6</v>
          </cell>
          <cell r="H3959" t="str">
            <v>mRNA文库</v>
          </cell>
          <cell r="I3959" t="str">
            <v>GZQ</v>
          </cell>
          <cell r="J3959">
            <v>18.5</v>
          </cell>
          <cell r="K3959">
            <v>363</v>
          </cell>
          <cell r="L3959" t="str">
            <v>YHT</v>
          </cell>
          <cell r="N3959">
            <v>78.406442042805693</v>
          </cell>
        </row>
        <row r="3960">
          <cell r="E3960" t="str">
            <v>HGC-Lib-2455111</v>
          </cell>
          <cell r="F3960" t="str">
            <v>mPrl60</v>
          </cell>
          <cell r="G3960">
            <v>6</v>
          </cell>
          <cell r="H3960" t="str">
            <v>mRNA文库</v>
          </cell>
          <cell r="I3960" t="str">
            <v>GZQ</v>
          </cell>
          <cell r="J3960">
            <v>19.399999999999999</v>
          </cell>
          <cell r="K3960">
            <v>358</v>
          </cell>
          <cell r="L3960" t="str">
            <v>YHT</v>
          </cell>
          <cell r="N3960">
            <v>83.369144821658793</v>
          </cell>
        </row>
        <row r="3961">
          <cell r="E3961" t="str">
            <v>HGC-Lib-2455112</v>
          </cell>
          <cell r="F3961" t="str">
            <v>mPrl62</v>
          </cell>
          <cell r="G3961">
            <v>6</v>
          </cell>
          <cell r="H3961" t="str">
            <v>mRNA文库</v>
          </cell>
          <cell r="I3961" t="str">
            <v>GZQ</v>
          </cell>
          <cell r="J3961">
            <v>13</v>
          </cell>
          <cell r="K3961">
            <v>347</v>
          </cell>
          <cell r="L3961" t="str">
            <v>YHT</v>
          </cell>
          <cell r="N3961">
            <v>57.636887608069202</v>
          </cell>
        </row>
        <row r="3962">
          <cell r="E3962" t="str">
            <v>HGC-Lib-2455113</v>
          </cell>
          <cell r="F3962" t="str">
            <v>SAIC54</v>
          </cell>
          <cell r="G3962">
            <v>6</v>
          </cell>
          <cell r="H3962" t="str">
            <v>mRNA文库</v>
          </cell>
          <cell r="I3962" t="str">
            <v>GZQ</v>
          </cell>
          <cell r="J3962">
            <v>18.8</v>
          </cell>
          <cell r="K3962">
            <v>337</v>
          </cell>
          <cell r="L3962" t="str">
            <v>YHT</v>
          </cell>
          <cell r="N3962">
            <v>85.825154074412197</v>
          </cell>
        </row>
        <row r="3963">
          <cell r="E3963" t="str">
            <v>HGC-Lib-2455114</v>
          </cell>
          <cell r="F3963" t="str">
            <v>SAIC55</v>
          </cell>
          <cell r="G3963">
            <v>6</v>
          </cell>
          <cell r="H3963" t="str">
            <v>mRNA文库</v>
          </cell>
          <cell r="I3963" t="str">
            <v>GZQ</v>
          </cell>
          <cell r="J3963">
            <v>18.899999999999999</v>
          </cell>
          <cell r="K3963">
            <v>326</v>
          </cell>
          <cell r="L3963" t="str">
            <v>YHT</v>
          </cell>
          <cell r="N3963">
            <v>89.193015573383704</v>
          </cell>
        </row>
        <row r="3964">
          <cell r="E3964" t="str">
            <v>HGC-Lib-2455115</v>
          </cell>
          <cell r="F3964" t="str">
            <v>SAIC62</v>
          </cell>
          <cell r="G3964">
            <v>6</v>
          </cell>
          <cell r="H3964" t="str">
            <v>mRNA文库</v>
          </cell>
          <cell r="I3964" t="str">
            <v>GZQ</v>
          </cell>
          <cell r="J3964">
            <v>16.399999999999999</v>
          </cell>
          <cell r="K3964">
            <v>339</v>
          </cell>
          <cell r="L3964" t="str">
            <v>YHT</v>
          </cell>
          <cell r="N3964">
            <v>74.427047878375305</v>
          </cell>
        </row>
        <row r="3965">
          <cell r="E3965" t="str">
            <v>HGC-Lib-2455116</v>
          </cell>
          <cell r="F3965" t="str">
            <v>SAIC63</v>
          </cell>
          <cell r="G3965">
            <v>6</v>
          </cell>
          <cell r="H3965" t="str">
            <v>mRNA文库</v>
          </cell>
          <cell r="I3965" t="str">
            <v>GZQ</v>
          </cell>
          <cell r="J3965">
            <v>17</v>
          </cell>
          <cell r="K3965">
            <v>349</v>
          </cell>
          <cell r="L3965" t="str">
            <v>YHT</v>
          </cell>
          <cell r="N3965">
            <v>74.939387260304201</v>
          </cell>
        </row>
        <row r="3966">
          <cell r="E3966" t="str">
            <v>HGC-Lib-2455171</v>
          </cell>
          <cell r="F3966" t="str">
            <v>S1-S-H3K27ac-1</v>
          </cell>
          <cell r="G3966">
            <v>6</v>
          </cell>
          <cell r="H3966" t="str">
            <v>CUT&amp;Tag文库</v>
          </cell>
          <cell r="I3966" t="str">
            <v>DY</v>
          </cell>
          <cell r="J3966">
            <v>2.02</v>
          </cell>
          <cell r="K3966">
            <v>477</v>
          </cell>
          <cell r="L3966" t="str">
            <v>HZK</v>
          </cell>
          <cell r="N3966">
            <v>6.51507821319142</v>
          </cell>
        </row>
        <row r="3967">
          <cell r="E3967" t="str">
            <v>HGC-Lib-2455172</v>
          </cell>
          <cell r="F3967" t="str">
            <v>S1-S-H3K27ac-2</v>
          </cell>
          <cell r="G3967">
            <v>6</v>
          </cell>
          <cell r="H3967" t="str">
            <v>CUT&amp;Tag文库</v>
          </cell>
          <cell r="I3967" t="str">
            <v>DY</v>
          </cell>
          <cell r="J3967">
            <v>1.97</v>
          </cell>
          <cell r="K3967">
            <v>478</v>
          </cell>
          <cell r="L3967" t="str">
            <v>HZK</v>
          </cell>
          <cell r="N3967">
            <v>6.34052140328291</v>
          </cell>
        </row>
        <row r="3968">
          <cell r="E3968" t="str">
            <v>HGC-Lib-2455173</v>
          </cell>
          <cell r="F3968" t="str">
            <v>ZH-S-ATAC-1</v>
          </cell>
          <cell r="G3968">
            <v>20</v>
          </cell>
          <cell r="H3968" t="str">
            <v>ATAC-Seq文库</v>
          </cell>
          <cell r="I3968" t="str">
            <v>DY</v>
          </cell>
          <cell r="J3968">
            <v>27.8</v>
          </cell>
          <cell r="K3968">
            <v>310</v>
          </cell>
          <cell r="L3968" t="str">
            <v>YHT</v>
          </cell>
          <cell r="N3968">
            <v>137.96526054590601</v>
          </cell>
        </row>
        <row r="3969">
          <cell r="E3969" t="str">
            <v>HGC-Lib-2455174</v>
          </cell>
          <cell r="F3969" t="str">
            <v>ZH-S-ATAC-2</v>
          </cell>
          <cell r="G3969">
            <v>20</v>
          </cell>
          <cell r="H3969" t="str">
            <v>ATAC-Seq文库</v>
          </cell>
          <cell r="I3969" t="str">
            <v>DY</v>
          </cell>
          <cell r="J3969">
            <v>29</v>
          </cell>
          <cell r="K3969">
            <v>312</v>
          </cell>
          <cell r="L3969" t="str">
            <v>YHT</v>
          </cell>
          <cell r="N3969">
            <v>142.99802761341201</v>
          </cell>
        </row>
        <row r="3970">
          <cell r="E3970" t="str">
            <v>HGC-Lib-2455175</v>
          </cell>
          <cell r="F3970" t="str">
            <v>3M-S-ATAC-1</v>
          </cell>
          <cell r="G3970">
            <v>20</v>
          </cell>
          <cell r="H3970" t="str">
            <v>ATAC-Seq文库</v>
          </cell>
          <cell r="I3970" t="str">
            <v>DY</v>
          </cell>
          <cell r="J3970">
            <v>26.4</v>
          </cell>
          <cell r="K3970">
            <v>315</v>
          </cell>
          <cell r="L3970" t="str">
            <v>YHT</v>
          </cell>
          <cell r="N3970">
            <v>128.93772893772899</v>
          </cell>
        </row>
        <row r="3971">
          <cell r="E3971" t="str">
            <v>HGC-Lib-2455176</v>
          </cell>
          <cell r="F3971" t="str">
            <v>3M-S-ATAC-2</v>
          </cell>
          <cell r="G3971">
            <v>20</v>
          </cell>
          <cell r="H3971" t="str">
            <v>ATAC-Seq文库</v>
          </cell>
          <cell r="I3971" t="str">
            <v>DY</v>
          </cell>
          <cell r="J3971">
            <v>25</v>
          </cell>
          <cell r="K3971">
            <v>311</v>
          </cell>
          <cell r="L3971" t="str">
            <v>YHT</v>
          </cell>
          <cell r="N3971">
            <v>123.670541676973</v>
          </cell>
        </row>
        <row r="3972">
          <cell r="E3972" t="str">
            <v>HGC-Lib-2455177</v>
          </cell>
          <cell r="F3972" t="str">
            <v>S1-S-ATAC-1</v>
          </cell>
          <cell r="G3972">
            <v>20</v>
          </cell>
          <cell r="H3972" t="str">
            <v>ATAC-Seq文库</v>
          </cell>
          <cell r="I3972" t="str">
            <v>DY</v>
          </cell>
          <cell r="J3972">
            <v>13</v>
          </cell>
          <cell r="K3972">
            <v>315</v>
          </cell>
          <cell r="L3972" t="str">
            <v>YHT</v>
          </cell>
          <cell r="N3972">
            <v>63.492063492063501</v>
          </cell>
        </row>
        <row r="3973">
          <cell r="E3973" t="str">
            <v>HGC-Lib-2455178</v>
          </cell>
          <cell r="F3973" t="str">
            <v>S1-S-ATAC-2</v>
          </cell>
          <cell r="G3973">
            <v>20</v>
          </cell>
          <cell r="H3973" t="str">
            <v>ATAC-Seq文库</v>
          </cell>
          <cell r="I3973" t="str">
            <v>DY</v>
          </cell>
          <cell r="J3973">
            <v>11.1</v>
          </cell>
          <cell r="K3973">
            <v>293</v>
          </cell>
          <cell r="L3973" t="str">
            <v>YHT</v>
          </cell>
          <cell r="N3973">
            <v>58.283013914413203</v>
          </cell>
        </row>
        <row r="3974">
          <cell r="E3974" t="str">
            <v>HGC-Lib-2455179</v>
          </cell>
          <cell r="F3974" t="str">
            <v>75-S-ATAC-1</v>
          </cell>
          <cell r="G3974">
            <v>20</v>
          </cell>
          <cell r="H3974" t="str">
            <v>ATAC-Seq文库</v>
          </cell>
          <cell r="I3974" t="str">
            <v>DY</v>
          </cell>
          <cell r="J3974">
            <v>28</v>
          </cell>
          <cell r="K3974">
            <v>299</v>
          </cell>
          <cell r="L3974" t="str">
            <v>YHT</v>
          </cell>
          <cell r="N3974">
            <v>144.069976845897</v>
          </cell>
        </row>
        <row r="3975">
          <cell r="E3975" t="str">
            <v>HGC-Lib-2455180</v>
          </cell>
          <cell r="F3975" t="str">
            <v>75-S-ATAC-2</v>
          </cell>
          <cell r="G3975">
            <v>20</v>
          </cell>
          <cell r="H3975" t="str">
            <v>ATAC-Seq文库</v>
          </cell>
          <cell r="I3975" t="str">
            <v>DY</v>
          </cell>
          <cell r="J3975">
            <v>6.7</v>
          </cell>
          <cell r="K3975">
            <v>291</v>
          </cell>
          <cell r="L3975" t="str">
            <v>HZK</v>
          </cell>
          <cell r="N3975">
            <v>35.421623050489004</v>
          </cell>
        </row>
        <row r="3976">
          <cell r="E3976" t="str">
            <v>HGC-POOL-2455181</v>
          </cell>
          <cell r="F3976" t="str">
            <v>Brunello Lib. 2</v>
          </cell>
          <cell r="G3976">
            <v>8</v>
          </cell>
          <cell r="H3976" t="str">
            <v>PCR产物文库</v>
          </cell>
          <cell r="I3976" t="str">
            <v>DY</v>
          </cell>
          <cell r="J3976">
            <v>28</v>
          </cell>
          <cell r="K3976">
            <v>453</v>
          </cell>
          <cell r="L3976" t="str">
            <v>YHT</v>
          </cell>
          <cell r="M3976" t="str">
            <v>加水200</v>
          </cell>
          <cell r="N3976">
            <v>95.092545423671297</v>
          </cell>
        </row>
        <row r="3977">
          <cell r="E3977" t="str">
            <v>HGC-POOL-2455182</v>
          </cell>
          <cell r="F3977" t="str">
            <v>Brunello Lib. 3</v>
          </cell>
          <cell r="G3977">
            <v>8</v>
          </cell>
          <cell r="H3977" t="str">
            <v>PCR产物文库</v>
          </cell>
          <cell r="I3977" t="str">
            <v>DY</v>
          </cell>
          <cell r="J3977">
            <v>47</v>
          </cell>
          <cell r="K3977">
            <v>406</v>
          </cell>
          <cell r="L3977" t="str">
            <v>YHT</v>
          </cell>
          <cell r="N3977">
            <v>178.09776430466101</v>
          </cell>
        </row>
        <row r="3978">
          <cell r="E3978" t="str">
            <v>HGC-POOL-2455183</v>
          </cell>
          <cell r="F3978" t="str">
            <v>P2</v>
          </cell>
          <cell r="G3978">
            <v>30</v>
          </cell>
          <cell r="H3978" t="str">
            <v>mRNA文库</v>
          </cell>
          <cell r="I3978" t="str">
            <v>DY</v>
          </cell>
          <cell r="J3978">
            <v>2.96</v>
          </cell>
          <cell r="K3978">
            <v>358</v>
          </cell>
          <cell r="L3978" t="str">
            <v>HZK</v>
          </cell>
          <cell r="N3978">
            <v>12.7202406532015</v>
          </cell>
        </row>
        <row r="3979">
          <cell r="E3979" t="str">
            <v>HGC-POOL-2455184</v>
          </cell>
          <cell r="F3979" t="str">
            <v>WK0712-1</v>
          </cell>
          <cell r="H3979" t="str">
            <v>WES/panel捕获文库</v>
          </cell>
          <cell r="I3979" t="str">
            <v>DY</v>
          </cell>
          <cell r="J3979">
            <v>4.92</v>
          </cell>
          <cell r="K3979">
            <v>382</v>
          </cell>
          <cell r="L3979" t="str">
            <v>HZK</v>
          </cell>
          <cell r="N3979">
            <v>19.814740233588399</v>
          </cell>
        </row>
        <row r="3980">
          <cell r="E3980" t="str">
            <v>HGC-Lib-2455185</v>
          </cell>
          <cell r="F3980" t="str">
            <v>SG-Lib-A-EX1</v>
          </cell>
          <cell r="G3980">
            <v>2</v>
          </cell>
          <cell r="H3980" t="str">
            <v>PCR产物文库</v>
          </cell>
          <cell r="I3980" t="str">
            <v>DY</v>
          </cell>
          <cell r="J3980">
            <v>1.74</v>
          </cell>
          <cell r="K3980">
            <v>418</v>
          </cell>
          <cell r="L3980" t="str">
            <v>HZK</v>
          </cell>
          <cell r="N3980">
            <v>6.4041221935958799</v>
          </cell>
        </row>
        <row r="3981">
          <cell r="E3981" t="str">
            <v>HGC-Lib-2455186</v>
          </cell>
          <cell r="F3981" t="str">
            <v>SG-Lib-A-EX2</v>
          </cell>
          <cell r="G3981">
            <v>2</v>
          </cell>
          <cell r="H3981" t="str">
            <v>PCR产物文库</v>
          </cell>
          <cell r="I3981" t="str">
            <v>DY</v>
          </cell>
          <cell r="J3981">
            <v>0.36799999999999999</v>
          </cell>
          <cell r="K3981">
            <v>387</v>
          </cell>
          <cell r="L3981" t="str">
            <v>HZK</v>
          </cell>
          <cell r="N3981">
            <v>1.4629298350228599</v>
          </cell>
        </row>
        <row r="3982">
          <cell r="E3982" t="str">
            <v>HGC-Lib-2455187</v>
          </cell>
          <cell r="F3982" t="str">
            <v>SG-Lib-A-EX3</v>
          </cell>
          <cell r="G3982">
            <v>2</v>
          </cell>
          <cell r="H3982" t="str">
            <v>PCR产物文库</v>
          </cell>
          <cell r="I3982" t="str">
            <v>DY</v>
          </cell>
          <cell r="J3982">
            <v>0.66400000000000003</v>
          </cell>
          <cell r="K3982">
            <v>383</v>
          </cell>
          <cell r="L3982" t="str">
            <v>HZK</v>
          </cell>
          <cell r="N3982">
            <v>2.6672022494476799</v>
          </cell>
        </row>
        <row r="3983">
          <cell r="E3983" t="str">
            <v>HGC-Lib-2455188</v>
          </cell>
          <cell r="F3983" t="str">
            <v>SG-Lib-A-NC</v>
          </cell>
          <cell r="G3983">
            <v>2</v>
          </cell>
          <cell r="H3983" t="str">
            <v>PCR产物文库</v>
          </cell>
          <cell r="I3983" t="str">
            <v>DY</v>
          </cell>
          <cell r="J3983">
            <v>5.16</v>
          </cell>
          <cell r="K3983">
            <v>413</v>
          </cell>
          <cell r="L3983" t="str">
            <v>HZK</v>
          </cell>
          <cell r="N3983">
            <v>19.221456509592102</v>
          </cell>
        </row>
        <row r="3984">
          <cell r="E3984" t="str">
            <v>HGC-Lib-2455189</v>
          </cell>
          <cell r="F3984" t="str">
            <v>CB-T24</v>
          </cell>
          <cell r="G3984">
            <v>5</v>
          </cell>
          <cell r="H3984" t="str">
            <v>PCR产物文库</v>
          </cell>
          <cell r="I3984" t="str">
            <v>DY</v>
          </cell>
          <cell r="J3984">
            <v>34</v>
          </cell>
          <cell r="K3984">
            <v>487</v>
          </cell>
          <cell r="L3984" t="str">
            <v>YHT</v>
          </cell>
          <cell r="N3984">
            <v>107.407992418259</v>
          </cell>
        </row>
        <row r="3985">
          <cell r="E3985" t="str">
            <v>HGC-Lib-2455190</v>
          </cell>
          <cell r="F3985" t="str">
            <v>19848-EML4-SYZ</v>
          </cell>
          <cell r="G3985">
            <v>6</v>
          </cell>
          <cell r="H3985" t="str">
            <v>Chip-seq文库</v>
          </cell>
          <cell r="I3985" t="str">
            <v>DY</v>
          </cell>
          <cell r="J3985">
            <v>45.8</v>
          </cell>
          <cell r="K3985">
            <v>323</v>
          </cell>
          <cell r="L3985" t="str">
            <v>YHT</v>
          </cell>
          <cell r="M3985" t="str">
            <v>加水50ul</v>
          </cell>
          <cell r="N3985">
            <v>218.14717789950001</v>
          </cell>
        </row>
        <row r="3986">
          <cell r="E3986" t="str">
            <v>HGC-Lib-2455191</v>
          </cell>
          <cell r="F3986" t="str">
            <v>19848-EML4-DZZ</v>
          </cell>
          <cell r="G3986">
            <v>6</v>
          </cell>
          <cell r="H3986" t="str">
            <v>Chip-seq文库</v>
          </cell>
          <cell r="I3986" t="str">
            <v>DY</v>
          </cell>
          <cell r="J3986">
            <v>39</v>
          </cell>
          <cell r="K3986">
            <v>277</v>
          </cell>
          <cell r="L3986" t="str">
            <v>YHT</v>
          </cell>
          <cell r="N3986">
            <v>216.606498194946</v>
          </cell>
        </row>
        <row r="3987">
          <cell r="E3987" t="str">
            <v>HGC-Lib-2455192</v>
          </cell>
          <cell r="F3987" t="str">
            <v>19848-EML4-Input</v>
          </cell>
          <cell r="G3987">
            <v>6</v>
          </cell>
          <cell r="H3987" t="str">
            <v>Chip-seq文库</v>
          </cell>
          <cell r="I3987" t="str">
            <v>DY</v>
          </cell>
          <cell r="J3987">
            <v>44.8</v>
          </cell>
          <cell r="K3987">
            <v>391</v>
          </cell>
          <cell r="L3987" t="str">
            <v>YHT</v>
          </cell>
          <cell r="N3987">
            <v>176.27385402321499</v>
          </cell>
        </row>
        <row r="3988">
          <cell r="E3988" t="str">
            <v>HGC-Lib-2455193</v>
          </cell>
          <cell r="F3988" t="str">
            <v>19848-MEA-SYZ</v>
          </cell>
          <cell r="G3988">
            <v>6</v>
          </cell>
          <cell r="H3988" t="str">
            <v>Chip-seq文库</v>
          </cell>
          <cell r="I3988" t="str">
            <v>DY</v>
          </cell>
          <cell r="J3988">
            <v>35.4</v>
          </cell>
          <cell r="K3988">
            <v>303</v>
          </cell>
          <cell r="L3988" t="str">
            <v>YHT</v>
          </cell>
          <cell r="N3988">
            <v>179.74105102818001</v>
          </cell>
        </row>
        <row r="3989">
          <cell r="E3989" t="str">
            <v>HGC-Lib-2455194</v>
          </cell>
          <cell r="F3989" t="str">
            <v>19848-MEA-DZZ</v>
          </cell>
          <cell r="G3989">
            <v>6</v>
          </cell>
          <cell r="H3989" t="str">
            <v>Chip-seq文库</v>
          </cell>
          <cell r="I3989" t="str">
            <v>DY</v>
          </cell>
          <cell r="J3989">
            <v>34.6</v>
          </cell>
          <cell r="K3989">
            <v>291</v>
          </cell>
          <cell r="L3989" t="str">
            <v>YHT</v>
          </cell>
          <cell r="N3989">
            <v>182.92360560401801</v>
          </cell>
        </row>
        <row r="3990">
          <cell r="E3990" t="str">
            <v>HGC-Lib-2455195</v>
          </cell>
          <cell r="F3990" t="str">
            <v>19848-MEA-Input</v>
          </cell>
          <cell r="G3990">
            <v>6</v>
          </cell>
          <cell r="H3990" t="str">
            <v>Chip-seq文库</v>
          </cell>
          <cell r="I3990" t="str">
            <v>DY</v>
          </cell>
          <cell r="J3990">
            <v>25.8</v>
          </cell>
          <cell r="K3990">
            <v>537</v>
          </cell>
          <cell r="L3990" t="str">
            <v>YHT</v>
          </cell>
          <cell r="N3990">
            <v>73.914911903738698</v>
          </cell>
        </row>
        <row r="3991">
          <cell r="E3991" t="str">
            <v>HGC-Lib-2455196</v>
          </cell>
          <cell r="F3991" t="str">
            <v>19848-WT-SYZ</v>
          </cell>
          <cell r="G3991">
            <v>6</v>
          </cell>
          <cell r="H3991" t="str">
            <v>Chip-seq文库</v>
          </cell>
          <cell r="I3991" t="str">
            <v>DY</v>
          </cell>
          <cell r="J3991">
            <v>47.4</v>
          </cell>
          <cell r="K3991">
            <v>339</v>
          </cell>
          <cell r="L3991" t="str">
            <v>YHT</v>
          </cell>
          <cell r="N3991">
            <v>215.112321307012</v>
          </cell>
        </row>
        <row r="3992">
          <cell r="E3992" t="str">
            <v>HGC-Lib-2455197</v>
          </cell>
          <cell r="F3992" t="str">
            <v>19848-WT-DZZ</v>
          </cell>
          <cell r="G3992">
            <v>6</v>
          </cell>
          <cell r="H3992" t="str">
            <v>Chip-seq文库</v>
          </cell>
          <cell r="I3992" t="str">
            <v>DY</v>
          </cell>
          <cell r="J3992">
            <v>97.6</v>
          </cell>
          <cell r="K3992">
            <v>319</v>
          </cell>
          <cell r="L3992" t="str">
            <v>YHT</v>
          </cell>
          <cell r="N3992">
            <v>470.70171208102198</v>
          </cell>
        </row>
        <row r="3993">
          <cell r="E3993" t="str">
            <v>HGC-Lib-2455198</v>
          </cell>
          <cell r="F3993" t="str">
            <v>19848-WT-Input</v>
          </cell>
          <cell r="G3993">
            <v>6</v>
          </cell>
          <cell r="H3993" t="str">
            <v>Chip-seq文库</v>
          </cell>
          <cell r="I3993" t="str">
            <v>DY</v>
          </cell>
          <cell r="J3993">
            <v>116</v>
          </cell>
          <cell r="K3993">
            <v>429</v>
          </cell>
          <cell r="L3993" t="str">
            <v>YHT</v>
          </cell>
          <cell r="N3993">
            <v>415.99426214810802</v>
          </cell>
        </row>
        <row r="3994">
          <cell r="E3994" t="str">
            <v>HGC-Lib-2455199</v>
          </cell>
          <cell r="F3994" t="str">
            <v>22701-SYZ1</v>
          </cell>
          <cell r="G3994">
            <v>3</v>
          </cell>
          <cell r="H3994" t="str">
            <v>DAP-seq文库</v>
          </cell>
          <cell r="I3994" t="str">
            <v>DY</v>
          </cell>
          <cell r="J3994">
            <v>68</v>
          </cell>
          <cell r="K3994">
            <v>381</v>
          </cell>
          <cell r="L3994" t="str">
            <v>YHT</v>
          </cell>
          <cell r="N3994">
            <v>274.58106198263698</v>
          </cell>
        </row>
        <row r="3995">
          <cell r="E3995" t="str">
            <v>HGC-Lib-2455200</v>
          </cell>
          <cell r="F3995" t="str">
            <v>22701-SYZ2</v>
          </cell>
          <cell r="G3995">
            <v>3</v>
          </cell>
          <cell r="H3995" t="str">
            <v>DAP-seq文库</v>
          </cell>
          <cell r="I3995" t="str">
            <v>DY</v>
          </cell>
          <cell r="J3995">
            <v>66.599999999999994</v>
          </cell>
          <cell r="K3995">
            <v>389</v>
          </cell>
          <cell r="L3995" t="str">
            <v>YHT</v>
          </cell>
          <cell r="N3995">
            <v>263.39727110935303</v>
          </cell>
        </row>
        <row r="3996">
          <cell r="E3996" t="str">
            <v>HGC-Lib-2455201</v>
          </cell>
          <cell r="F3996" t="str">
            <v>22702-SYZ1</v>
          </cell>
          <cell r="G3996">
            <v>3</v>
          </cell>
          <cell r="H3996" t="str">
            <v>DAP-seq文库</v>
          </cell>
          <cell r="I3996" t="str">
            <v>DY</v>
          </cell>
          <cell r="J3996">
            <v>68</v>
          </cell>
          <cell r="K3996">
            <v>449</v>
          </cell>
          <cell r="L3996" t="str">
            <v>YHT</v>
          </cell>
          <cell r="N3996">
            <v>232.996402261436</v>
          </cell>
        </row>
        <row r="3997">
          <cell r="E3997" t="str">
            <v>HGC-Lib-2455202</v>
          </cell>
          <cell r="F3997" t="str">
            <v>22702-SYZ2</v>
          </cell>
          <cell r="G3997">
            <v>3</v>
          </cell>
          <cell r="H3997" t="str">
            <v>DAP-seq文库</v>
          </cell>
          <cell r="I3997" t="str">
            <v>DY</v>
          </cell>
          <cell r="J3997">
            <v>53.8</v>
          </cell>
          <cell r="K3997">
            <v>469</v>
          </cell>
          <cell r="L3997" t="str">
            <v>YHT</v>
          </cell>
          <cell r="N3997">
            <v>176.480236181729</v>
          </cell>
        </row>
        <row r="3998">
          <cell r="E3998" t="str">
            <v>HGC-Lib-2455203</v>
          </cell>
          <cell r="F3998" t="str">
            <v>22703-SYZ1</v>
          </cell>
          <cell r="G3998">
            <v>3</v>
          </cell>
          <cell r="H3998" t="str">
            <v>DAP-seq文库</v>
          </cell>
          <cell r="I3998" t="str">
            <v>DY</v>
          </cell>
          <cell r="J3998">
            <v>23.4</v>
          </cell>
          <cell r="K3998">
            <v>361</v>
          </cell>
          <cell r="L3998" t="str">
            <v>YHT</v>
          </cell>
          <cell r="M3998" t="str">
            <v>加水50ul</v>
          </cell>
          <cell r="N3998">
            <v>99.7229916897507</v>
          </cell>
        </row>
        <row r="3999">
          <cell r="E3999" t="str">
            <v>HGC-Lib-2455204</v>
          </cell>
          <cell r="F3999" t="str">
            <v>22703-SYZ2</v>
          </cell>
          <cell r="G3999">
            <v>3</v>
          </cell>
          <cell r="H3999" t="str">
            <v>DAP-seq文库</v>
          </cell>
          <cell r="I3999" t="str">
            <v>DY</v>
          </cell>
          <cell r="J3999">
            <v>66.2</v>
          </cell>
          <cell r="K3999">
            <v>370</v>
          </cell>
          <cell r="L3999" t="str">
            <v>YHT</v>
          </cell>
          <cell r="N3999">
            <v>275.259875259875</v>
          </cell>
        </row>
        <row r="4000">
          <cell r="E4000" t="str">
            <v>HGC-Lib-2455205</v>
          </cell>
          <cell r="F4000" t="str">
            <v>22701-DZZ</v>
          </cell>
          <cell r="G4000">
            <v>2</v>
          </cell>
          <cell r="H4000" t="str">
            <v>DAP-seq文库</v>
          </cell>
          <cell r="I4000" t="str">
            <v>DY</v>
          </cell>
          <cell r="J4000">
            <v>33.799999999999997</v>
          </cell>
          <cell r="K4000">
            <v>414</v>
          </cell>
          <cell r="L4000" t="str">
            <v>YHT</v>
          </cell>
          <cell r="N4000">
            <v>125.6038647343</v>
          </cell>
        </row>
        <row r="4001">
          <cell r="E4001" t="str">
            <v>HGC-Lib-2455206</v>
          </cell>
          <cell r="F4001" t="str">
            <v>22254-SYZ1</v>
          </cell>
          <cell r="G4001">
            <v>6</v>
          </cell>
          <cell r="H4001" t="str">
            <v>DAP-seq文库</v>
          </cell>
          <cell r="I4001" t="str">
            <v>DY</v>
          </cell>
          <cell r="J4001">
            <v>14.3</v>
          </cell>
          <cell r="K4001">
            <v>484</v>
          </cell>
          <cell r="L4001" t="str">
            <v>YHT</v>
          </cell>
          <cell r="N4001">
            <v>45.454545454545503</v>
          </cell>
        </row>
        <row r="4002">
          <cell r="E4002" t="str">
            <v>HGC-Lib-2455207</v>
          </cell>
          <cell r="F4002" t="str">
            <v>22254-SYZ2</v>
          </cell>
          <cell r="G4002">
            <v>6</v>
          </cell>
          <cell r="H4002" t="str">
            <v>DAP-seq文库</v>
          </cell>
          <cell r="I4002" t="str">
            <v>DY</v>
          </cell>
          <cell r="J4002">
            <v>15.9</v>
          </cell>
          <cell r="K4002">
            <v>503</v>
          </cell>
          <cell r="L4002" t="str">
            <v>YHT</v>
          </cell>
          <cell r="N4002">
            <v>48.6312891879492</v>
          </cell>
        </row>
        <row r="4003">
          <cell r="E4003" t="str">
            <v>HGC-Lib-2455208</v>
          </cell>
          <cell r="F4003" t="str">
            <v>22254-DZZ</v>
          </cell>
          <cell r="G4003">
            <v>4</v>
          </cell>
          <cell r="H4003" t="str">
            <v>DAP-seq文库</v>
          </cell>
          <cell r="I4003" t="str">
            <v>DY</v>
          </cell>
          <cell r="J4003">
            <v>24.8</v>
          </cell>
          <cell r="K4003">
            <v>487</v>
          </cell>
          <cell r="L4003" t="str">
            <v>YHT</v>
          </cell>
          <cell r="N4003">
            <v>78.344653293318601</v>
          </cell>
        </row>
        <row r="4004">
          <cell r="E4004" t="str">
            <v>HGC-Lib-2455209</v>
          </cell>
          <cell r="F4004" t="str">
            <v>22543-SYZ1</v>
          </cell>
          <cell r="G4004">
            <v>3</v>
          </cell>
          <cell r="H4004" t="str">
            <v>DAP-seq文库</v>
          </cell>
          <cell r="I4004" t="str">
            <v>DY</v>
          </cell>
          <cell r="J4004">
            <v>23</v>
          </cell>
          <cell r="K4004">
            <v>340</v>
          </cell>
          <cell r="L4004" t="str">
            <v>YHT</v>
          </cell>
          <cell r="N4004">
            <v>104.07239819004501</v>
          </cell>
        </row>
        <row r="4005">
          <cell r="E4005" t="str">
            <v>HGC-Lib-2455210</v>
          </cell>
          <cell r="F4005" t="str">
            <v>22543-SYZ2</v>
          </cell>
          <cell r="G4005">
            <v>3</v>
          </cell>
          <cell r="H4005" t="str">
            <v>DAP-seq文库</v>
          </cell>
          <cell r="I4005" t="str">
            <v>DY</v>
          </cell>
          <cell r="J4005">
            <v>23.3</v>
          </cell>
          <cell r="K4005">
            <v>359</v>
          </cell>
          <cell r="L4005" t="str">
            <v>YHT</v>
          </cell>
          <cell r="N4005">
            <v>99.850010713520504</v>
          </cell>
        </row>
        <row r="4006">
          <cell r="E4006" t="str">
            <v>HGC-Lib-2455211</v>
          </cell>
          <cell r="F4006" t="str">
            <v>22543-DZZ</v>
          </cell>
          <cell r="G4006">
            <v>2</v>
          </cell>
          <cell r="H4006" t="str">
            <v>DAP-seq文库</v>
          </cell>
          <cell r="I4006" t="str">
            <v>DY</v>
          </cell>
          <cell r="J4006">
            <v>86.8</v>
          </cell>
          <cell r="K4006">
            <v>452</v>
          </cell>
          <cell r="L4006" t="str">
            <v>YHT</v>
          </cell>
          <cell r="N4006">
            <v>295.43907420013602</v>
          </cell>
        </row>
        <row r="4007">
          <cell r="E4007" t="str">
            <v>HGC-POOL-2455212</v>
          </cell>
          <cell r="F4007" t="str">
            <v>YX20240711_4</v>
          </cell>
          <cell r="G4007">
            <v>1000</v>
          </cell>
          <cell r="H4007" t="str">
            <v>mRNA文库</v>
          </cell>
          <cell r="I4007" t="str">
            <v>DY</v>
          </cell>
          <cell r="J4007">
            <v>17.45</v>
          </cell>
          <cell r="K4007">
            <v>384</v>
          </cell>
          <cell r="L4007" t="str">
            <v>YHT</v>
          </cell>
          <cell r="N4007">
            <v>69.911858974359006</v>
          </cell>
        </row>
        <row r="4008">
          <cell r="E4008" t="str">
            <v>HGC-POOL-2455213</v>
          </cell>
          <cell r="F4008" t="str">
            <v>YX20240711_5</v>
          </cell>
          <cell r="G4008">
            <v>1000</v>
          </cell>
          <cell r="H4008" t="str">
            <v>mRNA+全基因组</v>
          </cell>
          <cell r="I4008" t="str">
            <v>DY</v>
          </cell>
          <cell r="J4008">
            <v>16.649999999999999</v>
          </cell>
          <cell r="K4008">
            <v>365</v>
          </cell>
          <cell r="L4008" t="str">
            <v>YHT</v>
          </cell>
          <cell r="N4008">
            <v>70.179135932560598</v>
          </cell>
        </row>
        <row r="4009">
          <cell r="E4009" t="str">
            <v>HGC-POOL-2455214</v>
          </cell>
          <cell r="F4009" t="str">
            <v>YX20240711_3</v>
          </cell>
          <cell r="G4009">
            <v>320</v>
          </cell>
          <cell r="H4009" t="str">
            <v>mRNA文库</v>
          </cell>
          <cell r="I4009" t="str">
            <v>DY</v>
          </cell>
          <cell r="J4009">
            <v>25.7</v>
          </cell>
          <cell r="K4009">
            <v>391</v>
          </cell>
          <cell r="L4009" t="str">
            <v>YHT</v>
          </cell>
          <cell r="N4009">
            <v>101.121385008853</v>
          </cell>
        </row>
        <row r="4010">
          <cell r="E4010" t="str">
            <v>HGC-POOL-2455215</v>
          </cell>
          <cell r="F4010" t="str">
            <v>240712 MO3.13 OGD HZA</v>
          </cell>
          <cell r="G4010">
            <v>144</v>
          </cell>
          <cell r="H4010" t="str">
            <v>mRNA文库</v>
          </cell>
          <cell r="I4010" t="str">
            <v>HZK</v>
          </cell>
          <cell r="J4010">
            <v>20.6</v>
          </cell>
          <cell r="K4010">
            <v>405</v>
          </cell>
          <cell r="L4010" t="str">
            <v>YHT</v>
          </cell>
          <cell r="N4010">
            <v>78.252611585944905</v>
          </cell>
        </row>
        <row r="4011">
          <cell r="E4011" t="str">
            <v>HGC-POOL-2455216</v>
          </cell>
          <cell r="F4011" t="str">
            <v>lib20-DISC-CASB-lib</v>
          </cell>
          <cell r="G4011">
            <v>16</v>
          </cell>
          <cell r="H4011" t="str">
            <v>PCR产物文库</v>
          </cell>
          <cell r="I4011" t="str">
            <v>HZK</v>
          </cell>
          <cell r="J4011">
            <v>4.28</v>
          </cell>
          <cell r="K4011">
            <v>275</v>
          </cell>
          <cell r="L4011" t="str">
            <v>HZK</v>
          </cell>
          <cell r="N4011">
            <v>23.944055944055901</v>
          </cell>
        </row>
        <row r="4012">
          <cell r="E4012" t="str">
            <v>HGC-POOL-2455217</v>
          </cell>
          <cell r="F4012" t="str">
            <v>lib21-DISC-CASB-lib</v>
          </cell>
          <cell r="G4012">
            <v>16</v>
          </cell>
          <cell r="H4012" t="str">
            <v>PCR产物文库</v>
          </cell>
          <cell r="I4012" t="str">
            <v>HZK</v>
          </cell>
          <cell r="J4012">
            <v>3.64</v>
          </cell>
          <cell r="K4012">
            <v>271</v>
          </cell>
          <cell r="L4012" t="str">
            <v>HZK</v>
          </cell>
          <cell r="N4012">
            <v>20.6642066420664</v>
          </cell>
        </row>
        <row r="4013">
          <cell r="E4013" t="str">
            <v>HGC-Lib-2455219</v>
          </cell>
          <cell r="F4013" t="str">
            <v>DM1</v>
          </cell>
          <cell r="G4013">
            <v>10</v>
          </cell>
          <cell r="H4013" t="str">
            <v>cut&amp;tag文库</v>
          </cell>
          <cell r="I4013" t="str">
            <v>HZK</v>
          </cell>
          <cell r="J4013">
            <v>0.874</v>
          </cell>
          <cell r="K4013">
            <v>492</v>
          </cell>
          <cell r="L4013" t="str">
            <v>HZK</v>
          </cell>
          <cell r="N4013">
            <v>2.7329580988117601</v>
          </cell>
        </row>
        <row r="4014">
          <cell r="E4014" t="str">
            <v>HGC-Lib-2455220</v>
          </cell>
          <cell r="F4014" t="str">
            <v>DM2</v>
          </cell>
          <cell r="G4014">
            <v>10</v>
          </cell>
          <cell r="H4014" t="str">
            <v>cut&amp;tag文库</v>
          </cell>
          <cell r="I4014" t="str">
            <v>HZK</v>
          </cell>
          <cell r="J4014">
            <v>3.5</v>
          </cell>
          <cell r="K4014">
            <v>489</v>
          </cell>
          <cell r="L4014" t="str">
            <v>HZK</v>
          </cell>
          <cell r="N4014">
            <v>11.0114834041214</v>
          </cell>
        </row>
        <row r="4015">
          <cell r="E4015" t="str">
            <v>HGC-Lib-2455221</v>
          </cell>
          <cell r="F4015" t="str">
            <v>DP1</v>
          </cell>
          <cell r="G4015">
            <v>10</v>
          </cell>
          <cell r="H4015" t="str">
            <v>cut&amp;tag文库</v>
          </cell>
          <cell r="I4015" t="str">
            <v>HZK</v>
          </cell>
          <cell r="J4015">
            <v>1.3</v>
          </cell>
          <cell r="K4015">
            <v>491</v>
          </cell>
          <cell r="L4015" t="str">
            <v>HZK</v>
          </cell>
          <cell r="N4015">
            <v>4.0733197556008101</v>
          </cell>
        </row>
        <row r="4016">
          <cell r="E4016" t="str">
            <v>HGC-Lib-2455222</v>
          </cell>
          <cell r="F4016" t="str">
            <v>DP2</v>
          </cell>
          <cell r="G4016">
            <v>10</v>
          </cell>
          <cell r="H4016" t="str">
            <v>cut&amp;tag文库</v>
          </cell>
          <cell r="I4016" t="str">
            <v>HZK</v>
          </cell>
          <cell r="J4016">
            <v>1.23</v>
          </cell>
          <cell r="K4016">
            <v>476</v>
          </cell>
          <cell r="L4016" t="str">
            <v>HZK</v>
          </cell>
          <cell r="N4016">
            <v>3.9754363283775001</v>
          </cell>
        </row>
        <row r="4017">
          <cell r="E4017" t="str">
            <v>HGC-Lib-2455223</v>
          </cell>
          <cell r="F4017" t="str">
            <v>BP1</v>
          </cell>
          <cell r="G4017">
            <v>10</v>
          </cell>
          <cell r="H4017" t="str">
            <v>cut&amp;tag文库</v>
          </cell>
          <cell r="I4017" t="str">
            <v>HZK</v>
          </cell>
          <cell r="J4017">
            <v>4.12</v>
          </cell>
          <cell r="K4017">
            <v>487</v>
          </cell>
          <cell r="L4017" t="str">
            <v>HZK</v>
          </cell>
          <cell r="N4017">
            <v>13.0153214342126</v>
          </cell>
        </row>
        <row r="4018">
          <cell r="E4018" t="str">
            <v>HGC-Lib-2455224</v>
          </cell>
          <cell r="F4018" t="str">
            <v>BP2</v>
          </cell>
          <cell r="G4018">
            <v>10</v>
          </cell>
          <cell r="H4018" t="str">
            <v>cut&amp;tag文库</v>
          </cell>
          <cell r="I4018" t="str">
            <v>HZK</v>
          </cell>
          <cell r="J4018">
            <v>5.74</v>
          </cell>
          <cell r="K4018">
            <v>423</v>
          </cell>
          <cell r="L4018" t="str">
            <v>HZK</v>
          </cell>
          <cell r="N4018">
            <v>20.876523004182602</v>
          </cell>
        </row>
        <row r="4019">
          <cell r="E4019" t="str">
            <v>HGC-Lib-2455225</v>
          </cell>
          <cell r="F4019" t="str">
            <v>PM1</v>
          </cell>
          <cell r="G4019">
            <v>10</v>
          </cell>
          <cell r="H4019" t="str">
            <v>cut&amp;tag文库</v>
          </cell>
          <cell r="I4019" t="str">
            <v>HZK</v>
          </cell>
          <cell r="J4019">
            <v>4.72</v>
          </cell>
          <cell r="K4019">
            <v>488</v>
          </cell>
          <cell r="L4019" t="str">
            <v>HZK</v>
          </cell>
          <cell r="N4019">
            <v>14.880201765447699</v>
          </cell>
        </row>
        <row r="4020">
          <cell r="E4020" t="str">
            <v>HGC-Lib-2455226</v>
          </cell>
          <cell r="F4020" t="str">
            <v>PM2</v>
          </cell>
          <cell r="G4020">
            <v>10</v>
          </cell>
          <cell r="H4020" t="str">
            <v>cut&amp;tag文库</v>
          </cell>
          <cell r="I4020" t="str">
            <v>HZK</v>
          </cell>
          <cell r="J4020">
            <v>7.38</v>
          </cell>
          <cell r="K4020">
            <v>481</v>
          </cell>
          <cell r="L4020" t="str">
            <v>HZK</v>
          </cell>
          <cell r="N4020">
            <v>23.6046697585159</v>
          </cell>
        </row>
        <row r="4021">
          <cell r="E4021" t="str">
            <v>HGC-Lib-2455227</v>
          </cell>
          <cell r="F4021" t="str">
            <v>DM3</v>
          </cell>
          <cell r="G4021">
            <v>10</v>
          </cell>
          <cell r="H4021" t="str">
            <v>cut&amp;tag文库</v>
          </cell>
          <cell r="I4021" t="str">
            <v>HZK</v>
          </cell>
          <cell r="J4021">
            <v>7.92</v>
          </cell>
          <cell r="K4021">
            <v>505</v>
          </cell>
          <cell r="L4021" t="str">
            <v>HZK</v>
          </cell>
          <cell r="N4021">
            <v>24.127951256664101</v>
          </cell>
        </row>
        <row r="4022">
          <cell r="E4022" t="str">
            <v>HGC-Lib-2455228</v>
          </cell>
          <cell r="F4022" t="str">
            <v>DM4</v>
          </cell>
          <cell r="G4022">
            <v>10</v>
          </cell>
          <cell r="H4022" t="str">
            <v>cut&amp;tag文库</v>
          </cell>
          <cell r="I4022" t="str">
            <v>HZK</v>
          </cell>
          <cell r="J4022">
            <v>16</v>
          </cell>
          <cell r="K4022">
            <v>484</v>
          </cell>
          <cell r="L4022" t="str">
            <v>YHT</v>
          </cell>
          <cell r="N4022">
            <v>50.858232676414502</v>
          </cell>
        </row>
        <row r="4023">
          <cell r="E4023" t="str">
            <v>HGC-Lib-2455229</v>
          </cell>
          <cell r="F4023" t="str">
            <v>DP3</v>
          </cell>
          <cell r="G4023">
            <v>10</v>
          </cell>
          <cell r="H4023" t="str">
            <v>cut&amp;tag文库</v>
          </cell>
          <cell r="I4023" t="str">
            <v>HZK</v>
          </cell>
          <cell r="J4023">
            <v>9.7200000000000006</v>
          </cell>
          <cell r="K4023">
            <v>493</v>
          </cell>
          <cell r="L4023" t="str">
            <v>HZK</v>
          </cell>
          <cell r="N4023">
            <v>30.332345139647401</v>
          </cell>
        </row>
        <row r="4024">
          <cell r="E4024" t="str">
            <v>HGC-Lib-2455230</v>
          </cell>
          <cell r="F4024" t="str">
            <v>DP4</v>
          </cell>
          <cell r="G4024">
            <v>10</v>
          </cell>
          <cell r="H4024" t="str">
            <v>cut&amp;tag文库</v>
          </cell>
          <cell r="I4024" t="str">
            <v>HZK</v>
          </cell>
          <cell r="J4024">
            <v>11</v>
          </cell>
          <cell r="K4024">
            <v>484</v>
          </cell>
          <cell r="L4024" t="str">
            <v>YHT</v>
          </cell>
          <cell r="N4024">
            <v>34.965034965035002</v>
          </cell>
        </row>
        <row r="4025">
          <cell r="E4025" t="str">
            <v>HGC-Lib-2455231</v>
          </cell>
          <cell r="F4025" t="str">
            <v>BP3</v>
          </cell>
          <cell r="G4025">
            <v>10</v>
          </cell>
          <cell r="H4025" t="str">
            <v>cut&amp;tag文库</v>
          </cell>
          <cell r="I4025" t="str">
            <v>HZK</v>
          </cell>
          <cell r="J4025">
            <v>4.68</v>
          </cell>
          <cell r="K4025">
            <v>477</v>
          </cell>
          <cell r="L4025" t="str">
            <v>HZK</v>
          </cell>
          <cell r="N4025">
            <v>15.094339622641501</v>
          </cell>
        </row>
        <row r="4026">
          <cell r="E4026" t="str">
            <v>HGC-Lib-2455232</v>
          </cell>
          <cell r="F4026" t="str">
            <v>BP4</v>
          </cell>
          <cell r="G4026">
            <v>10</v>
          </cell>
          <cell r="H4026" t="str">
            <v>cut&amp;tag文库</v>
          </cell>
          <cell r="I4026" t="str">
            <v>HZK</v>
          </cell>
          <cell r="J4026">
            <v>5.4</v>
          </cell>
          <cell r="K4026">
            <v>466</v>
          </cell>
          <cell r="L4026" t="str">
            <v>HZK</v>
          </cell>
          <cell r="N4026">
            <v>17.8276658963354</v>
          </cell>
        </row>
        <row r="4027">
          <cell r="E4027" t="str">
            <v>HGC-Lib-2455233</v>
          </cell>
          <cell r="F4027" t="str">
            <v>PM3</v>
          </cell>
          <cell r="G4027">
            <v>10</v>
          </cell>
          <cell r="H4027" t="str">
            <v>cut&amp;tag文库</v>
          </cell>
          <cell r="I4027" t="str">
            <v>HZK</v>
          </cell>
          <cell r="J4027">
            <v>18.399999999999999</v>
          </cell>
          <cell r="K4027">
            <v>491</v>
          </cell>
          <cell r="L4027" t="str">
            <v>YHT</v>
          </cell>
          <cell r="N4027">
            <v>57.653141156196099</v>
          </cell>
        </row>
        <row r="4028">
          <cell r="E4028" t="str">
            <v>HGC-Lib-2455234</v>
          </cell>
          <cell r="F4028" t="str">
            <v>PM4</v>
          </cell>
          <cell r="G4028">
            <v>10</v>
          </cell>
          <cell r="H4028" t="str">
            <v>cut&amp;tag文库</v>
          </cell>
          <cell r="I4028" t="str">
            <v>HZK</v>
          </cell>
          <cell r="J4028">
            <v>23.6</v>
          </cell>
          <cell r="K4028">
            <v>491</v>
          </cell>
          <cell r="L4028" t="str">
            <v>YHT</v>
          </cell>
          <cell r="N4028">
            <v>73.946420178599396</v>
          </cell>
        </row>
        <row r="4029">
          <cell r="E4029" t="str">
            <v>HGC-Lib-2455235</v>
          </cell>
          <cell r="F4029" t="str">
            <v>DM5</v>
          </cell>
          <cell r="G4029">
            <v>10</v>
          </cell>
          <cell r="H4029" t="str">
            <v>cut&amp;tag文库</v>
          </cell>
          <cell r="I4029" t="str">
            <v>HZK</v>
          </cell>
          <cell r="J4029">
            <v>40.4</v>
          </cell>
          <cell r="K4029">
            <v>471</v>
          </cell>
          <cell r="L4029" t="str">
            <v>YHT</v>
          </cell>
          <cell r="N4029">
            <v>131.96145680222099</v>
          </cell>
        </row>
        <row r="4030">
          <cell r="E4030" t="str">
            <v>HGC-Lib-2455236</v>
          </cell>
          <cell r="F4030" t="str">
            <v>DM6</v>
          </cell>
          <cell r="G4030">
            <v>10</v>
          </cell>
          <cell r="H4030" t="str">
            <v>cut&amp;tag文库</v>
          </cell>
          <cell r="I4030" t="str">
            <v>HZK</v>
          </cell>
          <cell r="J4030">
            <v>45.4</v>
          </cell>
          <cell r="K4030">
            <v>471</v>
          </cell>
          <cell r="L4030" t="str">
            <v>YHT</v>
          </cell>
          <cell r="N4030">
            <v>148.293320267843</v>
          </cell>
        </row>
        <row r="4031">
          <cell r="E4031" t="str">
            <v>HGC-Lib-2455237</v>
          </cell>
          <cell r="F4031" t="str">
            <v>DP5</v>
          </cell>
          <cell r="G4031">
            <v>10</v>
          </cell>
          <cell r="H4031" t="str">
            <v>cut&amp;tag文库</v>
          </cell>
          <cell r="I4031" t="str">
            <v>HZK</v>
          </cell>
          <cell r="J4031">
            <v>16.3</v>
          </cell>
          <cell r="K4031">
            <v>454</v>
          </cell>
          <cell r="L4031" t="str">
            <v>YHT</v>
          </cell>
          <cell r="N4031">
            <v>55.235513385293103</v>
          </cell>
        </row>
        <row r="4032">
          <cell r="E4032" t="str">
            <v>HGC-Lib-2455238</v>
          </cell>
          <cell r="F4032" t="str">
            <v>DP6</v>
          </cell>
          <cell r="G4032">
            <v>10</v>
          </cell>
          <cell r="H4032" t="str">
            <v>cut&amp;tag文库</v>
          </cell>
          <cell r="I4032" t="str">
            <v>HZK</v>
          </cell>
          <cell r="J4032">
            <v>29.8</v>
          </cell>
          <cell r="K4032">
            <v>461</v>
          </cell>
          <cell r="L4032" t="str">
            <v>YHT</v>
          </cell>
          <cell r="N4032">
            <v>99.449357583847799</v>
          </cell>
        </row>
        <row r="4033">
          <cell r="E4033" t="str">
            <v>HGC-Lib-2455239</v>
          </cell>
          <cell r="F4033" t="str">
            <v>BP5</v>
          </cell>
          <cell r="G4033">
            <v>10</v>
          </cell>
          <cell r="H4033" t="str">
            <v>cut&amp;tag文库</v>
          </cell>
          <cell r="I4033" t="str">
            <v>HZK</v>
          </cell>
          <cell r="J4033">
            <v>21.6</v>
          </cell>
          <cell r="K4033">
            <v>439</v>
          </cell>
          <cell r="L4033" t="str">
            <v>YHT</v>
          </cell>
          <cell r="N4033">
            <v>75.696513054144006</v>
          </cell>
        </row>
        <row r="4034">
          <cell r="E4034" t="str">
            <v>HGC-Lib-2455240</v>
          </cell>
          <cell r="F4034" t="str">
            <v>BP6</v>
          </cell>
          <cell r="G4034">
            <v>10</v>
          </cell>
          <cell r="H4034" t="str">
            <v>cut&amp;tag文库</v>
          </cell>
          <cell r="I4034" t="str">
            <v>HZK</v>
          </cell>
          <cell r="J4034">
            <v>21.8</v>
          </cell>
          <cell r="K4034">
            <v>435</v>
          </cell>
          <cell r="L4034" t="str">
            <v>YHT</v>
          </cell>
          <cell r="N4034">
            <v>77.099911582670202</v>
          </cell>
        </row>
        <row r="4035">
          <cell r="E4035" t="str">
            <v>HGC-Lib-2455241</v>
          </cell>
          <cell r="F4035" t="str">
            <v>PM5</v>
          </cell>
          <cell r="G4035">
            <v>10</v>
          </cell>
          <cell r="H4035" t="str">
            <v>cut&amp;tag文库</v>
          </cell>
          <cell r="I4035" t="str">
            <v>HZK</v>
          </cell>
          <cell r="J4035">
            <v>66.2</v>
          </cell>
          <cell r="K4035">
            <v>463</v>
          </cell>
          <cell r="L4035" t="str">
            <v>YHT</v>
          </cell>
          <cell r="N4035">
            <v>219.97009470011599</v>
          </cell>
        </row>
        <row r="4036">
          <cell r="E4036" t="str">
            <v>HGC-Lib-2455242</v>
          </cell>
          <cell r="F4036" t="str">
            <v>PM6</v>
          </cell>
          <cell r="G4036">
            <v>10</v>
          </cell>
          <cell r="H4036" t="str">
            <v>cut&amp;tag文库</v>
          </cell>
          <cell r="I4036" t="str">
            <v>HZK</v>
          </cell>
          <cell r="J4036">
            <v>60</v>
          </cell>
          <cell r="K4036">
            <v>451</v>
          </cell>
          <cell r="L4036" t="str">
            <v>YHT</v>
          </cell>
          <cell r="N4036">
            <v>204.67337540508299</v>
          </cell>
        </row>
        <row r="4037">
          <cell r="E4037" t="str">
            <v>HGC-POOL-2455243</v>
          </cell>
          <cell r="F4037" t="str">
            <v>CMB2libs2</v>
          </cell>
          <cell r="G4037">
            <v>20</v>
          </cell>
          <cell r="H4037" t="str">
            <v>ATAC-Seq文库</v>
          </cell>
          <cell r="I4037" t="str">
            <v>HZK</v>
          </cell>
          <cell r="J4037">
            <v>1.04</v>
          </cell>
          <cell r="K4037">
            <v>398</v>
          </cell>
          <cell r="L4037" t="str">
            <v>HZK</v>
          </cell>
          <cell r="N4037">
            <v>4.0201005025125598</v>
          </cell>
        </row>
        <row r="4038">
          <cell r="E4038" t="str">
            <v>HGC-POOL-2455562</v>
          </cell>
          <cell r="F4038" t="str">
            <v>WG2427D1-3S</v>
          </cell>
          <cell r="G4038">
            <v>15</v>
          </cell>
          <cell r="H4038" t="str">
            <v>全基因组文库</v>
          </cell>
          <cell r="I4038" t="str">
            <v>YHT</v>
          </cell>
          <cell r="J4038">
            <v>1.9</v>
          </cell>
          <cell r="K4038">
            <v>353</v>
          </cell>
          <cell r="L4038" t="str">
            <v>HZK</v>
          </cell>
          <cell r="N4038">
            <v>8.2806711701895797</v>
          </cell>
        </row>
        <row r="4039">
          <cell r="E4039" t="str">
            <v>HGC-POOL-2455563</v>
          </cell>
          <cell r="F4039" t="str">
            <v>WG2427D1-3M</v>
          </cell>
          <cell r="G4039">
            <v>15</v>
          </cell>
          <cell r="H4039" t="str">
            <v>全基因组文库</v>
          </cell>
          <cell r="I4039" t="str">
            <v>YHT</v>
          </cell>
          <cell r="J4039">
            <v>2.16</v>
          </cell>
          <cell r="K4039">
            <v>417</v>
          </cell>
          <cell r="L4039" t="str">
            <v>HZK</v>
          </cell>
          <cell r="N4039">
            <v>7.96900940785833</v>
          </cell>
        </row>
        <row r="4040">
          <cell r="E4040" t="str">
            <v>HGC-POOL-2455564</v>
          </cell>
          <cell r="F4040" t="str">
            <v>WG2427D1-3L</v>
          </cell>
          <cell r="G4040">
            <v>15</v>
          </cell>
          <cell r="H4040" t="str">
            <v>全基因组文库</v>
          </cell>
          <cell r="I4040" t="str">
            <v>YHT</v>
          </cell>
          <cell r="J4040">
            <v>2.88</v>
          </cell>
          <cell r="K4040">
            <v>524</v>
          </cell>
          <cell r="L4040" t="str">
            <v>HZK</v>
          </cell>
          <cell r="N4040">
            <v>8.4556664709336502</v>
          </cell>
        </row>
        <row r="4041">
          <cell r="E4041" t="str">
            <v>HGC-Lib-2455565</v>
          </cell>
          <cell r="F4041" t="str">
            <v>WG2428D1</v>
          </cell>
          <cell r="G4041">
            <v>15</v>
          </cell>
          <cell r="H4041" t="str">
            <v>全基因组文库</v>
          </cell>
          <cell r="I4041" t="str">
            <v>YHT</v>
          </cell>
          <cell r="J4041">
            <v>3.92</v>
          </cell>
          <cell r="K4041">
            <v>454</v>
          </cell>
          <cell r="L4041" t="str">
            <v>HZK</v>
          </cell>
          <cell r="N4041">
            <v>13.283632666892601</v>
          </cell>
        </row>
        <row r="4042">
          <cell r="E4042" t="str">
            <v>HGC-Lib-2455566</v>
          </cell>
          <cell r="F4042" t="str">
            <v>WG2428R1</v>
          </cell>
          <cell r="G4042">
            <v>15</v>
          </cell>
          <cell r="H4042" t="str">
            <v>全基因组文库</v>
          </cell>
          <cell r="I4042" t="str">
            <v>YHT</v>
          </cell>
          <cell r="J4042">
            <v>2.48</v>
          </cell>
          <cell r="K4042">
            <v>424</v>
          </cell>
          <cell r="L4042" t="str">
            <v>HZK</v>
          </cell>
          <cell r="N4042">
            <v>8.99854862119013</v>
          </cell>
        </row>
        <row r="4043">
          <cell r="E4043" t="str">
            <v>HGC-POOL-2455567</v>
          </cell>
          <cell r="F4043" t="str">
            <v>WG2429D1-5S</v>
          </cell>
          <cell r="G4043">
            <v>15</v>
          </cell>
          <cell r="H4043" t="str">
            <v>全基因组文库</v>
          </cell>
          <cell r="I4043" t="str">
            <v>YHT</v>
          </cell>
          <cell r="J4043">
            <v>4.6399999999999997</v>
          </cell>
          <cell r="K4043">
            <v>330</v>
          </cell>
          <cell r="L4043" t="str">
            <v>HZK</v>
          </cell>
          <cell r="N4043">
            <v>21.631701631701599</v>
          </cell>
        </row>
        <row r="4044">
          <cell r="E4044" t="str">
            <v>HGC-POOL-2455568</v>
          </cell>
          <cell r="F4044" t="str">
            <v>WG2429D1-5M</v>
          </cell>
          <cell r="G4044">
            <v>15</v>
          </cell>
          <cell r="H4044" t="str">
            <v>全基因组文库</v>
          </cell>
          <cell r="I4044" t="str">
            <v>YHT</v>
          </cell>
          <cell r="J4044">
            <v>2.58</v>
          </cell>
          <cell r="K4044">
            <v>368</v>
          </cell>
          <cell r="L4044" t="str">
            <v>HZK</v>
          </cell>
          <cell r="N4044">
            <v>10.7859531772575</v>
          </cell>
        </row>
        <row r="4045">
          <cell r="E4045" t="str">
            <v>HGC-POOL-2455569</v>
          </cell>
          <cell r="F4045" t="str">
            <v>WG2417D2-3</v>
          </cell>
          <cell r="G4045">
            <v>15</v>
          </cell>
          <cell r="H4045" t="str">
            <v>全基因组文库</v>
          </cell>
          <cell r="I4045" t="str">
            <v>YHT</v>
          </cell>
          <cell r="J4045">
            <v>8.58</v>
          </cell>
          <cell r="K4045">
            <v>409</v>
          </cell>
          <cell r="L4045" t="str">
            <v>HZK</v>
          </cell>
          <cell r="N4045">
            <v>32.2738386308068</v>
          </cell>
        </row>
        <row r="4046">
          <cell r="E4046" t="str">
            <v>HGC-POOL-2455570</v>
          </cell>
          <cell r="F4046" t="str">
            <v>WG2419R1-3</v>
          </cell>
          <cell r="G4046">
            <v>15</v>
          </cell>
          <cell r="H4046" t="str">
            <v>全基因组文库</v>
          </cell>
          <cell r="I4046" t="str">
            <v>YHT</v>
          </cell>
          <cell r="J4046">
            <v>7.98</v>
          </cell>
          <cell r="K4046">
            <v>423</v>
          </cell>
          <cell r="L4046" t="str">
            <v>HZK</v>
          </cell>
          <cell r="N4046">
            <v>29.023458810692901</v>
          </cell>
        </row>
        <row r="4047">
          <cell r="E4047" t="str">
            <v>HGC-POOL-2455571</v>
          </cell>
          <cell r="F4047" t="str">
            <v>H20240712-1</v>
          </cell>
          <cell r="G4047">
            <v>102</v>
          </cell>
          <cell r="H4047" t="str">
            <v>甲基化文库</v>
          </cell>
          <cell r="I4047" t="str">
            <v>YHT</v>
          </cell>
          <cell r="J4047">
            <v>11.3</v>
          </cell>
          <cell r="K4047">
            <v>379</v>
          </cell>
          <cell r="L4047" t="str">
            <v>HZK</v>
          </cell>
          <cell r="N4047">
            <v>45.869697584737203</v>
          </cell>
        </row>
        <row r="4048">
          <cell r="E4048" t="str">
            <v>HGC-POOL-2455572</v>
          </cell>
          <cell r="F4048" t="str">
            <v>H20240712-2</v>
          </cell>
          <cell r="G4048">
            <v>36</v>
          </cell>
          <cell r="H4048" t="str">
            <v>甲基化文库</v>
          </cell>
          <cell r="I4048" t="str">
            <v>YHT</v>
          </cell>
          <cell r="J4048">
            <v>5.32</v>
          </cell>
          <cell r="K4048">
            <v>408</v>
          </cell>
          <cell r="L4048" t="str">
            <v>HZK</v>
          </cell>
          <cell r="N4048">
            <v>20.0603318250377</v>
          </cell>
        </row>
        <row r="4049">
          <cell r="E4049" t="str">
            <v>HGC-POOL-2455573</v>
          </cell>
          <cell r="F4049" t="str">
            <v>H20240712-3</v>
          </cell>
          <cell r="G4049">
            <v>370</v>
          </cell>
          <cell r="H4049" t="str">
            <v>Chip-Seq</v>
          </cell>
          <cell r="I4049" t="str">
            <v>YHT</v>
          </cell>
          <cell r="J4049">
            <v>9.3800000000000008</v>
          </cell>
          <cell r="K4049">
            <v>230</v>
          </cell>
          <cell r="L4049" t="str">
            <v>HZK</v>
          </cell>
          <cell r="N4049">
            <v>62.742474916387998</v>
          </cell>
        </row>
        <row r="4050">
          <cell r="E4050" t="str">
            <v>HGC-POOL-2455574</v>
          </cell>
          <cell r="F4050" t="str">
            <v>H20240712-4</v>
          </cell>
          <cell r="G4050">
            <v>45</v>
          </cell>
          <cell r="H4050" t="str">
            <v>cut&amp;tag文库</v>
          </cell>
          <cell r="I4050" t="str">
            <v>YHT</v>
          </cell>
          <cell r="J4050">
            <v>17.5</v>
          </cell>
          <cell r="K4050">
            <v>463</v>
          </cell>
          <cell r="L4050" t="str">
            <v>HZK</v>
          </cell>
          <cell r="N4050">
            <v>58.1491942183087</v>
          </cell>
        </row>
        <row r="4051">
          <cell r="E4051" t="str">
            <v>HGC-Lib-2455601</v>
          </cell>
          <cell r="F4051" t="str">
            <v>YS1GEL</v>
          </cell>
          <cell r="G4051">
            <v>100</v>
          </cell>
          <cell r="H4051" t="str">
            <v>10× 3'单细胞</v>
          </cell>
          <cell r="I4051" t="str">
            <v>XCL</v>
          </cell>
          <cell r="J4051">
            <v>52.6</v>
          </cell>
          <cell r="K4051">
            <v>544</v>
          </cell>
          <cell r="L4051" t="str">
            <v>GZQ</v>
          </cell>
          <cell r="N4051">
            <v>148.75565610859701</v>
          </cell>
        </row>
        <row r="4052">
          <cell r="E4052" t="str">
            <v>HGC-Lib-2455602</v>
          </cell>
          <cell r="F4052" t="str">
            <v>HSS1GEL</v>
          </cell>
          <cell r="G4052">
            <v>120</v>
          </cell>
          <cell r="H4052" t="str">
            <v>10x 5'单细胞</v>
          </cell>
          <cell r="I4052" t="str">
            <v>XCL</v>
          </cell>
          <cell r="J4052">
            <v>71.8</v>
          </cell>
          <cell r="K4052">
            <v>545</v>
          </cell>
          <cell r="L4052" t="str">
            <v>GZQ</v>
          </cell>
          <cell r="N4052">
            <v>202.68172194777699</v>
          </cell>
        </row>
        <row r="4053">
          <cell r="E4053" t="str">
            <v>HGC-Lib-2455603</v>
          </cell>
          <cell r="F4053" t="str">
            <v>HSS1TCR</v>
          </cell>
          <cell r="G4053">
            <v>15</v>
          </cell>
          <cell r="H4053" t="str">
            <v>10x 5'单细胞</v>
          </cell>
          <cell r="I4053" t="str">
            <v>XCL</v>
          </cell>
          <cell r="J4053">
            <v>49</v>
          </cell>
          <cell r="K4053">
            <v>575</v>
          </cell>
          <cell r="L4053" t="str">
            <v>GZQ</v>
          </cell>
          <cell r="N4053">
            <v>131.10367892976601</v>
          </cell>
        </row>
        <row r="4054">
          <cell r="E4054" t="str">
            <v>HGC-Lib-2455604</v>
          </cell>
          <cell r="F4054" t="str">
            <v>YXH17WTA</v>
          </cell>
          <cell r="G4054">
            <v>100</v>
          </cell>
          <cell r="H4054" t="str">
            <v>BD-单细胞</v>
          </cell>
          <cell r="I4054" t="str">
            <v>XCL</v>
          </cell>
          <cell r="J4054">
            <v>19.399999999999999</v>
          </cell>
          <cell r="K4054">
            <v>514</v>
          </cell>
          <cell r="L4054" t="str">
            <v>GZQ</v>
          </cell>
          <cell r="N4054">
            <v>58.066447171505502</v>
          </cell>
        </row>
        <row r="4055">
          <cell r="E4055" t="str">
            <v>HGC-Lib-2455605</v>
          </cell>
          <cell r="F4055" t="str">
            <v>YXH18WTA</v>
          </cell>
          <cell r="G4055">
            <v>100</v>
          </cell>
          <cell r="H4055" t="str">
            <v>BD-单细胞</v>
          </cell>
          <cell r="I4055" t="str">
            <v>XCL</v>
          </cell>
          <cell r="J4055">
            <v>18.100000000000001</v>
          </cell>
          <cell r="K4055">
            <v>455</v>
          </cell>
          <cell r="L4055" t="str">
            <v>GZQ</v>
          </cell>
          <cell r="N4055">
            <v>61.200338123415001</v>
          </cell>
        </row>
        <row r="4056">
          <cell r="E4056" t="str">
            <v>HGC-Lib-2455606</v>
          </cell>
          <cell r="F4056" t="str">
            <v>YXH19WTA</v>
          </cell>
          <cell r="G4056">
            <v>100</v>
          </cell>
          <cell r="H4056" t="str">
            <v>BD-单细胞</v>
          </cell>
          <cell r="I4056" t="str">
            <v>XCL</v>
          </cell>
          <cell r="J4056">
            <v>18.3</v>
          </cell>
          <cell r="K4056">
            <v>525</v>
          </cell>
          <cell r="L4056" t="str">
            <v>GZQ</v>
          </cell>
          <cell r="N4056">
            <v>53.626373626373599</v>
          </cell>
        </row>
        <row r="4057">
          <cell r="E4057" t="str">
            <v>HGC-Lib-2455607</v>
          </cell>
          <cell r="F4057" t="str">
            <v>XJY1WTA</v>
          </cell>
          <cell r="G4057">
            <v>230</v>
          </cell>
          <cell r="H4057" t="str">
            <v>BD-单细胞</v>
          </cell>
          <cell r="I4057" t="str">
            <v>XCL</v>
          </cell>
          <cell r="J4057">
            <v>12.8</v>
          </cell>
          <cell r="K4057">
            <v>511</v>
          </cell>
          <cell r="L4057" t="str">
            <v>GZQ</v>
          </cell>
          <cell r="N4057">
            <v>38.5368056600933</v>
          </cell>
        </row>
        <row r="4058">
          <cell r="E4058" t="str">
            <v>HGC-Lib-2455608</v>
          </cell>
          <cell r="F4058" t="str">
            <v>XJY1SMK</v>
          </cell>
          <cell r="G4058">
            <v>10</v>
          </cell>
          <cell r="H4058" t="str">
            <v>BD-单细胞</v>
          </cell>
          <cell r="I4058" t="str">
            <v>XCL</v>
          </cell>
          <cell r="J4058">
            <v>2.16</v>
          </cell>
          <cell r="K4058">
            <v>309</v>
          </cell>
          <cell r="L4058" t="str">
            <v>XCL</v>
          </cell>
          <cell r="N4058">
            <v>10.7542942494399</v>
          </cell>
        </row>
        <row r="4059">
          <cell r="E4059" t="str">
            <v>HGC-Lib-2455609</v>
          </cell>
          <cell r="F4059" t="str">
            <v>WGS-1</v>
          </cell>
          <cell r="G4059">
            <v>10</v>
          </cell>
          <cell r="H4059" t="str">
            <v>全基因组文库</v>
          </cell>
          <cell r="I4059" t="str">
            <v>XCL</v>
          </cell>
          <cell r="J4059">
            <v>78.400000000000006</v>
          </cell>
          <cell r="N4059" t="e">
            <v>#DIV/0!</v>
          </cell>
        </row>
        <row r="4060">
          <cell r="E4060" t="str">
            <v>HGC-Lib-2455610</v>
          </cell>
          <cell r="F4060" t="str">
            <v>WGS-2</v>
          </cell>
          <cell r="G4060">
            <v>10</v>
          </cell>
          <cell r="H4060" t="str">
            <v>全基因组文库</v>
          </cell>
          <cell r="I4060" t="str">
            <v>XCL</v>
          </cell>
          <cell r="J4060">
            <v>73</v>
          </cell>
          <cell r="N4060" t="e">
            <v>#DIV/0!</v>
          </cell>
        </row>
        <row r="4061">
          <cell r="E4061" t="str">
            <v>HGC-Lib-2455611</v>
          </cell>
          <cell r="F4061" t="str">
            <v>13-31</v>
          </cell>
          <cell r="G4061">
            <v>3</v>
          </cell>
          <cell r="H4061" t="str">
            <v>PCR产物文库</v>
          </cell>
          <cell r="I4061" t="str">
            <v>XCL</v>
          </cell>
          <cell r="J4061">
            <v>3.32</v>
          </cell>
          <cell r="K4061">
            <v>324</v>
          </cell>
          <cell r="L4061" t="str">
            <v>XCL</v>
          </cell>
          <cell r="N4061">
            <v>15.7644824311491</v>
          </cell>
        </row>
        <row r="4062">
          <cell r="E4062" t="str">
            <v>HGC-Lib-2455612</v>
          </cell>
          <cell r="F4062" t="str">
            <v>13-32</v>
          </cell>
          <cell r="G4062">
            <v>3</v>
          </cell>
          <cell r="H4062" t="str">
            <v>PCR产物文库</v>
          </cell>
          <cell r="I4062" t="str">
            <v>XCL</v>
          </cell>
          <cell r="J4062">
            <v>3.88</v>
          </cell>
          <cell r="K4062">
            <v>347</v>
          </cell>
          <cell r="L4062" t="str">
            <v>XCL</v>
          </cell>
          <cell r="N4062">
            <v>17.202394147639101</v>
          </cell>
        </row>
        <row r="4063">
          <cell r="E4063" t="str">
            <v>HGC-Lib-2455613</v>
          </cell>
          <cell r="F4063" t="str">
            <v>13-33</v>
          </cell>
          <cell r="G4063">
            <v>3</v>
          </cell>
          <cell r="H4063" t="str">
            <v>PCR产物文库</v>
          </cell>
          <cell r="I4063" t="str">
            <v>XCL</v>
          </cell>
          <cell r="J4063">
            <v>5.14</v>
          </cell>
          <cell r="K4063">
            <v>494</v>
          </cell>
          <cell r="L4063" t="str">
            <v>XCL</v>
          </cell>
          <cell r="N4063">
            <v>16.007474307069401</v>
          </cell>
        </row>
        <row r="4064">
          <cell r="E4064" t="str">
            <v>HGC-Lib-2455614</v>
          </cell>
          <cell r="F4064" t="str">
            <v>14-31</v>
          </cell>
          <cell r="G4064">
            <v>3</v>
          </cell>
          <cell r="H4064" t="str">
            <v>PCR产物文库</v>
          </cell>
          <cell r="I4064" t="str">
            <v>XCL</v>
          </cell>
          <cell r="J4064">
            <v>3.04</v>
          </cell>
          <cell r="K4064">
            <v>314</v>
          </cell>
          <cell r="L4064" t="str">
            <v>XCL</v>
          </cell>
          <cell r="N4064">
            <v>14.8946594806467</v>
          </cell>
        </row>
        <row r="4065">
          <cell r="E4065" t="str">
            <v>HGC-Lib-2455615</v>
          </cell>
          <cell r="F4065" t="str">
            <v>14-32</v>
          </cell>
          <cell r="G4065">
            <v>3</v>
          </cell>
          <cell r="H4065" t="str">
            <v>PCR产物文库</v>
          </cell>
          <cell r="I4065" t="str">
            <v>XCL</v>
          </cell>
          <cell r="J4065">
            <v>3.6</v>
          </cell>
          <cell r="K4065">
            <v>389</v>
          </cell>
          <cell r="L4065" t="str">
            <v>XCL</v>
          </cell>
          <cell r="N4065">
            <v>14.237690330235299</v>
          </cell>
        </row>
        <row r="4066">
          <cell r="E4066" t="str">
            <v>HGC-Lib-2455616</v>
          </cell>
          <cell r="F4066" t="str">
            <v>14-33</v>
          </cell>
          <cell r="G4066">
            <v>3</v>
          </cell>
          <cell r="H4066" t="str">
            <v>PCR产物文库</v>
          </cell>
          <cell r="I4066" t="str">
            <v>XCL</v>
          </cell>
          <cell r="J4066">
            <v>4.72</v>
          </cell>
          <cell r="K4066">
            <v>564</v>
          </cell>
          <cell r="L4066" t="str">
            <v>XCL</v>
          </cell>
          <cell r="N4066">
            <v>12.8750681942171</v>
          </cell>
        </row>
        <row r="4067">
          <cell r="E4067" t="str">
            <v>HGC-Lib-2455617</v>
          </cell>
          <cell r="F4067" t="str">
            <v>15-31</v>
          </cell>
          <cell r="G4067">
            <v>3</v>
          </cell>
          <cell r="H4067" t="str">
            <v>PCR产物文库</v>
          </cell>
          <cell r="I4067" t="str">
            <v>XCL</v>
          </cell>
          <cell r="J4067">
            <v>2.78</v>
          </cell>
          <cell r="K4067">
            <v>340</v>
          </cell>
          <cell r="L4067" t="str">
            <v>XCL</v>
          </cell>
          <cell r="N4067">
            <v>12.579185520362</v>
          </cell>
        </row>
        <row r="4068">
          <cell r="E4068" t="str">
            <v>HGC-Lib-2455618</v>
          </cell>
          <cell r="F4068" t="str">
            <v>15-32</v>
          </cell>
          <cell r="G4068">
            <v>3</v>
          </cell>
          <cell r="H4068" t="str">
            <v>PCR产物文库</v>
          </cell>
          <cell r="I4068" t="str">
            <v>XCL</v>
          </cell>
          <cell r="J4068">
            <v>3.18</v>
          </cell>
          <cell r="K4068">
            <v>438</v>
          </cell>
          <cell r="L4068" t="str">
            <v>XCL</v>
          </cell>
          <cell r="N4068">
            <v>11.1696522655427</v>
          </cell>
        </row>
        <row r="4069">
          <cell r="E4069" t="str">
            <v>HGC-Lib-2455619</v>
          </cell>
          <cell r="F4069" t="str">
            <v>15-33</v>
          </cell>
          <cell r="G4069">
            <v>3</v>
          </cell>
          <cell r="H4069" t="str">
            <v>PCR产物文库</v>
          </cell>
          <cell r="I4069" t="str">
            <v>XCL</v>
          </cell>
          <cell r="J4069">
            <v>4.12</v>
          </cell>
          <cell r="K4069">
            <v>454</v>
          </cell>
          <cell r="L4069" t="str">
            <v>XCL</v>
          </cell>
          <cell r="N4069">
            <v>13.961369027448301</v>
          </cell>
        </row>
        <row r="4070">
          <cell r="E4070" t="str">
            <v>HGC-Lib-2455620</v>
          </cell>
          <cell r="F4070" t="str">
            <v>16-34</v>
          </cell>
          <cell r="G4070">
            <v>3</v>
          </cell>
          <cell r="H4070" t="str">
            <v>PCR产物文库</v>
          </cell>
          <cell r="I4070" t="str">
            <v>XCL</v>
          </cell>
          <cell r="J4070">
            <v>3.82</v>
          </cell>
          <cell r="K4070">
            <v>444</v>
          </cell>
          <cell r="L4070" t="str">
            <v>XCL</v>
          </cell>
          <cell r="N4070">
            <v>13.236313236313199</v>
          </cell>
        </row>
        <row r="4071">
          <cell r="E4071" t="str">
            <v>HGC-Lib-2455621</v>
          </cell>
          <cell r="F4071" t="str">
            <v>16-35</v>
          </cell>
          <cell r="G4071">
            <v>3</v>
          </cell>
          <cell r="H4071" t="str">
            <v>PCR产物文库</v>
          </cell>
          <cell r="I4071" t="str">
            <v>XCL</v>
          </cell>
          <cell r="J4071">
            <v>3.7</v>
          </cell>
          <cell r="K4071">
            <v>548</v>
          </cell>
          <cell r="L4071" t="str">
            <v>XCL</v>
          </cell>
          <cell r="N4071">
            <v>10.3874227961819</v>
          </cell>
        </row>
        <row r="4072">
          <cell r="E4072" t="str">
            <v>HGC-Lib-2455622</v>
          </cell>
          <cell r="F4072" t="str">
            <v>16-36</v>
          </cell>
          <cell r="G4072">
            <v>3</v>
          </cell>
          <cell r="H4072" t="str">
            <v>PCR产物文库</v>
          </cell>
          <cell r="I4072" t="str">
            <v>XCL</v>
          </cell>
          <cell r="J4072">
            <v>4.54</v>
          </cell>
          <cell r="K4072">
            <v>600</v>
          </cell>
          <cell r="L4072" t="str">
            <v>XCL</v>
          </cell>
          <cell r="N4072">
            <v>11.6410256410256</v>
          </cell>
        </row>
        <row r="4073">
          <cell r="E4073" t="str">
            <v>HGC-Lib-2455623</v>
          </cell>
          <cell r="F4073" t="str">
            <v>18-34</v>
          </cell>
          <cell r="G4073">
            <v>3</v>
          </cell>
          <cell r="H4073" t="str">
            <v>PCR产物文库</v>
          </cell>
          <cell r="I4073" t="str">
            <v>XCL</v>
          </cell>
          <cell r="J4073">
            <v>3.1</v>
          </cell>
          <cell r="K4073">
            <v>355</v>
          </cell>
          <cell r="L4073" t="str">
            <v>XCL</v>
          </cell>
          <cell r="N4073">
            <v>13.434452871072599</v>
          </cell>
        </row>
        <row r="4074">
          <cell r="E4074" t="str">
            <v>HGC-Lib-2455624</v>
          </cell>
          <cell r="F4074" t="str">
            <v>18-35</v>
          </cell>
          <cell r="G4074">
            <v>3</v>
          </cell>
          <cell r="H4074" t="str">
            <v>PCR产物文库</v>
          </cell>
          <cell r="I4074" t="str">
            <v>XCL</v>
          </cell>
          <cell r="J4074">
            <v>3.54</v>
          </cell>
          <cell r="K4074">
            <v>519</v>
          </cell>
          <cell r="L4074" t="str">
            <v>XCL</v>
          </cell>
          <cell r="N4074">
            <v>10.493552690084501</v>
          </cell>
        </row>
        <row r="4075">
          <cell r="E4075" t="str">
            <v>HGC-Lib-2455625</v>
          </cell>
          <cell r="F4075" t="str">
            <v>18-36</v>
          </cell>
          <cell r="G4075">
            <v>3</v>
          </cell>
          <cell r="H4075" t="str">
            <v>PCR产物文库</v>
          </cell>
          <cell r="I4075" t="str">
            <v>XCL</v>
          </cell>
          <cell r="J4075">
            <v>3.62</v>
          </cell>
          <cell r="K4075">
            <v>449</v>
          </cell>
          <cell r="L4075" t="str">
            <v>XCL</v>
          </cell>
          <cell r="N4075">
            <v>12.4036320027411</v>
          </cell>
        </row>
        <row r="4076">
          <cell r="E4076" t="str">
            <v>HGC-Lib-2455626</v>
          </cell>
          <cell r="F4076" t="str">
            <v>16-57</v>
          </cell>
          <cell r="G4076">
            <v>3</v>
          </cell>
          <cell r="H4076" t="str">
            <v>PCR产物文库</v>
          </cell>
          <cell r="I4076" t="str">
            <v>XCL</v>
          </cell>
          <cell r="J4076">
            <v>7.06</v>
          </cell>
          <cell r="K4076">
            <v>354</v>
          </cell>
          <cell r="L4076" t="str">
            <v>XCL</v>
          </cell>
          <cell r="N4076">
            <v>30.682312038244199</v>
          </cell>
        </row>
        <row r="4077">
          <cell r="E4077" t="str">
            <v>HGC-Lib-2455627</v>
          </cell>
          <cell r="F4077" t="str">
            <v>16-58</v>
          </cell>
          <cell r="G4077">
            <v>3</v>
          </cell>
          <cell r="H4077" t="str">
            <v>PCR产物文库</v>
          </cell>
          <cell r="I4077" t="str">
            <v>XCL</v>
          </cell>
          <cell r="J4077">
            <v>5.0999999999999996</v>
          </cell>
          <cell r="K4077">
            <v>376</v>
          </cell>
          <cell r="L4077" t="str">
            <v>XCL</v>
          </cell>
          <cell r="N4077">
            <v>20.867430441898499</v>
          </cell>
        </row>
        <row r="4078">
          <cell r="E4078" t="str">
            <v>HGC-Lib-2455628</v>
          </cell>
          <cell r="F4078" t="str">
            <v>16-59</v>
          </cell>
          <cell r="G4078">
            <v>3</v>
          </cell>
          <cell r="H4078" t="str">
            <v>PCR产物文库</v>
          </cell>
          <cell r="I4078" t="str">
            <v>XCL</v>
          </cell>
          <cell r="J4078">
            <v>4.42</v>
          </cell>
          <cell r="K4078">
            <v>383</v>
          </cell>
          <cell r="L4078" t="str">
            <v>XCL</v>
          </cell>
          <cell r="N4078">
            <v>17.754569190600499</v>
          </cell>
        </row>
        <row r="4079">
          <cell r="E4079" t="str">
            <v>HGC-Lib-2455629</v>
          </cell>
          <cell r="F4079" t="str">
            <v>18-57</v>
          </cell>
          <cell r="G4079">
            <v>3</v>
          </cell>
          <cell r="H4079" t="str">
            <v>PCR产物文库</v>
          </cell>
          <cell r="I4079" t="str">
            <v>XCL</v>
          </cell>
          <cell r="J4079">
            <v>2.3199999999999998</v>
          </cell>
          <cell r="K4079">
            <v>326</v>
          </cell>
          <cell r="L4079" t="str">
            <v>XCL</v>
          </cell>
          <cell r="N4079">
            <v>10.9485606418122</v>
          </cell>
        </row>
        <row r="4080">
          <cell r="E4080" t="str">
            <v>HGC-Lib-2455630</v>
          </cell>
          <cell r="F4080" t="str">
            <v>18-58</v>
          </cell>
          <cell r="G4080">
            <v>3</v>
          </cell>
          <cell r="H4080" t="str">
            <v>PCR产物文库</v>
          </cell>
          <cell r="I4080" t="str">
            <v>XCL</v>
          </cell>
          <cell r="J4080">
            <v>3.5</v>
          </cell>
          <cell r="K4080">
            <v>423</v>
          </cell>
          <cell r="L4080" t="str">
            <v>XCL</v>
          </cell>
          <cell r="N4080">
            <v>12.7295871976723</v>
          </cell>
        </row>
        <row r="4081">
          <cell r="E4081" t="str">
            <v>HGC-Lib-2455631</v>
          </cell>
          <cell r="F4081" t="str">
            <v>18-59</v>
          </cell>
          <cell r="G4081">
            <v>3</v>
          </cell>
          <cell r="H4081" t="str">
            <v>PCR产物文库</v>
          </cell>
          <cell r="I4081" t="str">
            <v>XCL</v>
          </cell>
          <cell r="J4081">
            <v>4</v>
          </cell>
          <cell r="K4081">
            <v>450</v>
          </cell>
          <cell r="L4081" t="str">
            <v>XCL</v>
          </cell>
          <cell r="N4081">
            <v>13.675213675213699</v>
          </cell>
        </row>
        <row r="4082">
          <cell r="E4082" t="str">
            <v>HGC-Lib-2455632</v>
          </cell>
          <cell r="F4082" t="str">
            <v>B1-1</v>
          </cell>
          <cell r="G4082">
            <v>10</v>
          </cell>
          <cell r="H4082" t="str">
            <v>ATAC-Seq文库</v>
          </cell>
          <cell r="I4082" t="str">
            <v>XCL</v>
          </cell>
          <cell r="J4082">
            <v>1.2</v>
          </cell>
          <cell r="K4082">
            <v>336</v>
          </cell>
          <cell r="L4082" t="str">
            <v>XCL</v>
          </cell>
          <cell r="N4082">
            <v>5.4945054945054901</v>
          </cell>
        </row>
        <row r="4083">
          <cell r="E4083" t="str">
            <v>HGC-Lib-2455633</v>
          </cell>
          <cell r="F4083" t="str">
            <v>B1-2</v>
          </cell>
          <cell r="G4083">
            <v>10</v>
          </cell>
          <cell r="H4083" t="str">
            <v>ATAC-Seq文库</v>
          </cell>
          <cell r="I4083" t="str">
            <v>XCL</v>
          </cell>
          <cell r="J4083">
            <v>1.1599999999999999</v>
          </cell>
          <cell r="K4083">
            <v>396</v>
          </cell>
          <cell r="L4083" t="str">
            <v>XCL</v>
          </cell>
          <cell r="N4083">
            <v>4.5066045066045097</v>
          </cell>
        </row>
        <row r="4084">
          <cell r="E4084" t="str">
            <v>HGC-Lib-2455634</v>
          </cell>
          <cell r="F4084" t="str">
            <v>B1-3</v>
          </cell>
          <cell r="G4084">
            <v>10</v>
          </cell>
          <cell r="H4084" t="str">
            <v>ATAC-Seq文库</v>
          </cell>
          <cell r="I4084" t="str">
            <v>XCL</v>
          </cell>
          <cell r="J4084">
            <v>1.03</v>
          </cell>
          <cell r="K4084">
            <v>412</v>
          </cell>
          <cell r="L4084" t="str">
            <v>XCL</v>
          </cell>
          <cell r="N4084">
            <v>3.8461538461538498</v>
          </cell>
        </row>
        <row r="4085">
          <cell r="E4085" t="str">
            <v>HGC-Lib-2455635</v>
          </cell>
          <cell r="F4085" t="str">
            <v>B2-1</v>
          </cell>
          <cell r="G4085">
            <v>10</v>
          </cell>
          <cell r="H4085" t="str">
            <v>ATAC-Seq文库</v>
          </cell>
          <cell r="I4085" t="str">
            <v>XCL</v>
          </cell>
          <cell r="J4085">
            <v>2.1800000000000002</v>
          </cell>
          <cell r="K4085">
            <v>284</v>
          </cell>
          <cell r="L4085" t="str">
            <v>XCL</v>
          </cell>
          <cell r="N4085">
            <v>11.8093174431203</v>
          </cell>
        </row>
        <row r="4086">
          <cell r="E4086" t="str">
            <v>HGC-Lib-2455636</v>
          </cell>
          <cell r="F4086" t="str">
            <v>B2-2</v>
          </cell>
          <cell r="G4086">
            <v>10</v>
          </cell>
          <cell r="H4086" t="str">
            <v>ATAC-Seq文库</v>
          </cell>
          <cell r="I4086" t="str">
            <v>XCL</v>
          </cell>
          <cell r="J4086">
            <v>2.14</v>
          </cell>
          <cell r="K4086">
            <v>279</v>
          </cell>
          <cell r="L4086" t="str">
            <v>XCL</v>
          </cell>
          <cell r="N4086">
            <v>11.8003859939344</v>
          </cell>
        </row>
        <row r="4087">
          <cell r="E4087" t="str">
            <v>HGC-Lib-2455637</v>
          </cell>
          <cell r="F4087" t="str">
            <v>B3-1</v>
          </cell>
          <cell r="G4087">
            <v>10</v>
          </cell>
          <cell r="H4087" t="str">
            <v>ATAC-Seq文库</v>
          </cell>
          <cell r="I4087" t="str">
            <v>XCL</v>
          </cell>
          <cell r="J4087">
            <v>1.71</v>
          </cell>
          <cell r="K4087">
            <v>323</v>
          </cell>
          <cell r="L4087" t="str">
            <v>XCL</v>
          </cell>
          <cell r="N4087">
            <v>8.1447963800905008</v>
          </cell>
        </row>
        <row r="4088">
          <cell r="E4088" t="str">
            <v>HGC-Lib-2455638</v>
          </cell>
          <cell r="F4088" t="str">
            <v>B3'-1</v>
          </cell>
          <cell r="G4088">
            <v>10</v>
          </cell>
          <cell r="H4088" t="str">
            <v>ATAC-Seq文库</v>
          </cell>
          <cell r="I4088" t="str">
            <v>XCL</v>
          </cell>
          <cell r="J4088">
            <v>1.59</v>
          </cell>
          <cell r="K4088">
            <v>246</v>
          </cell>
          <cell r="L4088" t="str">
            <v>XCL</v>
          </cell>
          <cell r="N4088">
            <v>9.9437148217635993</v>
          </cell>
        </row>
        <row r="4089">
          <cell r="E4089" t="str">
            <v>HGC-Lib-2455639</v>
          </cell>
          <cell r="F4089" t="str">
            <v>B4-1</v>
          </cell>
          <cell r="G4089">
            <v>10</v>
          </cell>
          <cell r="H4089" t="str">
            <v>ATAC-Seq文库</v>
          </cell>
          <cell r="I4089" t="str">
            <v>XCL</v>
          </cell>
          <cell r="J4089">
            <v>0.94599999999999995</v>
          </cell>
          <cell r="K4089">
            <v>271</v>
          </cell>
          <cell r="L4089" t="str">
            <v>XCL</v>
          </cell>
          <cell r="N4089">
            <v>5.3704229349985804</v>
          </cell>
        </row>
        <row r="4090">
          <cell r="E4090" t="str">
            <v>HGC-Lib-2455640</v>
          </cell>
          <cell r="F4090" t="str">
            <v>B5</v>
          </cell>
          <cell r="G4090">
            <v>10</v>
          </cell>
          <cell r="H4090" t="str">
            <v>ATAC-Seq文库</v>
          </cell>
          <cell r="I4090" t="str">
            <v>XCL</v>
          </cell>
          <cell r="J4090">
            <v>1.36</v>
          </cell>
          <cell r="K4090">
            <v>330</v>
          </cell>
          <cell r="L4090" t="str">
            <v>XCL</v>
          </cell>
          <cell r="N4090">
            <v>6.3403263403263397</v>
          </cell>
        </row>
        <row r="4091">
          <cell r="E4091" t="str">
            <v>HGC-POOL-2455641</v>
          </cell>
          <cell r="F4091" t="str">
            <v>SAR4Rlibs5</v>
          </cell>
          <cell r="G4091">
            <v>400</v>
          </cell>
          <cell r="H4091" t="str">
            <v>10× 3'单细胞</v>
          </cell>
          <cell r="I4091" t="str">
            <v>XCL</v>
          </cell>
          <cell r="J4091">
            <v>1.33</v>
          </cell>
          <cell r="K4091">
            <v>538</v>
          </cell>
          <cell r="L4091" t="str">
            <v>XCL</v>
          </cell>
          <cell r="N4091">
            <v>3.8032599370889302</v>
          </cell>
        </row>
        <row r="4092">
          <cell r="E4092" t="str">
            <v>HGC-POOL-2455642</v>
          </cell>
          <cell r="F4092" t="str">
            <v>CMBlibs30</v>
          </cell>
          <cell r="G4092">
            <v>150</v>
          </cell>
          <cell r="H4092" t="str">
            <v>ATAC-Seq文库</v>
          </cell>
          <cell r="I4092" t="str">
            <v>XCL</v>
          </cell>
          <cell r="J4092">
            <v>0.52800000000000002</v>
          </cell>
          <cell r="K4092">
            <v>453</v>
          </cell>
          <cell r="L4092" t="str">
            <v>XCL</v>
          </cell>
          <cell r="N4092">
            <v>1.79317371370352</v>
          </cell>
        </row>
        <row r="4093">
          <cell r="E4093" t="str">
            <v>HGC-POOL-2455643</v>
          </cell>
          <cell r="F4093" t="str">
            <v>HHC2libs</v>
          </cell>
          <cell r="G4093">
            <v>100</v>
          </cell>
          <cell r="H4093" t="str">
            <v>ATAC-Seq文库</v>
          </cell>
          <cell r="I4093" t="str">
            <v>XCL</v>
          </cell>
          <cell r="J4093">
            <v>0.95599999999999996</v>
          </cell>
          <cell r="K4093">
            <v>378</v>
          </cell>
          <cell r="L4093" t="str">
            <v>XCL</v>
          </cell>
          <cell r="N4093">
            <v>3.8909238909238901</v>
          </cell>
        </row>
        <row r="4094">
          <cell r="E4094" t="str">
            <v>HGC-Lib-2455657</v>
          </cell>
          <cell r="F4094" t="str">
            <v>MDA-MB-231</v>
          </cell>
          <cell r="G4094">
            <v>2</v>
          </cell>
          <cell r="H4094" t="str">
            <v>PCR产物文库</v>
          </cell>
          <cell r="I4094" t="str">
            <v>XCL</v>
          </cell>
          <cell r="J4094">
            <v>14.5</v>
          </cell>
          <cell r="K4094">
            <v>380</v>
          </cell>
          <cell r="L4094" t="str">
            <v>GZQ</v>
          </cell>
          <cell r="N4094">
            <v>58.704453441295499</v>
          </cell>
        </row>
        <row r="4095">
          <cell r="E4095" t="str">
            <v>HGC-Lib-2455658</v>
          </cell>
          <cell r="F4095" t="str">
            <v>SG-Lib-I-EX1</v>
          </cell>
          <cell r="G4095">
            <v>2</v>
          </cell>
          <cell r="H4095" t="str">
            <v>PCR产物文库</v>
          </cell>
          <cell r="I4095" t="str">
            <v>XCL</v>
          </cell>
          <cell r="J4095">
            <v>2.1800000000000002</v>
          </cell>
          <cell r="K4095">
            <v>397</v>
          </cell>
          <cell r="L4095" t="str">
            <v>XCL</v>
          </cell>
          <cell r="N4095">
            <v>8.4479751986049205</v>
          </cell>
        </row>
        <row r="4096">
          <cell r="E4096" t="str">
            <v>HGC-Lib-2455659</v>
          </cell>
          <cell r="F4096" t="str">
            <v>SG-Lib-I-EX2</v>
          </cell>
          <cell r="G4096">
            <v>2</v>
          </cell>
          <cell r="H4096" t="str">
            <v>PCR产物文库</v>
          </cell>
          <cell r="I4096" t="str">
            <v>XCL</v>
          </cell>
          <cell r="J4096">
            <v>2.66</v>
          </cell>
          <cell r="K4096">
            <v>397</v>
          </cell>
          <cell r="L4096" t="str">
            <v>XCL</v>
          </cell>
          <cell r="N4096">
            <v>10.308079829490399</v>
          </cell>
        </row>
        <row r="4097">
          <cell r="E4097" t="str">
            <v>HGC-Lib-2455660</v>
          </cell>
          <cell r="F4097" t="str">
            <v>SG-Lib-I-NC</v>
          </cell>
          <cell r="G4097">
            <v>2</v>
          </cell>
          <cell r="H4097" t="str">
            <v>PCR产物文库</v>
          </cell>
          <cell r="I4097" t="str">
            <v>XCL</v>
          </cell>
          <cell r="J4097">
            <v>1.81</v>
          </cell>
          <cell r="K4097">
            <v>390</v>
          </cell>
          <cell r="L4097" t="str">
            <v>XCL</v>
          </cell>
          <cell r="N4097">
            <v>7.1400394477317599</v>
          </cell>
        </row>
        <row r="4098">
          <cell r="E4098" t="str">
            <v>HGC-Lib-2455661</v>
          </cell>
          <cell r="F4098" t="str">
            <v>HCT1161</v>
          </cell>
          <cell r="G4098">
            <v>10</v>
          </cell>
          <cell r="H4098" t="str">
            <v>cut&amp;tag文库</v>
          </cell>
          <cell r="I4098" t="str">
            <v>XCL</v>
          </cell>
          <cell r="J4098">
            <v>4.38</v>
          </cell>
          <cell r="K4098">
            <v>548</v>
          </cell>
          <cell r="L4098" t="str">
            <v>XCL</v>
          </cell>
          <cell r="N4098">
            <v>12.296462661426199</v>
          </cell>
        </row>
        <row r="4099">
          <cell r="E4099" t="str">
            <v>HGC-Lib-2455662</v>
          </cell>
          <cell r="F4099" t="str">
            <v>HCT1162</v>
          </cell>
          <cell r="G4099">
            <v>10</v>
          </cell>
          <cell r="H4099" t="str">
            <v>cut&amp;tag文库</v>
          </cell>
          <cell r="I4099" t="str">
            <v>YHT</v>
          </cell>
          <cell r="J4099">
            <v>3.62</v>
          </cell>
          <cell r="K4099">
            <v>561</v>
          </cell>
          <cell r="L4099" t="str">
            <v>XCL</v>
          </cell>
          <cell r="N4099">
            <v>9.9273275743863998</v>
          </cell>
        </row>
        <row r="4100">
          <cell r="E4100" t="str">
            <v>HGC-Lib-2455663</v>
          </cell>
          <cell r="F4100" t="str">
            <v>P211</v>
          </cell>
          <cell r="G4100">
            <v>10</v>
          </cell>
          <cell r="H4100" t="str">
            <v>cut&amp;tag文库</v>
          </cell>
          <cell r="I4100" t="str">
            <v>YHT</v>
          </cell>
          <cell r="J4100">
            <v>3.28</v>
          </cell>
          <cell r="K4100">
            <v>548</v>
          </cell>
          <cell r="L4100" t="str">
            <v>XCL</v>
          </cell>
          <cell r="N4100">
            <v>9.2083099382369404</v>
          </cell>
        </row>
        <row r="4101">
          <cell r="E4101" t="str">
            <v>HGC-Lib-2455664</v>
          </cell>
          <cell r="F4101" t="str">
            <v>P212</v>
          </cell>
          <cell r="G4101">
            <v>10</v>
          </cell>
          <cell r="H4101" t="str">
            <v>cut&amp;tag文库</v>
          </cell>
          <cell r="I4101" t="str">
            <v>YHT</v>
          </cell>
          <cell r="J4101">
            <v>3.08</v>
          </cell>
          <cell r="K4101">
            <v>536</v>
          </cell>
          <cell r="L4101" t="str">
            <v>XCL</v>
          </cell>
          <cell r="N4101">
            <v>8.8404133180252593</v>
          </cell>
        </row>
        <row r="4102">
          <cell r="E4102" t="str">
            <v>HGC-Lib-2455671</v>
          </cell>
          <cell r="F4102" t="str">
            <v>G21</v>
          </cell>
          <cell r="G4102">
            <v>4</v>
          </cell>
          <cell r="H4102" t="str">
            <v>PCR产物文库</v>
          </cell>
          <cell r="I4102" t="str">
            <v>YHT</v>
          </cell>
          <cell r="J4102">
            <v>33.6</v>
          </cell>
          <cell r="K4102">
            <v>305</v>
          </cell>
          <cell r="L4102" t="str">
            <v>GZQ</v>
          </cell>
          <cell r="N4102">
            <v>169.48297604035301</v>
          </cell>
        </row>
        <row r="4103">
          <cell r="E4103" t="str">
            <v>HGC-Lib-2455672</v>
          </cell>
          <cell r="F4103" t="str">
            <v>G23</v>
          </cell>
          <cell r="G4103">
            <v>4</v>
          </cell>
          <cell r="H4103" t="str">
            <v>PCR产物文库</v>
          </cell>
          <cell r="I4103" t="str">
            <v>YHT</v>
          </cell>
          <cell r="J4103">
            <v>32.4</v>
          </cell>
          <cell r="K4103">
            <v>280</v>
          </cell>
          <cell r="L4103" t="str">
            <v>GZQ</v>
          </cell>
          <cell r="N4103">
            <v>178.02197802197799</v>
          </cell>
        </row>
        <row r="4104">
          <cell r="E4104" t="str">
            <v>HGC-Lib-2455673</v>
          </cell>
          <cell r="F4104" t="str">
            <v>G24</v>
          </cell>
          <cell r="G4104">
            <v>4</v>
          </cell>
          <cell r="H4104" t="str">
            <v>PCR产物文库</v>
          </cell>
          <cell r="I4104" t="str">
            <v>YHT</v>
          </cell>
          <cell r="J4104">
            <v>30.4</v>
          </cell>
          <cell r="K4104">
            <v>312</v>
          </cell>
          <cell r="L4104" t="str">
            <v>GZQ</v>
          </cell>
          <cell r="N4104">
            <v>149.90138067061099</v>
          </cell>
        </row>
        <row r="4105">
          <cell r="E4105" t="str">
            <v>HGC-Lib-2455674</v>
          </cell>
          <cell r="F4105" t="str">
            <v>G53</v>
          </cell>
          <cell r="G4105">
            <v>4</v>
          </cell>
          <cell r="H4105" t="str">
            <v>PCR产物文库</v>
          </cell>
          <cell r="I4105" t="str">
            <v>YHT</v>
          </cell>
          <cell r="J4105">
            <v>27.2</v>
          </cell>
          <cell r="K4105">
            <v>510</v>
          </cell>
          <cell r="L4105" t="str">
            <v>GZQ</v>
          </cell>
          <cell r="N4105">
            <v>82.051282051282001</v>
          </cell>
        </row>
        <row r="4106">
          <cell r="E4106" t="str">
            <v>HGC-Lib-2455675</v>
          </cell>
          <cell r="F4106" t="str">
            <v>G71</v>
          </cell>
          <cell r="G4106">
            <v>1</v>
          </cell>
          <cell r="H4106" t="str">
            <v>PCR产物文库</v>
          </cell>
          <cell r="I4106" t="str">
            <v>YHT</v>
          </cell>
          <cell r="J4106">
            <v>24.8</v>
          </cell>
          <cell r="K4106">
            <v>248</v>
          </cell>
          <cell r="L4106" t="str">
            <v>GZQ</v>
          </cell>
          <cell r="N4106">
            <v>153.84615384615401</v>
          </cell>
        </row>
        <row r="4107">
          <cell r="E4107" t="str">
            <v>HGC-Lib-2455676</v>
          </cell>
          <cell r="F4107" t="str">
            <v>G72</v>
          </cell>
          <cell r="G4107">
            <v>1</v>
          </cell>
          <cell r="H4107" t="str">
            <v>PCR产物文库</v>
          </cell>
          <cell r="I4107" t="str">
            <v>YHT</v>
          </cell>
          <cell r="J4107">
            <v>24.2</v>
          </cell>
          <cell r="K4107">
            <v>246</v>
          </cell>
          <cell r="L4107" t="str">
            <v>GZQ</v>
          </cell>
          <cell r="N4107">
            <v>151.34459036898099</v>
          </cell>
        </row>
        <row r="4108">
          <cell r="E4108" t="str">
            <v>HGC-Lib-2455677</v>
          </cell>
          <cell r="F4108" t="str">
            <v>G89</v>
          </cell>
          <cell r="G4108">
            <v>1</v>
          </cell>
          <cell r="H4108" t="str">
            <v>PCR产物文库</v>
          </cell>
          <cell r="I4108" t="str">
            <v>YHT</v>
          </cell>
          <cell r="J4108">
            <v>25</v>
          </cell>
          <cell r="K4108">
            <v>237</v>
          </cell>
          <cell r="L4108" t="str">
            <v>GZQ</v>
          </cell>
          <cell r="N4108">
            <v>162.284972411555</v>
          </cell>
        </row>
        <row r="4109">
          <cell r="E4109" t="str">
            <v>HGC-Lib-2455678</v>
          </cell>
          <cell r="F4109" t="str">
            <v>G90</v>
          </cell>
          <cell r="G4109">
            <v>1</v>
          </cell>
          <cell r="H4109" t="str">
            <v>PCR产物文库</v>
          </cell>
          <cell r="I4109" t="str">
            <v>YHT</v>
          </cell>
          <cell r="J4109">
            <v>25.2</v>
          </cell>
          <cell r="K4109">
            <v>236</v>
          </cell>
          <cell r="L4109" t="str">
            <v>GZQ</v>
          </cell>
          <cell r="N4109">
            <v>164.276401564537</v>
          </cell>
        </row>
        <row r="4110">
          <cell r="E4110" t="str">
            <v>HGC-Lib-2455679</v>
          </cell>
          <cell r="F4110" t="str">
            <v>G91-1</v>
          </cell>
          <cell r="G4110">
            <v>1</v>
          </cell>
          <cell r="H4110" t="str">
            <v>PCR产物文库</v>
          </cell>
          <cell r="I4110" t="str">
            <v>YHT</v>
          </cell>
          <cell r="J4110" t="str">
            <v>/</v>
          </cell>
          <cell r="K4110">
            <v>388</v>
          </cell>
          <cell r="L4110" t="str">
            <v>XCL</v>
          </cell>
          <cell r="N4110" t="e">
            <v>#VALUE!</v>
          </cell>
        </row>
        <row r="4111">
          <cell r="E4111" t="str">
            <v>HGC-Lib-2455680</v>
          </cell>
          <cell r="F4111" t="str">
            <v>G91-2</v>
          </cell>
          <cell r="G4111">
            <v>1</v>
          </cell>
          <cell r="H4111" t="str">
            <v>PCR产物文库</v>
          </cell>
          <cell r="I4111" t="str">
            <v>YHT</v>
          </cell>
          <cell r="J4111" t="str">
            <v>/</v>
          </cell>
          <cell r="K4111">
            <v>355</v>
          </cell>
          <cell r="L4111" t="str">
            <v>XCL</v>
          </cell>
          <cell r="N4111" t="e">
            <v>#VALUE!</v>
          </cell>
        </row>
        <row r="4112">
          <cell r="E4112" t="str">
            <v>HGC-Lib-2455681</v>
          </cell>
          <cell r="F4112" t="str">
            <v>G92-1</v>
          </cell>
          <cell r="G4112">
            <v>1</v>
          </cell>
          <cell r="H4112" t="str">
            <v>PCR产物文库</v>
          </cell>
          <cell r="I4112" t="str">
            <v>YHT</v>
          </cell>
          <cell r="J4112">
            <v>5.36</v>
          </cell>
          <cell r="K4112">
            <v>329</v>
          </cell>
          <cell r="L4112" t="str">
            <v>XCL</v>
          </cell>
          <cell r="N4112">
            <v>25.0642974047229</v>
          </cell>
        </row>
        <row r="4113">
          <cell r="E4113" t="str">
            <v>HGC-Lib-2455682</v>
          </cell>
          <cell r="F4113" t="str">
            <v>G92-2</v>
          </cell>
          <cell r="G4113">
            <v>1</v>
          </cell>
          <cell r="H4113" t="str">
            <v>PCR产物文库</v>
          </cell>
          <cell r="I4113" t="str">
            <v>YHT</v>
          </cell>
          <cell r="J4113">
            <v>2.34</v>
          </cell>
          <cell r="K4113">
            <v>421</v>
          </cell>
          <cell r="L4113" t="str">
            <v>XCL</v>
          </cell>
          <cell r="N4113">
            <v>8.5510688836104496</v>
          </cell>
        </row>
        <row r="4114">
          <cell r="E4114" t="str">
            <v>HGC-Lib-2455683</v>
          </cell>
          <cell r="F4114" t="str">
            <v>H37</v>
          </cell>
          <cell r="G4114">
            <v>4</v>
          </cell>
          <cell r="H4114" t="str">
            <v>PCR产物文库</v>
          </cell>
          <cell r="I4114" t="str">
            <v>YHT</v>
          </cell>
          <cell r="J4114">
            <v>22.8</v>
          </cell>
          <cell r="K4114">
            <v>481</v>
          </cell>
          <cell r="L4114" t="str">
            <v>GZQ</v>
          </cell>
          <cell r="N4114">
            <v>72.924996001919098</v>
          </cell>
        </row>
        <row r="4115">
          <cell r="E4115" t="str">
            <v>HGC-Lib-2455684</v>
          </cell>
          <cell r="F4115" t="str">
            <v>H38</v>
          </cell>
          <cell r="G4115">
            <v>4</v>
          </cell>
          <cell r="H4115" t="str">
            <v>PCR产物文库</v>
          </cell>
          <cell r="I4115" t="str">
            <v>YHT</v>
          </cell>
          <cell r="J4115">
            <v>21.8</v>
          </cell>
          <cell r="K4115">
            <v>486</v>
          </cell>
          <cell r="L4115" t="str">
            <v>GZQ</v>
          </cell>
          <cell r="N4115">
            <v>69.009180120291205</v>
          </cell>
        </row>
        <row r="4116">
          <cell r="E4116" t="str">
            <v>HGC-Lib-2455685</v>
          </cell>
          <cell r="F4116" t="str">
            <v>H39</v>
          </cell>
          <cell r="G4116">
            <v>1</v>
          </cell>
          <cell r="H4116" t="str">
            <v>PCR产物文库</v>
          </cell>
          <cell r="I4116" t="str">
            <v>YHT</v>
          </cell>
          <cell r="J4116">
            <v>38</v>
          </cell>
          <cell r="K4116">
            <v>250</v>
          </cell>
          <cell r="L4116" t="str">
            <v>GZQ</v>
          </cell>
          <cell r="N4116">
            <v>233.84615384615401</v>
          </cell>
        </row>
        <row r="4117">
          <cell r="E4117" t="str">
            <v>HGC-Lib-2455686</v>
          </cell>
          <cell r="F4117" t="str">
            <v>H40</v>
          </cell>
          <cell r="G4117">
            <v>1</v>
          </cell>
          <cell r="H4117" t="str">
            <v>PCR产物文库</v>
          </cell>
          <cell r="I4117" t="str">
            <v>YHT</v>
          </cell>
          <cell r="J4117">
            <v>29.6</v>
          </cell>
          <cell r="K4117">
            <v>246</v>
          </cell>
          <cell r="L4117" t="str">
            <v>GZQ</v>
          </cell>
          <cell r="N4117">
            <v>185.115697310819</v>
          </cell>
        </row>
        <row r="4118">
          <cell r="E4118" t="str">
            <v>HGC-Lib-2455687</v>
          </cell>
          <cell r="F4118" t="str">
            <v>H41</v>
          </cell>
          <cell r="G4118">
            <v>1</v>
          </cell>
          <cell r="H4118" t="str">
            <v>PCR产物文库</v>
          </cell>
          <cell r="I4118" t="str">
            <v>YHT</v>
          </cell>
          <cell r="J4118">
            <v>27.4</v>
          </cell>
          <cell r="K4118">
            <v>247</v>
          </cell>
          <cell r="L4118" t="str">
            <v>GZQ</v>
          </cell>
          <cell r="N4118">
            <v>170.66334475241399</v>
          </cell>
        </row>
        <row r="4119">
          <cell r="E4119" t="str">
            <v>HGC-Lib-2455688</v>
          </cell>
          <cell r="F4119" t="str">
            <v>H42</v>
          </cell>
          <cell r="G4119">
            <v>1</v>
          </cell>
          <cell r="H4119" t="str">
            <v>PCR产物文库</v>
          </cell>
          <cell r="I4119" t="str">
            <v>YHT</v>
          </cell>
          <cell r="J4119">
            <v>27.8</v>
          </cell>
          <cell r="K4119">
            <v>241</v>
          </cell>
          <cell r="L4119" t="str">
            <v>GZQ</v>
          </cell>
          <cell r="N4119">
            <v>177.46568783913199</v>
          </cell>
        </row>
        <row r="4120">
          <cell r="E4120" t="str">
            <v>HGC-Lib-2455689</v>
          </cell>
          <cell r="F4120" t="str">
            <v>H43</v>
          </cell>
          <cell r="G4120">
            <v>4</v>
          </cell>
          <cell r="H4120" t="str">
            <v>PCR产物文库</v>
          </cell>
          <cell r="I4120" t="str">
            <v>YHT</v>
          </cell>
          <cell r="J4120">
            <v>31.4</v>
          </cell>
          <cell r="K4120">
            <v>283</v>
          </cell>
          <cell r="L4120" t="str">
            <v>GZQ</v>
          </cell>
          <cell r="N4120">
            <v>170.69855939113901</v>
          </cell>
        </row>
        <row r="4121">
          <cell r="E4121" t="str">
            <v>HGC-Lib-2455690</v>
          </cell>
          <cell r="F4121" t="str">
            <v>H44</v>
          </cell>
          <cell r="G4121">
            <v>4</v>
          </cell>
          <cell r="H4121" t="str">
            <v>PCR产物文库</v>
          </cell>
          <cell r="I4121" t="str">
            <v>YHT</v>
          </cell>
          <cell r="J4121">
            <v>32</v>
          </cell>
          <cell r="K4121">
            <v>279</v>
          </cell>
          <cell r="L4121" t="str">
            <v>GZQ</v>
          </cell>
          <cell r="N4121">
            <v>176.454370002757</v>
          </cell>
        </row>
        <row r="4122">
          <cell r="E4122" t="str">
            <v>HGC-Lib-2455691</v>
          </cell>
          <cell r="F4122" t="str">
            <v>H45</v>
          </cell>
          <cell r="G4122">
            <v>4</v>
          </cell>
          <cell r="H4122" t="str">
            <v>PCR产物文库</v>
          </cell>
          <cell r="I4122" t="str">
            <v>YHT</v>
          </cell>
          <cell r="J4122">
            <v>20.2</v>
          </cell>
          <cell r="K4122">
            <v>267</v>
          </cell>
          <cell r="L4122" t="str">
            <v>GZQ</v>
          </cell>
          <cell r="N4122">
            <v>116.392970325555</v>
          </cell>
        </row>
        <row r="4123">
          <cell r="E4123" t="str">
            <v>HGC-Lib-2455692</v>
          </cell>
          <cell r="F4123" t="str">
            <v>H46</v>
          </cell>
          <cell r="G4123">
            <v>4</v>
          </cell>
          <cell r="H4123" t="str">
            <v>PCR产物文库</v>
          </cell>
          <cell r="I4123" t="str">
            <v>YHT</v>
          </cell>
          <cell r="J4123">
            <v>26.6</v>
          </cell>
          <cell r="K4123">
            <v>269</v>
          </cell>
          <cell r="L4123" t="str">
            <v>GZQ</v>
          </cell>
          <cell r="N4123">
            <v>152.130397483557</v>
          </cell>
        </row>
        <row r="4124">
          <cell r="E4124" t="str">
            <v>HGC-Lib-2455693</v>
          </cell>
          <cell r="F4124" t="str">
            <v>OSA-1</v>
          </cell>
          <cell r="G4124">
            <v>6</v>
          </cell>
          <cell r="H4124" t="str">
            <v>ATAC-Seq文库</v>
          </cell>
          <cell r="I4124" t="str">
            <v>YHT</v>
          </cell>
          <cell r="J4124">
            <v>48.4</v>
          </cell>
          <cell r="K4124">
            <v>716</v>
          </cell>
          <cell r="L4124" t="str">
            <v>GZQ</v>
          </cell>
          <cell r="N4124">
            <v>103.996562097121</v>
          </cell>
        </row>
        <row r="4125">
          <cell r="E4125" t="str">
            <v>HGC-Lib-2455694</v>
          </cell>
          <cell r="F4125" t="str">
            <v>OSA-2</v>
          </cell>
          <cell r="G4125">
            <v>6</v>
          </cell>
          <cell r="H4125" t="str">
            <v>ATAC-Seq文库</v>
          </cell>
          <cell r="I4125" t="str">
            <v>YHT</v>
          </cell>
          <cell r="J4125">
            <v>44.8</v>
          </cell>
          <cell r="K4125">
            <v>721</v>
          </cell>
          <cell r="L4125" t="str">
            <v>GZQ</v>
          </cell>
          <cell r="N4125">
            <v>95.593726661687796</v>
          </cell>
        </row>
        <row r="4126">
          <cell r="E4126" t="str">
            <v>HGC-Lib-2455695</v>
          </cell>
          <cell r="F4126" t="str">
            <v>60h-1</v>
          </cell>
          <cell r="G4126">
            <v>6</v>
          </cell>
          <cell r="H4126" t="str">
            <v>ATAC-Seq文库</v>
          </cell>
          <cell r="I4126" t="str">
            <v>YHT</v>
          </cell>
          <cell r="J4126">
            <v>55</v>
          </cell>
          <cell r="K4126">
            <v>738</v>
          </cell>
          <cell r="L4126" t="str">
            <v>GZQ</v>
          </cell>
          <cell r="N4126">
            <v>114.654992703773</v>
          </cell>
        </row>
        <row r="4127">
          <cell r="E4127" t="str">
            <v>HGC-Lib-2455696</v>
          </cell>
          <cell r="F4127" t="str">
            <v>60h-2</v>
          </cell>
          <cell r="G4127">
            <v>6</v>
          </cell>
          <cell r="H4127" t="str">
            <v>ATAC-Seq文库</v>
          </cell>
          <cell r="I4127" t="str">
            <v>YHT</v>
          </cell>
          <cell r="J4127">
            <v>31.8</v>
          </cell>
          <cell r="K4127">
            <v>668</v>
          </cell>
          <cell r="L4127" t="str">
            <v>GZQ</v>
          </cell>
          <cell r="N4127">
            <v>73.238139106402599</v>
          </cell>
        </row>
        <row r="4128">
          <cell r="E4128" t="str">
            <v>HGC-Lib-2455697</v>
          </cell>
          <cell r="F4128" t="str">
            <v>AKI</v>
          </cell>
          <cell r="G4128">
            <v>6</v>
          </cell>
          <cell r="H4128" t="str">
            <v>mRNA文库</v>
          </cell>
          <cell r="I4128" t="str">
            <v>YHT</v>
          </cell>
          <cell r="J4128">
            <v>1.63</v>
          </cell>
          <cell r="K4128">
            <v>579</v>
          </cell>
          <cell r="L4128" t="str">
            <v>XCL</v>
          </cell>
          <cell r="N4128">
            <v>4.33107479739604</v>
          </cell>
        </row>
        <row r="4129">
          <cell r="E4129" t="str">
            <v>HGC-Lib-2455698</v>
          </cell>
          <cell r="F4129" t="str">
            <v>ROT</v>
          </cell>
          <cell r="G4129">
            <v>6</v>
          </cell>
          <cell r="H4129" t="str">
            <v>mRNA文库</v>
          </cell>
          <cell r="I4129" t="str">
            <v>YHT</v>
          </cell>
          <cell r="J4129">
            <v>2.52</v>
          </cell>
          <cell r="K4129">
            <v>451</v>
          </cell>
          <cell r="L4129" t="str">
            <v>XCL</v>
          </cell>
          <cell r="N4129">
            <v>8.5962817670134708</v>
          </cell>
        </row>
        <row r="4130">
          <cell r="E4130" t="str">
            <v>HGC-Lib-2455699</v>
          </cell>
          <cell r="F4130" t="str">
            <v>YH-V1</v>
          </cell>
          <cell r="G4130">
            <v>6</v>
          </cell>
          <cell r="H4130" t="str">
            <v>mRNA文库</v>
          </cell>
          <cell r="I4130" t="str">
            <v>YHT</v>
          </cell>
          <cell r="J4130">
            <v>79.599999999999994</v>
          </cell>
          <cell r="K4130">
            <v>446</v>
          </cell>
          <cell r="L4130" t="str">
            <v>GZQ</v>
          </cell>
          <cell r="N4130">
            <v>274.577440496723</v>
          </cell>
        </row>
        <row r="4131">
          <cell r="E4131" t="str">
            <v>HGC-Lib-2455700</v>
          </cell>
          <cell r="F4131" t="str">
            <v>YH-V2</v>
          </cell>
          <cell r="G4131">
            <v>6</v>
          </cell>
          <cell r="H4131" t="str">
            <v>mRNA文库</v>
          </cell>
          <cell r="I4131" t="str">
            <v>YHT</v>
          </cell>
          <cell r="J4131">
            <v>9.7799999999999994</v>
          </cell>
          <cell r="K4131">
            <v>455</v>
          </cell>
          <cell r="L4131" t="str">
            <v>XCL</v>
          </cell>
          <cell r="N4131">
            <v>33.068469991546898</v>
          </cell>
        </row>
        <row r="4132">
          <cell r="E4132" t="str">
            <v>HGC-Lib-2455701</v>
          </cell>
          <cell r="F4132" t="str">
            <v>YH-V3</v>
          </cell>
          <cell r="G4132">
            <v>6</v>
          </cell>
          <cell r="H4132" t="str">
            <v>mRNA文库</v>
          </cell>
          <cell r="I4132" t="str">
            <v>YHT</v>
          </cell>
          <cell r="J4132">
            <v>65.2</v>
          </cell>
          <cell r="K4132">
            <v>434</v>
          </cell>
          <cell r="L4132" t="str">
            <v>GZQ</v>
          </cell>
          <cell r="N4132">
            <v>231.12371499468301</v>
          </cell>
        </row>
        <row r="4133">
          <cell r="E4133" t="str">
            <v>HGC-Lib-2455702</v>
          </cell>
          <cell r="F4133" t="str">
            <v>YM-V1</v>
          </cell>
          <cell r="G4133">
            <v>6</v>
          </cell>
          <cell r="H4133" t="str">
            <v>mRNA文库</v>
          </cell>
          <cell r="I4133" t="str">
            <v>YHT</v>
          </cell>
          <cell r="J4133">
            <v>84</v>
          </cell>
          <cell r="K4133">
            <v>454</v>
          </cell>
          <cell r="L4133" t="str">
            <v>GZQ</v>
          </cell>
          <cell r="N4133">
            <v>284.64927143341203</v>
          </cell>
        </row>
        <row r="4134">
          <cell r="E4134" t="str">
            <v>HGC-Lib-2455703</v>
          </cell>
          <cell r="F4134" t="str">
            <v>YM-V2</v>
          </cell>
          <cell r="G4134">
            <v>6</v>
          </cell>
          <cell r="H4134" t="str">
            <v>mRNA文库</v>
          </cell>
          <cell r="I4134" t="str">
            <v>YHT</v>
          </cell>
          <cell r="J4134">
            <v>102</v>
          </cell>
          <cell r="K4134">
            <v>449</v>
          </cell>
          <cell r="L4134" t="str">
            <v>GZQ</v>
          </cell>
          <cell r="N4134">
            <v>349.49460339215301</v>
          </cell>
        </row>
        <row r="4135">
          <cell r="E4135" t="str">
            <v>HGC-Lib-2455704</v>
          </cell>
          <cell r="F4135" t="str">
            <v>YM-V3</v>
          </cell>
          <cell r="G4135">
            <v>6</v>
          </cell>
          <cell r="H4135" t="str">
            <v>mRNA文库</v>
          </cell>
          <cell r="I4135" t="str">
            <v>YHT</v>
          </cell>
          <cell r="J4135">
            <v>66.8</v>
          </cell>
          <cell r="K4135">
            <v>454</v>
          </cell>
          <cell r="L4135" t="str">
            <v>GZQ</v>
          </cell>
          <cell r="N4135">
            <v>226.363944425618</v>
          </cell>
        </row>
        <row r="4136">
          <cell r="E4136" t="str">
            <v>HGC-Lib-2455705</v>
          </cell>
          <cell r="F4136" t="str">
            <v>YL-V1</v>
          </cell>
          <cell r="G4136">
            <v>6</v>
          </cell>
          <cell r="H4136" t="str">
            <v>mRNA文库</v>
          </cell>
          <cell r="I4136" t="str">
            <v>YHT</v>
          </cell>
          <cell r="J4136">
            <v>43</v>
          </cell>
          <cell r="K4136">
            <v>459</v>
          </cell>
          <cell r="L4136" t="str">
            <v>GZQ</v>
          </cell>
          <cell r="N4136">
            <v>144.12602647896799</v>
          </cell>
        </row>
        <row r="4137">
          <cell r="E4137" t="str">
            <v>HGC-Lib-2455706</v>
          </cell>
          <cell r="F4137" t="str">
            <v>YL-V2</v>
          </cell>
          <cell r="G4137">
            <v>6</v>
          </cell>
          <cell r="H4137" t="str">
            <v>mRNA文库</v>
          </cell>
          <cell r="I4137" t="str">
            <v>YHT</v>
          </cell>
          <cell r="J4137">
            <v>108</v>
          </cell>
          <cell r="K4137">
            <v>452</v>
          </cell>
          <cell r="L4137" t="str">
            <v>GZQ</v>
          </cell>
          <cell r="N4137">
            <v>367.59700476514598</v>
          </cell>
        </row>
        <row r="4138">
          <cell r="E4138" t="str">
            <v>HGC-Lib-2455707</v>
          </cell>
          <cell r="F4138" t="str">
            <v>YL-V3</v>
          </cell>
          <cell r="G4138">
            <v>6</v>
          </cell>
          <cell r="H4138" t="str">
            <v>mRNA文库</v>
          </cell>
          <cell r="I4138" t="str">
            <v>YHT</v>
          </cell>
          <cell r="J4138">
            <v>43.8</v>
          </cell>
          <cell r="K4138">
            <v>456</v>
          </cell>
          <cell r="L4138" t="str">
            <v>GZQ</v>
          </cell>
          <cell r="N4138">
            <v>147.77327935222701</v>
          </cell>
        </row>
        <row r="4139">
          <cell r="E4139" t="str">
            <v>HGC-Lib-2455708</v>
          </cell>
          <cell r="F4139" t="str">
            <v>V1</v>
          </cell>
          <cell r="G4139">
            <v>6</v>
          </cell>
          <cell r="H4139" t="str">
            <v>mRNA文库</v>
          </cell>
          <cell r="I4139" t="str">
            <v>YHT</v>
          </cell>
          <cell r="J4139">
            <v>77</v>
          </cell>
          <cell r="K4139">
            <v>425</v>
          </cell>
          <cell r="L4139" t="str">
            <v>GZQ</v>
          </cell>
          <cell r="N4139">
            <v>278.73303167420801</v>
          </cell>
        </row>
        <row r="4140">
          <cell r="E4140" t="str">
            <v>HGC-Lib-2455709</v>
          </cell>
          <cell r="F4140" t="str">
            <v>V2</v>
          </cell>
          <cell r="G4140">
            <v>6</v>
          </cell>
          <cell r="H4140" t="str">
            <v>mRNA文库</v>
          </cell>
          <cell r="I4140" t="str">
            <v>YHT</v>
          </cell>
          <cell r="J4140">
            <v>35.6</v>
          </cell>
          <cell r="K4140">
            <v>439</v>
          </cell>
          <cell r="L4140" t="str">
            <v>GZQ</v>
          </cell>
          <cell r="N4140">
            <v>124.75906781146</v>
          </cell>
        </row>
        <row r="4141">
          <cell r="E4141" t="str">
            <v>HGC-Lib-2455710</v>
          </cell>
          <cell r="F4141" t="str">
            <v>V3</v>
          </cell>
          <cell r="G4141">
            <v>6</v>
          </cell>
          <cell r="H4141" t="str">
            <v>mRNA文库</v>
          </cell>
          <cell r="I4141" t="str">
            <v>YHT</v>
          </cell>
          <cell r="J4141">
            <v>20.399999999999999</v>
          </cell>
          <cell r="K4141">
            <v>440</v>
          </cell>
          <cell r="L4141" t="str">
            <v>GZQ</v>
          </cell>
          <cell r="N4141">
            <v>71.328671328671305</v>
          </cell>
        </row>
        <row r="4142">
          <cell r="E4142" t="str">
            <v>HGC-Lib-2455711</v>
          </cell>
          <cell r="F4142" t="str">
            <v>CELL1</v>
          </cell>
          <cell r="G4142">
            <v>6</v>
          </cell>
          <cell r="H4142" t="str">
            <v>mRNA文库</v>
          </cell>
          <cell r="I4142" t="str">
            <v>YHT</v>
          </cell>
          <cell r="J4142">
            <v>62.6</v>
          </cell>
          <cell r="K4142">
            <v>427</v>
          </cell>
          <cell r="L4142" t="str">
            <v>XCL</v>
          </cell>
          <cell r="N4142">
            <v>225.544946856422</v>
          </cell>
        </row>
        <row r="4143">
          <cell r="E4143" t="str">
            <v>HGC-Lib-2455712</v>
          </cell>
          <cell r="F4143" t="str">
            <v>CELL2</v>
          </cell>
          <cell r="G4143">
            <v>6</v>
          </cell>
          <cell r="H4143" t="str">
            <v>mRNA文库</v>
          </cell>
          <cell r="I4143" t="str">
            <v>YHT</v>
          </cell>
          <cell r="J4143">
            <v>30</v>
          </cell>
          <cell r="K4143">
            <v>448</v>
          </cell>
          <cell r="L4143" t="str">
            <v>GZQ</v>
          </cell>
          <cell r="N4143">
            <v>103.021978021978</v>
          </cell>
        </row>
        <row r="4144">
          <cell r="E4144" t="str">
            <v>HGC-Lib-2455713</v>
          </cell>
          <cell r="F4144" t="str">
            <v>CELL3</v>
          </cell>
          <cell r="G4144">
            <v>6</v>
          </cell>
          <cell r="H4144" t="str">
            <v>mRNA文库</v>
          </cell>
          <cell r="I4144" t="str">
            <v>YHT</v>
          </cell>
          <cell r="J4144">
            <v>24</v>
          </cell>
          <cell r="K4144">
            <v>464</v>
          </cell>
          <cell r="L4144" t="str">
            <v>GZQ</v>
          </cell>
          <cell r="N4144">
            <v>79.575596816976102</v>
          </cell>
        </row>
        <row r="4145">
          <cell r="E4145" t="str">
            <v>HGC-Lib-2455714</v>
          </cell>
          <cell r="F4145" t="str">
            <v>Y1</v>
          </cell>
          <cell r="G4145">
            <v>6</v>
          </cell>
          <cell r="H4145" t="str">
            <v>mRNA文库</v>
          </cell>
          <cell r="I4145" t="str">
            <v>YHT</v>
          </cell>
          <cell r="J4145">
            <v>35.200000000000003</v>
          </cell>
          <cell r="K4145">
            <v>435</v>
          </cell>
          <cell r="L4145" t="str">
            <v>GZQ</v>
          </cell>
          <cell r="N4145">
            <v>124.491600353669</v>
          </cell>
        </row>
        <row r="4146">
          <cell r="E4146" t="str">
            <v>HGC-Lib-2455715</v>
          </cell>
          <cell r="F4146" t="str">
            <v>Y2</v>
          </cell>
          <cell r="G4146">
            <v>6</v>
          </cell>
          <cell r="H4146" t="str">
            <v>mRNA文库</v>
          </cell>
          <cell r="I4146" t="str">
            <v>YHT</v>
          </cell>
          <cell r="J4146">
            <v>89.4</v>
          </cell>
          <cell r="K4146">
            <v>450</v>
          </cell>
          <cell r="L4146" t="str">
            <v>GZQ</v>
          </cell>
          <cell r="N4146">
            <v>305.64102564102598</v>
          </cell>
        </row>
        <row r="4147">
          <cell r="E4147" t="str">
            <v>HGC-Lib-2455716</v>
          </cell>
          <cell r="F4147" t="str">
            <v>Y3</v>
          </cell>
          <cell r="G4147">
            <v>6</v>
          </cell>
          <cell r="H4147" t="str">
            <v>mRNA文库</v>
          </cell>
          <cell r="I4147" t="str">
            <v>GZQ</v>
          </cell>
          <cell r="J4147">
            <v>94.4</v>
          </cell>
          <cell r="K4147">
            <v>460</v>
          </cell>
          <cell r="L4147" t="str">
            <v>GZQ</v>
          </cell>
          <cell r="N4147">
            <v>315.71906354515102</v>
          </cell>
        </row>
        <row r="4148">
          <cell r="E4148" t="str">
            <v>HGC-Lib-2455717</v>
          </cell>
          <cell r="F4148" t="str">
            <v>WT2</v>
          </cell>
          <cell r="G4148">
            <v>6</v>
          </cell>
          <cell r="H4148" t="str">
            <v>mRNA文库</v>
          </cell>
          <cell r="I4148" t="str">
            <v>GZQ</v>
          </cell>
          <cell r="J4148">
            <v>46.8</v>
          </cell>
          <cell r="K4148">
            <v>465</v>
          </cell>
          <cell r="L4148" t="str">
            <v>GZQ</v>
          </cell>
          <cell r="N4148">
            <v>154.83870967741899</v>
          </cell>
        </row>
        <row r="4149">
          <cell r="E4149" t="str">
            <v>HGC-Lib-2455718</v>
          </cell>
          <cell r="F4149" t="str">
            <v>蒋昊宇</v>
          </cell>
          <cell r="G4149">
            <v>6</v>
          </cell>
          <cell r="H4149" t="str">
            <v>mRNA文库</v>
          </cell>
          <cell r="I4149" t="str">
            <v>GZQ</v>
          </cell>
          <cell r="J4149">
            <v>13.1</v>
          </cell>
          <cell r="K4149">
            <v>424</v>
          </cell>
          <cell r="L4149" t="str">
            <v>GZQ</v>
          </cell>
          <cell r="N4149">
            <v>47.532656023222103</v>
          </cell>
        </row>
        <row r="4150">
          <cell r="E4150" t="str">
            <v>HGC-POOL-2455719</v>
          </cell>
          <cell r="F4150" t="str">
            <v>HYZ-0712-L1</v>
          </cell>
          <cell r="G4150">
            <v>24</v>
          </cell>
          <cell r="H4150" t="str">
            <v>PCR产物文库</v>
          </cell>
          <cell r="I4150" t="str">
            <v>GZQ</v>
          </cell>
          <cell r="J4150">
            <v>40.4</v>
          </cell>
          <cell r="K4150">
            <v>469</v>
          </cell>
          <cell r="L4150" t="str">
            <v>GZQ</v>
          </cell>
          <cell r="N4150">
            <v>132.524192225685</v>
          </cell>
        </row>
        <row r="4151">
          <cell r="E4151" t="str">
            <v>HGC-POOL-2455720</v>
          </cell>
          <cell r="F4151" t="str">
            <v>HYZ-0712-L2</v>
          </cell>
          <cell r="G4151">
            <v>24</v>
          </cell>
          <cell r="H4151" t="str">
            <v>PCR产物文库</v>
          </cell>
          <cell r="I4151" t="str">
            <v>GZQ</v>
          </cell>
          <cell r="J4151">
            <v>39.799999999999997</v>
          </cell>
          <cell r="K4151">
            <v>475</v>
          </cell>
          <cell r="L4151" t="str">
            <v>GZQ</v>
          </cell>
          <cell r="N4151">
            <v>128.90688259109299</v>
          </cell>
        </row>
        <row r="4152">
          <cell r="E4152" t="str">
            <v>HGC-Lib-2455727</v>
          </cell>
          <cell r="F4152" t="str">
            <v>1-1</v>
          </cell>
          <cell r="G4152">
            <v>10</v>
          </cell>
          <cell r="H4152" t="str">
            <v>ATAC-Seq文库</v>
          </cell>
          <cell r="I4152" t="str">
            <v>GZQ</v>
          </cell>
          <cell r="J4152">
            <v>13.7</v>
          </cell>
          <cell r="K4152">
            <v>432</v>
          </cell>
          <cell r="L4152" t="str">
            <v>GZQ</v>
          </cell>
          <cell r="N4152">
            <v>48.789173789173802</v>
          </cell>
        </row>
        <row r="4153">
          <cell r="E4153" t="str">
            <v>HGC-Lib-2455728</v>
          </cell>
          <cell r="F4153" t="str">
            <v>1-2</v>
          </cell>
          <cell r="G4153">
            <v>10</v>
          </cell>
          <cell r="H4153" t="str">
            <v>ATAC-Seq文库</v>
          </cell>
          <cell r="I4153" t="str">
            <v>GZQ</v>
          </cell>
          <cell r="J4153">
            <v>6.68</v>
          </cell>
          <cell r="K4153">
            <v>529</v>
          </cell>
          <cell r="L4153" t="str">
            <v>GZQ</v>
          </cell>
          <cell r="N4153">
            <v>19.427075759779001</v>
          </cell>
        </row>
        <row r="4154">
          <cell r="E4154" t="str">
            <v>HGC-Lib-2455729</v>
          </cell>
          <cell r="F4154" t="str">
            <v>2-1</v>
          </cell>
          <cell r="G4154">
            <v>10</v>
          </cell>
          <cell r="H4154" t="str">
            <v>ATAC-Seq文库</v>
          </cell>
          <cell r="I4154" t="str">
            <v>GZQ</v>
          </cell>
          <cell r="J4154">
            <v>17.600000000000001</v>
          </cell>
          <cell r="K4154">
            <v>521</v>
          </cell>
          <cell r="L4154" t="str">
            <v>GZQ</v>
          </cell>
          <cell r="N4154">
            <v>51.971061567990503</v>
          </cell>
        </row>
        <row r="4155">
          <cell r="E4155" t="str">
            <v>HGC-Lib-2455730</v>
          </cell>
          <cell r="F4155" t="str">
            <v>2-2</v>
          </cell>
          <cell r="G4155">
            <v>10</v>
          </cell>
          <cell r="H4155" t="str">
            <v>ATAC-Seq文库</v>
          </cell>
          <cell r="I4155" t="str">
            <v>GZQ</v>
          </cell>
          <cell r="J4155">
            <v>17.5</v>
          </cell>
          <cell r="K4155">
            <v>423</v>
          </cell>
          <cell r="L4155" t="str">
            <v>GZQ</v>
          </cell>
          <cell r="N4155">
            <v>63.647935988361503</v>
          </cell>
        </row>
        <row r="4156">
          <cell r="E4156" t="str">
            <v>HGC-Lib-2455731</v>
          </cell>
          <cell r="F4156" t="str">
            <v>3-1</v>
          </cell>
          <cell r="G4156">
            <v>10</v>
          </cell>
          <cell r="H4156" t="str">
            <v>ATAC-Seq文库</v>
          </cell>
          <cell r="I4156" t="str">
            <v>GZQ</v>
          </cell>
          <cell r="J4156">
            <v>29</v>
          </cell>
          <cell r="K4156">
            <v>272</v>
          </cell>
          <cell r="L4156" t="str">
            <v>GZQ</v>
          </cell>
          <cell r="N4156">
            <v>164.02714932126699</v>
          </cell>
        </row>
        <row r="4157">
          <cell r="E4157" t="str">
            <v>HGC-Lib-2455732</v>
          </cell>
          <cell r="F4157" t="str">
            <v>3-2</v>
          </cell>
          <cell r="G4157">
            <v>10</v>
          </cell>
          <cell r="H4157" t="str">
            <v>ATAC-Seq文库</v>
          </cell>
          <cell r="I4157" t="str">
            <v>GZQ</v>
          </cell>
          <cell r="J4157">
            <v>31.6</v>
          </cell>
          <cell r="K4157">
            <v>271</v>
          </cell>
          <cell r="L4157" t="str">
            <v>GZQ</v>
          </cell>
          <cell r="N4157">
            <v>179.392563156401</v>
          </cell>
        </row>
        <row r="4158">
          <cell r="E4158" t="str">
            <v>HGC-Lib-2455733</v>
          </cell>
          <cell r="F4158" t="str">
            <v>4-1</v>
          </cell>
          <cell r="G4158">
            <v>10</v>
          </cell>
          <cell r="H4158" t="str">
            <v>ATAC-Seq文库</v>
          </cell>
          <cell r="I4158" t="str">
            <v>GZQ</v>
          </cell>
          <cell r="J4158">
            <v>8.92</v>
          </cell>
          <cell r="K4158">
            <v>559</v>
          </cell>
          <cell r="L4158" t="str">
            <v>GZQ</v>
          </cell>
          <cell r="N4158">
            <v>24.549332599422002</v>
          </cell>
        </row>
        <row r="4159">
          <cell r="E4159" t="str">
            <v>HGC-Lib-2455734</v>
          </cell>
          <cell r="F4159" t="str">
            <v>4-2</v>
          </cell>
          <cell r="G4159">
            <v>10</v>
          </cell>
          <cell r="H4159" t="str">
            <v>ATAC-Seq文库</v>
          </cell>
          <cell r="I4159" t="str">
            <v>GZQ</v>
          </cell>
          <cell r="J4159">
            <v>23.4</v>
          </cell>
          <cell r="K4159">
            <v>347</v>
          </cell>
          <cell r="L4159" t="str">
            <v>GZQ</v>
          </cell>
          <cell r="N4159">
            <v>103.74639769452401</v>
          </cell>
        </row>
        <row r="4160">
          <cell r="E4160" t="str">
            <v>HGC-Lib-2455735</v>
          </cell>
          <cell r="F4160" t="str">
            <v>5-1</v>
          </cell>
          <cell r="G4160">
            <v>10</v>
          </cell>
          <cell r="H4160" t="str">
            <v>ATAC-Seq文库</v>
          </cell>
          <cell r="I4160" t="str">
            <v>GZQ</v>
          </cell>
          <cell r="J4160">
            <v>18</v>
          </cell>
          <cell r="K4160">
            <v>416</v>
          </cell>
          <cell r="L4160" t="str">
            <v>GZQ</v>
          </cell>
          <cell r="N4160">
            <v>66.568047337278102</v>
          </cell>
        </row>
        <row r="4161">
          <cell r="E4161" t="str">
            <v>HGC-Lib-2455736</v>
          </cell>
          <cell r="F4161" t="str">
            <v>5-2</v>
          </cell>
          <cell r="G4161">
            <v>10</v>
          </cell>
          <cell r="H4161" t="str">
            <v>ATAC-Seq文库</v>
          </cell>
          <cell r="I4161" t="str">
            <v>GZQ</v>
          </cell>
          <cell r="J4161">
            <v>29</v>
          </cell>
          <cell r="K4161">
            <v>351</v>
          </cell>
          <cell r="L4161" t="str">
            <v>GZQ</v>
          </cell>
          <cell r="N4161">
            <v>127.10935787858899</v>
          </cell>
        </row>
        <row r="4162">
          <cell r="E4162" t="str">
            <v>HGC-Lib-2455737</v>
          </cell>
          <cell r="F4162" t="str">
            <v>6-1</v>
          </cell>
          <cell r="G4162">
            <v>10</v>
          </cell>
          <cell r="H4162" t="str">
            <v>ATAC-Seq文库</v>
          </cell>
          <cell r="I4162" t="str">
            <v>GZQ</v>
          </cell>
          <cell r="J4162">
            <v>21</v>
          </cell>
          <cell r="K4162">
            <v>390</v>
          </cell>
          <cell r="L4162" t="str">
            <v>GZQ</v>
          </cell>
          <cell r="N4162">
            <v>82.840236686390497</v>
          </cell>
        </row>
        <row r="4163">
          <cell r="E4163" t="str">
            <v>HGC-Lib-2455738</v>
          </cell>
          <cell r="F4163" t="str">
            <v>6-2</v>
          </cell>
          <cell r="G4163">
            <v>10</v>
          </cell>
          <cell r="H4163" t="str">
            <v>ATAC-Seq文库</v>
          </cell>
          <cell r="I4163" t="str">
            <v>GZQ</v>
          </cell>
          <cell r="J4163">
            <v>7.76</v>
          </cell>
          <cell r="K4163">
            <v>585</v>
          </cell>
          <cell r="L4163" t="str">
            <v>GZQ</v>
          </cell>
          <cell r="N4163">
            <v>20.4076265614727</v>
          </cell>
        </row>
        <row r="4164">
          <cell r="E4164" t="str">
            <v>HGC-POOL-2455739</v>
          </cell>
          <cell r="F4164" t="str">
            <v>2024_7_13_L1</v>
          </cell>
          <cell r="G4164">
            <v>24</v>
          </cell>
          <cell r="H4164" t="str">
            <v>PCR产物文库</v>
          </cell>
          <cell r="I4164" t="str">
            <v>GZQ</v>
          </cell>
          <cell r="J4164">
            <v>34.6</v>
          </cell>
          <cell r="K4164">
            <v>496</v>
          </cell>
          <cell r="L4164" t="str">
            <v>GZQ</v>
          </cell>
          <cell r="N4164">
            <v>107.320099255583</v>
          </cell>
        </row>
        <row r="4165">
          <cell r="E4165" t="str">
            <v>HGC-POOL-2455740</v>
          </cell>
          <cell r="F4165" t="str">
            <v>2024_7_13_L2</v>
          </cell>
          <cell r="G4165">
            <v>24</v>
          </cell>
          <cell r="H4165" t="str">
            <v>PCR产物文库</v>
          </cell>
          <cell r="I4165" t="str">
            <v>GZQ</v>
          </cell>
          <cell r="J4165">
            <v>37.4</v>
          </cell>
          <cell r="K4165">
            <v>492</v>
          </cell>
          <cell r="L4165" t="str">
            <v>GZQ</v>
          </cell>
          <cell r="N4165">
            <v>116.94809255784899</v>
          </cell>
        </row>
        <row r="4166">
          <cell r="E4166" t="str">
            <v>HGC-POOL-2455741</v>
          </cell>
          <cell r="F4166" t="str">
            <v>2024_7_13_L3</v>
          </cell>
          <cell r="G4166">
            <v>24</v>
          </cell>
          <cell r="H4166" t="str">
            <v>PCR产物文库</v>
          </cell>
          <cell r="I4166" t="str">
            <v>GZQ</v>
          </cell>
          <cell r="J4166">
            <v>33.799999999999997</v>
          </cell>
          <cell r="K4166">
            <v>507</v>
          </cell>
          <cell r="L4166" t="str">
            <v>GZQ</v>
          </cell>
          <cell r="N4166">
            <v>102.564102564103</v>
          </cell>
        </row>
        <row r="4167">
          <cell r="E4167" t="str">
            <v>HGC-POOL-2455742</v>
          </cell>
          <cell r="F4167" t="str">
            <v>TYF0714-1</v>
          </cell>
          <cell r="G4167">
            <v>27</v>
          </cell>
          <cell r="H4167" t="str">
            <v>Chip-Seq</v>
          </cell>
          <cell r="I4167" t="str">
            <v>GZQ</v>
          </cell>
          <cell r="J4167">
            <v>3.22</v>
          </cell>
          <cell r="K4167">
            <v>386</v>
          </cell>
          <cell r="L4167" t="str">
            <v>XCL</v>
          </cell>
          <cell r="N4167">
            <v>12.833798326026301</v>
          </cell>
        </row>
        <row r="4168">
          <cell r="E4168" t="str">
            <v>HGC-Lib-2455743</v>
          </cell>
          <cell r="F4168" t="str">
            <v>TYF0714-2</v>
          </cell>
          <cell r="G4168">
            <v>3</v>
          </cell>
          <cell r="H4168" t="str">
            <v>Chip-Seq</v>
          </cell>
          <cell r="I4168" t="str">
            <v>GZQ</v>
          </cell>
          <cell r="J4168">
            <v>0.32</v>
          </cell>
          <cell r="K4168">
            <v>270</v>
          </cell>
          <cell r="L4168" t="str">
            <v>XCL</v>
          </cell>
          <cell r="N4168">
            <v>1.8233618233618201</v>
          </cell>
        </row>
        <row r="4169">
          <cell r="E4169" t="str">
            <v>HGC-Lib-2455749</v>
          </cell>
          <cell r="F4169" t="str">
            <v>HitomXNN384</v>
          </cell>
          <cell r="G4169">
            <v>2</v>
          </cell>
          <cell r="H4169" t="str">
            <v>PCR片段文库</v>
          </cell>
          <cell r="I4169" t="str">
            <v>GZQ</v>
          </cell>
          <cell r="J4169">
            <v>23.4</v>
          </cell>
          <cell r="K4169">
            <v>306</v>
          </cell>
          <cell r="L4169" t="str">
            <v>GZQ</v>
          </cell>
          <cell r="N4169">
            <v>117.64705882352899</v>
          </cell>
        </row>
        <row r="4170">
          <cell r="E4170" t="str">
            <v>HGC-Lib-2455750</v>
          </cell>
          <cell r="F4170" t="str">
            <v>HitomXNN385</v>
          </cell>
          <cell r="G4170">
            <v>2</v>
          </cell>
          <cell r="H4170" t="str">
            <v>PCR片段文库</v>
          </cell>
          <cell r="I4170" t="str">
            <v>GZQ</v>
          </cell>
          <cell r="J4170">
            <v>50.6</v>
          </cell>
          <cell r="K4170">
            <v>442</v>
          </cell>
          <cell r="L4170" t="str">
            <v>GZQ</v>
          </cell>
          <cell r="N4170">
            <v>176.12252001392301</v>
          </cell>
        </row>
        <row r="4171">
          <cell r="E4171" t="str">
            <v>HGC-Lib-2455751</v>
          </cell>
          <cell r="F4171" t="str">
            <v>HitomXNN386</v>
          </cell>
          <cell r="G4171">
            <v>2</v>
          </cell>
          <cell r="H4171" t="str">
            <v>PCR片段文库</v>
          </cell>
          <cell r="I4171" t="str">
            <v>GZQ</v>
          </cell>
          <cell r="J4171">
            <v>66</v>
          </cell>
          <cell r="K4171">
            <v>430</v>
          </cell>
          <cell r="L4171" t="str">
            <v>GZQ</v>
          </cell>
          <cell r="N4171">
            <v>236.13595706619</v>
          </cell>
        </row>
        <row r="4172">
          <cell r="E4172" t="str">
            <v>HGC-Lib-2455752</v>
          </cell>
          <cell r="F4172" t="str">
            <v>HitomXNN387</v>
          </cell>
          <cell r="G4172">
            <v>2</v>
          </cell>
          <cell r="H4172" t="str">
            <v>PCR片段文库</v>
          </cell>
          <cell r="I4172" t="str">
            <v>GZQ</v>
          </cell>
          <cell r="J4172">
            <v>54</v>
          </cell>
          <cell r="K4172">
            <v>500</v>
          </cell>
          <cell r="L4172" t="str">
            <v>GZQ</v>
          </cell>
          <cell r="N4172">
            <v>166.15384615384599</v>
          </cell>
        </row>
        <row r="4173">
          <cell r="E4173" t="str">
            <v>HGC-Lib-2455753</v>
          </cell>
          <cell r="F4173" t="str">
            <v>OL27481</v>
          </cell>
          <cell r="G4173">
            <v>1000</v>
          </cell>
          <cell r="H4173" t="str">
            <v>lncRNA文库</v>
          </cell>
          <cell r="I4173" t="str">
            <v>GZQ</v>
          </cell>
          <cell r="J4173">
            <v>2.4</v>
          </cell>
          <cell r="K4173">
            <v>421</v>
          </cell>
          <cell r="L4173" t="str">
            <v>XCL</v>
          </cell>
          <cell r="N4173">
            <v>8.7703270601132797</v>
          </cell>
        </row>
        <row r="4174">
          <cell r="E4174" t="str">
            <v>HGC-Lib-2455754</v>
          </cell>
          <cell r="F4174" t="str">
            <v>OL27482</v>
          </cell>
          <cell r="G4174">
            <v>1000</v>
          </cell>
          <cell r="H4174" t="str">
            <v>lncRNA文库</v>
          </cell>
          <cell r="I4174" t="str">
            <v>GZQ</v>
          </cell>
          <cell r="J4174">
            <v>2.54</v>
          </cell>
          <cell r="K4174">
            <v>420</v>
          </cell>
          <cell r="L4174" t="str">
            <v>XCL</v>
          </cell>
          <cell r="N4174">
            <v>9.3040293040292994</v>
          </cell>
        </row>
        <row r="4175">
          <cell r="E4175" t="str">
            <v>HGC-Lib-2455755</v>
          </cell>
          <cell r="F4175" t="str">
            <v>FWSC20240348-CRLM-T</v>
          </cell>
          <cell r="G4175">
            <v>100</v>
          </cell>
          <cell r="H4175" t="str">
            <v>10× 3'单细胞</v>
          </cell>
          <cell r="I4175" t="str">
            <v>GZQ</v>
          </cell>
          <cell r="J4175">
            <v>15</v>
          </cell>
          <cell r="K4175">
            <v>503</v>
          </cell>
          <cell r="L4175" t="str">
            <v>GZQ</v>
          </cell>
          <cell r="N4175">
            <v>45.8785747056125</v>
          </cell>
        </row>
        <row r="4176">
          <cell r="E4176" t="str">
            <v>HGC-Lib-2455756</v>
          </cell>
          <cell r="F4176" t="str">
            <v>FW2024-225-13-wuwenhao0710</v>
          </cell>
          <cell r="G4176">
            <v>100</v>
          </cell>
          <cell r="H4176" t="str">
            <v>10× 3'单细胞</v>
          </cell>
          <cell r="I4176" t="str">
            <v>GZQ</v>
          </cell>
          <cell r="J4176">
            <v>12.5</v>
          </cell>
          <cell r="K4176">
            <v>492</v>
          </cell>
          <cell r="L4176" t="str">
            <v>GZQ</v>
          </cell>
          <cell r="N4176">
            <v>39.086929330831801</v>
          </cell>
        </row>
        <row r="4177">
          <cell r="E4177" t="str">
            <v>HGC-Lib-2455757</v>
          </cell>
          <cell r="F4177" t="str">
            <v>FW2024-225-13-wangzucheng0710</v>
          </cell>
          <cell r="G4177">
            <v>100</v>
          </cell>
          <cell r="H4177" t="str">
            <v>10× 3'单细胞</v>
          </cell>
          <cell r="I4177" t="str">
            <v>GZQ</v>
          </cell>
          <cell r="J4177">
            <v>10.9</v>
          </cell>
          <cell r="K4177">
            <v>496</v>
          </cell>
          <cell r="L4177" t="str">
            <v>GZQ</v>
          </cell>
          <cell r="N4177">
            <v>33.808933002481403</v>
          </cell>
        </row>
        <row r="4178">
          <cell r="E4178" t="str">
            <v>HGC-Lib-2455758</v>
          </cell>
          <cell r="F4178" t="str">
            <v>FWSC20240362-PRI-P</v>
          </cell>
          <cell r="G4178">
            <v>100</v>
          </cell>
          <cell r="H4178" t="str">
            <v>10× 3'单细胞</v>
          </cell>
          <cell r="I4178" t="str">
            <v>GZQ</v>
          </cell>
          <cell r="J4178">
            <v>11.3</v>
          </cell>
          <cell r="K4178">
            <v>504</v>
          </cell>
          <cell r="L4178" t="str">
            <v>GZQ</v>
          </cell>
          <cell r="N4178">
            <v>34.493284493284499</v>
          </cell>
        </row>
        <row r="4179">
          <cell r="E4179" t="str">
            <v>HGC-Lib-2455759</v>
          </cell>
          <cell r="F4179" t="str">
            <v>FWSC20240362-PRI-T</v>
          </cell>
          <cell r="G4179">
            <v>100</v>
          </cell>
          <cell r="H4179" t="str">
            <v>10× 3'单细胞</v>
          </cell>
          <cell r="I4179" t="str">
            <v>GZQ</v>
          </cell>
          <cell r="J4179">
            <v>19.399999999999999</v>
          </cell>
          <cell r="K4179">
            <v>514</v>
          </cell>
          <cell r="L4179" t="str">
            <v>GZQ</v>
          </cell>
          <cell r="N4179">
            <v>58.066447171505502</v>
          </cell>
        </row>
        <row r="4180">
          <cell r="E4180" t="str">
            <v>HGC-Lib-2455760</v>
          </cell>
          <cell r="F4180" t="str">
            <v>FWSC20240362-CRLM-T</v>
          </cell>
          <cell r="G4180">
            <v>100</v>
          </cell>
          <cell r="H4180" t="str">
            <v>10× 3'单细胞</v>
          </cell>
          <cell r="I4180" t="str">
            <v>GZQ</v>
          </cell>
          <cell r="J4180">
            <v>10.9</v>
          </cell>
          <cell r="K4180">
            <v>499</v>
          </cell>
          <cell r="L4180" t="str">
            <v>GZQ</v>
          </cell>
          <cell r="N4180">
            <v>33.605672884230003</v>
          </cell>
        </row>
        <row r="4181">
          <cell r="E4181" t="str">
            <v>HGC-Lib-2455761</v>
          </cell>
          <cell r="F4181" t="str">
            <v>FWSC20240381-Se2</v>
          </cell>
          <cell r="G4181">
            <v>100</v>
          </cell>
          <cell r="H4181" t="str">
            <v>10× 3'单细胞</v>
          </cell>
          <cell r="I4181" t="str">
            <v>GZQ</v>
          </cell>
          <cell r="J4181">
            <v>13.5</v>
          </cell>
          <cell r="K4181">
            <v>502</v>
          </cell>
          <cell r="L4181" t="str">
            <v>GZQ</v>
          </cell>
          <cell r="N4181">
            <v>41.372969659822203</v>
          </cell>
        </row>
        <row r="4182">
          <cell r="E4182" t="str">
            <v>HGC-Lib-2455762</v>
          </cell>
          <cell r="F4182" t="str">
            <v>FWSC20240380-BM wound1</v>
          </cell>
          <cell r="G4182">
            <v>100</v>
          </cell>
          <cell r="H4182" t="str">
            <v>10× 3'单细胞</v>
          </cell>
          <cell r="I4182" t="str">
            <v>GZQ</v>
          </cell>
          <cell r="J4182">
            <v>14.7</v>
          </cell>
          <cell r="K4182">
            <v>497</v>
          </cell>
          <cell r="L4182" t="str">
            <v>GZQ</v>
          </cell>
          <cell r="N4182">
            <v>45.503791982665199</v>
          </cell>
        </row>
        <row r="4183">
          <cell r="E4183" t="str">
            <v>HGC-Lib-2455763</v>
          </cell>
          <cell r="F4183" t="str">
            <v>FWSC20240380-BM wound3</v>
          </cell>
          <cell r="G4183">
            <v>100</v>
          </cell>
          <cell r="H4183" t="str">
            <v>10× 3'单细胞</v>
          </cell>
          <cell r="I4183" t="str">
            <v>GZQ</v>
          </cell>
          <cell r="J4183">
            <v>28.4</v>
          </cell>
          <cell r="K4183">
            <v>510</v>
          </cell>
          <cell r="L4183" t="str">
            <v>GZQ</v>
          </cell>
          <cell r="N4183">
            <v>85.671191553544503</v>
          </cell>
        </row>
        <row r="4184">
          <cell r="E4184" t="str">
            <v>HGC-Lib-2455764</v>
          </cell>
          <cell r="F4184" t="str">
            <v>FW2023-771-05-GY2-1</v>
          </cell>
          <cell r="G4184">
            <v>100</v>
          </cell>
          <cell r="H4184" t="str">
            <v>10× 3'单细胞</v>
          </cell>
          <cell r="I4184" t="str">
            <v>GZQ</v>
          </cell>
          <cell r="J4184">
            <v>33.200000000000003</v>
          </cell>
          <cell r="K4184">
            <v>513</v>
          </cell>
          <cell r="L4184" t="str">
            <v>GZQ</v>
          </cell>
          <cell r="N4184">
            <v>99.565152196731106</v>
          </cell>
        </row>
        <row r="4185">
          <cell r="E4185" t="str">
            <v>HGC-Lib-2455765</v>
          </cell>
          <cell r="F4185" t="str">
            <v>FWSC20240336-MI</v>
          </cell>
          <cell r="G4185">
            <v>100</v>
          </cell>
          <cell r="H4185" t="str">
            <v>10× 3'单细胞</v>
          </cell>
          <cell r="I4185" t="str">
            <v>GZQ</v>
          </cell>
          <cell r="J4185">
            <v>18.100000000000001</v>
          </cell>
          <cell r="K4185">
            <v>481</v>
          </cell>
          <cell r="L4185" t="str">
            <v>GZQ</v>
          </cell>
          <cell r="N4185">
            <v>57.892211738365603</v>
          </cell>
        </row>
        <row r="4186">
          <cell r="E4186" t="str">
            <v>HGC-Lib-2455766</v>
          </cell>
          <cell r="F4186" t="str">
            <v>FWSC20240336-MI-PRF</v>
          </cell>
          <cell r="G4186">
            <v>100</v>
          </cell>
          <cell r="H4186" t="str">
            <v>10× 3'单细胞</v>
          </cell>
          <cell r="I4186" t="str">
            <v>GZQ</v>
          </cell>
          <cell r="J4186">
            <v>14.9</v>
          </cell>
          <cell r="K4186">
            <v>493</v>
          </cell>
          <cell r="L4186" t="str">
            <v>GZQ</v>
          </cell>
          <cell r="N4186">
            <v>46.4971134342331</v>
          </cell>
        </row>
        <row r="4187">
          <cell r="E4187" t="str">
            <v>HGC-Lib-2455767</v>
          </cell>
          <cell r="F4187" t="str">
            <v>FWSC20240328-ZTT-1</v>
          </cell>
          <cell r="G4187">
            <v>100</v>
          </cell>
          <cell r="H4187" t="str">
            <v>寻因5'单细胞</v>
          </cell>
          <cell r="I4187" t="str">
            <v>GZQ</v>
          </cell>
          <cell r="J4187">
            <v>13.3</v>
          </cell>
          <cell r="K4187">
            <v>489</v>
          </cell>
          <cell r="L4187" t="str">
            <v>GZQ</v>
          </cell>
          <cell r="N4187">
            <v>41.8436369356615</v>
          </cell>
        </row>
        <row r="4188">
          <cell r="E4188" t="str">
            <v>HGC-Lib-2455768</v>
          </cell>
          <cell r="F4188" t="str">
            <v>FWSC20240328-ZTT-1-TCR</v>
          </cell>
          <cell r="G4188">
            <v>10</v>
          </cell>
          <cell r="H4188" t="str">
            <v>寻因TCR</v>
          </cell>
          <cell r="I4188" t="str">
            <v>GZQ</v>
          </cell>
          <cell r="J4188">
            <v>23.8</v>
          </cell>
          <cell r="K4188">
            <v>569</v>
          </cell>
          <cell r="L4188" t="str">
            <v>GZQ</v>
          </cell>
          <cell r="N4188">
            <v>64.350412329322694</v>
          </cell>
        </row>
        <row r="4189">
          <cell r="E4189" t="str">
            <v>HGC-Lib-2455769</v>
          </cell>
          <cell r="F4189" t="str">
            <v>FWSC20240328-ZTT-1-BCR</v>
          </cell>
          <cell r="G4189">
            <v>10</v>
          </cell>
          <cell r="H4189" t="str">
            <v>寻因BCR</v>
          </cell>
          <cell r="I4189" t="str">
            <v>GZQ</v>
          </cell>
          <cell r="J4189">
            <v>26.4</v>
          </cell>
          <cell r="K4189">
            <v>567</v>
          </cell>
          <cell r="L4189" t="str">
            <v>GZQ</v>
          </cell>
          <cell r="N4189">
            <v>71.6320716320716</v>
          </cell>
        </row>
        <row r="4190">
          <cell r="E4190" t="str">
            <v>HGC-Lib-2455770</v>
          </cell>
          <cell r="F4190" t="str">
            <v>155 WT-1</v>
          </cell>
          <cell r="G4190">
            <v>10</v>
          </cell>
          <cell r="H4190" t="str">
            <v>cut&amp;tag文库</v>
          </cell>
          <cell r="I4190" t="str">
            <v>GZQ</v>
          </cell>
          <cell r="J4190">
            <v>65</v>
          </cell>
          <cell r="K4190">
            <v>413</v>
          </cell>
          <cell r="L4190" t="str">
            <v>GZQ</v>
          </cell>
          <cell r="N4190">
            <v>242.13075060532699</v>
          </cell>
        </row>
        <row r="4191">
          <cell r="E4191" t="str">
            <v>HGC-Lib-2455771</v>
          </cell>
          <cell r="F4191" t="str">
            <v>155 WT-2</v>
          </cell>
          <cell r="G4191">
            <v>10</v>
          </cell>
          <cell r="H4191" t="str">
            <v>cut&amp;tag文库</v>
          </cell>
          <cell r="I4191" t="str">
            <v>GZQ</v>
          </cell>
          <cell r="J4191">
            <v>65.400000000000006</v>
          </cell>
          <cell r="K4191">
            <v>411</v>
          </cell>
          <cell r="L4191" t="str">
            <v>GZQ</v>
          </cell>
          <cell r="N4191">
            <v>244.80628860190899</v>
          </cell>
        </row>
        <row r="4192">
          <cell r="E4192" t="str">
            <v>HGC-Lib-2455772</v>
          </cell>
          <cell r="F4192" t="str">
            <v>155 WT-3</v>
          </cell>
          <cell r="G4192">
            <v>10</v>
          </cell>
          <cell r="H4192" t="str">
            <v>cut&amp;tag文库</v>
          </cell>
          <cell r="I4192" t="str">
            <v>GZQ</v>
          </cell>
          <cell r="J4192">
            <v>65.599999999999994</v>
          </cell>
          <cell r="K4192">
            <v>406</v>
          </cell>
          <cell r="L4192" t="str">
            <v>GZQ</v>
          </cell>
          <cell r="N4192">
            <v>248.579007199697</v>
          </cell>
        </row>
        <row r="4193">
          <cell r="E4193" t="str">
            <v>HGC-Lib-2455773</v>
          </cell>
          <cell r="F4193" t="str">
            <v>155 WT-4</v>
          </cell>
          <cell r="G4193">
            <v>10</v>
          </cell>
          <cell r="H4193" t="str">
            <v>cut&amp;tag文库</v>
          </cell>
          <cell r="I4193" t="str">
            <v>GZQ</v>
          </cell>
          <cell r="J4193">
            <v>57.6</v>
          </cell>
          <cell r="K4193">
            <v>407</v>
          </cell>
          <cell r="L4193" t="str">
            <v>GZQ</v>
          </cell>
          <cell r="N4193">
            <v>217.728217728218</v>
          </cell>
        </row>
        <row r="4194">
          <cell r="E4194" t="str">
            <v>HGC-Lib-2455774</v>
          </cell>
          <cell r="F4194" t="str">
            <v>155 KO-1</v>
          </cell>
          <cell r="G4194">
            <v>10</v>
          </cell>
          <cell r="H4194" t="str">
            <v>cut&amp;tag文库</v>
          </cell>
          <cell r="I4194" t="str">
            <v>GZQ</v>
          </cell>
          <cell r="J4194">
            <v>91</v>
          </cell>
          <cell r="K4194">
            <v>427</v>
          </cell>
          <cell r="L4194" t="str">
            <v>GZQ</v>
          </cell>
          <cell r="N4194">
            <v>327.86885245901601</v>
          </cell>
        </row>
        <row r="4195">
          <cell r="E4195" t="str">
            <v>HGC-Lib-2455775</v>
          </cell>
          <cell r="F4195" t="str">
            <v>155 KO-2</v>
          </cell>
          <cell r="G4195">
            <v>10</v>
          </cell>
          <cell r="H4195" t="str">
            <v>cut&amp;tag文库</v>
          </cell>
          <cell r="I4195" t="str">
            <v>DY</v>
          </cell>
          <cell r="J4195">
            <v>99</v>
          </cell>
          <cell r="K4195">
            <v>424</v>
          </cell>
          <cell r="L4195" t="str">
            <v>GZQ</v>
          </cell>
          <cell r="N4195">
            <v>359.21625544267101</v>
          </cell>
        </row>
        <row r="4196">
          <cell r="E4196" t="str">
            <v>HGC-Lib-2455776</v>
          </cell>
          <cell r="F4196" t="str">
            <v>155 KO-3</v>
          </cell>
          <cell r="G4196">
            <v>10</v>
          </cell>
          <cell r="H4196" t="str">
            <v>cut&amp;tag文库</v>
          </cell>
          <cell r="I4196" t="str">
            <v>DY</v>
          </cell>
          <cell r="J4196">
            <v>106</v>
          </cell>
          <cell r="K4196">
            <v>418</v>
          </cell>
          <cell r="L4196" t="str">
            <v>GZQ</v>
          </cell>
          <cell r="N4196">
            <v>390.13617960986397</v>
          </cell>
        </row>
        <row r="4197">
          <cell r="E4197" t="str">
            <v>HGC-Lib-2455777</v>
          </cell>
          <cell r="F4197" t="str">
            <v>155 KO-4</v>
          </cell>
          <cell r="G4197">
            <v>10</v>
          </cell>
          <cell r="H4197" t="str">
            <v>cut&amp;tag文库</v>
          </cell>
          <cell r="I4197" t="str">
            <v>DY</v>
          </cell>
          <cell r="J4197">
            <v>65.8</v>
          </cell>
          <cell r="K4197">
            <v>416</v>
          </cell>
          <cell r="L4197" t="str">
            <v>GZQ</v>
          </cell>
          <cell r="N4197">
            <v>243.34319526627201</v>
          </cell>
        </row>
        <row r="4198">
          <cell r="E4198" t="str">
            <v>HGC-Lib-2455778</v>
          </cell>
          <cell r="F4198" t="str">
            <v>170 WT-1</v>
          </cell>
          <cell r="G4198">
            <v>10</v>
          </cell>
          <cell r="H4198" t="str">
            <v>cut&amp;tag文库</v>
          </cell>
          <cell r="I4198" t="str">
            <v>DY</v>
          </cell>
          <cell r="J4198">
            <v>89</v>
          </cell>
          <cell r="K4198">
            <v>409</v>
          </cell>
          <cell r="L4198" t="str">
            <v>GZQ</v>
          </cell>
          <cell r="N4198">
            <v>334.77524920067702</v>
          </cell>
        </row>
        <row r="4199">
          <cell r="E4199" t="str">
            <v>HGC-Lib-2455779</v>
          </cell>
          <cell r="F4199" t="str">
            <v>170 WT-2</v>
          </cell>
          <cell r="G4199">
            <v>10</v>
          </cell>
          <cell r="H4199" t="str">
            <v>cut&amp;tag文库</v>
          </cell>
          <cell r="I4199" t="str">
            <v>DY</v>
          </cell>
          <cell r="J4199">
            <v>77.400000000000006</v>
          </cell>
          <cell r="K4199">
            <v>409</v>
          </cell>
          <cell r="L4199" t="str">
            <v>GZQ</v>
          </cell>
          <cell r="N4199">
            <v>291.141621214971</v>
          </cell>
        </row>
        <row r="4200">
          <cell r="E4200" t="str">
            <v>HGC-Lib-2455780</v>
          </cell>
          <cell r="F4200" t="str">
            <v>170 WT-3</v>
          </cell>
          <cell r="G4200">
            <v>10</v>
          </cell>
          <cell r="H4200" t="str">
            <v>cut&amp;tag文库</v>
          </cell>
          <cell r="I4200" t="str">
            <v>DY</v>
          </cell>
          <cell r="J4200">
            <v>72.2</v>
          </cell>
          <cell r="K4200">
            <v>405</v>
          </cell>
          <cell r="L4200" t="str">
            <v>GZQ</v>
          </cell>
          <cell r="N4200">
            <v>274.26400759734099</v>
          </cell>
        </row>
        <row r="4201">
          <cell r="E4201" t="str">
            <v>HGC-Lib-2455781</v>
          </cell>
          <cell r="F4201" t="str">
            <v>170 WT-4</v>
          </cell>
          <cell r="G4201">
            <v>10</v>
          </cell>
          <cell r="H4201" t="str">
            <v>cut&amp;tag文库</v>
          </cell>
          <cell r="I4201" t="str">
            <v>DY</v>
          </cell>
          <cell r="J4201">
            <v>73.8</v>
          </cell>
          <cell r="K4201">
            <v>403</v>
          </cell>
          <cell r="L4201" t="str">
            <v>GZQ</v>
          </cell>
          <cell r="N4201">
            <v>281.73315518228702</v>
          </cell>
        </row>
        <row r="4202">
          <cell r="E4202" t="str">
            <v>HGC-Lib-2455782</v>
          </cell>
          <cell r="F4202" t="str">
            <v>170 KO-1</v>
          </cell>
          <cell r="G4202">
            <v>10</v>
          </cell>
          <cell r="H4202" t="str">
            <v>cut&amp;tag文库</v>
          </cell>
          <cell r="I4202" t="str">
            <v>DY</v>
          </cell>
          <cell r="J4202">
            <v>65.2</v>
          </cell>
          <cell r="K4202">
            <v>415</v>
          </cell>
          <cell r="L4202" t="str">
            <v>YHT</v>
          </cell>
          <cell r="N4202">
            <v>241.705282669138</v>
          </cell>
        </row>
        <row r="4203">
          <cell r="E4203" t="str">
            <v>HGC-Lib-2455783</v>
          </cell>
          <cell r="F4203" t="str">
            <v>170 KO-2</v>
          </cell>
          <cell r="G4203">
            <v>10</v>
          </cell>
          <cell r="H4203" t="str">
            <v>cut&amp;tag文库</v>
          </cell>
          <cell r="I4203" t="str">
            <v>DY</v>
          </cell>
          <cell r="J4203">
            <v>78.2</v>
          </cell>
          <cell r="K4203">
            <v>411</v>
          </cell>
          <cell r="L4203" t="str">
            <v>YHT</v>
          </cell>
          <cell r="N4203">
            <v>292.71944600411803</v>
          </cell>
        </row>
        <row r="4204">
          <cell r="E4204" t="str">
            <v>HGC-Lib-2455784</v>
          </cell>
          <cell r="F4204" t="str">
            <v>170 KO-3</v>
          </cell>
          <cell r="G4204">
            <v>10</v>
          </cell>
          <cell r="H4204" t="str">
            <v>cut&amp;tag文库</v>
          </cell>
          <cell r="I4204" t="str">
            <v>DY</v>
          </cell>
          <cell r="J4204">
            <v>92.4</v>
          </cell>
          <cell r="K4204">
            <v>412</v>
          </cell>
          <cell r="L4204" t="str">
            <v>YHT</v>
          </cell>
          <cell r="N4204">
            <v>345.03360716952898</v>
          </cell>
        </row>
        <row r="4205">
          <cell r="E4205" t="str">
            <v>HGC-Lib-2455785</v>
          </cell>
          <cell r="F4205" t="str">
            <v>170 KO-4</v>
          </cell>
          <cell r="G4205">
            <v>10</v>
          </cell>
          <cell r="H4205" t="str">
            <v>cut&amp;tag文库</v>
          </cell>
          <cell r="I4205" t="str">
            <v>DY</v>
          </cell>
          <cell r="J4205">
            <v>88.2</v>
          </cell>
          <cell r="K4205">
            <v>408</v>
          </cell>
          <cell r="L4205" t="str">
            <v>YHT</v>
          </cell>
          <cell r="N4205">
            <v>332.57918552036199</v>
          </cell>
        </row>
        <row r="4206">
          <cell r="E4206" t="str">
            <v>HGC-Lib-2455786</v>
          </cell>
          <cell r="F4206" t="str">
            <v>XRS-N</v>
          </cell>
          <cell r="G4206">
            <v>100</v>
          </cell>
          <cell r="H4206" t="str">
            <v>10× 3'单细胞</v>
          </cell>
          <cell r="I4206" t="str">
            <v>DY</v>
          </cell>
          <cell r="J4206">
            <v>14</v>
          </cell>
          <cell r="K4206">
            <v>497</v>
          </cell>
          <cell r="L4206" t="str">
            <v>YHT</v>
          </cell>
          <cell r="N4206">
            <v>43.336944745395499</v>
          </cell>
        </row>
        <row r="4207">
          <cell r="E4207" t="str">
            <v>HGC-Lib-2455787</v>
          </cell>
          <cell r="F4207" t="str">
            <v>ZBH-N</v>
          </cell>
          <cell r="G4207">
            <v>100</v>
          </cell>
          <cell r="H4207" t="str">
            <v>10× 3'单细胞</v>
          </cell>
          <cell r="I4207" t="str">
            <v>DY</v>
          </cell>
          <cell r="J4207">
            <v>32.799999999999997</v>
          </cell>
          <cell r="K4207">
            <v>484</v>
          </cell>
          <cell r="L4207" t="str">
            <v>YHT</v>
          </cell>
          <cell r="N4207">
            <v>104.25937698665</v>
          </cell>
        </row>
        <row r="4208">
          <cell r="E4208" t="str">
            <v>HGC-Lib-2455788</v>
          </cell>
          <cell r="F4208" t="str">
            <v>TXX-240702</v>
          </cell>
          <cell r="G4208">
            <v>100</v>
          </cell>
          <cell r="H4208" t="str">
            <v>10× 3'单细胞</v>
          </cell>
          <cell r="I4208" t="str">
            <v>DY</v>
          </cell>
          <cell r="J4208">
            <v>39.6</v>
          </cell>
          <cell r="K4208">
            <v>475</v>
          </cell>
          <cell r="L4208" t="str">
            <v>YHT</v>
          </cell>
          <cell r="N4208">
            <v>128.25910931174101</v>
          </cell>
        </row>
        <row r="4209">
          <cell r="E4209" t="str">
            <v>HGC-Lib-2455789</v>
          </cell>
          <cell r="F4209" t="str">
            <v>1-S009</v>
          </cell>
          <cell r="G4209">
            <v>10</v>
          </cell>
          <cell r="H4209" t="str">
            <v>10x空间转录组</v>
          </cell>
          <cell r="I4209" t="str">
            <v>DY</v>
          </cell>
          <cell r="J4209">
            <v>18.600000000000001</v>
          </cell>
          <cell r="K4209">
            <v>532</v>
          </cell>
          <cell r="L4209" t="str">
            <v>YHT</v>
          </cell>
          <cell r="N4209">
            <v>53.788316946211701</v>
          </cell>
        </row>
        <row r="4210">
          <cell r="E4210" t="str">
            <v>HGC-Lib-2455790</v>
          </cell>
          <cell r="F4210" t="str">
            <v>2-S024</v>
          </cell>
          <cell r="G4210">
            <v>10</v>
          </cell>
          <cell r="H4210" t="str">
            <v>10x空间转录组</v>
          </cell>
          <cell r="I4210" t="str">
            <v>DY</v>
          </cell>
          <cell r="J4210">
            <v>15.8</v>
          </cell>
          <cell r="K4210">
            <v>528</v>
          </cell>
          <cell r="L4210" t="str">
            <v>YHT</v>
          </cell>
          <cell r="N4210">
            <v>46.037296037296002</v>
          </cell>
        </row>
        <row r="4211">
          <cell r="E4211" t="str">
            <v>HGC-Lib-2455791</v>
          </cell>
          <cell r="F4211" t="str">
            <v>3-1</v>
          </cell>
          <cell r="G4211">
            <v>10</v>
          </cell>
          <cell r="H4211" t="str">
            <v>10x空间转录组</v>
          </cell>
          <cell r="I4211" t="str">
            <v>DY</v>
          </cell>
          <cell r="J4211">
            <v>13.7</v>
          </cell>
          <cell r="K4211">
            <v>531</v>
          </cell>
          <cell r="L4211" t="str">
            <v>YHT</v>
          </cell>
          <cell r="N4211">
            <v>39.692887150514302</v>
          </cell>
        </row>
        <row r="4212">
          <cell r="E4212" t="str">
            <v>HGC-Lib-2455792</v>
          </cell>
          <cell r="F4212" t="str">
            <v>4-76</v>
          </cell>
          <cell r="G4212">
            <v>10</v>
          </cell>
          <cell r="H4212" t="str">
            <v>10x空间转录组</v>
          </cell>
          <cell r="I4212" t="str">
            <v>DY</v>
          </cell>
          <cell r="J4212">
            <v>16.3</v>
          </cell>
          <cell r="K4212">
            <v>524</v>
          </cell>
          <cell r="L4212" t="str">
            <v>YHT</v>
          </cell>
          <cell r="N4212">
            <v>47.8567234292425</v>
          </cell>
        </row>
        <row r="4213">
          <cell r="E4213" t="str">
            <v>HGC-2455808</v>
          </cell>
          <cell r="F4213" t="str">
            <v>WT1-1</v>
          </cell>
          <cell r="G4213">
            <v>120</v>
          </cell>
          <cell r="H4213" t="str">
            <v>10X-3'</v>
          </cell>
          <cell r="I4213" t="str">
            <v>DY</v>
          </cell>
          <cell r="J4213">
            <v>17</v>
          </cell>
          <cell r="K4213">
            <v>473</v>
          </cell>
          <cell r="L4213" t="str">
            <v>YHT</v>
          </cell>
          <cell r="N4213">
            <v>55.293543665636697</v>
          </cell>
        </row>
        <row r="4214">
          <cell r="E4214" t="str">
            <v>HGC-2455809</v>
          </cell>
          <cell r="F4214" t="str">
            <v>SRSF2-1-1</v>
          </cell>
          <cell r="G4214">
            <v>120</v>
          </cell>
          <cell r="H4214" t="str">
            <v>10X-3'</v>
          </cell>
          <cell r="I4214" t="str">
            <v>DY</v>
          </cell>
          <cell r="J4214">
            <v>18.100000000000001</v>
          </cell>
          <cell r="K4214">
            <v>449</v>
          </cell>
          <cell r="L4214" t="str">
            <v>YHT</v>
          </cell>
          <cell r="N4214">
            <v>62.018160013705703</v>
          </cell>
        </row>
        <row r="4215">
          <cell r="E4215" t="str">
            <v>HGC-2455810</v>
          </cell>
          <cell r="F4215" t="str">
            <v>SRSF2-2-1</v>
          </cell>
          <cell r="G4215">
            <v>120</v>
          </cell>
          <cell r="H4215" t="str">
            <v>10X-3'</v>
          </cell>
          <cell r="I4215" t="str">
            <v>DY</v>
          </cell>
          <cell r="J4215">
            <v>14.9</v>
          </cell>
          <cell r="K4215">
            <v>451</v>
          </cell>
          <cell r="L4215" t="str">
            <v>YHT</v>
          </cell>
          <cell r="N4215">
            <v>50.827221558928898</v>
          </cell>
        </row>
        <row r="4216">
          <cell r="E4216" t="str">
            <v>HGC-2455811</v>
          </cell>
          <cell r="F4216" t="str">
            <v>WT2-1</v>
          </cell>
          <cell r="G4216">
            <v>120</v>
          </cell>
          <cell r="H4216" t="str">
            <v>10X-3'</v>
          </cell>
          <cell r="I4216" t="str">
            <v>DY</v>
          </cell>
          <cell r="J4216">
            <v>20.2</v>
          </cell>
          <cell r="K4216">
            <v>443</v>
          </cell>
          <cell r="L4216" t="str">
            <v>YHT</v>
          </cell>
          <cell r="N4216">
            <v>70.151067893731593</v>
          </cell>
        </row>
        <row r="4217">
          <cell r="E4217" t="str">
            <v>HGC-Lib-2453404</v>
          </cell>
          <cell r="F4217" t="str">
            <v>MLSZ-BS</v>
          </cell>
          <cell r="G4217" t="str">
            <v>4G</v>
          </cell>
          <cell r="H4217" t="str">
            <v>甲基化文库</v>
          </cell>
          <cell r="I4217" t="str">
            <v>DY</v>
          </cell>
          <cell r="J4217">
            <v>10.4</v>
          </cell>
          <cell r="K4217">
            <v>418</v>
          </cell>
          <cell r="L4217" t="str">
            <v>YHT</v>
          </cell>
          <cell r="N4217">
            <v>38.277511961722503</v>
          </cell>
        </row>
        <row r="4218">
          <cell r="E4218" t="str">
            <v>HGC-Lib-2455884</v>
          </cell>
          <cell r="F4218" t="str">
            <v>A0715</v>
          </cell>
          <cell r="G4218">
            <v>30</v>
          </cell>
          <cell r="I4218" t="str">
            <v>GZQ</v>
          </cell>
          <cell r="J4218">
            <v>1.99</v>
          </cell>
          <cell r="K4218">
            <v>403</v>
          </cell>
          <cell r="N4218">
            <v>7.5968696316090902</v>
          </cell>
        </row>
        <row r="4219">
          <cell r="E4219" t="str">
            <v>HGC-POOL-2455833</v>
          </cell>
          <cell r="F4219" t="str">
            <v>PLN234</v>
          </cell>
          <cell r="G4219">
            <v>80</v>
          </cell>
          <cell r="H4219" t="str">
            <v>DAP-Seq文库</v>
          </cell>
          <cell r="I4219" t="str">
            <v>YHT</v>
          </cell>
          <cell r="J4219">
            <v>9.56</v>
          </cell>
          <cell r="K4219">
            <v>357</v>
          </cell>
          <cell r="L4219" t="str">
            <v>YHT</v>
          </cell>
          <cell r="N4219">
            <v>41.1980176686059</v>
          </cell>
        </row>
        <row r="4220">
          <cell r="E4220" t="str">
            <v>HGC-Lib-2455851</v>
          </cell>
          <cell r="F4220" t="str">
            <v>HYZ-0709-L1</v>
          </cell>
          <cell r="G4220">
            <v>24</v>
          </cell>
          <cell r="H4220" t="str">
            <v>PCR产物文库</v>
          </cell>
          <cell r="I4220" t="str">
            <v>YHT</v>
          </cell>
          <cell r="J4220">
            <v>29.2</v>
          </cell>
          <cell r="K4220">
            <v>432</v>
          </cell>
          <cell r="L4220" t="str">
            <v>YHT</v>
          </cell>
          <cell r="N4220">
            <v>103.988603988604</v>
          </cell>
        </row>
        <row r="4221">
          <cell r="E4221" t="str">
            <v>HGC-Lib-2455852</v>
          </cell>
          <cell r="F4221" t="str">
            <v>HYZ-0709-L2</v>
          </cell>
          <cell r="G4221">
            <v>24</v>
          </cell>
          <cell r="H4221" t="str">
            <v>PCR产物文库</v>
          </cell>
          <cell r="I4221" t="str">
            <v>YHT</v>
          </cell>
          <cell r="J4221">
            <v>42.8</v>
          </cell>
          <cell r="K4221">
            <v>457</v>
          </cell>
          <cell r="L4221" t="str">
            <v>YHT</v>
          </cell>
          <cell r="N4221">
            <v>144.08348762834501</v>
          </cell>
        </row>
        <row r="4222">
          <cell r="E4222" t="str">
            <v>HGC-POOL-2455873</v>
          </cell>
          <cell r="F4222" t="str">
            <v>L240619029</v>
          </cell>
          <cell r="G4222">
            <v>75</v>
          </cell>
          <cell r="H4222" t="str">
            <v>10X空转文库</v>
          </cell>
          <cell r="I4222" t="str">
            <v>YHT</v>
          </cell>
          <cell r="J4222">
            <v>10.199999999999999</v>
          </cell>
          <cell r="N4222" t="e">
            <v>#DIV/0!</v>
          </cell>
        </row>
        <row r="4223">
          <cell r="E4223" t="str">
            <v>HGC-POOL-2455874</v>
          </cell>
          <cell r="F4223" t="str">
            <v>L240619030</v>
          </cell>
          <cell r="G4223">
            <v>75</v>
          </cell>
          <cell r="H4223" t="str">
            <v>10X空转文库</v>
          </cell>
          <cell r="I4223" t="str">
            <v>YHT</v>
          </cell>
          <cell r="J4223">
            <v>8.3000000000000007</v>
          </cell>
          <cell r="N4223" t="e">
            <v>#DIV/0!</v>
          </cell>
        </row>
        <row r="4224">
          <cell r="E4224" t="str">
            <v>HGC-Lib-2455875</v>
          </cell>
          <cell r="F4224" t="str">
            <v>Capt-1dpf-1-cLib</v>
          </cell>
          <cell r="G4224">
            <v>50</v>
          </cell>
          <cell r="H4224" t="str">
            <v>10× 3'单细胞</v>
          </cell>
          <cell r="I4224" t="str">
            <v>YHT</v>
          </cell>
          <cell r="J4224">
            <v>26</v>
          </cell>
          <cell r="K4224">
            <v>525</v>
          </cell>
          <cell r="L4224" t="str">
            <v>YHT</v>
          </cell>
          <cell r="N4224">
            <v>76.190476190476204</v>
          </cell>
        </row>
        <row r="4225">
          <cell r="E4225" t="str">
            <v>HGC-Lib-2455876</v>
          </cell>
          <cell r="F4225" t="str">
            <v>Capt-2dpf-1-cLib</v>
          </cell>
          <cell r="G4225">
            <v>50</v>
          </cell>
          <cell r="H4225" t="str">
            <v>10× 3'单细胞</v>
          </cell>
          <cell r="I4225" t="str">
            <v>YHT</v>
          </cell>
          <cell r="J4225">
            <v>27</v>
          </cell>
          <cell r="K4225">
            <v>520</v>
          </cell>
          <cell r="L4225" t="str">
            <v>YHT</v>
          </cell>
          <cell r="N4225">
            <v>79.881656804733694</v>
          </cell>
        </row>
        <row r="4226">
          <cell r="E4226" t="str">
            <v>HGC-Lib-2455877</v>
          </cell>
          <cell r="F4226" t="str">
            <v>Capt-1dpf-2-cLib</v>
          </cell>
          <cell r="G4226">
            <v>50</v>
          </cell>
          <cell r="H4226" t="str">
            <v>10× 3'单细胞</v>
          </cell>
          <cell r="I4226" t="str">
            <v>YHT</v>
          </cell>
          <cell r="J4226">
            <v>29.8</v>
          </cell>
          <cell r="K4226">
            <v>520</v>
          </cell>
          <cell r="L4226" t="str">
            <v>YHT</v>
          </cell>
          <cell r="N4226">
            <v>88.165680473372802</v>
          </cell>
        </row>
        <row r="4227">
          <cell r="E4227" t="str">
            <v>HGC-Lib-2455878</v>
          </cell>
          <cell r="F4227" t="str">
            <v>Capt-2dpf-2-cLib</v>
          </cell>
          <cell r="G4227">
            <v>50</v>
          </cell>
          <cell r="H4227" t="str">
            <v>10× 3'单细胞</v>
          </cell>
          <cell r="I4227" t="str">
            <v>YHT</v>
          </cell>
          <cell r="J4227">
            <v>25.8</v>
          </cell>
          <cell r="K4227">
            <v>517</v>
          </cell>
          <cell r="L4227" t="str">
            <v>YHT</v>
          </cell>
          <cell r="N4227">
            <v>76.774289540246997</v>
          </cell>
        </row>
        <row r="4228">
          <cell r="E4228" t="str">
            <v>HGC-Lib-2455879</v>
          </cell>
          <cell r="F4228" t="str">
            <v>Capt-1dpf-1-gLib</v>
          </cell>
          <cell r="G4228">
            <v>10</v>
          </cell>
          <cell r="H4228" t="str">
            <v>10× 3'单细胞</v>
          </cell>
          <cell r="I4228" t="str">
            <v>YHT</v>
          </cell>
          <cell r="J4228">
            <v>5.86</v>
          </cell>
          <cell r="K4228">
            <v>391</v>
          </cell>
          <cell r="L4228" t="str">
            <v>YHT</v>
          </cell>
          <cell r="N4228">
            <v>23.057249655715101</v>
          </cell>
        </row>
        <row r="4229">
          <cell r="E4229" t="str">
            <v>HGC-Lib-2455880</v>
          </cell>
          <cell r="F4229" t="str">
            <v>Capt-2dpf-1-gLib</v>
          </cell>
          <cell r="G4229">
            <v>10</v>
          </cell>
          <cell r="H4229" t="str">
            <v>10× 3'单细胞</v>
          </cell>
          <cell r="I4229" t="str">
            <v>YHT</v>
          </cell>
          <cell r="J4229">
            <v>3.56</v>
          </cell>
          <cell r="K4229">
            <v>406</v>
          </cell>
          <cell r="L4229" t="str">
            <v>YHT</v>
          </cell>
          <cell r="N4229">
            <v>13.489958317544501</v>
          </cell>
        </row>
        <row r="4230">
          <cell r="E4230" t="str">
            <v>HGC-Lib-2455881</v>
          </cell>
          <cell r="F4230" t="str">
            <v>Capt-1dpf-2-gLib</v>
          </cell>
          <cell r="G4230">
            <v>10</v>
          </cell>
          <cell r="H4230" t="str">
            <v>10× 3'单细胞</v>
          </cell>
          <cell r="I4230" t="str">
            <v>YHT</v>
          </cell>
          <cell r="J4230">
            <v>22.2</v>
          </cell>
          <cell r="K4230">
            <v>446</v>
          </cell>
          <cell r="L4230" t="str">
            <v>YHT</v>
          </cell>
          <cell r="N4230">
            <v>76.578130389789607</v>
          </cell>
        </row>
        <row r="4231">
          <cell r="E4231" t="str">
            <v>HGC-Lib-2455882</v>
          </cell>
          <cell r="F4231" t="str">
            <v>Capt-2dpf-2-gLib</v>
          </cell>
          <cell r="G4231">
            <v>10</v>
          </cell>
          <cell r="H4231" t="str">
            <v>10× 3'单细胞</v>
          </cell>
          <cell r="I4231" t="str">
            <v>YHT</v>
          </cell>
          <cell r="J4231">
            <v>17</v>
          </cell>
          <cell r="K4231">
            <v>410</v>
          </cell>
          <cell r="L4231" t="str">
            <v>YHT</v>
          </cell>
          <cell r="N4231">
            <v>63.789868667917403</v>
          </cell>
        </row>
        <row r="4232">
          <cell r="E4232" t="str">
            <v>HGC-Lib-2455883</v>
          </cell>
          <cell r="F4232" t="str">
            <v>GDM20240711-1</v>
          </cell>
          <cell r="G4232">
            <v>24</v>
          </cell>
          <cell r="H4232" t="str">
            <v>全基因组文库</v>
          </cell>
          <cell r="I4232" t="str">
            <v>YHT</v>
          </cell>
          <cell r="J4232">
            <v>0.23200000000000001</v>
          </cell>
          <cell r="K4232">
            <v>212</v>
          </cell>
          <cell r="L4232" t="str">
            <v>YHT</v>
          </cell>
          <cell r="N4232">
            <v>1.68359941944848</v>
          </cell>
        </row>
        <row r="4233">
          <cell r="E4233" t="str">
            <v>HGC-POOL-2455885</v>
          </cell>
          <cell r="F4233" t="str">
            <v>CY</v>
          </cell>
          <cell r="G4233">
            <v>30</v>
          </cell>
          <cell r="H4233" t="str">
            <v>mRNA文库</v>
          </cell>
          <cell r="I4233" t="str">
            <v>YHT</v>
          </cell>
          <cell r="J4233">
            <v>1.55</v>
          </cell>
          <cell r="K4233">
            <v>301</v>
          </cell>
          <cell r="L4233" t="str">
            <v>YHT</v>
          </cell>
          <cell r="N4233">
            <v>7.9223102478916401</v>
          </cell>
        </row>
        <row r="4234">
          <cell r="E4234" t="str">
            <v>HGC-POOL-2455886</v>
          </cell>
          <cell r="F4234" t="str">
            <v>YX-0715-KY</v>
          </cell>
          <cell r="G4234">
            <v>12</v>
          </cell>
          <cell r="H4234" t="str">
            <v>宏基因组文库</v>
          </cell>
          <cell r="I4234" t="str">
            <v>YHT</v>
          </cell>
          <cell r="J4234">
            <v>82.4</v>
          </cell>
          <cell r="K4234">
            <v>399</v>
          </cell>
          <cell r="L4234" t="str">
            <v>YHT</v>
          </cell>
          <cell r="N4234">
            <v>317.71737034894898</v>
          </cell>
        </row>
        <row r="4235">
          <cell r="E4235" t="str">
            <v>HGC-Lib-2455887</v>
          </cell>
          <cell r="F4235" t="str">
            <v>YX-0715-KY1</v>
          </cell>
          <cell r="G4235">
            <v>10</v>
          </cell>
          <cell r="H4235" t="str">
            <v>宏基因组文库</v>
          </cell>
          <cell r="I4235" t="str">
            <v>YHT</v>
          </cell>
          <cell r="J4235">
            <v>118</v>
          </cell>
          <cell r="K4235">
            <v>529</v>
          </cell>
          <cell r="L4235" t="str">
            <v>YHT</v>
          </cell>
          <cell r="N4235">
            <v>343.17289515777202</v>
          </cell>
        </row>
        <row r="4236">
          <cell r="E4236" t="str">
            <v>HGC-Lib-2455914</v>
          </cell>
          <cell r="F4236" t="str">
            <v>L240620055X3</v>
          </cell>
          <cell r="G4236">
            <v>100</v>
          </cell>
          <cell r="H4236" t="str">
            <v>10X 3'转录组文库</v>
          </cell>
          <cell r="I4236" t="str">
            <v>YHT</v>
          </cell>
          <cell r="J4236">
            <v>49.6</v>
          </cell>
          <cell r="K4236">
            <v>501</v>
          </cell>
          <cell r="L4236" t="str">
            <v>YHT</v>
          </cell>
          <cell r="N4236">
            <v>152.31076308920601</v>
          </cell>
        </row>
        <row r="4237">
          <cell r="E4237" t="str">
            <v>HGC-Lib-2455915</v>
          </cell>
          <cell r="F4237" t="str">
            <v>L240620053X3</v>
          </cell>
          <cell r="G4237" t="str">
            <v>100G</v>
          </cell>
          <cell r="H4237" t="str">
            <v>10X 3'转录组文库</v>
          </cell>
          <cell r="I4237" t="str">
            <v>YHT</v>
          </cell>
          <cell r="J4237">
            <v>76.8</v>
          </cell>
          <cell r="K4237">
            <v>500</v>
          </cell>
          <cell r="L4237" t="str">
            <v>YHT</v>
          </cell>
          <cell r="N4237">
            <v>236.30769230769201</v>
          </cell>
        </row>
        <row r="4238">
          <cell r="E4238" t="str">
            <v>HGC-Lib-2455916</v>
          </cell>
          <cell r="F4238" t="str">
            <v>CK1</v>
          </cell>
          <cell r="G4238">
            <v>120</v>
          </cell>
          <cell r="H4238" t="str">
            <v>10x 5'单细胞</v>
          </cell>
          <cell r="I4238" t="str">
            <v>YHT</v>
          </cell>
          <cell r="J4238">
            <v>67</v>
          </cell>
          <cell r="K4238">
            <v>482</v>
          </cell>
          <cell r="L4238" t="str">
            <v>YHT</v>
          </cell>
          <cell r="N4238">
            <v>213.85253750398999</v>
          </cell>
        </row>
        <row r="4239">
          <cell r="E4239" t="str">
            <v>HGC-Lib-2455917</v>
          </cell>
          <cell r="F4239" t="str">
            <v>CK2</v>
          </cell>
          <cell r="G4239">
            <v>120</v>
          </cell>
          <cell r="H4239" t="str">
            <v>10x 5'单细胞</v>
          </cell>
          <cell r="I4239" t="str">
            <v>YHT</v>
          </cell>
          <cell r="J4239">
            <v>60.6</v>
          </cell>
          <cell r="K4239">
            <v>505</v>
          </cell>
          <cell r="L4239" t="str">
            <v>YHT</v>
          </cell>
          <cell r="N4239">
            <v>184.61538461538501</v>
          </cell>
        </row>
        <row r="4240">
          <cell r="E4240" t="str">
            <v>HGC-Lib-2455918</v>
          </cell>
          <cell r="F4240" t="str">
            <v>CK3</v>
          </cell>
          <cell r="G4240">
            <v>120</v>
          </cell>
          <cell r="H4240" t="str">
            <v>10x 5'单细胞</v>
          </cell>
          <cell r="I4240" t="str">
            <v>YHT</v>
          </cell>
          <cell r="J4240">
            <v>68.599999999999994</v>
          </cell>
          <cell r="K4240">
            <v>508</v>
          </cell>
          <cell r="L4240" t="str">
            <v>YHT</v>
          </cell>
          <cell r="N4240">
            <v>207.75287704421601</v>
          </cell>
        </row>
        <row r="4241">
          <cell r="E4241" t="str">
            <v>HGC-Lib-2455919</v>
          </cell>
          <cell r="F4241" t="str">
            <v>CK4</v>
          </cell>
          <cell r="G4241">
            <v>120</v>
          </cell>
          <cell r="H4241" t="str">
            <v>10x 5'单细胞</v>
          </cell>
          <cell r="I4241" t="str">
            <v>YHT</v>
          </cell>
          <cell r="J4241">
            <v>79</v>
          </cell>
          <cell r="K4241">
            <v>509</v>
          </cell>
          <cell r="L4241" t="str">
            <v>YHT</v>
          </cell>
          <cell r="N4241">
            <v>238.77890282605401</v>
          </cell>
        </row>
        <row r="4242">
          <cell r="E4242" t="str">
            <v>HGC-Lib-2455920</v>
          </cell>
          <cell r="F4242" t="str">
            <v>CK5</v>
          </cell>
          <cell r="G4242">
            <v>120</v>
          </cell>
          <cell r="H4242" t="str">
            <v>10x 5'单细胞</v>
          </cell>
          <cell r="I4242" t="str">
            <v>YHT</v>
          </cell>
          <cell r="J4242">
            <v>71</v>
          </cell>
          <cell r="K4242">
            <v>513</v>
          </cell>
          <cell r="L4242" t="str">
            <v>YHT</v>
          </cell>
          <cell r="N4242">
            <v>212.925476083371</v>
          </cell>
        </row>
        <row r="4243">
          <cell r="E4243" t="str">
            <v>HGC-Lib-2455921</v>
          </cell>
          <cell r="F4243" t="str">
            <v>CK6</v>
          </cell>
          <cell r="G4243">
            <v>120</v>
          </cell>
          <cell r="H4243" t="str">
            <v>10x 5'单细胞</v>
          </cell>
          <cell r="I4243" t="str">
            <v>YHT</v>
          </cell>
          <cell r="J4243">
            <v>82</v>
          </cell>
          <cell r="K4243">
            <v>506</v>
          </cell>
          <cell r="L4243" t="str">
            <v>YHT</v>
          </cell>
          <cell r="N4243">
            <v>249.31590148981499</v>
          </cell>
        </row>
        <row r="4244">
          <cell r="E4244" t="str">
            <v>HGC-Lib-2455922</v>
          </cell>
          <cell r="F4244" t="str">
            <v>CK7</v>
          </cell>
          <cell r="G4244">
            <v>120</v>
          </cell>
          <cell r="H4244" t="str">
            <v>10x 5'单细胞</v>
          </cell>
          <cell r="I4244" t="str">
            <v>YHT</v>
          </cell>
          <cell r="J4244">
            <v>70.599999999999994</v>
          </cell>
          <cell r="K4244">
            <v>493</v>
          </cell>
          <cell r="L4244" t="str">
            <v>YHT</v>
          </cell>
          <cell r="N4244">
            <v>220.31518177562799</v>
          </cell>
        </row>
        <row r="4245">
          <cell r="E4245" t="str">
            <v>HGC-Lib-2455923</v>
          </cell>
          <cell r="F4245" t="str">
            <v>CK8</v>
          </cell>
          <cell r="G4245">
            <v>120</v>
          </cell>
          <cell r="H4245" t="str">
            <v>10x 5'单细胞</v>
          </cell>
          <cell r="I4245" t="str">
            <v>YHT</v>
          </cell>
          <cell r="J4245">
            <v>85.6</v>
          </cell>
          <cell r="K4245">
            <v>497</v>
          </cell>
          <cell r="L4245" t="str">
            <v>YHT</v>
          </cell>
          <cell r="N4245">
            <v>264.97446215756099</v>
          </cell>
        </row>
        <row r="4246">
          <cell r="E4246" t="str">
            <v>HGC-Lib-2455924</v>
          </cell>
          <cell r="F4246" t="str">
            <v>CK23</v>
          </cell>
          <cell r="G4246">
            <v>40</v>
          </cell>
          <cell r="H4246" t="str">
            <v>10x 5'单细胞</v>
          </cell>
          <cell r="I4246" t="str">
            <v>YHT</v>
          </cell>
          <cell r="J4246">
            <v>68</v>
          </cell>
          <cell r="K4246">
            <v>502</v>
          </cell>
          <cell r="L4246" t="str">
            <v>YHT</v>
          </cell>
          <cell r="N4246">
            <v>208.39718050873401</v>
          </cell>
        </row>
        <row r="4247">
          <cell r="E4247" t="str">
            <v>HGC-Lib-2455925</v>
          </cell>
          <cell r="F4247" t="str">
            <v>CK54</v>
          </cell>
          <cell r="G4247">
            <v>100</v>
          </cell>
          <cell r="H4247" t="str">
            <v>10x 5'单细胞</v>
          </cell>
          <cell r="I4247" t="str">
            <v>YHT</v>
          </cell>
          <cell r="J4247">
            <v>50</v>
          </cell>
          <cell r="K4247">
            <v>454</v>
          </cell>
          <cell r="L4247" t="str">
            <v>YHT</v>
          </cell>
          <cell r="N4247">
            <v>169.434090138936</v>
          </cell>
        </row>
        <row r="4248">
          <cell r="E4248" t="str">
            <v>HGC-Lib-2455926</v>
          </cell>
          <cell r="F4248" t="str">
            <v>TK1</v>
          </cell>
          <cell r="G4248">
            <v>10</v>
          </cell>
          <cell r="H4248" t="str">
            <v>免疫组库</v>
          </cell>
          <cell r="I4248" t="str">
            <v>YHT</v>
          </cell>
          <cell r="J4248">
            <v>21.2</v>
          </cell>
          <cell r="K4248">
            <v>521</v>
          </cell>
          <cell r="L4248" t="str">
            <v>YHT</v>
          </cell>
          <cell r="N4248">
            <v>62.601505979625003</v>
          </cell>
        </row>
        <row r="4249">
          <cell r="E4249" t="str">
            <v>HGC-Lib-2455927</v>
          </cell>
          <cell r="F4249" t="str">
            <v>TK2</v>
          </cell>
          <cell r="G4249">
            <v>10</v>
          </cell>
          <cell r="H4249" t="str">
            <v>免疫组库</v>
          </cell>
          <cell r="I4249" t="str">
            <v>YHT</v>
          </cell>
          <cell r="J4249">
            <v>23.8</v>
          </cell>
          <cell r="K4249">
            <v>554</v>
          </cell>
          <cell r="L4249" t="str">
            <v>YHT</v>
          </cell>
          <cell r="N4249">
            <v>66.092752013329601</v>
          </cell>
        </row>
        <row r="4250">
          <cell r="E4250" t="str">
            <v>HGC-Lib-2455928</v>
          </cell>
          <cell r="F4250" t="str">
            <v>TK3</v>
          </cell>
          <cell r="G4250">
            <v>10</v>
          </cell>
          <cell r="H4250" t="str">
            <v>免疫组库</v>
          </cell>
          <cell r="I4250" t="str">
            <v>YHT</v>
          </cell>
          <cell r="J4250">
            <v>22.2</v>
          </cell>
          <cell r="K4250">
            <v>520</v>
          </cell>
          <cell r="L4250" t="str">
            <v>YHT</v>
          </cell>
          <cell r="N4250">
            <v>65.680473372781094</v>
          </cell>
        </row>
        <row r="4251">
          <cell r="E4251" t="str">
            <v>HGC-Lib-2455929</v>
          </cell>
          <cell r="F4251" t="str">
            <v>TK4</v>
          </cell>
          <cell r="G4251">
            <v>10</v>
          </cell>
          <cell r="H4251" t="str">
            <v>免疫组库</v>
          </cell>
          <cell r="I4251" t="str">
            <v>YHT</v>
          </cell>
          <cell r="J4251">
            <v>20.6</v>
          </cell>
          <cell r="K4251">
            <v>539</v>
          </cell>
          <cell r="L4251" t="str">
            <v>YHT</v>
          </cell>
          <cell r="N4251">
            <v>58.798344512630202</v>
          </cell>
        </row>
        <row r="4252">
          <cell r="E4252" t="str">
            <v>HGC-Lib-2455930</v>
          </cell>
          <cell r="F4252" t="str">
            <v>TK5</v>
          </cell>
          <cell r="G4252">
            <v>10</v>
          </cell>
          <cell r="H4252" t="str">
            <v>免疫组库</v>
          </cell>
          <cell r="I4252" t="str">
            <v>YHT</v>
          </cell>
          <cell r="J4252">
            <v>27.8</v>
          </cell>
          <cell r="K4252">
            <v>503</v>
          </cell>
          <cell r="L4252" t="str">
            <v>YHT</v>
          </cell>
          <cell r="N4252">
            <v>85.0282917877351</v>
          </cell>
        </row>
        <row r="4253">
          <cell r="E4253" t="str">
            <v>HGC-Lib-2455931</v>
          </cell>
          <cell r="F4253" t="str">
            <v>TK6</v>
          </cell>
          <cell r="G4253">
            <v>10</v>
          </cell>
          <cell r="H4253" t="str">
            <v>免疫组库</v>
          </cell>
          <cell r="I4253" t="str">
            <v>YHT</v>
          </cell>
          <cell r="J4253">
            <v>26.2</v>
          </cell>
          <cell r="K4253">
            <v>500</v>
          </cell>
          <cell r="L4253" t="str">
            <v>YHT</v>
          </cell>
          <cell r="N4253">
            <v>80.615384615384599</v>
          </cell>
        </row>
        <row r="4254">
          <cell r="E4254" t="str">
            <v>HGC-Lib-2455932</v>
          </cell>
          <cell r="F4254" t="str">
            <v>TK7</v>
          </cell>
          <cell r="G4254">
            <v>10</v>
          </cell>
          <cell r="H4254" t="str">
            <v>免疫组库</v>
          </cell>
          <cell r="I4254" t="str">
            <v>YHT</v>
          </cell>
          <cell r="J4254">
            <v>20.6</v>
          </cell>
          <cell r="K4254">
            <v>530</v>
          </cell>
          <cell r="L4254" t="str">
            <v>YHT</v>
          </cell>
          <cell r="N4254">
            <v>59.796806966618298</v>
          </cell>
        </row>
        <row r="4255">
          <cell r="E4255" t="str">
            <v>HGC-Lib-2455933</v>
          </cell>
          <cell r="F4255" t="str">
            <v>TK8</v>
          </cell>
          <cell r="G4255">
            <v>10</v>
          </cell>
          <cell r="H4255" t="str">
            <v>免疫组库</v>
          </cell>
          <cell r="I4255" t="str">
            <v>YHT</v>
          </cell>
          <cell r="J4255">
            <v>13.4</v>
          </cell>
          <cell r="K4255">
            <v>551</v>
          </cell>
          <cell r="L4255" t="str">
            <v>YHT</v>
          </cell>
          <cell r="N4255">
            <v>37.414491134999302</v>
          </cell>
        </row>
        <row r="4256">
          <cell r="E4256" t="str">
            <v>HGC-Lib-2455934</v>
          </cell>
          <cell r="F4256" t="str">
            <v>TK54</v>
          </cell>
          <cell r="G4256">
            <v>10</v>
          </cell>
          <cell r="H4256" t="str">
            <v>免疫组库</v>
          </cell>
          <cell r="I4256" t="str">
            <v>YHT</v>
          </cell>
          <cell r="J4256">
            <v>26.2</v>
          </cell>
          <cell r="K4256">
            <v>536</v>
          </cell>
          <cell r="L4256" t="str">
            <v>YHT</v>
          </cell>
          <cell r="N4256">
            <v>75.200918484500605</v>
          </cell>
        </row>
        <row r="4257">
          <cell r="E4257" t="str">
            <v>HGC-Lib-2455935</v>
          </cell>
          <cell r="F4257" t="str">
            <v>BK1</v>
          </cell>
          <cell r="G4257">
            <v>10</v>
          </cell>
          <cell r="H4257" t="str">
            <v>免疫组库</v>
          </cell>
          <cell r="I4257" t="str">
            <v>YHT</v>
          </cell>
          <cell r="J4257">
            <v>12.1</v>
          </cell>
          <cell r="K4257">
            <v>504</v>
          </cell>
          <cell r="L4257" t="str">
            <v>YHT</v>
          </cell>
          <cell r="N4257">
            <v>36.935286935286904</v>
          </cell>
        </row>
        <row r="4258">
          <cell r="E4258" t="str">
            <v>HGC-Lib-2455936</v>
          </cell>
          <cell r="F4258" t="str">
            <v>BK2</v>
          </cell>
          <cell r="G4258">
            <v>10</v>
          </cell>
          <cell r="H4258" t="str">
            <v>免疫组库</v>
          </cell>
          <cell r="I4258" t="str">
            <v>YHT</v>
          </cell>
          <cell r="J4258">
            <v>15.5</v>
          </cell>
          <cell r="K4258">
            <v>515</v>
          </cell>
          <cell r="L4258" t="str">
            <v>YHT</v>
          </cell>
          <cell r="N4258">
            <v>46.303211351755003</v>
          </cell>
        </row>
        <row r="4259">
          <cell r="E4259" t="str">
            <v>HGC-Lib-2455937</v>
          </cell>
          <cell r="F4259" t="str">
            <v>BK3</v>
          </cell>
          <cell r="G4259">
            <v>10</v>
          </cell>
          <cell r="H4259" t="str">
            <v>免疫组库</v>
          </cell>
          <cell r="I4259" t="str">
            <v>YHT</v>
          </cell>
          <cell r="J4259">
            <v>15.2</v>
          </cell>
          <cell r="K4259">
            <v>516</v>
          </cell>
          <cell r="L4259" t="str">
            <v>YHT</v>
          </cell>
          <cell r="N4259">
            <v>45.319022063208102</v>
          </cell>
        </row>
        <row r="4260">
          <cell r="E4260" t="str">
            <v>HGC-Lib-2455938</v>
          </cell>
          <cell r="F4260" t="str">
            <v>BK4</v>
          </cell>
          <cell r="G4260">
            <v>10</v>
          </cell>
          <cell r="H4260" t="str">
            <v>免疫组库</v>
          </cell>
          <cell r="I4260" t="str">
            <v>YHT</v>
          </cell>
          <cell r="J4260">
            <v>16.8</v>
          </cell>
          <cell r="K4260">
            <v>521</v>
          </cell>
          <cell r="L4260" t="str">
            <v>YHT</v>
          </cell>
          <cell r="N4260">
            <v>49.608740587627302</v>
          </cell>
        </row>
        <row r="4261">
          <cell r="E4261" t="str">
            <v>HGC-Lib-2455939</v>
          </cell>
          <cell r="F4261" t="str">
            <v>BK5</v>
          </cell>
          <cell r="G4261">
            <v>10</v>
          </cell>
          <cell r="H4261" t="str">
            <v>免疫组库</v>
          </cell>
          <cell r="I4261" t="str">
            <v>YHT</v>
          </cell>
          <cell r="J4261">
            <v>15.9</v>
          </cell>
          <cell r="K4261">
            <v>497</v>
          </cell>
          <cell r="L4261" t="str">
            <v>YHT</v>
          </cell>
          <cell r="N4261">
            <v>49.218387246556297</v>
          </cell>
        </row>
        <row r="4262">
          <cell r="E4262" t="str">
            <v>HGC-Lib-2455940</v>
          </cell>
          <cell r="F4262" t="str">
            <v>BK6</v>
          </cell>
          <cell r="G4262">
            <v>10</v>
          </cell>
          <cell r="H4262" t="str">
            <v>免疫组库</v>
          </cell>
          <cell r="I4262" t="str">
            <v>YHT</v>
          </cell>
          <cell r="J4262">
            <v>29.2</v>
          </cell>
          <cell r="K4262">
            <v>518</v>
          </cell>
          <cell r="L4262" t="str">
            <v>YHT</v>
          </cell>
          <cell r="N4262">
            <v>86.724086724086703</v>
          </cell>
        </row>
        <row r="4263">
          <cell r="E4263" t="str">
            <v>HGC-Lib-2455941</v>
          </cell>
          <cell r="F4263" t="str">
            <v>BK7</v>
          </cell>
          <cell r="G4263">
            <v>10</v>
          </cell>
          <cell r="H4263" t="str">
            <v>免疫组库</v>
          </cell>
          <cell r="I4263" t="str">
            <v>YHT</v>
          </cell>
          <cell r="J4263">
            <v>13.4</v>
          </cell>
          <cell r="K4263">
            <v>535</v>
          </cell>
          <cell r="L4263" t="str">
            <v>YHT</v>
          </cell>
          <cell r="N4263">
            <v>38.533429187634802</v>
          </cell>
        </row>
        <row r="4264">
          <cell r="E4264" t="str">
            <v>HGC-Lib-2455942</v>
          </cell>
          <cell r="F4264" t="str">
            <v>BK8</v>
          </cell>
          <cell r="G4264">
            <v>10</v>
          </cell>
          <cell r="H4264" t="str">
            <v>免疫组库</v>
          </cell>
          <cell r="I4264" t="str">
            <v>YHT</v>
          </cell>
          <cell r="J4264">
            <v>21.6</v>
          </cell>
          <cell r="K4264">
            <v>520</v>
          </cell>
          <cell r="L4264" t="str">
            <v>YHT</v>
          </cell>
          <cell r="N4264">
            <v>63.905325443787</v>
          </cell>
        </row>
        <row r="4265">
          <cell r="E4265" t="str">
            <v>HGC-Lib-2455943</v>
          </cell>
          <cell r="F4265" t="str">
            <v>NGS0324035-01</v>
          </cell>
          <cell r="G4265">
            <v>6</v>
          </cell>
          <cell r="H4265" t="str">
            <v>mRNA文库</v>
          </cell>
          <cell r="I4265" t="str">
            <v>ZZ</v>
          </cell>
          <cell r="J4265">
            <v>30.8</v>
          </cell>
          <cell r="N4265" t="e">
            <v>#DIV/0!</v>
          </cell>
        </row>
        <row r="4266">
          <cell r="E4266" t="str">
            <v>HGC-Lib-2455944</v>
          </cell>
          <cell r="F4266" t="str">
            <v>NGS0324035-02</v>
          </cell>
          <cell r="G4266">
            <v>6</v>
          </cell>
          <cell r="H4266" t="str">
            <v>mRNA文库</v>
          </cell>
          <cell r="I4266" t="str">
            <v>ZZ</v>
          </cell>
          <cell r="J4266">
            <v>22.2</v>
          </cell>
          <cell r="N4266" t="e">
            <v>#DIV/0!</v>
          </cell>
        </row>
        <row r="4267">
          <cell r="E4267" t="str">
            <v>HGC-Lib-2455945</v>
          </cell>
          <cell r="F4267" t="str">
            <v>NGS0324035-03</v>
          </cell>
          <cell r="G4267">
            <v>6</v>
          </cell>
          <cell r="H4267" t="str">
            <v>mRNA文库</v>
          </cell>
          <cell r="I4267" t="str">
            <v>ZZ</v>
          </cell>
          <cell r="J4267">
            <v>44.4</v>
          </cell>
          <cell r="N4267" t="e">
            <v>#DIV/0!</v>
          </cell>
        </row>
        <row r="4268">
          <cell r="E4268" t="str">
            <v>HGC-Lib-2455946</v>
          </cell>
          <cell r="F4268" t="str">
            <v>NGS0324035-04</v>
          </cell>
          <cell r="G4268">
            <v>6</v>
          </cell>
          <cell r="H4268" t="str">
            <v>mRNA文库</v>
          </cell>
          <cell r="I4268" t="str">
            <v>ZZ</v>
          </cell>
          <cell r="J4268">
            <v>11.7</v>
          </cell>
          <cell r="N4268" t="e">
            <v>#DIV/0!</v>
          </cell>
        </row>
        <row r="4269">
          <cell r="E4269" t="str">
            <v>HGC-Lib-2455947</v>
          </cell>
          <cell r="F4269" t="str">
            <v>NGS0324035-05</v>
          </cell>
          <cell r="G4269">
            <v>6</v>
          </cell>
          <cell r="H4269" t="str">
            <v>mRNA文库</v>
          </cell>
          <cell r="I4269" t="str">
            <v>ZZ</v>
          </cell>
          <cell r="J4269">
            <v>25</v>
          </cell>
          <cell r="N4269" t="e">
            <v>#DIV/0!</v>
          </cell>
        </row>
        <row r="4270">
          <cell r="E4270" t="str">
            <v>HGC-Lib-2455948</v>
          </cell>
          <cell r="F4270" t="str">
            <v>NGS0324035-06</v>
          </cell>
          <cell r="G4270">
            <v>6</v>
          </cell>
          <cell r="H4270" t="str">
            <v>mRNA文库</v>
          </cell>
          <cell r="I4270" t="str">
            <v>ZZ</v>
          </cell>
          <cell r="J4270">
            <v>9.26</v>
          </cell>
          <cell r="N4270" t="e">
            <v>#DIV/0!</v>
          </cell>
        </row>
        <row r="4271">
          <cell r="E4271" t="str">
            <v>HGC-Lib-2455949</v>
          </cell>
          <cell r="F4271" t="str">
            <v>NGS0324035-07</v>
          </cell>
          <cell r="G4271">
            <v>6</v>
          </cell>
          <cell r="H4271" t="str">
            <v>mRNA文库</v>
          </cell>
          <cell r="I4271" t="str">
            <v>ZZ</v>
          </cell>
          <cell r="J4271">
            <v>22</v>
          </cell>
          <cell r="N4271" t="e">
            <v>#DIV/0!</v>
          </cell>
        </row>
        <row r="4272">
          <cell r="E4272" t="str">
            <v>HGC-Lib-2455950</v>
          </cell>
          <cell r="F4272" t="str">
            <v>NGS0324035-08</v>
          </cell>
          <cell r="G4272">
            <v>6</v>
          </cell>
          <cell r="H4272" t="str">
            <v>mRNA文库</v>
          </cell>
          <cell r="I4272" t="str">
            <v>ZZ</v>
          </cell>
          <cell r="J4272">
            <v>4.88</v>
          </cell>
          <cell r="N4272" t="e">
            <v>#DIV/0!</v>
          </cell>
        </row>
        <row r="4273">
          <cell r="E4273" t="str">
            <v>HGC-Lib-2455951</v>
          </cell>
          <cell r="F4273" t="str">
            <v>NGS0324035-09</v>
          </cell>
          <cell r="G4273">
            <v>6</v>
          </cell>
          <cell r="H4273" t="str">
            <v>mRNA文库</v>
          </cell>
          <cell r="I4273" t="str">
            <v>ZZ</v>
          </cell>
          <cell r="J4273">
            <v>7.14</v>
          </cell>
          <cell r="N4273" t="e">
            <v>#DIV/0!</v>
          </cell>
        </row>
        <row r="4274">
          <cell r="E4274" t="str">
            <v>HGC-Lib-2455952</v>
          </cell>
          <cell r="F4274" t="str">
            <v>NGS0324035-10</v>
          </cell>
          <cell r="G4274">
            <v>6</v>
          </cell>
          <cell r="H4274" t="str">
            <v>mRNA文库</v>
          </cell>
          <cell r="I4274" t="str">
            <v>ZZ</v>
          </cell>
          <cell r="J4274">
            <v>30</v>
          </cell>
          <cell r="N4274" t="e">
            <v>#DIV/0!</v>
          </cell>
        </row>
        <row r="4275">
          <cell r="E4275" t="str">
            <v>HGC-Lib-2455953</v>
          </cell>
          <cell r="F4275" t="str">
            <v>NGS0324035-11</v>
          </cell>
          <cell r="G4275">
            <v>6</v>
          </cell>
          <cell r="H4275" t="str">
            <v>mRNA文库</v>
          </cell>
          <cell r="I4275" t="str">
            <v>ZZ</v>
          </cell>
          <cell r="J4275">
            <v>17.8</v>
          </cell>
          <cell r="N4275" t="e">
            <v>#DIV/0!</v>
          </cell>
        </row>
        <row r="4276">
          <cell r="E4276" t="str">
            <v>HGC-Lib-2455954</v>
          </cell>
          <cell r="F4276" t="str">
            <v>NGS0324035-12</v>
          </cell>
          <cell r="G4276">
            <v>6</v>
          </cell>
          <cell r="H4276" t="str">
            <v>mRNA文库</v>
          </cell>
          <cell r="I4276" t="str">
            <v>ZZ</v>
          </cell>
          <cell r="J4276">
            <v>7.1</v>
          </cell>
          <cell r="N4276" t="e">
            <v>#DIV/0!</v>
          </cell>
        </row>
        <row r="4277">
          <cell r="E4277" t="str">
            <v>HGC-Lib-2455955</v>
          </cell>
          <cell r="F4277" t="str">
            <v>NGS0324035-13</v>
          </cell>
          <cell r="G4277">
            <v>6</v>
          </cell>
          <cell r="H4277" t="str">
            <v>mRNA文库</v>
          </cell>
          <cell r="I4277" t="str">
            <v>ZZ</v>
          </cell>
          <cell r="J4277">
            <v>19.600000000000001</v>
          </cell>
          <cell r="N4277" t="e">
            <v>#DIV/0!</v>
          </cell>
        </row>
        <row r="4278">
          <cell r="E4278" t="str">
            <v>HGC-Lib-2455956</v>
          </cell>
          <cell r="F4278" t="str">
            <v>NGS0324035-14</v>
          </cell>
          <cell r="G4278">
            <v>6</v>
          </cell>
          <cell r="H4278" t="str">
            <v>mRNA文库</v>
          </cell>
          <cell r="I4278" t="str">
            <v>ZZ</v>
          </cell>
          <cell r="J4278">
            <v>5.14</v>
          </cell>
          <cell r="N4278" t="e">
            <v>#DIV/0!</v>
          </cell>
        </row>
        <row r="4279">
          <cell r="E4279" t="str">
            <v>HGC-Lib-2455957</v>
          </cell>
          <cell r="F4279" t="str">
            <v>NGS0324035-15</v>
          </cell>
          <cell r="G4279">
            <v>6</v>
          </cell>
          <cell r="H4279" t="str">
            <v>mRNA文库</v>
          </cell>
          <cell r="I4279" t="str">
            <v>ZZ</v>
          </cell>
          <cell r="J4279">
            <v>9.6199999999999992</v>
          </cell>
          <cell r="N4279" t="e">
            <v>#DIV/0!</v>
          </cell>
        </row>
        <row r="4280">
          <cell r="E4280" t="str">
            <v>HGC-Lib-2455958</v>
          </cell>
          <cell r="F4280" t="str">
            <v>NGS0324035-16</v>
          </cell>
          <cell r="G4280">
            <v>6</v>
          </cell>
          <cell r="H4280" t="str">
            <v>mRNA文库</v>
          </cell>
          <cell r="I4280" t="str">
            <v>ZZ</v>
          </cell>
          <cell r="J4280">
            <v>5.04</v>
          </cell>
          <cell r="N4280" t="e">
            <v>#DIV/0!</v>
          </cell>
        </row>
        <row r="4281">
          <cell r="E4281" t="str">
            <v>HGC-Lib-2455959</v>
          </cell>
          <cell r="F4281" t="str">
            <v>NGS0324035-17</v>
          </cell>
          <cell r="G4281">
            <v>6</v>
          </cell>
          <cell r="H4281" t="str">
            <v>mRNA文库</v>
          </cell>
          <cell r="I4281" t="str">
            <v>ZZ</v>
          </cell>
          <cell r="J4281">
            <v>8.42</v>
          </cell>
          <cell r="N4281" t="e">
            <v>#DIV/0!</v>
          </cell>
        </row>
        <row r="4282">
          <cell r="E4282" t="str">
            <v>HGC-Lib-2455960</v>
          </cell>
          <cell r="F4282" t="str">
            <v>NGS0324035-18</v>
          </cell>
          <cell r="G4282">
            <v>6</v>
          </cell>
          <cell r="H4282" t="str">
            <v>mRNA文库</v>
          </cell>
          <cell r="I4282" t="str">
            <v>ZZ</v>
          </cell>
          <cell r="J4282">
            <v>61</v>
          </cell>
          <cell r="N4282" t="e">
            <v>#DIV/0!</v>
          </cell>
        </row>
        <row r="4283">
          <cell r="E4283" t="str">
            <v>HGC-Lib-2455961</v>
          </cell>
          <cell r="F4283" t="str">
            <v>NGS0324035-19</v>
          </cell>
          <cell r="G4283">
            <v>6</v>
          </cell>
          <cell r="H4283" t="str">
            <v>mRNA文库</v>
          </cell>
          <cell r="I4283" t="str">
            <v>ZZ</v>
          </cell>
          <cell r="J4283">
            <v>7.16</v>
          </cell>
          <cell r="N4283" t="e">
            <v>#DIV/0!</v>
          </cell>
        </row>
        <row r="4284">
          <cell r="E4284" t="str">
            <v>HGC-Lib-2455962</v>
          </cell>
          <cell r="F4284" t="str">
            <v>NGS0324035-20</v>
          </cell>
          <cell r="G4284">
            <v>6</v>
          </cell>
          <cell r="H4284" t="str">
            <v>mRNA文库</v>
          </cell>
          <cell r="I4284" t="str">
            <v>ZZ</v>
          </cell>
          <cell r="J4284">
            <v>57.2</v>
          </cell>
          <cell r="N4284" t="e">
            <v>#DIV/0!</v>
          </cell>
        </row>
        <row r="4285">
          <cell r="E4285" t="str">
            <v>HGC-Lib-2455963</v>
          </cell>
          <cell r="F4285" t="str">
            <v>NGS0324035-21</v>
          </cell>
          <cell r="G4285">
            <v>6</v>
          </cell>
          <cell r="H4285" t="str">
            <v>mRNA文库</v>
          </cell>
          <cell r="I4285" t="str">
            <v>ZZ</v>
          </cell>
          <cell r="J4285">
            <v>62.8</v>
          </cell>
          <cell r="N4285" t="e">
            <v>#DIV/0!</v>
          </cell>
        </row>
        <row r="4286">
          <cell r="E4286" t="str">
            <v>HGC-Lib-2455964</v>
          </cell>
          <cell r="F4286" t="str">
            <v>NGS0324035-22</v>
          </cell>
          <cell r="G4286">
            <v>6</v>
          </cell>
          <cell r="H4286" t="str">
            <v>mRNA文库</v>
          </cell>
          <cell r="I4286" t="str">
            <v>ZZ</v>
          </cell>
          <cell r="J4286">
            <v>47.6</v>
          </cell>
          <cell r="N4286" t="e">
            <v>#DIV/0!</v>
          </cell>
        </row>
        <row r="4287">
          <cell r="E4287" t="str">
            <v>HGC-Lib-2455965</v>
          </cell>
          <cell r="F4287" t="str">
            <v>NGS0324035-23</v>
          </cell>
          <cell r="G4287">
            <v>6</v>
          </cell>
          <cell r="H4287" t="str">
            <v>mRNA文库</v>
          </cell>
          <cell r="I4287" t="str">
            <v>ZZ</v>
          </cell>
          <cell r="J4287">
            <v>38.799999999999997</v>
          </cell>
          <cell r="N4287" t="e">
            <v>#DIV/0!</v>
          </cell>
        </row>
        <row r="4288">
          <cell r="E4288" t="str">
            <v>HGC-Lib-2455966</v>
          </cell>
          <cell r="F4288" t="str">
            <v>NGS0324035-24</v>
          </cell>
          <cell r="G4288">
            <v>6</v>
          </cell>
          <cell r="H4288" t="str">
            <v>mRNA文库</v>
          </cell>
          <cell r="I4288" t="str">
            <v>ZZ</v>
          </cell>
          <cell r="J4288">
            <v>5.56</v>
          </cell>
          <cell r="N4288" t="e">
            <v>#DIV/0!</v>
          </cell>
        </row>
        <row r="4289">
          <cell r="E4289" t="str">
            <v>HGC-Lib-2455967</v>
          </cell>
          <cell r="F4289" t="str">
            <v>NGS0324035-25</v>
          </cell>
          <cell r="G4289">
            <v>6</v>
          </cell>
          <cell r="H4289" t="str">
            <v>mRNA文库</v>
          </cell>
          <cell r="I4289" t="str">
            <v>ZZ</v>
          </cell>
          <cell r="J4289">
            <v>35.4</v>
          </cell>
          <cell r="N4289" t="e">
            <v>#DIV/0!</v>
          </cell>
        </row>
        <row r="4290">
          <cell r="E4290" t="str">
            <v>HGC-Lib-2455968</v>
          </cell>
          <cell r="F4290" t="str">
            <v>NGS0324035-26</v>
          </cell>
          <cell r="G4290">
            <v>6</v>
          </cell>
          <cell r="H4290" t="str">
            <v>mRNA文库</v>
          </cell>
          <cell r="I4290" t="str">
            <v>ZZ</v>
          </cell>
          <cell r="J4290">
            <v>6.62</v>
          </cell>
          <cell r="N4290" t="e">
            <v>#DIV/0!</v>
          </cell>
        </row>
        <row r="4291">
          <cell r="E4291" t="str">
            <v>HGC-Lib-2455969</v>
          </cell>
          <cell r="F4291" t="str">
            <v>NGS0324035-27</v>
          </cell>
          <cell r="G4291">
            <v>6</v>
          </cell>
          <cell r="H4291" t="str">
            <v>mRNA文库</v>
          </cell>
          <cell r="I4291" t="str">
            <v>ZZ</v>
          </cell>
          <cell r="J4291">
            <v>21.6</v>
          </cell>
          <cell r="N4291" t="e">
            <v>#DIV/0!</v>
          </cell>
        </row>
        <row r="4292">
          <cell r="E4292" t="str">
            <v>HGC-Lib-2455970</v>
          </cell>
          <cell r="F4292" t="str">
            <v>NGS0324035-28</v>
          </cell>
          <cell r="G4292">
            <v>6</v>
          </cell>
          <cell r="H4292" t="str">
            <v>mRNA文库</v>
          </cell>
          <cell r="I4292" t="str">
            <v>ZZ</v>
          </cell>
          <cell r="J4292">
            <v>47</v>
          </cell>
          <cell r="N4292" t="e">
            <v>#DIV/0!</v>
          </cell>
        </row>
        <row r="4293">
          <cell r="E4293" t="str">
            <v>HGC-Lib-2455971</v>
          </cell>
          <cell r="F4293" t="str">
            <v>NGS0324035-29</v>
          </cell>
          <cell r="G4293">
            <v>6</v>
          </cell>
          <cell r="H4293" t="str">
            <v>mRNA文库</v>
          </cell>
          <cell r="I4293" t="str">
            <v>ZZ</v>
          </cell>
          <cell r="J4293">
            <v>50</v>
          </cell>
          <cell r="N4293" t="e">
            <v>#DIV/0!</v>
          </cell>
        </row>
        <row r="4294">
          <cell r="E4294" t="str">
            <v>HGC-Lib-2455972</v>
          </cell>
          <cell r="F4294" t="str">
            <v>NGS0324035-30</v>
          </cell>
          <cell r="G4294">
            <v>6</v>
          </cell>
          <cell r="H4294" t="str">
            <v>mRNA文库</v>
          </cell>
          <cell r="I4294" t="str">
            <v>ZZ</v>
          </cell>
          <cell r="J4294">
            <v>13.6</v>
          </cell>
          <cell r="N4294" t="e">
            <v>#DIV/0!</v>
          </cell>
        </row>
        <row r="4295">
          <cell r="E4295" t="str">
            <v>HGC-Lib-2455973</v>
          </cell>
          <cell r="F4295" t="str">
            <v>NGS0324035-31</v>
          </cell>
          <cell r="G4295">
            <v>6</v>
          </cell>
          <cell r="H4295" t="str">
            <v>mRNA文库</v>
          </cell>
          <cell r="I4295" t="str">
            <v>ZZ</v>
          </cell>
          <cell r="J4295">
            <v>37.4</v>
          </cell>
          <cell r="N4295" t="e">
            <v>#DIV/0!</v>
          </cell>
        </row>
        <row r="4296">
          <cell r="E4296" t="str">
            <v>HGC-Lib-2455974</v>
          </cell>
          <cell r="F4296" t="str">
            <v>NGS0324035-32</v>
          </cell>
          <cell r="G4296">
            <v>6</v>
          </cell>
          <cell r="H4296" t="str">
            <v>mRNA文库</v>
          </cell>
          <cell r="I4296" t="str">
            <v>ZZ</v>
          </cell>
          <cell r="J4296">
            <v>57.6</v>
          </cell>
          <cell r="N4296" t="e">
            <v>#DIV/0!</v>
          </cell>
        </row>
        <row r="4297">
          <cell r="E4297" t="str">
            <v>HGC-Lib-2455975</v>
          </cell>
          <cell r="F4297" t="str">
            <v>NGS0324035-33</v>
          </cell>
          <cell r="G4297">
            <v>6</v>
          </cell>
          <cell r="H4297" t="str">
            <v>mRNA文库</v>
          </cell>
          <cell r="I4297" t="str">
            <v>ZZ</v>
          </cell>
          <cell r="J4297">
            <v>57.4</v>
          </cell>
          <cell r="N4297" t="e">
            <v>#DIV/0!</v>
          </cell>
        </row>
        <row r="4298">
          <cell r="E4298" t="str">
            <v>HGC-Lib-2455976</v>
          </cell>
          <cell r="F4298" t="str">
            <v>NGS0324035-34</v>
          </cell>
          <cell r="G4298">
            <v>6</v>
          </cell>
          <cell r="H4298" t="str">
            <v>mRNA文库</v>
          </cell>
          <cell r="I4298" t="str">
            <v>ZZ</v>
          </cell>
          <cell r="J4298">
            <v>36.6</v>
          </cell>
          <cell r="N4298" t="e">
            <v>#DIV/0!</v>
          </cell>
        </row>
        <row r="4299">
          <cell r="E4299" t="str">
            <v>HGC-Lib-2455977</v>
          </cell>
          <cell r="F4299" t="str">
            <v>NGS0324035-35</v>
          </cell>
          <cell r="G4299">
            <v>6</v>
          </cell>
          <cell r="H4299" t="str">
            <v>mRNA文库</v>
          </cell>
          <cell r="I4299" t="str">
            <v>ZZ</v>
          </cell>
          <cell r="J4299">
            <v>50.6</v>
          </cell>
          <cell r="N4299" t="e">
            <v>#DIV/0!</v>
          </cell>
        </row>
        <row r="4300">
          <cell r="E4300" t="str">
            <v>HGC-Lib-2455978</v>
          </cell>
          <cell r="F4300" t="str">
            <v>NGS0324035-36</v>
          </cell>
          <cell r="G4300">
            <v>6</v>
          </cell>
          <cell r="H4300" t="str">
            <v>mRNA文库</v>
          </cell>
          <cell r="I4300" t="str">
            <v>ZZ</v>
          </cell>
          <cell r="J4300">
            <v>44</v>
          </cell>
          <cell r="N4300" t="e">
            <v>#DIV/0!</v>
          </cell>
        </row>
        <row r="4301">
          <cell r="E4301" t="str">
            <v>HGC-Lib-2455979</v>
          </cell>
          <cell r="F4301" t="str">
            <v>NGS0324035-37</v>
          </cell>
          <cell r="G4301">
            <v>6</v>
          </cell>
          <cell r="H4301" t="str">
            <v>mRNA文库</v>
          </cell>
          <cell r="I4301" t="str">
            <v>ZZ</v>
          </cell>
          <cell r="J4301">
            <v>7.96</v>
          </cell>
          <cell r="N4301" t="e">
            <v>#DIV/0!</v>
          </cell>
        </row>
        <row r="4302">
          <cell r="E4302" t="str">
            <v>HGC-Lib-2455980</v>
          </cell>
          <cell r="F4302" t="str">
            <v>NGS0324035-38</v>
          </cell>
          <cell r="G4302">
            <v>6</v>
          </cell>
          <cell r="H4302" t="str">
            <v>mRNA文库</v>
          </cell>
          <cell r="I4302" t="str">
            <v>ZZ</v>
          </cell>
          <cell r="J4302">
            <v>6.48</v>
          </cell>
          <cell r="N4302" t="e">
            <v>#DIV/0!</v>
          </cell>
        </row>
        <row r="4303">
          <cell r="E4303" t="str">
            <v>HGC-Lib-2455981</v>
          </cell>
          <cell r="F4303" t="str">
            <v>NGS0324035-39</v>
          </cell>
          <cell r="G4303">
            <v>6</v>
          </cell>
          <cell r="H4303" t="str">
            <v>mRNA文库</v>
          </cell>
          <cell r="I4303" t="str">
            <v>ZZ</v>
          </cell>
          <cell r="J4303">
            <v>6.9</v>
          </cell>
          <cell r="N4303" t="e">
            <v>#DIV/0!</v>
          </cell>
        </row>
        <row r="4304">
          <cell r="E4304" t="str">
            <v>HGC-Lib-2455982</v>
          </cell>
          <cell r="F4304" t="str">
            <v>NGS0324035-40</v>
          </cell>
          <cell r="G4304">
            <v>6</v>
          </cell>
          <cell r="H4304" t="str">
            <v>mRNA文库</v>
          </cell>
          <cell r="I4304" t="str">
            <v>ZZ</v>
          </cell>
          <cell r="J4304">
            <v>10.5</v>
          </cell>
          <cell r="N4304" t="e">
            <v>#DIV/0!</v>
          </cell>
        </row>
        <row r="4305">
          <cell r="E4305" t="str">
            <v>HGC-Lib-2455983</v>
          </cell>
          <cell r="F4305" t="str">
            <v>NGS0324035-41</v>
          </cell>
          <cell r="G4305">
            <v>6</v>
          </cell>
          <cell r="H4305" t="str">
            <v>mRNA文库</v>
          </cell>
          <cell r="I4305" t="str">
            <v>ZZ</v>
          </cell>
          <cell r="J4305">
            <v>48.4</v>
          </cell>
          <cell r="N4305" t="e">
            <v>#DIV/0!</v>
          </cell>
        </row>
        <row r="4306">
          <cell r="E4306" t="str">
            <v>HGC-Lib-2455984</v>
          </cell>
          <cell r="F4306" t="str">
            <v>NGS0324035-42</v>
          </cell>
          <cell r="G4306">
            <v>6</v>
          </cell>
          <cell r="H4306" t="str">
            <v>mRNA文库</v>
          </cell>
          <cell r="I4306" t="str">
            <v>ZZ</v>
          </cell>
          <cell r="J4306">
            <v>53.2</v>
          </cell>
          <cell r="N4306" t="e">
            <v>#DIV/0!</v>
          </cell>
        </row>
        <row r="4307">
          <cell r="E4307" t="str">
            <v>HGC-Lib-2455985</v>
          </cell>
          <cell r="F4307" t="str">
            <v>NGS0324035-43</v>
          </cell>
          <cell r="G4307">
            <v>6</v>
          </cell>
          <cell r="H4307" t="str">
            <v>mRNA文库</v>
          </cell>
          <cell r="I4307" t="str">
            <v>ZZ</v>
          </cell>
          <cell r="J4307">
            <v>70.400000000000006</v>
          </cell>
          <cell r="N4307" t="e">
            <v>#DIV/0!</v>
          </cell>
        </row>
        <row r="4308">
          <cell r="E4308" t="str">
            <v>HGC-Lib-2455986</v>
          </cell>
          <cell r="F4308" t="str">
            <v>NGS0324035-44</v>
          </cell>
          <cell r="G4308">
            <v>6</v>
          </cell>
          <cell r="H4308" t="str">
            <v>mRNA文库</v>
          </cell>
          <cell r="I4308" t="str">
            <v>ZZ</v>
          </cell>
          <cell r="J4308">
            <v>5.82</v>
          </cell>
          <cell r="N4308" t="e">
            <v>#DIV/0!</v>
          </cell>
        </row>
        <row r="4309">
          <cell r="E4309" t="str">
            <v>HGC-Lib-2455987</v>
          </cell>
          <cell r="F4309" t="str">
            <v>NGS0324035-45</v>
          </cell>
          <cell r="G4309">
            <v>6</v>
          </cell>
          <cell r="H4309" t="str">
            <v>mRNA文库</v>
          </cell>
          <cell r="I4309" t="str">
            <v>ZZ</v>
          </cell>
          <cell r="J4309">
            <v>3.26</v>
          </cell>
          <cell r="N4309" t="e">
            <v>#DIV/0!</v>
          </cell>
        </row>
        <row r="4310">
          <cell r="E4310" t="str">
            <v>HGC-Lib-2455988</v>
          </cell>
          <cell r="F4310" t="str">
            <v>NGS0324035-46</v>
          </cell>
          <cell r="G4310">
            <v>6</v>
          </cell>
          <cell r="H4310" t="str">
            <v>mRNA文库</v>
          </cell>
          <cell r="I4310" t="str">
            <v>ZZ</v>
          </cell>
          <cell r="J4310">
            <v>6.64</v>
          </cell>
          <cell r="N4310" t="e">
            <v>#DIV/0!</v>
          </cell>
        </row>
        <row r="4311">
          <cell r="E4311" t="str">
            <v>HGC-Lib-2455989</v>
          </cell>
          <cell r="F4311" t="str">
            <v>NGS0324035-47</v>
          </cell>
          <cell r="G4311">
            <v>6</v>
          </cell>
          <cell r="H4311" t="str">
            <v>mRNA文库</v>
          </cell>
          <cell r="I4311" t="str">
            <v>ZZ</v>
          </cell>
          <cell r="J4311">
            <v>22.8</v>
          </cell>
          <cell r="N4311" t="e">
            <v>#DIV/0!</v>
          </cell>
        </row>
        <row r="4312">
          <cell r="E4312" t="str">
            <v>HGC-Lib-2455990</v>
          </cell>
          <cell r="F4312" t="str">
            <v>NGS0324035-48</v>
          </cell>
          <cell r="G4312">
            <v>6</v>
          </cell>
          <cell r="H4312" t="str">
            <v>mRNA文库</v>
          </cell>
          <cell r="I4312" t="str">
            <v>ZZ</v>
          </cell>
          <cell r="J4312">
            <v>47</v>
          </cell>
          <cell r="N4312" t="e">
            <v>#DIV/0!</v>
          </cell>
        </row>
        <row r="4313">
          <cell r="E4313" t="str">
            <v>HGC-Lib-2455991</v>
          </cell>
          <cell r="F4313" t="str">
            <v>NGS0324035-49</v>
          </cell>
          <cell r="G4313">
            <v>6</v>
          </cell>
          <cell r="H4313" t="str">
            <v>mRNA文库</v>
          </cell>
          <cell r="I4313" t="str">
            <v>WWH</v>
          </cell>
          <cell r="J4313">
            <v>38.6</v>
          </cell>
          <cell r="N4313" t="e">
            <v>#DIV/0!</v>
          </cell>
        </row>
        <row r="4314">
          <cell r="E4314" t="str">
            <v>HGC-Lib-2455992</v>
          </cell>
          <cell r="F4314" t="str">
            <v>NGS0324035-50</v>
          </cell>
          <cell r="G4314">
            <v>6</v>
          </cell>
          <cell r="H4314" t="str">
            <v>mRNA文库</v>
          </cell>
          <cell r="I4314" t="str">
            <v>WWH</v>
          </cell>
          <cell r="J4314">
            <v>39</v>
          </cell>
          <cell r="N4314" t="e">
            <v>#DIV/0!</v>
          </cell>
        </row>
        <row r="4315">
          <cell r="E4315" t="str">
            <v>HGC-Lib-2455993</v>
          </cell>
          <cell r="F4315" t="str">
            <v>NGS0324035-51</v>
          </cell>
          <cell r="G4315">
            <v>6</v>
          </cell>
          <cell r="H4315" t="str">
            <v>mRNA文库</v>
          </cell>
          <cell r="I4315" t="str">
            <v>WWH</v>
          </cell>
          <cell r="J4315">
            <v>17.100000000000001</v>
          </cell>
          <cell r="N4315" t="e">
            <v>#DIV/0!</v>
          </cell>
        </row>
        <row r="4316">
          <cell r="E4316" t="str">
            <v>HGC-Lib-2455994</v>
          </cell>
          <cell r="F4316" t="str">
            <v>NGS0324035-52</v>
          </cell>
          <cell r="G4316">
            <v>6</v>
          </cell>
          <cell r="H4316" t="str">
            <v>mRNA文库</v>
          </cell>
          <cell r="I4316" t="str">
            <v>WWH</v>
          </cell>
          <cell r="J4316">
            <v>25.2</v>
          </cell>
          <cell r="N4316" t="e">
            <v>#DIV/0!</v>
          </cell>
        </row>
        <row r="4317">
          <cell r="E4317" t="str">
            <v>HGC-Lib-2455995</v>
          </cell>
          <cell r="F4317" t="str">
            <v>NGS0324035-53</v>
          </cell>
          <cell r="G4317">
            <v>6</v>
          </cell>
          <cell r="H4317" t="str">
            <v>mRNA文库</v>
          </cell>
          <cell r="I4317" t="str">
            <v>WWH</v>
          </cell>
          <cell r="J4317">
            <v>36.200000000000003</v>
          </cell>
          <cell r="N4317" t="e">
            <v>#DIV/0!</v>
          </cell>
        </row>
        <row r="4318">
          <cell r="E4318" t="str">
            <v>HGC-Lib-2455996</v>
          </cell>
          <cell r="F4318" t="str">
            <v>NGS0324035-54</v>
          </cell>
          <cell r="G4318">
            <v>6</v>
          </cell>
          <cell r="H4318" t="str">
            <v>mRNA文库</v>
          </cell>
          <cell r="I4318" t="str">
            <v>WWH</v>
          </cell>
          <cell r="J4318">
            <v>34.799999999999997</v>
          </cell>
          <cell r="N4318" t="e">
            <v>#DIV/0!</v>
          </cell>
        </row>
        <row r="4319">
          <cell r="E4319" t="str">
            <v>HGC-Lib-2455997</v>
          </cell>
          <cell r="F4319" t="str">
            <v>NGS0324035-55</v>
          </cell>
          <cell r="G4319">
            <v>6</v>
          </cell>
          <cell r="H4319" t="str">
            <v>mRNA文库</v>
          </cell>
          <cell r="I4319" t="str">
            <v>WWH</v>
          </cell>
          <cell r="J4319">
            <v>40.200000000000003</v>
          </cell>
          <cell r="N4319" t="e">
            <v>#DIV/0!</v>
          </cell>
        </row>
        <row r="4320">
          <cell r="E4320" t="str">
            <v>HGC-Lib-2455998</v>
          </cell>
          <cell r="F4320" t="str">
            <v>NGS0324035-56</v>
          </cell>
          <cell r="G4320">
            <v>6</v>
          </cell>
          <cell r="H4320" t="str">
            <v>mRNA文库</v>
          </cell>
          <cell r="I4320" t="str">
            <v>WWH</v>
          </cell>
          <cell r="J4320">
            <v>37.200000000000003</v>
          </cell>
          <cell r="N4320" t="e">
            <v>#DIV/0!</v>
          </cell>
        </row>
        <row r="4321">
          <cell r="E4321" t="str">
            <v>HGC-Lib-2455999</v>
          </cell>
          <cell r="F4321" t="str">
            <v>NGS0324035-57</v>
          </cell>
          <cell r="G4321">
            <v>6</v>
          </cell>
          <cell r="H4321" t="str">
            <v>mRNA文库</v>
          </cell>
          <cell r="I4321" t="str">
            <v>WWH</v>
          </cell>
          <cell r="J4321">
            <v>47.4</v>
          </cell>
          <cell r="N4321" t="e">
            <v>#DIV/0!</v>
          </cell>
        </row>
        <row r="4322">
          <cell r="E4322" t="str">
            <v>HGC-Lib-2456000</v>
          </cell>
          <cell r="F4322" t="str">
            <v>NGS0324035-58</v>
          </cell>
          <cell r="G4322">
            <v>6</v>
          </cell>
          <cell r="H4322" t="str">
            <v>mRNA文库</v>
          </cell>
          <cell r="I4322" t="str">
            <v>WWH</v>
          </cell>
          <cell r="J4322">
            <v>42</v>
          </cell>
          <cell r="N4322" t="e">
            <v>#DIV/0!</v>
          </cell>
        </row>
        <row r="4323">
          <cell r="E4323" t="str">
            <v>HGC-Lib-2456001</v>
          </cell>
          <cell r="F4323" t="str">
            <v>NGS0324035-59</v>
          </cell>
          <cell r="G4323">
            <v>6</v>
          </cell>
          <cell r="H4323" t="str">
            <v>mRNA文库</v>
          </cell>
          <cell r="I4323" t="str">
            <v>WWH</v>
          </cell>
          <cell r="J4323">
            <v>39</v>
          </cell>
          <cell r="N4323" t="e">
            <v>#DIV/0!</v>
          </cell>
        </row>
        <row r="4324">
          <cell r="E4324" t="str">
            <v>HGC-Lib-2456002</v>
          </cell>
          <cell r="F4324" t="str">
            <v>NGS0324035-60</v>
          </cell>
          <cell r="G4324">
            <v>6</v>
          </cell>
          <cell r="H4324" t="str">
            <v>mRNA文库</v>
          </cell>
          <cell r="I4324" t="str">
            <v>WWH</v>
          </cell>
          <cell r="J4324">
            <v>28.2</v>
          </cell>
          <cell r="N4324" t="e">
            <v>#DIV/0!</v>
          </cell>
        </row>
        <row r="4325">
          <cell r="E4325" t="str">
            <v>HGC-Lib-2456003</v>
          </cell>
          <cell r="F4325" t="str">
            <v>NGS0324035-61</v>
          </cell>
          <cell r="G4325">
            <v>6</v>
          </cell>
          <cell r="H4325" t="str">
            <v>mRNA文库</v>
          </cell>
          <cell r="I4325" t="str">
            <v>WWH</v>
          </cell>
          <cell r="J4325">
            <v>36.799999999999997</v>
          </cell>
          <cell r="N4325" t="e">
            <v>#DIV/0!</v>
          </cell>
        </row>
        <row r="4326">
          <cell r="E4326" t="str">
            <v>HGC-Lib-2456004</v>
          </cell>
          <cell r="F4326" t="str">
            <v>NGS0324035-62</v>
          </cell>
          <cell r="G4326">
            <v>6</v>
          </cell>
          <cell r="H4326" t="str">
            <v>mRNA文库</v>
          </cell>
          <cell r="I4326" t="str">
            <v>WWH</v>
          </cell>
          <cell r="J4326">
            <v>34.200000000000003</v>
          </cell>
          <cell r="N4326" t="e">
            <v>#DIV/0!</v>
          </cell>
        </row>
        <row r="4327">
          <cell r="E4327" t="str">
            <v>HGC-Lib-2456005</v>
          </cell>
          <cell r="F4327" t="str">
            <v>NGS0324035-63</v>
          </cell>
          <cell r="G4327">
            <v>6</v>
          </cell>
          <cell r="H4327" t="str">
            <v>mRNA文库</v>
          </cell>
          <cell r="I4327" t="str">
            <v>WWH</v>
          </cell>
          <cell r="J4327">
            <v>45.2</v>
          </cell>
          <cell r="N4327" t="e">
            <v>#DIV/0!</v>
          </cell>
        </row>
        <row r="4328">
          <cell r="E4328" t="str">
            <v>HGC-Lib-2456006</v>
          </cell>
          <cell r="F4328" t="str">
            <v>NGS0324035-64</v>
          </cell>
          <cell r="G4328">
            <v>6</v>
          </cell>
          <cell r="H4328" t="str">
            <v>mRNA文库</v>
          </cell>
          <cell r="I4328" t="str">
            <v>WWH</v>
          </cell>
          <cell r="J4328">
            <v>42.8</v>
          </cell>
          <cell r="N4328" t="e">
            <v>#DIV/0!</v>
          </cell>
        </row>
        <row r="4329">
          <cell r="E4329" t="str">
            <v>HGC-Lib-2456007</v>
          </cell>
          <cell r="F4329" t="str">
            <v>NGS0324035-65</v>
          </cell>
          <cell r="G4329">
            <v>6</v>
          </cell>
          <cell r="H4329" t="str">
            <v>mRNA文库</v>
          </cell>
          <cell r="I4329" t="str">
            <v>WWH</v>
          </cell>
          <cell r="J4329">
            <v>36</v>
          </cell>
          <cell r="N4329" t="e">
            <v>#DIV/0!</v>
          </cell>
        </row>
        <row r="4330">
          <cell r="E4330" t="str">
            <v>HGC-Lib-2456008</v>
          </cell>
          <cell r="F4330" t="str">
            <v>NGS0324035-66</v>
          </cell>
          <cell r="G4330">
            <v>6</v>
          </cell>
          <cell r="H4330" t="str">
            <v>mRNA文库</v>
          </cell>
          <cell r="I4330" t="str">
            <v>WWH</v>
          </cell>
          <cell r="J4330">
            <v>37.799999999999997</v>
          </cell>
          <cell r="N4330" t="e">
            <v>#DIV/0!</v>
          </cell>
        </row>
        <row r="4331">
          <cell r="E4331" t="str">
            <v>HGC-Lib-2456009</v>
          </cell>
          <cell r="F4331" t="str">
            <v>NGS0324035-67</v>
          </cell>
          <cell r="G4331">
            <v>6</v>
          </cell>
          <cell r="H4331" t="str">
            <v>mRNA文库</v>
          </cell>
          <cell r="I4331" t="str">
            <v>WWH</v>
          </cell>
          <cell r="J4331">
            <v>42.2</v>
          </cell>
          <cell r="N4331" t="e">
            <v>#DIV/0!</v>
          </cell>
        </row>
        <row r="4332">
          <cell r="E4332" t="str">
            <v>HGC-Lib-2456010</v>
          </cell>
          <cell r="F4332" t="str">
            <v>NGS0324035-68</v>
          </cell>
          <cell r="G4332">
            <v>6</v>
          </cell>
          <cell r="H4332" t="str">
            <v>mRNA文库</v>
          </cell>
          <cell r="I4332" t="str">
            <v>WWH</v>
          </cell>
          <cell r="J4332">
            <v>33.200000000000003</v>
          </cell>
          <cell r="N4332" t="e">
            <v>#DIV/0!</v>
          </cell>
        </row>
        <row r="4333">
          <cell r="E4333" t="str">
            <v>HGC-Lib-2456011</v>
          </cell>
          <cell r="F4333" t="str">
            <v>NGS0324035-69</v>
          </cell>
          <cell r="G4333">
            <v>6</v>
          </cell>
          <cell r="H4333" t="str">
            <v>mRNA文库</v>
          </cell>
          <cell r="I4333" t="str">
            <v>WWH</v>
          </cell>
          <cell r="J4333">
            <v>35.6</v>
          </cell>
          <cell r="N4333" t="e">
            <v>#DIV/0!</v>
          </cell>
        </row>
        <row r="4334">
          <cell r="E4334" t="str">
            <v>HGC-Lib-2456012</v>
          </cell>
          <cell r="F4334" t="str">
            <v>NGS0324035-70</v>
          </cell>
          <cell r="G4334">
            <v>6</v>
          </cell>
          <cell r="H4334" t="str">
            <v>mRNA文库</v>
          </cell>
          <cell r="I4334" t="str">
            <v>WWH</v>
          </cell>
          <cell r="J4334">
            <v>43.8</v>
          </cell>
          <cell r="N4334" t="e">
            <v>#DIV/0!</v>
          </cell>
        </row>
        <row r="4335">
          <cell r="E4335" t="str">
            <v>HGC-Lib-2456013</v>
          </cell>
          <cell r="F4335" t="str">
            <v>NGS0324035-71</v>
          </cell>
          <cell r="G4335">
            <v>6</v>
          </cell>
          <cell r="H4335" t="str">
            <v>mRNA文库</v>
          </cell>
          <cell r="I4335" t="str">
            <v>WWH</v>
          </cell>
          <cell r="J4335">
            <v>46.2</v>
          </cell>
          <cell r="N4335" t="e">
            <v>#DIV/0!</v>
          </cell>
        </row>
        <row r="4336">
          <cell r="E4336" t="str">
            <v>HGC-Lib-2456014</v>
          </cell>
          <cell r="F4336" t="str">
            <v>NGS0324035-72</v>
          </cell>
          <cell r="G4336">
            <v>6</v>
          </cell>
          <cell r="H4336" t="str">
            <v>mRNA文库</v>
          </cell>
          <cell r="I4336" t="str">
            <v>WWH</v>
          </cell>
          <cell r="J4336">
            <v>41.8</v>
          </cell>
          <cell r="N4336" t="e">
            <v>#DIV/0!</v>
          </cell>
        </row>
        <row r="4337">
          <cell r="E4337" t="str">
            <v>HGC-Lib-2456015</v>
          </cell>
          <cell r="F4337" t="str">
            <v>NGS0324035-73</v>
          </cell>
          <cell r="G4337">
            <v>6</v>
          </cell>
          <cell r="H4337" t="str">
            <v>mRNA文库</v>
          </cell>
          <cell r="I4337" t="str">
            <v>WWH</v>
          </cell>
          <cell r="J4337">
            <v>45.8</v>
          </cell>
          <cell r="N4337" t="e">
            <v>#DIV/0!</v>
          </cell>
        </row>
        <row r="4338">
          <cell r="E4338" t="str">
            <v>HGC-Lib-2456016</v>
          </cell>
          <cell r="F4338" t="str">
            <v>NGS0324035-74</v>
          </cell>
          <cell r="G4338">
            <v>6</v>
          </cell>
          <cell r="H4338" t="str">
            <v>mRNA文库</v>
          </cell>
          <cell r="I4338" t="str">
            <v>WWH</v>
          </cell>
          <cell r="J4338">
            <v>42.8</v>
          </cell>
          <cell r="N4338" t="e">
            <v>#DIV/0!</v>
          </cell>
        </row>
        <row r="4339">
          <cell r="E4339" t="str">
            <v>HGC-Lib-2456017</v>
          </cell>
          <cell r="F4339" t="str">
            <v>NGS0324035-75</v>
          </cell>
          <cell r="G4339">
            <v>6</v>
          </cell>
          <cell r="H4339" t="str">
            <v>mRNA文库</v>
          </cell>
          <cell r="I4339" t="str">
            <v>WWH</v>
          </cell>
          <cell r="J4339">
            <v>40.799999999999997</v>
          </cell>
          <cell r="N4339" t="e">
            <v>#DIV/0!</v>
          </cell>
        </row>
        <row r="4340">
          <cell r="E4340" t="str">
            <v>HGC-Lib-2456018</v>
          </cell>
          <cell r="F4340" t="str">
            <v>NGS0324035-76</v>
          </cell>
          <cell r="G4340">
            <v>6</v>
          </cell>
          <cell r="H4340" t="str">
            <v>mRNA文库</v>
          </cell>
          <cell r="I4340" t="str">
            <v>WWH</v>
          </cell>
          <cell r="J4340">
            <v>36.799999999999997</v>
          </cell>
          <cell r="N4340" t="e">
            <v>#DIV/0!</v>
          </cell>
        </row>
        <row r="4341">
          <cell r="E4341" t="str">
            <v>HGC-Lib-2456019</v>
          </cell>
          <cell r="F4341" t="str">
            <v>NGS0324035-77</v>
          </cell>
          <cell r="G4341">
            <v>6</v>
          </cell>
          <cell r="H4341" t="str">
            <v>mRNA文库</v>
          </cell>
          <cell r="I4341" t="str">
            <v>WWH</v>
          </cell>
          <cell r="J4341">
            <v>42.6</v>
          </cell>
          <cell r="N4341" t="e">
            <v>#DIV/0!</v>
          </cell>
        </row>
        <row r="4342">
          <cell r="E4342" t="str">
            <v>HGC-Lib-2456020</v>
          </cell>
          <cell r="F4342" t="str">
            <v>NGS0324035-78</v>
          </cell>
          <cell r="G4342">
            <v>6</v>
          </cell>
          <cell r="H4342" t="str">
            <v>mRNA文库</v>
          </cell>
          <cell r="I4342" t="str">
            <v>WWH</v>
          </cell>
          <cell r="J4342">
            <v>45.4</v>
          </cell>
          <cell r="N4342" t="e">
            <v>#DIV/0!</v>
          </cell>
        </row>
        <row r="4343">
          <cell r="E4343" t="str">
            <v>HGC-Lib-2456021</v>
          </cell>
          <cell r="F4343" t="str">
            <v>NGS0324035-79</v>
          </cell>
          <cell r="G4343">
            <v>6</v>
          </cell>
          <cell r="H4343" t="str">
            <v>mRNA文库</v>
          </cell>
          <cell r="I4343" t="str">
            <v>WWH</v>
          </cell>
          <cell r="J4343">
            <v>35.4</v>
          </cell>
          <cell r="N4343" t="e">
            <v>#DIV/0!</v>
          </cell>
        </row>
        <row r="4344">
          <cell r="E4344" t="str">
            <v>HGC-Lib-2456022</v>
          </cell>
          <cell r="F4344" t="str">
            <v>NGS0324035-80</v>
          </cell>
          <cell r="G4344">
            <v>6</v>
          </cell>
          <cell r="H4344" t="str">
            <v>mRNA文库</v>
          </cell>
          <cell r="I4344" t="str">
            <v>WWH</v>
          </cell>
          <cell r="J4344">
            <v>16</v>
          </cell>
          <cell r="N4344" t="e">
            <v>#DIV/0!</v>
          </cell>
        </row>
        <row r="4345">
          <cell r="E4345" t="str">
            <v>HGC-Lib-2456023</v>
          </cell>
          <cell r="F4345" t="str">
            <v>NGS0324035-81</v>
          </cell>
          <cell r="G4345">
            <v>6</v>
          </cell>
          <cell r="H4345" t="str">
            <v>mRNA文库</v>
          </cell>
          <cell r="I4345" t="str">
            <v>WWH</v>
          </cell>
          <cell r="J4345">
            <v>15.9</v>
          </cell>
          <cell r="N4345" t="e">
            <v>#DIV/0!</v>
          </cell>
        </row>
        <row r="4346">
          <cell r="E4346" t="str">
            <v>HGC-Lib-2456024</v>
          </cell>
          <cell r="F4346" t="str">
            <v>NGS0324035-82</v>
          </cell>
          <cell r="G4346">
            <v>6</v>
          </cell>
          <cell r="H4346" t="str">
            <v>mRNA文库</v>
          </cell>
          <cell r="I4346" t="str">
            <v>WWH</v>
          </cell>
          <cell r="J4346">
            <v>14.7</v>
          </cell>
          <cell r="N4346" t="e">
            <v>#DIV/0!</v>
          </cell>
        </row>
        <row r="4347">
          <cell r="E4347" t="str">
            <v>HGC-Lib-2456025</v>
          </cell>
          <cell r="F4347" t="str">
            <v>NGS0324035-83</v>
          </cell>
          <cell r="G4347">
            <v>6</v>
          </cell>
          <cell r="H4347" t="str">
            <v>mRNA文库</v>
          </cell>
          <cell r="I4347" t="str">
            <v>WWH</v>
          </cell>
          <cell r="J4347">
            <v>13.2</v>
          </cell>
          <cell r="N4347" t="e">
            <v>#DIV/0!</v>
          </cell>
        </row>
        <row r="4348">
          <cell r="E4348" t="str">
            <v>HGC-Lib-2456026</v>
          </cell>
          <cell r="F4348" t="str">
            <v>NGS0324035-84</v>
          </cell>
          <cell r="G4348">
            <v>6</v>
          </cell>
          <cell r="H4348" t="str">
            <v>mRNA文库</v>
          </cell>
          <cell r="I4348" t="str">
            <v>WWH</v>
          </cell>
          <cell r="J4348">
            <v>17.399999999999999</v>
          </cell>
          <cell r="N4348" t="e">
            <v>#DIV/0!</v>
          </cell>
        </row>
        <row r="4349">
          <cell r="E4349" t="str">
            <v>HGC-Lib-2456027</v>
          </cell>
          <cell r="F4349" t="str">
            <v>NGS0324035-85</v>
          </cell>
          <cell r="G4349">
            <v>6</v>
          </cell>
          <cell r="H4349" t="str">
            <v>mRNA文库</v>
          </cell>
          <cell r="I4349" t="str">
            <v>WWH</v>
          </cell>
          <cell r="J4349">
            <v>18.5</v>
          </cell>
          <cell r="N4349" t="e">
            <v>#DIV/0!</v>
          </cell>
        </row>
        <row r="4350">
          <cell r="E4350" t="str">
            <v>HGC-Lib-2456028</v>
          </cell>
          <cell r="F4350" t="str">
            <v>NGS0324035-86</v>
          </cell>
          <cell r="G4350">
            <v>6</v>
          </cell>
          <cell r="H4350" t="str">
            <v>mRNA文库</v>
          </cell>
          <cell r="I4350" t="str">
            <v>WWH</v>
          </cell>
          <cell r="J4350">
            <v>2.62</v>
          </cell>
          <cell r="N4350" t="e">
            <v>#DIV/0!</v>
          </cell>
        </row>
        <row r="4351">
          <cell r="E4351" t="str">
            <v>HGC-Lib-2456029</v>
          </cell>
          <cell r="F4351" t="str">
            <v>NGS0324035-87</v>
          </cell>
          <cell r="G4351">
            <v>6</v>
          </cell>
          <cell r="H4351" t="str">
            <v>mRNA文库</v>
          </cell>
          <cell r="I4351" t="str">
            <v>WWH</v>
          </cell>
          <cell r="J4351">
            <v>29.4</v>
          </cell>
          <cell r="N4351" t="e">
            <v>#DIV/0!</v>
          </cell>
        </row>
        <row r="4352">
          <cell r="E4352" t="str">
            <v>HGC-Lib-2456030</v>
          </cell>
          <cell r="F4352" t="str">
            <v>NGS0324035-88</v>
          </cell>
          <cell r="G4352">
            <v>6</v>
          </cell>
          <cell r="H4352" t="str">
            <v>mRNA文库</v>
          </cell>
          <cell r="I4352" t="str">
            <v>WWH</v>
          </cell>
          <cell r="J4352">
            <v>17.899999999999999</v>
          </cell>
          <cell r="N4352" t="e">
            <v>#DIV/0!</v>
          </cell>
        </row>
        <row r="4353">
          <cell r="E4353" t="str">
            <v>HGC-Lib-2456031</v>
          </cell>
          <cell r="F4353" t="str">
            <v>NGS0324035-89</v>
          </cell>
          <cell r="G4353">
            <v>6</v>
          </cell>
          <cell r="H4353" t="str">
            <v>mRNA文库</v>
          </cell>
          <cell r="I4353" t="str">
            <v>WWH</v>
          </cell>
          <cell r="J4353">
            <v>21</v>
          </cell>
          <cell r="N4353" t="e">
            <v>#DIV/0!</v>
          </cell>
        </row>
        <row r="4354">
          <cell r="E4354" t="str">
            <v>HGC-Lib-2456032</v>
          </cell>
          <cell r="F4354" t="str">
            <v>NGS0324035-90</v>
          </cell>
          <cell r="G4354">
            <v>6</v>
          </cell>
          <cell r="H4354" t="str">
            <v>mRNA文库</v>
          </cell>
          <cell r="I4354" t="str">
            <v>WWH</v>
          </cell>
          <cell r="J4354">
            <v>24.2</v>
          </cell>
          <cell r="N4354" t="e">
            <v>#DIV/0!</v>
          </cell>
        </row>
        <row r="4355">
          <cell r="E4355" t="str">
            <v>HGC-Lib-2456033</v>
          </cell>
          <cell r="F4355" t="str">
            <v>NGS0324035-91</v>
          </cell>
          <cell r="G4355">
            <v>6</v>
          </cell>
          <cell r="H4355" t="str">
            <v>mRNA文库</v>
          </cell>
          <cell r="I4355" t="str">
            <v>WWH</v>
          </cell>
          <cell r="J4355">
            <v>16.899999999999999</v>
          </cell>
          <cell r="N4355" t="e">
            <v>#DIV/0!</v>
          </cell>
        </row>
        <row r="4356">
          <cell r="E4356" t="str">
            <v>HGC-Lib-2456034</v>
          </cell>
          <cell r="F4356" t="str">
            <v>NGS0324035-92</v>
          </cell>
          <cell r="G4356">
            <v>6</v>
          </cell>
          <cell r="H4356" t="str">
            <v>mRNA文库</v>
          </cell>
          <cell r="I4356" t="str">
            <v>WWH</v>
          </cell>
          <cell r="J4356">
            <v>21</v>
          </cell>
          <cell r="N4356" t="e">
            <v>#DIV/0!</v>
          </cell>
        </row>
        <row r="4357">
          <cell r="E4357" t="str">
            <v>HGC-Lib-2456035</v>
          </cell>
          <cell r="F4357" t="str">
            <v>NGS0324035-93</v>
          </cell>
          <cell r="G4357">
            <v>6</v>
          </cell>
          <cell r="H4357" t="str">
            <v>mRNA文库</v>
          </cell>
          <cell r="I4357" t="str">
            <v>WWH</v>
          </cell>
          <cell r="J4357">
            <v>4.0999999999999996</v>
          </cell>
          <cell r="N4357" t="e">
            <v>#DIV/0!</v>
          </cell>
        </row>
        <row r="4358">
          <cell r="E4358" t="str">
            <v>HGC-Lib-2456036</v>
          </cell>
          <cell r="F4358" t="str">
            <v>NGS0324035-94</v>
          </cell>
          <cell r="G4358">
            <v>6</v>
          </cell>
          <cell r="H4358" t="str">
            <v>mRNA文库</v>
          </cell>
          <cell r="I4358" t="str">
            <v>WWH</v>
          </cell>
          <cell r="J4358">
            <v>18.100000000000001</v>
          </cell>
          <cell r="N4358" t="e">
            <v>#DIV/0!</v>
          </cell>
        </row>
        <row r="4359">
          <cell r="E4359" t="str">
            <v>HGC-Lib-2456037</v>
          </cell>
          <cell r="F4359" t="str">
            <v>NGS0324035-95</v>
          </cell>
          <cell r="G4359">
            <v>6</v>
          </cell>
          <cell r="H4359" t="str">
            <v>mRNA文库</v>
          </cell>
          <cell r="I4359" t="str">
            <v>WWH</v>
          </cell>
          <cell r="J4359">
            <v>16.100000000000001</v>
          </cell>
          <cell r="N4359" t="e">
            <v>#DIV/0!</v>
          </cell>
        </row>
        <row r="4360">
          <cell r="E4360" t="str">
            <v>HGC-Lib-2456038</v>
          </cell>
          <cell r="F4360" t="str">
            <v>NGS0324035-97</v>
          </cell>
          <cell r="G4360">
            <v>6</v>
          </cell>
          <cell r="H4360" t="str">
            <v>mRNA文库</v>
          </cell>
          <cell r="I4360" t="str">
            <v>WWH</v>
          </cell>
          <cell r="J4360">
            <v>24.2</v>
          </cell>
          <cell r="N4360" t="e">
            <v>#DIV/0!</v>
          </cell>
        </row>
        <row r="4361">
          <cell r="E4361" t="str">
            <v>HGC-Lib-2456039</v>
          </cell>
          <cell r="F4361" t="str">
            <v>NGS0324035-98</v>
          </cell>
          <cell r="G4361">
            <v>6</v>
          </cell>
          <cell r="H4361" t="str">
            <v>mRNA文库</v>
          </cell>
          <cell r="I4361" t="str">
            <v>XCL</v>
          </cell>
          <cell r="J4361">
            <v>23.8</v>
          </cell>
          <cell r="N4361" t="e">
            <v>#DIV/0!</v>
          </cell>
        </row>
        <row r="4362">
          <cell r="E4362" t="str">
            <v>HGC-Lib-2456040</v>
          </cell>
          <cell r="F4362" t="str">
            <v>NGS0324035-99</v>
          </cell>
          <cell r="G4362">
            <v>6</v>
          </cell>
          <cell r="H4362" t="str">
            <v>mRNA文库</v>
          </cell>
          <cell r="I4362" t="str">
            <v>XCL</v>
          </cell>
          <cell r="J4362">
            <v>22</v>
          </cell>
          <cell r="N4362" t="e">
            <v>#DIV/0!</v>
          </cell>
        </row>
        <row r="4363">
          <cell r="E4363" t="str">
            <v>HGC-Lib-2456041</v>
          </cell>
          <cell r="F4363" t="str">
            <v>NGS0324035-100</v>
          </cell>
          <cell r="G4363">
            <v>6</v>
          </cell>
          <cell r="H4363" t="str">
            <v>mRNA文库</v>
          </cell>
          <cell r="I4363" t="str">
            <v>XCL</v>
          </cell>
          <cell r="J4363">
            <v>8.9</v>
          </cell>
          <cell r="N4363" t="e">
            <v>#DIV/0!</v>
          </cell>
        </row>
        <row r="4364">
          <cell r="E4364" t="str">
            <v>HGC-Lib-2456042</v>
          </cell>
          <cell r="F4364" t="str">
            <v>NGS0324035-101</v>
          </cell>
          <cell r="G4364">
            <v>6</v>
          </cell>
          <cell r="H4364" t="str">
            <v>mRNA文库</v>
          </cell>
          <cell r="I4364" t="str">
            <v>XCL</v>
          </cell>
          <cell r="J4364">
            <v>29</v>
          </cell>
          <cell r="N4364" t="e">
            <v>#DIV/0!</v>
          </cell>
        </row>
        <row r="4365">
          <cell r="E4365" t="str">
            <v>HGC-Lib-2456043</v>
          </cell>
          <cell r="F4365" t="str">
            <v>NGS0324035-102</v>
          </cell>
          <cell r="G4365">
            <v>6</v>
          </cell>
          <cell r="H4365" t="str">
            <v>mRNA文库</v>
          </cell>
          <cell r="I4365" t="str">
            <v>XCL</v>
          </cell>
          <cell r="J4365">
            <v>18.7</v>
          </cell>
          <cell r="N4365" t="e">
            <v>#DIV/0!</v>
          </cell>
        </row>
        <row r="4366">
          <cell r="E4366" t="str">
            <v>HGC-Lib-2456044</v>
          </cell>
          <cell r="F4366" t="str">
            <v>NGS0324035-103</v>
          </cell>
          <cell r="G4366">
            <v>6</v>
          </cell>
          <cell r="H4366" t="str">
            <v>mRNA文库</v>
          </cell>
          <cell r="I4366" t="str">
            <v>XCL</v>
          </cell>
          <cell r="J4366">
            <v>21.2</v>
          </cell>
          <cell r="N4366" t="e">
            <v>#DIV/0!</v>
          </cell>
        </row>
        <row r="4367">
          <cell r="E4367" t="str">
            <v>HGC-Lib-2456045</v>
          </cell>
          <cell r="F4367" t="str">
            <v>NGS0324035-104</v>
          </cell>
          <cell r="G4367">
            <v>6</v>
          </cell>
          <cell r="H4367" t="str">
            <v>mRNA文库</v>
          </cell>
          <cell r="I4367" t="str">
            <v>XCL</v>
          </cell>
          <cell r="J4367">
            <v>26.2</v>
          </cell>
          <cell r="N4367" t="e">
            <v>#DIV/0!</v>
          </cell>
        </row>
        <row r="4368">
          <cell r="E4368" t="str">
            <v>HGC-Lib-2456046</v>
          </cell>
          <cell r="F4368" t="str">
            <v>NGS0324035-105</v>
          </cell>
          <cell r="G4368">
            <v>6</v>
          </cell>
          <cell r="H4368" t="str">
            <v>mRNA文库</v>
          </cell>
          <cell r="I4368" t="str">
            <v>XCL</v>
          </cell>
          <cell r="J4368">
            <v>31.8</v>
          </cell>
          <cell r="N4368" t="e">
            <v>#DIV/0!</v>
          </cell>
        </row>
        <row r="4369">
          <cell r="E4369" t="str">
            <v>HGC-Lib-2456047</v>
          </cell>
          <cell r="F4369" t="str">
            <v>NGS0324035-106</v>
          </cell>
          <cell r="G4369">
            <v>6</v>
          </cell>
          <cell r="H4369" t="str">
            <v>mRNA文库</v>
          </cell>
          <cell r="I4369" t="str">
            <v>XCL</v>
          </cell>
          <cell r="J4369">
            <v>35.4</v>
          </cell>
          <cell r="N4369" t="e">
            <v>#DIV/0!</v>
          </cell>
        </row>
        <row r="4370">
          <cell r="E4370" t="str">
            <v>HGC-Lib-2456048</v>
          </cell>
          <cell r="F4370" t="str">
            <v>NGS0324035-108</v>
          </cell>
          <cell r="G4370">
            <v>6</v>
          </cell>
          <cell r="H4370" t="str">
            <v>mRNA文库</v>
          </cell>
          <cell r="I4370" t="str">
            <v>XCL</v>
          </cell>
          <cell r="J4370">
            <v>11.2</v>
          </cell>
          <cell r="N4370" t="e">
            <v>#DIV/0!</v>
          </cell>
        </row>
        <row r="4371">
          <cell r="E4371" t="str">
            <v>HGC-Lib-2456049</v>
          </cell>
          <cell r="F4371" t="str">
            <v>NGS0324035-109</v>
          </cell>
          <cell r="G4371">
            <v>6</v>
          </cell>
          <cell r="H4371" t="str">
            <v>mRNA文库</v>
          </cell>
          <cell r="I4371" t="str">
            <v>XCL</v>
          </cell>
          <cell r="J4371">
            <v>24</v>
          </cell>
          <cell r="N4371" t="e">
            <v>#DIV/0!</v>
          </cell>
        </row>
        <row r="4372">
          <cell r="E4372" t="str">
            <v>HGC-Lib-2456050</v>
          </cell>
          <cell r="F4372" t="str">
            <v>NGS0324035-110</v>
          </cell>
          <cell r="G4372">
            <v>6</v>
          </cell>
          <cell r="H4372" t="str">
            <v>mRNA文库</v>
          </cell>
          <cell r="I4372" t="str">
            <v>XCL</v>
          </cell>
          <cell r="J4372">
            <v>11.5</v>
          </cell>
          <cell r="N4372" t="e">
            <v>#DIV/0!</v>
          </cell>
        </row>
        <row r="4373">
          <cell r="E4373" t="str">
            <v>HGC-Lib-2456051</v>
          </cell>
          <cell r="F4373" t="str">
            <v>NGS0324035-111</v>
          </cell>
          <cell r="G4373">
            <v>6</v>
          </cell>
          <cell r="H4373" t="str">
            <v>mRNA文库</v>
          </cell>
          <cell r="I4373" t="str">
            <v>XCL</v>
          </cell>
          <cell r="J4373">
            <v>44.2</v>
          </cell>
          <cell r="N4373" t="e">
            <v>#DIV/0!</v>
          </cell>
        </row>
        <row r="4374">
          <cell r="E4374" t="str">
            <v>HGC-Lib-2456052</v>
          </cell>
          <cell r="F4374" t="str">
            <v>NGS0324035-112</v>
          </cell>
          <cell r="G4374">
            <v>6</v>
          </cell>
          <cell r="H4374" t="str">
            <v>mRNA文库</v>
          </cell>
          <cell r="I4374" t="str">
            <v>XCL</v>
          </cell>
          <cell r="J4374">
            <v>10.9</v>
          </cell>
          <cell r="N4374" t="e">
            <v>#DIV/0!</v>
          </cell>
        </row>
        <row r="4375">
          <cell r="E4375" t="str">
            <v>HGC-Lib-2456053</v>
          </cell>
          <cell r="F4375" t="str">
            <v>NGS0324035-113</v>
          </cell>
          <cell r="G4375">
            <v>6</v>
          </cell>
          <cell r="H4375" t="str">
            <v>mRNA文库</v>
          </cell>
          <cell r="I4375" t="str">
            <v>XCL</v>
          </cell>
          <cell r="J4375">
            <v>37</v>
          </cell>
          <cell r="N4375" t="e">
            <v>#DIV/0!</v>
          </cell>
        </row>
        <row r="4376">
          <cell r="E4376" t="str">
            <v>HGC-Lib-2456054</v>
          </cell>
          <cell r="F4376" t="str">
            <v>NGS0324035-114</v>
          </cell>
          <cell r="G4376">
            <v>6</v>
          </cell>
          <cell r="H4376" t="str">
            <v>mRNA文库</v>
          </cell>
          <cell r="I4376" t="str">
            <v>XCL</v>
          </cell>
          <cell r="J4376">
            <v>35.799999999999997</v>
          </cell>
          <cell r="N4376" t="e">
            <v>#DIV/0!</v>
          </cell>
        </row>
        <row r="4377">
          <cell r="E4377" t="str">
            <v>HGC-Lib-2456055</v>
          </cell>
          <cell r="F4377" t="str">
            <v>NGS0324035-115</v>
          </cell>
          <cell r="G4377">
            <v>6</v>
          </cell>
          <cell r="H4377" t="str">
            <v>mRNA文库</v>
          </cell>
          <cell r="I4377" t="str">
            <v>XCL</v>
          </cell>
          <cell r="J4377">
            <v>36.4</v>
          </cell>
          <cell r="N4377" t="e">
            <v>#DIV/0!</v>
          </cell>
        </row>
        <row r="4378">
          <cell r="E4378" t="str">
            <v>HGC-Lib-2456056</v>
          </cell>
          <cell r="F4378" t="str">
            <v>NGS0324035-116</v>
          </cell>
          <cell r="G4378">
            <v>6</v>
          </cell>
          <cell r="H4378" t="str">
            <v>mRNA文库</v>
          </cell>
          <cell r="I4378" t="str">
            <v>XCL</v>
          </cell>
          <cell r="J4378">
            <v>32.799999999999997</v>
          </cell>
          <cell r="N4378" t="e">
            <v>#DIV/0!</v>
          </cell>
        </row>
        <row r="4379">
          <cell r="E4379" t="str">
            <v>HGC-Lib-2456057</v>
          </cell>
          <cell r="F4379" t="str">
            <v>NGS0324035-117</v>
          </cell>
          <cell r="G4379">
            <v>6</v>
          </cell>
          <cell r="H4379" t="str">
            <v>mRNA文库</v>
          </cell>
          <cell r="I4379" t="str">
            <v>XCL</v>
          </cell>
          <cell r="J4379">
            <v>44</v>
          </cell>
          <cell r="N4379" t="e">
            <v>#DIV/0!</v>
          </cell>
        </row>
        <row r="4380">
          <cell r="E4380" t="str">
            <v>HGC-Lib-2456058</v>
          </cell>
          <cell r="F4380" t="str">
            <v>NGS0324035-118</v>
          </cell>
          <cell r="G4380">
            <v>6</v>
          </cell>
          <cell r="H4380" t="str">
            <v>mRNA文库</v>
          </cell>
          <cell r="I4380" t="str">
            <v>XCL</v>
          </cell>
          <cell r="J4380">
            <v>23</v>
          </cell>
          <cell r="N4380" t="e">
            <v>#DIV/0!</v>
          </cell>
        </row>
        <row r="4381">
          <cell r="E4381" t="str">
            <v>HGC-Lib-2456059</v>
          </cell>
          <cell r="F4381" t="str">
            <v>NGS0324035-119</v>
          </cell>
          <cell r="G4381">
            <v>6</v>
          </cell>
          <cell r="H4381" t="str">
            <v>mRNA文库</v>
          </cell>
          <cell r="I4381" t="str">
            <v>XCL</v>
          </cell>
          <cell r="J4381">
            <v>30.2</v>
          </cell>
          <cell r="N4381" t="e">
            <v>#DIV/0!</v>
          </cell>
        </row>
        <row r="4382">
          <cell r="E4382" t="str">
            <v>HGC-Lib-2456060</v>
          </cell>
          <cell r="F4382" t="str">
            <v>NGS0324035-120</v>
          </cell>
          <cell r="G4382">
            <v>6</v>
          </cell>
          <cell r="H4382" t="str">
            <v>mRNA文库</v>
          </cell>
          <cell r="I4382" t="str">
            <v>XCL</v>
          </cell>
          <cell r="J4382">
            <v>32.4</v>
          </cell>
          <cell r="N4382" t="e">
            <v>#DIV/0!</v>
          </cell>
        </row>
        <row r="4383">
          <cell r="E4383" t="str">
            <v>HGC-Lib-2456061</v>
          </cell>
          <cell r="F4383" t="str">
            <v>NGS0324035-121</v>
          </cell>
          <cell r="G4383">
            <v>6</v>
          </cell>
          <cell r="H4383" t="str">
            <v>mRNA文库</v>
          </cell>
          <cell r="I4383" t="str">
            <v>XCL</v>
          </cell>
          <cell r="J4383">
            <v>35.799999999999997</v>
          </cell>
          <cell r="N4383" t="e">
            <v>#DIV/0!</v>
          </cell>
        </row>
        <row r="4384">
          <cell r="E4384" t="str">
            <v>HGC-Lib-2456062</v>
          </cell>
          <cell r="F4384" t="str">
            <v>NGS0324035-122</v>
          </cell>
          <cell r="G4384">
            <v>6</v>
          </cell>
          <cell r="H4384" t="str">
            <v>mRNA文库</v>
          </cell>
          <cell r="I4384" t="str">
            <v>XCL</v>
          </cell>
          <cell r="J4384">
            <v>40</v>
          </cell>
          <cell r="N4384" t="e">
            <v>#DIV/0!</v>
          </cell>
        </row>
        <row r="4385">
          <cell r="E4385" t="str">
            <v>HGC-Lib-2456063</v>
          </cell>
          <cell r="F4385" t="str">
            <v>NGS0324035-123</v>
          </cell>
          <cell r="G4385">
            <v>6</v>
          </cell>
          <cell r="H4385" t="str">
            <v>mRNA文库</v>
          </cell>
          <cell r="I4385" t="str">
            <v>XCL</v>
          </cell>
          <cell r="J4385">
            <v>45</v>
          </cell>
          <cell r="N4385" t="e">
            <v>#DIV/0!</v>
          </cell>
        </row>
        <row r="4386">
          <cell r="E4386" t="str">
            <v>HGC-Lib-2456064</v>
          </cell>
          <cell r="F4386" t="str">
            <v>NGS0324035-124</v>
          </cell>
          <cell r="G4386">
            <v>6</v>
          </cell>
          <cell r="H4386" t="str">
            <v>mRNA文库</v>
          </cell>
          <cell r="I4386" t="str">
            <v>XCL</v>
          </cell>
          <cell r="J4386">
            <v>32.200000000000003</v>
          </cell>
          <cell r="N4386" t="e">
            <v>#DIV/0!</v>
          </cell>
        </row>
        <row r="4387">
          <cell r="E4387" t="str">
            <v>HGC-Lib-2456065</v>
          </cell>
          <cell r="F4387" t="str">
            <v>NGS0324035-125</v>
          </cell>
          <cell r="G4387">
            <v>6</v>
          </cell>
          <cell r="H4387" t="str">
            <v>mRNA文库</v>
          </cell>
          <cell r="I4387" t="str">
            <v>XCL</v>
          </cell>
          <cell r="J4387">
            <v>20.2</v>
          </cell>
          <cell r="N4387" t="e">
            <v>#DIV/0!</v>
          </cell>
        </row>
        <row r="4388">
          <cell r="E4388" t="str">
            <v>HGC-Lib-2456066</v>
          </cell>
          <cell r="F4388" t="str">
            <v>NGS0324035-127</v>
          </cell>
          <cell r="G4388">
            <v>6</v>
          </cell>
          <cell r="H4388" t="str">
            <v>mRNA文库</v>
          </cell>
          <cell r="I4388" t="str">
            <v>XCL</v>
          </cell>
          <cell r="J4388">
            <v>17.2</v>
          </cell>
          <cell r="N4388" t="e">
            <v>#DIV/0!</v>
          </cell>
        </row>
        <row r="4389">
          <cell r="E4389" t="str">
            <v>HGC-Lib-2456067</v>
          </cell>
          <cell r="F4389" t="str">
            <v>NGS0324035-128</v>
          </cell>
          <cell r="G4389">
            <v>6</v>
          </cell>
          <cell r="H4389" t="str">
            <v>mRNA文库</v>
          </cell>
          <cell r="I4389" t="str">
            <v>XCL</v>
          </cell>
          <cell r="J4389">
            <v>18.8</v>
          </cell>
          <cell r="N4389" t="e">
            <v>#DIV/0!</v>
          </cell>
        </row>
        <row r="4390">
          <cell r="E4390" t="str">
            <v>HGC-Lib-2456068</v>
          </cell>
          <cell r="F4390" t="str">
            <v>NGS0324035-129</v>
          </cell>
          <cell r="G4390">
            <v>6</v>
          </cell>
          <cell r="H4390" t="str">
            <v>mRNA文库</v>
          </cell>
          <cell r="I4390" t="str">
            <v>XCL</v>
          </cell>
          <cell r="J4390">
            <v>32.799999999999997</v>
          </cell>
          <cell r="N4390" t="e">
            <v>#DIV/0!</v>
          </cell>
        </row>
        <row r="4391">
          <cell r="E4391" t="str">
            <v>HGC-Lib-2456069</v>
          </cell>
          <cell r="F4391" t="str">
            <v>NGS0324035-130</v>
          </cell>
          <cell r="G4391">
            <v>6</v>
          </cell>
          <cell r="H4391" t="str">
            <v>mRNA文库</v>
          </cell>
          <cell r="I4391" t="str">
            <v>XCL</v>
          </cell>
          <cell r="J4391">
            <v>28.8</v>
          </cell>
          <cell r="N4391" t="e">
            <v>#DIV/0!</v>
          </cell>
        </row>
        <row r="4392">
          <cell r="E4392" t="str">
            <v>HGC-Lib-2456070</v>
          </cell>
          <cell r="F4392" t="str">
            <v>NGS0324035-131</v>
          </cell>
          <cell r="G4392">
            <v>6</v>
          </cell>
          <cell r="H4392" t="str">
            <v>mRNA文库</v>
          </cell>
          <cell r="I4392" t="str">
            <v>XCL</v>
          </cell>
          <cell r="J4392">
            <v>34.799999999999997</v>
          </cell>
          <cell r="N4392" t="e">
            <v>#DIV/0!</v>
          </cell>
        </row>
        <row r="4393">
          <cell r="E4393" t="str">
            <v>HGC-Lib-2456071</v>
          </cell>
          <cell r="F4393" t="str">
            <v>NGS0324035-132</v>
          </cell>
          <cell r="G4393">
            <v>6</v>
          </cell>
          <cell r="H4393" t="str">
            <v>mRNA文库</v>
          </cell>
          <cell r="I4393" t="str">
            <v>XCL</v>
          </cell>
          <cell r="J4393">
            <v>27</v>
          </cell>
          <cell r="N4393" t="e">
            <v>#DIV/0!</v>
          </cell>
        </row>
        <row r="4394">
          <cell r="E4394" t="str">
            <v>HGC-Lib-2456072</v>
          </cell>
          <cell r="F4394" t="str">
            <v>NGS0324035-133</v>
          </cell>
          <cell r="G4394">
            <v>6</v>
          </cell>
          <cell r="H4394" t="str">
            <v>mRNA文库</v>
          </cell>
          <cell r="I4394" t="str">
            <v>XCL</v>
          </cell>
          <cell r="J4394">
            <v>35.799999999999997</v>
          </cell>
          <cell r="N4394" t="e">
            <v>#DIV/0!</v>
          </cell>
        </row>
        <row r="4395">
          <cell r="E4395" t="str">
            <v>HGC-Lib-2456073</v>
          </cell>
          <cell r="F4395" t="str">
            <v>NGS0324035-134</v>
          </cell>
          <cell r="G4395">
            <v>6</v>
          </cell>
          <cell r="H4395" t="str">
            <v>mRNA文库</v>
          </cell>
          <cell r="I4395" t="str">
            <v>XCL</v>
          </cell>
          <cell r="J4395">
            <v>14.2</v>
          </cell>
          <cell r="N4395" t="e">
            <v>#DIV/0!</v>
          </cell>
        </row>
        <row r="4396">
          <cell r="E4396" t="str">
            <v>HGC-Lib-2456074</v>
          </cell>
          <cell r="F4396" t="str">
            <v>NGS0324035-135</v>
          </cell>
          <cell r="G4396">
            <v>6</v>
          </cell>
          <cell r="H4396" t="str">
            <v>mRNA文库</v>
          </cell>
          <cell r="I4396" t="str">
            <v>XCL</v>
          </cell>
          <cell r="J4396">
            <v>8.4600000000000009</v>
          </cell>
          <cell r="N4396" t="e">
            <v>#DIV/0!</v>
          </cell>
        </row>
        <row r="4397">
          <cell r="E4397" t="str">
            <v>HGC-Lib-2456075</v>
          </cell>
          <cell r="F4397" t="str">
            <v>NGS0324035-136</v>
          </cell>
          <cell r="G4397">
            <v>6</v>
          </cell>
          <cell r="H4397" t="str">
            <v>mRNA文库</v>
          </cell>
          <cell r="I4397" t="str">
            <v>XCL</v>
          </cell>
          <cell r="J4397">
            <v>18.5</v>
          </cell>
          <cell r="N4397" t="e">
            <v>#DIV/0!</v>
          </cell>
        </row>
        <row r="4398">
          <cell r="E4398" t="str">
            <v>HGC-Lib-2456076</v>
          </cell>
          <cell r="F4398" t="str">
            <v>NGS0324035-137</v>
          </cell>
          <cell r="G4398">
            <v>6</v>
          </cell>
          <cell r="H4398" t="str">
            <v>mRNA文库</v>
          </cell>
          <cell r="I4398" t="str">
            <v>XCL</v>
          </cell>
          <cell r="J4398">
            <v>19.8</v>
          </cell>
          <cell r="N4398" t="e">
            <v>#DIV/0!</v>
          </cell>
        </row>
        <row r="4399">
          <cell r="E4399" t="str">
            <v>HGC-Lib-2456077</v>
          </cell>
          <cell r="F4399" t="str">
            <v>NGS0324035-138</v>
          </cell>
          <cell r="G4399">
            <v>6</v>
          </cell>
          <cell r="H4399" t="str">
            <v>mRNA文库</v>
          </cell>
          <cell r="I4399" t="str">
            <v>XCL</v>
          </cell>
          <cell r="J4399">
            <v>35</v>
          </cell>
          <cell r="N4399" t="e">
            <v>#DIV/0!</v>
          </cell>
        </row>
        <row r="4400">
          <cell r="E4400" t="str">
            <v>HGC-Lib-2456078</v>
          </cell>
          <cell r="F4400" t="str">
            <v>NGS0324035-139</v>
          </cell>
          <cell r="G4400">
            <v>6</v>
          </cell>
          <cell r="H4400" t="str">
            <v>mRNA文库</v>
          </cell>
          <cell r="I4400" t="str">
            <v>XCL</v>
          </cell>
          <cell r="J4400">
            <v>33</v>
          </cell>
          <cell r="N4400" t="e">
            <v>#DIV/0!</v>
          </cell>
        </row>
        <row r="4401">
          <cell r="E4401" t="str">
            <v>HGC-Lib-2456079</v>
          </cell>
          <cell r="F4401" t="str">
            <v>NGS0324035-140</v>
          </cell>
          <cell r="G4401">
            <v>6</v>
          </cell>
          <cell r="H4401" t="str">
            <v>mRNA文库</v>
          </cell>
          <cell r="I4401" t="str">
            <v>XCL</v>
          </cell>
          <cell r="J4401">
            <v>37.200000000000003</v>
          </cell>
          <cell r="N4401" t="e">
            <v>#DIV/0!</v>
          </cell>
        </row>
        <row r="4402">
          <cell r="E4402" t="str">
            <v>HGC-Lib-2456080</v>
          </cell>
          <cell r="F4402" t="str">
            <v>NGS0324035-141</v>
          </cell>
          <cell r="G4402">
            <v>6</v>
          </cell>
          <cell r="H4402" t="str">
            <v>mRNA文库</v>
          </cell>
          <cell r="I4402" t="str">
            <v>XCL</v>
          </cell>
          <cell r="J4402">
            <v>33</v>
          </cell>
          <cell r="N4402" t="e">
            <v>#DIV/0!</v>
          </cell>
        </row>
        <row r="4403">
          <cell r="E4403" t="str">
            <v>HGC-Lib-2456081</v>
          </cell>
          <cell r="F4403" t="str">
            <v>NGS0324035-142</v>
          </cell>
          <cell r="G4403">
            <v>6</v>
          </cell>
          <cell r="H4403" t="str">
            <v>mRNA文库</v>
          </cell>
          <cell r="I4403" t="str">
            <v>XCL</v>
          </cell>
          <cell r="J4403">
            <v>16.399999999999999</v>
          </cell>
          <cell r="N4403" t="e">
            <v>#DIV/0!</v>
          </cell>
        </row>
        <row r="4404">
          <cell r="E4404" t="str">
            <v>HGC-Lib-2456082</v>
          </cell>
          <cell r="F4404" t="str">
            <v>NGS0324035-143</v>
          </cell>
          <cell r="G4404">
            <v>6</v>
          </cell>
          <cell r="H4404" t="str">
            <v>mRNA文库</v>
          </cell>
          <cell r="I4404" t="str">
            <v>XCL</v>
          </cell>
          <cell r="J4404">
            <v>24.8</v>
          </cell>
          <cell r="N4404" t="e">
            <v>#DIV/0!</v>
          </cell>
        </row>
        <row r="4405">
          <cell r="E4405" t="str">
            <v>HGC-Lib-2456083</v>
          </cell>
          <cell r="F4405" t="str">
            <v>NGS0324035-144</v>
          </cell>
          <cell r="G4405">
            <v>6</v>
          </cell>
          <cell r="H4405" t="str">
            <v>mRNA文库</v>
          </cell>
          <cell r="I4405" t="str">
            <v>XCL</v>
          </cell>
          <cell r="J4405">
            <v>29.8</v>
          </cell>
          <cell r="N4405" t="e">
            <v>#DIV/0!</v>
          </cell>
        </row>
        <row r="4406">
          <cell r="E4406" t="str">
            <v>HGC-Lib-2456084</v>
          </cell>
          <cell r="F4406" t="str">
            <v>NGS0324035-145</v>
          </cell>
          <cell r="G4406">
            <v>6</v>
          </cell>
          <cell r="H4406" t="str">
            <v>mRNA文库</v>
          </cell>
          <cell r="I4406" t="str">
            <v>XCL</v>
          </cell>
          <cell r="J4406">
            <v>19.2</v>
          </cell>
          <cell r="N4406" t="e">
            <v>#DIV/0!</v>
          </cell>
        </row>
        <row r="4407">
          <cell r="E4407" t="str">
            <v>HGC-Lib-2456085</v>
          </cell>
          <cell r="F4407" t="str">
            <v>NGS0324035-146</v>
          </cell>
          <cell r="G4407">
            <v>6</v>
          </cell>
          <cell r="H4407" t="str">
            <v>mRNA文库</v>
          </cell>
          <cell r="I4407" t="str">
            <v>XCL</v>
          </cell>
          <cell r="J4407">
            <v>32.799999999999997</v>
          </cell>
          <cell r="N4407" t="e">
            <v>#DIV/0!</v>
          </cell>
        </row>
        <row r="4408">
          <cell r="E4408" t="str">
            <v>HGC-Lib-2456086</v>
          </cell>
          <cell r="F4408" t="str">
            <v>NGS0324035-147</v>
          </cell>
          <cell r="G4408">
            <v>6</v>
          </cell>
          <cell r="H4408" t="str">
            <v>mRNA文库</v>
          </cell>
          <cell r="I4408" t="str">
            <v>XCL</v>
          </cell>
          <cell r="J4408">
            <v>28</v>
          </cell>
          <cell r="N4408" t="e">
            <v>#DIV/0!</v>
          </cell>
        </row>
        <row r="4409">
          <cell r="E4409" t="str">
            <v>HGC-Lib-2456087</v>
          </cell>
          <cell r="F4409" t="str">
            <v>NGS0324035-148</v>
          </cell>
          <cell r="G4409">
            <v>6</v>
          </cell>
          <cell r="H4409" t="str">
            <v>mRNA文库</v>
          </cell>
          <cell r="I4409" t="str">
            <v>WWH</v>
          </cell>
          <cell r="J4409">
            <v>23.6</v>
          </cell>
          <cell r="N4409" t="e">
            <v>#DIV/0!</v>
          </cell>
        </row>
        <row r="4410">
          <cell r="E4410" t="str">
            <v>HGC-Lib-2456088</v>
          </cell>
          <cell r="F4410" t="str">
            <v>NGS0324035-149</v>
          </cell>
          <cell r="G4410">
            <v>6</v>
          </cell>
          <cell r="H4410" t="str">
            <v>mRNA文库</v>
          </cell>
          <cell r="I4410" t="str">
            <v>WWH</v>
          </cell>
          <cell r="J4410">
            <v>28.8</v>
          </cell>
          <cell r="N4410" t="e">
            <v>#DIV/0!</v>
          </cell>
        </row>
        <row r="4411">
          <cell r="E4411" t="str">
            <v>HGC-Lib-2456089</v>
          </cell>
          <cell r="F4411" t="str">
            <v>NGS0324035-150</v>
          </cell>
          <cell r="G4411">
            <v>6</v>
          </cell>
          <cell r="H4411" t="str">
            <v>mRNA文库</v>
          </cell>
          <cell r="I4411" t="str">
            <v>WWH</v>
          </cell>
          <cell r="J4411">
            <v>31.6</v>
          </cell>
          <cell r="N4411" t="e">
            <v>#DIV/0!</v>
          </cell>
        </row>
        <row r="4412">
          <cell r="E4412" t="str">
            <v>HGC-Lib-2456090</v>
          </cell>
          <cell r="F4412" t="str">
            <v>NGS0324035-151</v>
          </cell>
          <cell r="G4412">
            <v>6</v>
          </cell>
          <cell r="H4412" t="str">
            <v>mRNA文库</v>
          </cell>
          <cell r="I4412" t="str">
            <v>WWH</v>
          </cell>
          <cell r="J4412">
            <v>20.6</v>
          </cell>
          <cell r="N4412" t="e">
            <v>#DIV/0!</v>
          </cell>
        </row>
        <row r="4413">
          <cell r="E4413" t="str">
            <v>HGC-Lib-2456091</v>
          </cell>
          <cell r="F4413" t="str">
            <v>NGS0324035-152</v>
          </cell>
          <cell r="G4413">
            <v>6</v>
          </cell>
          <cell r="H4413" t="str">
            <v>mRNA文库</v>
          </cell>
          <cell r="I4413" t="str">
            <v>WWH</v>
          </cell>
          <cell r="J4413">
            <v>9.6199999999999992</v>
          </cell>
          <cell r="N4413" t="e">
            <v>#DIV/0!</v>
          </cell>
        </row>
        <row r="4414">
          <cell r="E4414" t="str">
            <v>HGC-Lib-2456092</v>
          </cell>
          <cell r="F4414" t="str">
            <v>NGS0324035-153</v>
          </cell>
          <cell r="G4414">
            <v>6</v>
          </cell>
          <cell r="H4414" t="str">
            <v>mRNA文库</v>
          </cell>
          <cell r="I4414" t="str">
            <v>WWH</v>
          </cell>
          <cell r="J4414">
            <v>23.4</v>
          </cell>
          <cell r="N4414" t="e">
            <v>#DIV/0!</v>
          </cell>
        </row>
        <row r="4415">
          <cell r="E4415" t="str">
            <v>HGC-Lib-2456093</v>
          </cell>
          <cell r="F4415" t="str">
            <v>NGS0324035-154</v>
          </cell>
          <cell r="G4415">
            <v>6</v>
          </cell>
          <cell r="H4415" t="str">
            <v>mRNA文库</v>
          </cell>
          <cell r="I4415" t="str">
            <v>WWH</v>
          </cell>
          <cell r="J4415">
            <v>5.42</v>
          </cell>
          <cell r="N4415" t="e">
            <v>#DIV/0!</v>
          </cell>
        </row>
        <row r="4416">
          <cell r="E4416" t="str">
            <v>HGC-Lib-2456094</v>
          </cell>
          <cell r="F4416" t="str">
            <v>NGS0324035-155</v>
          </cell>
          <cell r="G4416">
            <v>6</v>
          </cell>
          <cell r="H4416" t="str">
            <v>mRNA文库</v>
          </cell>
          <cell r="I4416" t="str">
            <v>WWH</v>
          </cell>
          <cell r="J4416">
            <v>2.96</v>
          </cell>
          <cell r="N4416" t="e">
            <v>#DIV/0!</v>
          </cell>
        </row>
        <row r="4417">
          <cell r="E4417" t="str">
            <v>HGC-Lib-2456095</v>
          </cell>
          <cell r="F4417" t="str">
            <v>NGS0324035-156</v>
          </cell>
          <cell r="G4417">
            <v>6</v>
          </cell>
          <cell r="H4417" t="str">
            <v>mRNA文库</v>
          </cell>
          <cell r="I4417" t="str">
            <v>WWH</v>
          </cell>
          <cell r="J4417">
            <v>13.9</v>
          </cell>
          <cell r="N4417" t="e">
            <v>#DIV/0!</v>
          </cell>
        </row>
        <row r="4418">
          <cell r="E4418" t="str">
            <v>HGC-Lib-2456096</v>
          </cell>
          <cell r="F4418" t="str">
            <v>NGS0324035-157</v>
          </cell>
          <cell r="G4418">
            <v>6</v>
          </cell>
          <cell r="H4418" t="str">
            <v>mRNA文库</v>
          </cell>
          <cell r="I4418" t="str">
            <v>WWH</v>
          </cell>
          <cell r="J4418">
            <v>14.7</v>
          </cell>
          <cell r="N4418" t="e">
            <v>#DIV/0!</v>
          </cell>
        </row>
        <row r="4419">
          <cell r="E4419" t="str">
            <v>HGC-Lib-2456097</v>
          </cell>
          <cell r="F4419" t="str">
            <v>NGS0324035-158</v>
          </cell>
          <cell r="G4419">
            <v>6</v>
          </cell>
          <cell r="H4419" t="str">
            <v>mRNA文库</v>
          </cell>
          <cell r="I4419" t="str">
            <v>WWH</v>
          </cell>
          <cell r="J4419">
            <v>4.08</v>
          </cell>
          <cell r="N4419" t="e">
            <v>#DIV/0!</v>
          </cell>
        </row>
        <row r="4420">
          <cell r="E4420" t="str">
            <v>HGC-Lib-2456098</v>
          </cell>
          <cell r="F4420" t="str">
            <v>NGS0324035-159</v>
          </cell>
          <cell r="G4420">
            <v>6</v>
          </cell>
          <cell r="H4420" t="str">
            <v>mRNA文库</v>
          </cell>
          <cell r="I4420" t="str">
            <v>WWH</v>
          </cell>
          <cell r="J4420">
            <v>3.32</v>
          </cell>
          <cell r="N4420" t="e">
            <v>#DIV/0!</v>
          </cell>
        </row>
        <row r="4421">
          <cell r="E4421" t="str">
            <v>HGC-Lib-2456099</v>
          </cell>
          <cell r="F4421" t="str">
            <v>NGS0324035-160</v>
          </cell>
          <cell r="G4421">
            <v>6</v>
          </cell>
          <cell r="H4421" t="str">
            <v>mRNA文库</v>
          </cell>
          <cell r="I4421" t="str">
            <v>WWH</v>
          </cell>
          <cell r="J4421">
            <v>15.8</v>
          </cell>
          <cell r="N4421" t="e">
            <v>#DIV/0!</v>
          </cell>
        </row>
        <row r="4422">
          <cell r="E4422" t="str">
            <v>HGC-Lib-2456100</v>
          </cell>
          <cell r="F4422" t="str">
            <v>NGS0324035-161</v>
          </cell>
          <cell r="G4422">
            <v>6</v>
          </cell>
          <cell r="H4422" t="str">
            <v>mRNA文库</v>
          </cell>
          <cell r="I4422" t="str">
            <v>WWH</v>
          </cell>
          <cell r="J4422">
            <v>17.8</v>
          </cell>
          <cell r="N4422" t="e">
            <v>#DIV/0!</v>
          </cell>
        </row>
        <row r="4423">
          <cell r="E4423" t="str">
            <v>HGC-Lib-2456101</v>
          </cell>
          <cell r="F4423" t="str">
            <v>NGS0324035-162</v>
          </cell>
          <cell r="G4423">
            <v>6</v>
          </cell>
          <cell r="H4423" t="str">
            <v>mRNA文库</v>
          </cell>
          <cell r="I4423" t="str">
            <v>WWH</v>
          </cell>
          <cell r="J4423">
            <v>22.2</v>
          </cell>
          <cell r="N4423" t="e">
            <v>#DIV/0!</v>
          </cell>
        </row>
        <row r="4424">
          <cell r="E4424" t="str">
            <v>HGC-Lib-2456102</v>
          </cell>
          <cell r="F4424" t="str">
            <v>NGS0324035-163</v>
          </cell>
          <cell r="G4424">
            <v>6</v>
          </cell>
          <cell r="H4424" t="str">
            <v>mRNA文库</v>
          </cell>
          <cell r="I4424" t="str">
            <v>WWH</v>
          </cell>
          <cell r="J4424">
            <v>21.2</v>
          </cell>
          <cell r="N4424" t="e">
            <v>#DIV/0!</v>
          </cell>
        </row>
        <row r="4425">
          <cell r="E4425" t="str">
            <v>HGC-Lib-2456103</v>
          </cell>
          <cell r="F4425" t="str">
            <v>NGS0324035-164</v>
          </cell>
          <cell r="G4425">
            <v>6</v>
          </cell>
          <cell r="H4425" t="str">
            <v>mRNA文库</v>
          </cell>
          <cell r="I4425" t="str">
            <v>WWH</v>
          </cell>
          <cell r="J4425">
            <v>31.8</v>
          </cell>
          <cell r="N4425" t="e">
            <v>#DIV/0!</v>
          </cell>
        </row>
        <row r="4426">
          <cell r="E4426" t="str">
            <v>HGC-Lib-2456104</v>
          </cell>
          <cell r="F4426" t="str">
            <v>NGS0324035-165</v>
          </cell>
          <cell r="G4426">
            <v>6</v>
          </cell>
          <cell r="H4426" t="str">
            <v>mRNA文库</v>
          </cell>
          <cell r="I4426" t="str">
            <v>WWH</v>
          </cell>
          <cell r="J4426">
            <v>3.86</v>
          </cell>
          <cell r="N4426" t="e">
            <v>#DIV/0!</v>
          </cell>
        </row>
        <row r="4427">
          <cell r="E4427" t="str">
            <v>HGC-Lib-2456105</v>
          </cell>
          <cell r="F4427" t="str">
            <v>NGS0324035-166</v>
          </cell>
          <cell r="G4427">
            <v>6</v>
          </cell>
          <cell r="H4427" t="str">
            <v>mRNA文库</v>
          </cell>
          <cell r="I4427" t="str">
            <v>WWH</v>
          </cell>
          <cell r="J4427">
            <v>8.92</v>
          </cell>
          <cell r="N4427" t="e">
            <v>#DIV/0!</v>
          </cell>
        </row>
        <row r="4428">
          <cell r="E4428" t="str">
            <v>HGC-Lib-2456106</v>
          </cell>
          <cell r="F4428" t="str">
            <v>NGS0324035-167</v>
          </cell>
          <cell r="G4428">
            <v>6</v>
          </cell>
          <cell r="H4428" t="str">
            <v>mRNA文库</v>
          </cell>
          <cell r="I4428" t="str">
            <v>WWH</v>
          </cell>
          <cell r="J4428">
            <v>12.2</v>
          </cell>
          <cell r="N4428" t="e">
            <v>#DIV/0!</v>
          </cell>
        </row>
        <row r="4429">
          <cell r="E4429" t="str">
            <v>HGC-Lib-2456107</v>
          </cell>
          <cell r="F4429" t="str">
            <v>NGS0324035-168</v>
          </cell>
          <cell r="G4429">
            <v>6</v>
          </cell>
          <cell r="H4429" t="str">
            <v>mRNA文库</v>
          </cell>
          <cell r="I4429" t="str">
            <v>WWH</v>
          </cell>
          <cell r="J4429">
            <v>14.8</v>
          </cell>
          <cell r="N4429" t="e">
            <v>#DIV/0!</v>
          </cell>
        </row>
        <row r="4430">
          <cell r="E4430" t="str">
            <v>HGC-Lib-2456108</v>
          </cell>
          <cell r="F4430" t="str">
            <v>NGS0324035-169</v>
          </cell>
          <cell r="G4430">
            <v>6</v>
          </cell>
          <cell r="H4430" t="str">
            <v>mRNA文库</v>
          </cell>
          <cell r="I4430" t="str">
            <v>WWH</v>
          </cell>
          <cell r="J4430">
            <v>4.3</v>
          </cell>
          <cell r="N4430" t="e">
            <v>#DIV/0!</v>
          </cell>
        </row>
        <row r="4431">
          <cell r="E4431" t="str">
            <v>HGC-Lib-2456109</v>
          </cell>
          <cell r="F4431" t="str">
            <v>NGS0324035-170</v>
          </cell>
          <cell r="G4431">
            <v>6</v>
          </cell>
          <cell r="H4431" t="str">
            <v>mRNA文库</v>
          </cell>
          <cell r="I4431" t="str">
            <v>WWH</v>
          </cell>
          <cell r="J4431">
            <v>34.4</v>
          </cell>
          <cell r="N4431" t="e">
            <v>#DIV/0!</v>
          </cell>
        </row>
        <row r="4432">
          <cell r="E4432" t="str">
            <v>HGC-Lib-2456110</v>
          </cell>
          <cell r="F4432" t="str">
            <v>NGS0324035-171</v>
          </cell>
          <cell r="G4432">
            <v>6</v>
          </cell>
          <cell r="H4432" t="str">
            <v>mRNA文库</v>
          </cell>
          <cell r="I4432" t="str">
            <v>WWH</v>
          </cell>
          <cell r="J4432">
            <v>3.76</v>
          </cell>
          <cell r="N4432" t="e">
            <v>#DIV/0!</v>
          </cell>
        </row>
        <row r="4433">
          <cell r="E4433" t="str">
            <v>HGC-Lib-2456111</v>
          </cell>
          <cell r="F4433" t="str">
            <v>NGS0324035-172</v>
          </cell>
          <cell r="G4433">
            <v>6</v>
          </cell>
          <cell r="H4433" t="str">
            <v>mRNA文库</v>
          </cell>
          <cell r="I4433" t="str">
            <v>WWH</v>
          </cell>
          <cell r="J4433">
            <v>3.42</v>
          </cell>
          <cell r="N4433" t="e">
            <v>#DIV/0!</v>
          </cell>
        </row>
        <row r="4434">
          <cell r="E4434" t="str">
            <v>HGC-Lib-2456112</v>
          </cell>
          <cell r="F4434" t="str">
            <v>NGS0324035-173</v>
          </cell>
          <cell r="G4434">
            <v>6</v>
          </cell>
          <cell r="H4434" t="str">
            <v>mRNA文库</v>
          </cell>
          <cell r="I4434" t="str">
            <v>WWH</v>
          </cell>
          <cell r="J4434">
            <v>19.7</v>
          </cell>
          <cell r="N4434" t="e">
            <v>#DIV/0!</v>
          </cell>
        </row>
        <row r="4435">
          <cell r="E4435" t="str">
            <v>HGC-Lib-2456113</v>
          </cell>
          <cell r="F4435" t="str">
            <v>NGS0324035-174</v>
          </cell>
          <cell r="G4435">
            <v>6</v>
          </cell>
          <cell r="H4435" t="str">
            <v>mRNA文库</v>
          </cell>
          <cell r="I4435" t="str">
            <v>WWH</v>
          </cell>
          <cell r="J4435">
            <v>23.6</v>
          </cell>
          <cell r="N4435" t="e">
            <v>#DIV/0!</v>
          </cell>
        </row>
        <row r="4436">
          <cell r="E4436" t="str">
            <v>HGC-Lib-2456114</v>
          </cell>
          <cell r="F4436" t="str">
            <v>NGS0324035-175</v>
          </cell>
          <cell r="G4436">
            <v>6</v>
          </cell>
          <cell r="H4436" t="str">
            <v>mRNA文库</v>
          </cell>
          <cell r="I4436" t="str">
            <v>WWH</v>
          </cell>
          <cell r="J4436">
            <v>27.4</v>
          </cell>
          <cell r="N4436" t="e">
            <v>#DIV/0!</v>
          </cell>
        </row>
        <row r="4437">
          <cell r="E4437" t="str">
            <v>HGC-Lib-2456115</v>
          </cell>
          <cell r="F4437" t="str">
            <v>NGS0324035-176</v>
          </cell>
          <cell r="G4437">
            <v>6</v>
          </cell>
          <cell r="H4437" t="str">
            <v>mRNA文库</v>
          </cell>
          <cell r="I4437" t="str">
            <v>WWH</v>
          </cell>
          <cell r="J4437">
            <v>9.94</v>
          </cell>
          <cell r="N4437" t="e">
            <v>#DIV/0!</v>
          </cell>
        </row>
        <row r="4438">
          <cell r="E4438" t="str">
            <v>HGC-Lib-2456116</v>
          </cell>
          <cell r="F4438" t="str">
            <v>NGS0324035-177</v>
          </cell>
          <cell r="G4438">
            <v>6</v>
          </cell>
          <cell r="H4438" t="str">
            <v>mRNA文库</v>
          </cell>
          <cell r="I4438" t="str">
            <v>WWH</v>
          </cell>
          <cell r="J4438">
            <v>19</v>
          </cell>
          <cell r="N4438" t="e">
            <v>#DIV/0!</v>
          </cell>
        </row>
        <row r="4439">
          <cell r="E4439" t="str">
            <v>HGC-Lib-2456117</v>
          </cell>
          <cell r="F4439" t="str">
            <v>NGS0324035-178</v>
          </cell>
          <cell r="G4439">
            <v>6</v>
          </cell>
          <cell r="H4439" t="str">
            <v>mRNA文库</v>
          </cell>
          <cell r="I4439" t="str">
            <v>WWH</v>
          </cell>
          <cell r="J4439">
            <v>42.4</v>
          </cell>
          <cell r="N4439" t="e">
            <v>#DIV/0!</v>
          </cell>
        </row>
        <row r="4440">
          <cell r="E4440" t="str">
            <v>HGC-Lib-2456118</v>
          </cell>
          <cell r="F4440" t="str">
            <v>NGS0324035-179</v>
          </cell>
          <cell r="G4440">
            <v>6</v>
          </cell>
          <cell r="H4440" t="str">
            <v>mRNA文库</v>
          </cell>
          <cell r="I4440" t="str">
            <v>WWH</v>
          </cell>
          <cell r="J4440">
            <v>47.8</v>
          </cell>
          <cell r="N4440" t="e">
            <v>#DIV/0!</v>
          </cell>
        </row>
        <row r="4441">
          <cell r="E4441" t="str">
            <v>HGC-Lib-2456119</v>
          </cell>
          <cell r="F4441" t="str">
            <v>NGS0324035-180</v>
          </cell>
          <cell r="G4441">
            <v>6</v>
          </cell>
          <cell r="H4441" t="str">
            <v>mRNA文库</v>
          </cell>
          <cell r="I4441" t="str">
            <v>WWH</v>
          </cell>
          <cell r="J4441">
            <v>50.2</v>
          </cell>
          <cell r="N4441" t="e">
            <v>#DIV/0!</v>
          </cell>
        </row>
        <row r="4442">
          <cell r="E4442" t="str">
            <v>HGC-Lib-2456120</v>
          </cell>
          <cell r="F4442" t="str">
            <v>NGS0324035-181</v>
          </cell>
          <cell r="G4442">
            <v>6</v>
          </cell>
          <cell r="H4442" t="str">
            <v>mRNA文库</v>
          </cell>
          <cell r="I4442" t="str">
            <v>WWH</v>
          </cell>
          <cell r="J4442">
            <v>49</v>
          </cell>
          <cell r="N4442" t="e">
            <v>#DIV/0!</v>
          </cell>
        </row>
        <row r="4443">
          <cell r="E4443" t="str">
            <v>HGC-Lib-2456121</v>
          </cell>
          <cell r="F4443" t="str">
            <v>NGS0324035-182</v>
          </cell>
          <cell r="G4443">
            <v>6</v>
          </cell>
          <cell r="H4443" t="str">
            <v>mRNA文库</v>
          </cell>
          <cell r="I4443" t="str">
            <v>WWH</v>
          </cell>
          <cell r="J4443">
            <v>48.8</v>
          </cell>
          <cell r="N4443" t="e">
            <v>#DIV/0!</v>
          </cell>
        </row>
        <row r="4444">
          <cell r="E4444" t="str">
            <v>HGC-Lib-2456122</v>
          </cell>
          <cell r="F4444" t="str">
            <v>NGS0324035-183</v>
          </cell>
          <cell r="G4444">
            <v>6</v>
          </cell>
          <cell r="H4444" t="str">
            <v>mRNA文库</v>
          </cell>
          <cell r="I4444" t="str">
            <v>WWH</v>
          </cell>
          <cell r="J4444">
            <v>53</v>
          </cell>
          <cell r="N4444" t="e">
            <v>#DIV/0!</v>
          </cell>
        </row>
        <row r="4445">
          <cell r="E4445" t="str">
            <v>HGC-Lib-2456123</v>
          </cell>
          <cell r="F4445" t="str">
            <v>NGS0324035-184</v>
          </cell>
          <cell r="G4445">
            <v>6</v>
          </cell>
          <cell r="H4445" t="str">
            <v>mRNA文库</v>
          </cell>
          <cell r="I4445" t="str">
            <v>WWH</v>
          </cell>
          <cell r="J4445">
            <v>39.200000000000003</v>
          </cell>
          <cell r="N4445" t="e">
            <v>#DIV/0!</v>
          </cell>
        </row>
        <row r="4446">
          <cell r="E4446" t="str">
            <v>HGC-Lib-2456124</v>
          </cell>
          <cell r="F4446" t="str">
            <v>NGS0324035-185</v>
          </cell>
          <cell r="G4446">
            <v>6</v>
          </cell>
          <cell r="H4446" t="str">
            <v>mRNA文库</v>
          </cell>
          <cell r="I4446" t="str">
            <v>WWH</v>
          </cell>
          <cell r="J4446">
            <v>38.6</v>
          </cell>
          <cell r="N4446" t="e">
            <v>#DIV/0!</v>
          </cell>
        </row>
        <row r="4447">
          <cell r="E4447" t="str">
            <v>HGC-Lib-2456125</v>
          </cell>
          <cell r="F4447" t="str">
            <v>NGS0324035-186</v>
          </cell>
          <cell r="G4447">
            <v>6</v>
          </cell>
          <cell r="H4447" t="str">
            <v>mRNA文库</v>
          </cell>
          <cell r="I4447" t="str">
            <v>WWH</v>
          </cell>
          <cell r="J4447">
            <v>37.6</v>
          </cell>
          <cell r="N4447" t="e">
            <v>#DIV/0!</v>
          </cell>
        </row>
        <row r="4448">
          <cell r="E4448" t="str">
            <v>HGC-Lib-2456126</v>
          </cell>
          <cell r="F4448" t="str">
            <v>NGS0324035-187</v>
          </cell>
          <cell r="G4448">
            <v>6</v>
          </cell>
          <cell r="H4448" t="str">
            <v>mRNA文库</v>
          </cell>
          <cell r="I4448" t="str">
            <v>WWH</v>
          </cell>
          <cell r="J4448">
            <v>39.6</v>
          </cell>
          <cell r="N4448" t="e">
            <v>#DIV/0!</v>
          </cell>
        </row>
        <row r="4449">
          <cell r="E4449" t="str">
            <v>HGC-Lib-2456127</v>
          </cell>
          <cell r="F4449" t="str">
            <v>NGS0324035-188</v>
          </cell>
          <cell r="G4449">
            <v>6</v>
          </cell>
          <cell r="H4449" t="str">
            <v>mRNA文库</v>
          </cell>
          <cell r="I4449" t="str">
            <v>WWH</v>
          </cell>
          <cell r="J4449">
            <v>32.4</v>
          </cell>
          <cell r="N4449" t="e">
            <v>#DIV/0!</v>
          </cell>
        </row>
        <row r="4450">
          <cell r="E4450" t="str">
            <v>HGC-Lib-2456128</v>
          </cell>
          <cell r="F4450" t="str">
            <v>NGS0324035-189</v>
          </cell>
          <cell r="G4450">
            <v>6</v>
          </cell>
          <cell r="H4450" t="str">
            <v>mRNA文库</v>
          </cell>
          <cell r="I4450" t="str">
            <v>WWH</v>
          </cell>
          <cell r="J4450">
            <v>35.799999999999997</v>
          </cell>
          <cell r="N4450" t="e">
            <v>#DIV/0!</v>
          </cell>
        </row>
        <row r="4451">
          <cell r="E4451" t="str">
            <v>HGC-Lib-2456129</v>
          </cell>
          <cell r="F4451" t="str">
            <v>NGS0324035-190</v>
          </cell>
          <cell r="G4451">
            <v>6</v>
          </cell>
          <cell r="H4451" t="str">
            <v>mRNA文库</v>
          </cell>
          <cell r="I4451" t="str">
            <v>WWH</v>
          </cell>
          <cell r="J4451">
            <v>49.6</v>
          </cell>
          <cell r="N4451" t="e">
            <v>#DIV/0!</v>
          </cell>
        </row>
        <row r="4452">
          <cell r="E4452" t="str">
            <v>HGC-Lib-2456130</v>
          </cell>
          <cell r="F4452" t="str">
            <v>NGS0324035-191</v>
          </cell>
          <cell r="G4452">
            <v>6</v>
          </cell>
          <cell r="H4452" t="str">
            <v>mRNA文库</v>
          </cell>
          <cell r="I4452" t="str">
            <v>WWH</v>
          </cell>
          <cell r="J4452">
            <v>44.6</v>
          </cell>
          <cell r="N4452" t="e">
            <v>#DIV/0!</v>
          </cell>
        </row>
        <row r="4453">
          <cell r="E4453" t="str">
            <v>HGC-Lib-2456131</v>
          </cell>
          <cell r="F4453" t="str">
            <v>NGS0324035-192</v>
          </cell>
          <cell r="G4453">
            <v>6</v>
          </cell>
          <cell r="H4453" t="str">
            <v>mRNA文库</v>
          </cell>
          <cell r="I4453" t="str">
            <v>WWH</v>
          </cell>
          <cell r="J4453">
            <v>23.2</v>
          </cell>
          <cell r="N4453" t="e">
            <v>#DIV/0!</v>
          </cell>
        </row>
        <row r="4454">
          <cell r="E4454" t="str">
            <v>HGC-Lib-2456132</v>
          </cell>
          <cell r="F4454" t="str">
            <v>NGS0324035-193</v>
          </cell>
          <cell r="G4454">
            <v>6</v>
          </cell>
          <cell r="H4454" t="str">
            <v>mRNA文库</v>
          </cell>
          <cell r="I4454" t="str">
            <v>WWH</v>
          </cell>
          <cell r="J4454">
            <v>38.4</v>
          </cell>
          <cell r="N4454" t="e">
            <v>#DIV/0!</v>
          </cell>
        </row>
        <row r="4455">
          <cell r="E4455" t="str">
            <v>HGC-Lib-2456133</v>
          </cell>
          <cell r="F4455" t="str">
            <v>NGS0324035-194</v>
          </cell>
          <cell r="G4455">
            <v>6</v>
          </cell>
          <cell r="H4455" t="str">
            <v>mRNA文库</v>
          </cell>
          <cell r="I4455" t="str">
            <v>WWH</v>
          </cell>
          <cell r="J4455">
            <v>46.4</v>
          </cell>
          <cell r="N4455" t="e">
            <v>#DIV/0!</v>
          </cell>
        </row>
        <row r="4456">
          <cell r="E4456" t="str">
            <v>HGC-Lib-2456134</v>
          </cell>
          <cell r="F4456" t="str">
            <v>NGS0324035-195</v>
          </cell>
          <cell r="G4456">
            <v>6</v>
          </cell>
          <cell r="H4456" t="str">
            <v>mRNA文库</v>
          </cell>
          <cell r="I4456" t="str">
            <v>WWH</v>
          </cell>
          <cell r="J4456">
            <v>35.200000000000003</v>
          </cell>
          <cell r="N4456" t="e">
            <v>#DIV/0!</v>
          </cell>
        </row>
        <row r="4457">
          <cell r="E4457" t="str">
            <v>HGC-Lib-2456135</v>
          </cell>
          <cell r="F4457" t="str">
            <v>NGS0324035-196</v>
          </cell>
          <cell r="G4457">
            <v>6</v>
          </cell>
          <cell r="H4457" t="str">
            <v>mRNA文库</v>
          </cell>
          <cell r="I4457" t="str">
            <v>ZZ</v>
          </cell>
          <cell r="J4457">
            <v>18.399999999999999</v>
          </cell>
          <cell r="N4457" t="e">
            <v>#DIV/0!</v>
          </cell>
        </row>
        <row r="4458">
          <cell r="E4458" t="str">
            <v>HGC-Lib-2456136</v>
          </cell>
          <cell r="F4458" t="str">
            <v>NGS0324035-197</v>
          </cell>
          <cell r="G4458">
            <v>6</v>
          </cell>
          <cell r="H4458" t="str">
            <v>mRNA文库</v>
          </cell>
          <cell r="I4458" t="str">
            <v>ZZ</v>
          </cell>
          <cell r="J4458">
            <v>15.3</v>
          </cell>
          <cell r="N4458" t="e">
            <v>#DIV/0!</v>
          </cell>
        </row>
        <row r="4459">
          <cell r="E4459" t="str">
            <v>HGC-Lib-2456137</v>
          </cell>
          <cell r="F4459" t="str">
            <v>NGS0324035-198</v>
          </cell>
          <cell r="G4459">
            <v>6</v>
          </cell>
          <cell r="H4459" t="str">
            <v>mRNA文库</v>
          </cell>
          <cell r="I4459" t="str">
            <v>ZZ</v>
          </cell>
          <cell r="J4459">
            <v>24.4</v>
          </cell>
          <cell r="N4459" t="e">
            <v>#DIV/0!</v>
          </cell>
        </row>
        <row r="4460">
          <cell r="E4460" t="str">
            <v>HGC-Lib-2456138</v>
          </cell>
          <cell r="F4460" t="str">
            <v>NGS0324035-199</v>
          </cell>
          <cell r="G4460">
            <v>6</v>
          </cell>
          <cell r="H4460" t="str">
            <v>mRNA文库</v>
          </cell>
          <cell r="I4460" t="str">
            <v>ZZ</v>
          </cell>
          <cell r="J4460">
            <v>7.14</v>
          </cell>
          <cell r="N4460" t="e">
            <v>#DIV/0!</v>
          </cell>
        </row>
        <row r="4461">
          <cell r="E4461" t="str">
            <v>HGC-Lib-2456139</v>
          </cell>
          <cell r="F4461" t="str">
            <v>NGS0324035-200</v>
          </cell>
          <cell r="G4461">
            <v>6</v>
          </cell>
          <cell r="H4461" t="str">
            <v>mRNA文库</v>
          </cell>
          <cell r="I4461" t="str">
            <v>ZZ</v>
          </cell>
          <cell r="J4461">
            <v>5.32</v>
          </cell>
          <cell r="N4461" t="e">
            <v>#DIV/0!</v>
          </cell>
        </row>
        <row r="4462">
          <cell r="E4462" t="str">
            <v>HGC-Lib-2456140</v>
          </cell>
          <cell r="F4462" t="str">
            <v>NGS0224022-1</v>
          </cell>
          <cell r="G4462">
            <v>6</v>
          </cell>
          <cell r="H4462" t="str">
            <v>mRNA文库</v>
          </cell>
          <cell r="I4462" t="str">
            <v>ZZ</v>
          </cell>
          <cell r="J4462">
            <v>26.4</v>
          </cell>
          <cell r="N4462" t="e">
            <v>#DIV/0!</v>
          </cell>
        </row>
        <row r="4463">
          <cell r="E4463" t="str">
            <v>HGC-Lib-2456141</v>
          </cell>
          <cell r="F4463" t="str">
            <v>NGS0224022-2</v>
          </cell>
          <cell r="G4463">
            <v>6</v>
          </cell>
          <cell r="H4463" t="str">
            <v>mRNA文库</v>
          </cell>
          <cell r="I4463" t="str">
            <v>ZZ</v>
          </cell>
          <cell r="J4463">
            <v>18.399999999999999</v>
          </cell>
          <cell r="N4463" t="e">
            <v>#DIV/0!</v>
          </cell>
        </row>
        <row r="4464">
          <cell r="E4464" t="str">
            <v>HGC-Lib-2456142</v>
          </cell>
          <cell r="F4464" t="str">
            <v>NGS0224022-3</v>
          </cell>
          <cell r="G4464">
            <v>6</v>
          </cell>
          <cell r="H4464" t="str">
            <v>mRNA文库</v>
          </cell>
          <cell r="I4464" t="str">
            <v>ZZ</v>
          </cell>
          <cell r="J4464">
            <v>31.2</v>
          </cell>
          <cell r="N4464" t="e">
            <v>#DIV/0!</v>
          </cell>
        </row>
        <row r="4465">
          <cell r="E4465" t="str">
            <v>HGC-Lib-2456143</v>
          </cell>
          <cell r="F4465" t="str">
            <v>NGS0224022-4</v>
          </cell>
          <cell r="G4465">
            <v>6</v>
          </cell>
          <cell r="H4465" t="str">
            <v>mRNA文库</v>
          </cell>
          <cell r="I4465" t="str">
            <v>ZZ</v>
          </cell>
          <cell r="J4465">
            <v>26.8</v>
          </cell>
          <cell r="N4465" t="e">
            <v>#DIV/0!</v>
          </cell>
        </row>
        <row r="4466">
          <cell r="E4466" t="str">
            <v>HGC-Lib-2456144</v>
          </cell>
          <cell r="F4466" t="str">
            <v>NGS0224022-5</v>
          </cell>
          <cell r="G4466">
            <v>6</v>
          </cell>
          <cell r="H4466" t="str">
            <v>mRNA文库</v>
          </cell>
          <cell r="I4466" t="str">
            <v>ZZ</v>
          </cell>
          <cell r="J4466">
            <v>30</v>
          </cell>
          <cell r="N4466" t="e">
            <v>#DIV/0!</v>
          </cell>
        </row>
        <row r="4467">
          <cell r="E4467" t="str">
            <v>HGC-Lib-2456145</v>
          </cell>
          <cell r="F4467" t="str">
            <v>NGS0224022-6</v>
          </cell>
          <cell r="G4467">
            <v>6</v>
          </cell>
          <cell r="H4467" t="str">
            <v>mRNA文库</v>
          </cell>
          <cell r="I4467" t="str">
            <v>ZZ</v>
          </cell>
          <cell r="J4467">
            <v>35.200000000000003</v>
          </cell>
          <cell r="N4467" t="e">
            <v>#DIV/0!</v>
          </cell>
        </row>
        <row r="4468">
          <cell r="E4468" t="str">
            <v>HGC-Lib-2456146</v>
          </cell>
          <cell r="F4468" t="str">
            <v>NGS0224022-7</v>
          </cell>
          <cell r="G4468">
            <v>6</v>
          </cell>
          <cell r="H4468" t="str">
            <v>mRNA文库</v>
          </cell>
          <cell r="I4468" t="str">
            <v>ZZ</v>
          </cell>
          <cell r="J4468">
            <v>35</v>
          </cell>
          <cell r="N4468" t="e">
            <v>#DIV/0!</v>
          </cell>
        </row>
        <row r="4469">
          <cell r="E4469" t="str">
            <v>HGC-Lib-2456147</v>
          </cell>
          <cell r="F4469" t="str">
            <v>NGS0224022-8</v>
          </cell>
          <cell r="G4469">
            <v>6</v>
          </cell>
          <cell r="H4469" t="str">
            <v>mRNA文库</v>
          </cell>
          <cell r="I4469" t="str">
            <v>ZZ</v>
          </cell>
          <cell r="J4469">
            <v>26.8</v>
          </cell>
          <cell r="N4469" t="e">
            <v>#DIV/0!</v>
          </cell>
        </row>
        <row r="4470">
          <cell r="E4470" t="str">
            <v>HGC-Lib-2456148</v>
          </cell>
          <cell r="F4470" t="str">
            <v>NGS0224022-9</v>
          </cell>
          <cell r="G4470">
            <v>6</v>
          </cell>
          <cell r="H4470" t="str">
            <v>mRNA文库</v>
          </cell>
          <cell r="I4470" t="str">
            <v>ZZ</v>
          </cell>
          <cell r="J4470">
            <v>39.799999999999997</v>
          </cell>
          <cell r="N4470" t="e">
            <v>#DIV/0!</v>
          </cell>
        </row>
        <row r="4471">
          <cell r="E4471" t="str">
            <v>HGC-Lib-2456149</v>
          </cell>
          <cell r="F4471" t="str">
            <v>NGS0224022-10</v>
          </cell>
          <cell r="G4471">
            <v>6</v>
          </cell>
          <cell r="H4471" t="str">
            <v>mRNA文库</v>
          </cell>
          <cell r="I4471" t="str">
            <v>ZZ</v>
          </cell>
          <cell r="J4471">
            <v>32.799999999999997</v>
          </cell>
          <cell r="N4471" t="e">
            <v>#DIV/0!</v>
          </cell>
        </row>
        <row r="4472">
          <cell r="E4472" t="str">
            <v>HGC-Lib-2456150</v>
          </cell>
          <cell r="F4472" t="str">
            <v>NGS0224022-11</v>
          </cell>
          <cell r="G4472">
            <v>6</v>
          </cell>
          <cell r="H4472" t="str">
            <v>mRNA文库</v>
          </cell>
          <cell r="I4472" t="str">
            <v>ZZ</v>
          </cell>
          <cell r="J4472">
            <v>38.200000000000003</v>
          </cell>
          <cell r="N4472" t="e">
            <v>#DIV/0!</v>
          </cell>
        </row>
        <row r="4473">
          <cell r="E4473" t="str">
            <v>HGC-Lib-2456151</v>
          </cell>
          <cell r="F4473" t="str">
            <v>NGS0224022-12</v>
          </cell>
          <cell r="G4473">
            <v>6</v>
          </cell>
          <cell r="H4473" t="str">
            <v>mRNA文库</v>
          </cell>
          <cell r="I4473" t="str">
            <v>ZZ</v>
          </cell>
          <cell r="J4473">
            <v>43.6</v>
          </cell>
          <cell r="N4473" t="e">
            <v>#DIV/0!</v>
          </cell>
        </row>
        <row r="4474">
          <cell r="E4474" t="str">
            <v>HGC-Lib-2456152</v>
          </cell>
          <cell r="F4474" t="str">
            <v>NGS0224022-13</v>
          </cell>
          <cell r="G4474">
            <v>6</v>
          </cell>
          <cell r="H4474" t="str">
            <v>mRNA文库</v>
          </cell>
          <cell r="I4474" t="str">
            <v>ZZ</v>
          </cell>
          <cell r="J4474">
            <v>44.2</v>
          </cell>
          <cell r="N4474" t="e">
            <v>#DIV/0!</v>
          </cell>
        </row>
        <row r="4475">
          <cell r="E4475" t="str">
            <v>HGC-Lib-2456153</v>
          </cell>
          <cell r="F4475" t="str">
            <v>NGS0224022-14</v>
          </cell>
          <cell r="G4475">
            <v>6</v>
          </cell>
          <cell r="H4475" t="str">
            <v>mRNA文库</v>
          </cell>
          <cell r="I4475" t="str">
            <v>ZZ</v>
          </cell>
          <cell r="J4475">
            <v>40.4</v>
          </cell>
          <cell r="N4475" t="e">
            <v>#DIV/0!</v>
          </cell>
        </row>
        <row r="4476">
          <cell r="E4476" t="str">
            <v>HGC-Lib-2456154</v>
          </cell>
          <cell r="F4476" t="str">
            <v>NGS0224022-15</v>
          </cell>
          <cell r="G4476">
            <v>6</v>
          </cell>
          <cell r="H4476" t="str">
            <v>mRNA文库</v>
          </cell>
          <cell r="I4476" t="str">
            <v>ZZ</v>
          </cell>
          <cell r="J4476">
            <v>34.200000000000003</v>
          </cell>
          <cell r="N4476" t="e">
            <v>#DIV/0!</v>
          </cell>
        </row>
        <row r="4477">
          <cell r="E4477" t="str">
            <v>HGC-Lib-2456155</v>
          </cell>
          <cell r="F4477" t="str">
            <v>NGS0224022-16</v>
          </cell>
          <cell r="G4477">
            <v>6</v>
          </cell>
          <cell r="H4477" t="str">
            <v>mRNA文库</v>
          </cell>
          <cell r="I4477" t="str">
            <v>ZZ</v>
          </cell>
          <cell r="J4477">
            <v>40</v>
          </cell>
          <cell r="N4477" t="e">
            <v>#DIV/0!</v>
          </cell>
        </row>
        <row r="4478">
          <cell r="E4478" t="str">
            <v>HGC-Lib-2456156</v>
          </cell>
          <cell r="F4478" t="str">
            <v>NGS0224022-17</v>
          </cell>
          <cell r="G4478">
            <v>6</v>
          </cell>
          <cell r="H4478" t="str">
            <v>mRNA文库</v>
          </cell>
          <cell r="I4478" t="str">
            <v>ZZ</v>
          </cell>
          <cell r="J4478">
            <v>30</v>
          </cell>
          <cell r="N4478" t="e">
            <v>#DIV/0!</v>
          </cell>
        </row>
        <row r="4479">
          <cell r="E4479" t="str">
            <v>HGC-Lib-2456157</v>
          </cell>
          <cell r="F4479" t="str">
            <v>NGS0224022-18</v>
          </cell>
          <cell r="G4479">
            <v>6</v>
          </cell>
          <cell r="H4479" t="str">
            <v>mRNA文库</v>
          </cell>
          <cell r="I4479" t="str">
            <v>ZZ</v>
          </cell>
          <cell r="J4479">
            <v>39</v>
          </cell>
          <cell r="N4479" t="e">
            <v>#DIV/0!</v>
          </cell>
        </row>
        <row r="4480">
          <cell r="E4480" t="str">
            <v>HGC-Lib-2456158</v>
          </cell>
          <cell r="F4480" t="str">
            <v>NGS0224022-19</v>
          </cell>
          <cell r="G4480">
            <v>6</v>
          </cell>
          <cell r="H4480" t="str">
            <v>mRNA文库</v>
          </cell>
          <cell r="I4480" t="str">
            <v>ZZ</v>
          </cell>
          <cell r="J4480">
            <v>40</v>
          </cell>
          <cell r="N4480" t="e">
            <v>#DIV/0!</v>
          </cell>
        </row>
        <row r="4481">
          <cell r="E4481" t="str">
            <v>HGC-Lib-2456159</v>
          </cell>
          <cell r="F4481" t="str">
            <v>NGS0224022-20</v>
          </cell>
          <cell r="G4481">
            <v>6</v>
          </cell>
          <cell r="H4481" t="str">
            <v>mRNA文库</v>
          </cell>
          <cell r="I4481" t="str">
            <v>ZZ</v>
          </cell>
          <cell r="J4481">
            <v>35.200000000000003</v>
          </cell>
          <cell r="N4481" t="e">
            <v>#DIV/0!</v>
          </cell>
        </row>
        <row r="4482">
          <cell r="E4482" t="str">
            <v>HGC-Lib-2456160</v>
          </cell>
          <cell r="F4482" t="str">
            <v>NGS0224022-21</v>
          </cell>
          <cell r="G4482">
            <v>6</v>
          </cell>
          <cell r="H4482" t="str">
            <v>mRNA文库</v>
          </cell>
          <cell r="I4482" t="str">
            <v>ZZ</v>
          </cell>
          <cell r="J4482">
            <v>39.799999999999997</v>
          </cell>
          <cell r="N4482" t="e">
            <v>#DIV/0!</v>
          </cell>
        </row>
        <row r="4483">
          <cell r="E4483" t="str">
            <v>HGC-Lib-2456161</v>
          </cell>
          <cell r="F4483" t="str">
            <v>NGS0224022-22</v>
          </cell>
          <cell r="G4483">
            <v>6</v>
          </cell>
          <cell r="H4483" t="str">
            <v>mRNA文库</v>
          </cell>
          <cell r="I4483" t="str">
            <v>ZZ</v>
          </cell>
          <cell r="J4483">
            <v>36.200000000000003</v>
          </cell>
          <cell r="N4483" t="e">
            <v>#DIV/0!</v>
          </cell>
        </row>
        <row r="4484">
          <cell r="E4484" t="str">
            <v>HGC-Lib-2456162</v>
          </cell>
          <cell r="F4484" t="str">
            <v>NGS0224022-23</v>
          </cell>
          <cell r="G4484">
            <v>6</v>
          </cell>
          <cell r="H4484" t="str">
            <v>mRNA文库</v>
          </cell>
          <cell r="I4484" t="str">
            <v>ZZ</v>
          </cell>
          <cell r="J4484">
            <v>42.4</v>
          </cell>
          <cell r="N4484" t="e">
            <v>#DIV/0!</v>
          </cell>
        </row>
        <row r="4485">
          <cell r="E4485" t="str">
            <v>HGC-Lib-2456163</v>
          </cell>
          <cell r="F4485" t="str">
            <v>NGS0224022-24</v>
          </cell>
          <cell r="G4485">
            <v>6</v>
          </cell>
          <cell r="H4485" t="str">
            <v>mRNA文库</v>
          </cell>
          <cell r="I4485" t="str">
            <v>ZZ</v>
          </cell>
          <cell r="J4485">
            <v>33.799999999999997</v>
          </cell>
          <cell r="N4485" t="e">
            <v>#DIV/0!</v>
          </cell>
        </row>
        <row r="4486">
          <cell r="E4486" t="str">
            <v>HGC-Lib-2456164</v>
          </cell>
          <cell r="F4486" t="str">
            <v>NGS0224022-25</v>
          </cell>
          <cell r="G4486">
            <v>6</v>
          </cell>
          <cell r="H4486" t="str">
            <v>mRNA文库</v>
          </cell>
          <cell r="I4486" t="str">
            <v>ZZ</v>
          </cell>
          <cell r="J4486">
            <v>7.94</v>
          </cell>
          <cell r="N4486" t="e">
            <v>#DIV/0!</v>
          </cell>
        </row>
        <row r="4487">
          <cell r="E4487" t="str">
            <v>HGC-Lib-2456165</v>
          </cell>
          <cell r="F4487" t="str">
            <v>NGS0224022-26</v>
          </cell>
          <cell r="G4487">
            <v>6</v>
          </cell>
          <cell r="H4487" t="str">
            <v>mRNA文库</v>
          </cell>
          <cell r="I4487" t="str">
            <v>ZZ</v>
          </cell>
          <cell r="J4487">
            <v>15</v>
          </cell>
          <cell r="N4487" t="e">
            <v>#DIV/0!</v>
          </cell>
        </row>
        <row r="4488">
          <cell r="E4488" t="str">
            <v>HGC-Lib-2456166</v>
          </cell>
          <cell r="F4488" t="str">
            <v>NGS0224022-27</v>
          </cell>
          <cell r="G4488">
            <v>6</v>
          </cell>
          <cell r="H4488" t="str">
            <v>mRNA文库</v>
          </cell>
          <cell r="I4488" t="str">
            <v>ZZ</v>
          </cell>
          <cell r="J4488">
            <v>24.2</v>
          </cell>
          <cell r="N4488" t="e">
            <v>#DIV/0!</v>
          </cell>
        </row>
        <row r="4489">
          <cell r="E4489" t="str">
            <v>HGC-Lib-2456167</v>
          </cell>
          <cell r="F4489" t="str">
            <v>NGS0224022-28</v>
          </cell>
          <cell r="G4489">
            <v>6</v>
          </cell>
          <cell r="H4489" t="str">
            <v>mRNA文库</v>
          </cell>
          <cell r="I4489" t="str">
            <v>ZZ</v>
          </cell>
          <cell r="J4489">
            <v>30.8</v>
          </cell>
          <cell r="N4489" t="e">
            <v>#DIV/0!</v>
          </cell>
        </row>
        <row r="4490">
          <cell r="E4490" t="str">
            <v>HGC-Lib-2456168</v>
          </cell>
          <cell r="F4490" t="str">
            <v>NGS0224022-29</v>
          </cell>
          <cell r="G4490">
            <v>6</v>
          </cell>
          <cell r="H4490" t="str">
            <v>mRNA文库</v>
          </cell>
          <cell r="I4490" t="str">
            <v>ZZ</v>
          </cell>
          <cell r="J4490">
            <v>9.48</v>
          </cell>
          <cell r="N4490" t="e">
            <v>#DIV/0!</v>
          </cell>
        </row>
        <row r="4491">
          <cell r="E4491" t="str">
            <v>HGC-Lib-2456169</v>
          </cell>
          <cell r="F4491" t="str">
            <v>NGS0224022-30</v>
          </cell>
          <cell r="G4491">
            <v>6</v>
          </cell>
          <cell r="H4491" t="str">
            <v>mRNA文库</v>
          </cell>
          <cell r="I4491" t="str">
            <v>ZZ</v>
          </cell>
          <cell r="J4491">
            <v>11</v>
          </cell>
          <cell r="N4491" t="e">
            <v>#DIV/0!</v>
          </cell>
        </row>
        <row r="4492">
          <cell r="E4492" t="str">
            <v>HGC-Lib-2456170</v>
          </cell>
          <cell r="F4492" t="str">
            <v>NGS0224022-31</v>
          </cell>
          <cell r="G4492">
            <v>6</v>
          </cell>
          <cell r="H4492" t="str">
            <v>mRNA文库</v>
          </cell>
          <cell r="I4492" t="str">
            <v>ZZ</v>
          </cell>
          <cell r="J4492">
            <v>3.56</v>
          </cell>
          <cell r="N4492" t="e">
            <v>#DIV/0!</v>
          </cell>
        </row>
        <row r="4493">
          <cell r="E4493" t="str">
            <v>HGC-Lib-2456171</v>
          </cell>
          <cell r="F4493" t="str">
            <v>NGS0224022-32</v>
          </cell>
          <cell r="G4493">
            <v>6</v>
          </cell>
          <cell r="H4493" t="str">
            <v>mRNA文库</v>
          </cell>
          <cell r="I4493" t="str">
            <v>ZZ</v>
          </cell>
          <cell r="J4493">
            <v>8.98</v>
          </cell>
          <cell r="N4493" t="e">
            <v>#DIV/0!</v>
          </cell>
        </row>
        <row r="4494">
          <cell r="E4494" t="str">
            <v>HGC-Lib-2456172</v>
          </cell>
          <cell r="F4494" t="str">
            <v>NGS0224022-33</v>
          </cell>
          <cell r="G4494">
            <v>6</v>
          </cell>
          <cell r="H4494" t="str">
            <v>mRNA文库</v>
          </cell>
          <cell r="I4494" t="str">
            <v>ZZ</v>
          </cell>
          <cell r="J4494">
            <v>35.6</v>
          </cell>
          <cell r="N4494" t="e">
            <v>#DIV/0!</v>
          </cell>
        </row>
        <row r="4495">
          <cell r="E4495" t="str">
            <v>HGC-Lib-2456173</v>
          </cell>
          <cell r="F4495" t="str">
            <v>NGS0224022-34</v>
          </cell>
          <cell r="G4495">
            <v>6</v>
          </cell>
          <cell r="H4495" t="str">
            <v>mRNA文库</v>
          </cell>
          <cell r="I4495" t="str">
            <v>ZZ</v>
          </cell>
          <cell r="J4495">
            <v>37.4</v>
          </cell>
          <cell r="N4495" t="e">
            <v>#DIV/0!</v>
          </cell>
        </row>
        <row r="4496">
          <cell r="E4496" t="str">
            <v>HGC-Lib-2456174</v>
          </cell>
          <cell r="F4496" t="str">
            <v>NGS0224022-35</v>
          </cell>
          <cell r="G4496">
            <v>6</v>
          </cell>
          <cell r="H4496" t="str">
            <v>mRNA文库</v>
          </cell>
          <cell r="I4496" t="str">
            <v>ZZ</v>
          </cell>
          <cell r="J4496">
            <v>23.6</v>
          </cell>
          <cell r="N4496" t="e">
            <v>#DIV/0!</v>
          </cell>
        </row>
        <row r="4497">
          <cell r="E4497" t="str">
            <v>HGC-Lib-2456175</v>
          </cell>
          <cell r="F4497" t="str">
            <v>NGS0224022-36</v>
          </cell>
          <cell r="G4497">
            <v>6</v>
          </cell>
          <cell r="H4497" t="str">
            <v>mRNA文库</v>
          </cell>
          <cell r="I4497" t="str">
            <v>ZZ</v>
          </cell>
          <cell r="J4497">
            <v>14.5</v>
          </cell>
          <cell r="N4497" t="e">
            <v>#DIV/0!</v>
          </cell>
        </row>
        <row r="4498">
          <cell r="E4498" t="str">
            <v>HGC-Lib-2456176</v>
          </cell>
          <cell r="F4498" t="str">
            <v>NGS0224022-37</v>
          </cell>
          <cell r="G4498">
            <v>6</v>
          </cell>
          <cell r="H4498" t="str">
            <v>mRNA文库</v>
          </cell>
          <cell r="I4498" t="str">
            <v>ZZ</v>
          </cell>
          <cell r="J4498">
            <v>32.200000000000003</v>
          </cell>
          <cell r="N4498" t="e">
            <v>#DIV/0!</v>
          </cell>
        </row>
        <row r="4499">
          <cell r="E4499" t="str">
            <v>HGC-Lib-2456177</v>
          </cell>
          <cell r="F4499" t="str">
            <v>NGS0224022-38</v>
          </cell>
          <cell r="G4499">
            <v>6</v>
          </cell>
          <cell r="H4499" t="str">
            <v>mRNA文库</v>
          </cell>
          <cell r="I4499" t="str">
            <v>ZZ</v>
          </cell>
          <cell r="J4499">
            <v>36.4</v>
          </cell>
          <cell r="N4499" t="e">
            <v>#DIV/0!</v>
          </cell>
        </row>
        <row r="4500">
          <cell r="E4500" t="str">
            <v>HGC-Lib-2456178</v>
          </cell>
          <cell r="F4500" t="str">
            <v>NGS0224022-39</v>
          </cell>
          <cell r="G4500">
            <v>6</v>
          </cell>
          <cell r="H4500" t="str">
            <v>mRNA文库</v>
          </cell>
          <cell r="I4500" t="str">
            <v>ZZ</v>
          </cell>
          <cell r="J4500">
            <v>38</v>
          </cell>
          <cell r="N4500" t="e">
            <v>#DIV/0!</v>
          </cell>
        </row>
        <row r="4501">
          <cell r="E4501" t="str">
            <v>HGC-Lib-2456179</v>
          </cell>
          <cell r="F4501" t="str">
            <v>NGS0224022-40</v>
          </cell>
          <cell r="G4501">
            <v>6</v>
          </cell>
          <cell r="H4501" t="str">
            <v>mRNA文库</v>
          </cell>
          <cell r="I4501" t="str">
            <v>ZZ</v>
          </cell>
          <cell r="J4501">
            <v>39.200000000000003</v>
          </cell>
          <cell r="N4501" t="e">
            <v>#DIV/0!</v>
          </cell>
        </row>
        <row r="4502">
          <cell r="E4502" t="str">
            <v>HGC-Lib-2456180</v>
          </cell>
          <cell r="F4502" t="str">
            <v>NGS0224022-41</v>
          </cell>
          <cell r="G4502">
            <v>6</v>
          </cell>
          <cell r="H4502" t="str">
            <v>mRNA文库</v>
          </cell>
          <cell r="I4502" t="str">
            <v>ZZ</v>
          </cell>
          <cell r="J4502">
            <v>2.2799999999999998</v>
          </cell>
          <cell r="N4502" t="e">
            <v>#DIV/0!</v>
          </cell>
        </row>
        <row r="4503">
          <cell r="E4503" t="str">
            <v>HGC-Lib-2456181</v>
          </cell>
          <cell r="F4503" t="str">
            <v>NGS0224022-42</v>
          </cell>
          <cell r="G4503">
            <v>6</v>
          </cell>
          <cell r="H4503" t="str">
            <v>mRNA文库</v>
          </cell>
          <cell r="I4503" t="str">
            <v>ZZ</v>
          </cell>
          <cell r="J4503">
            <v>6.38</v>
          </cell>
          <cell r="N4503" t="e">
            <v>#DIV/0!</v>
          </cell>
        </row>
        <row r="4504">
          <cell r="E4504" t="str">
            <v>HGC-Lib-2456182</v>
          </cell>
          <cell r="F4504" t="str">
            <v>NGS0224022-43</v>
          </cell>
          <cell r="G4504">
            <v>6</v>
          </cell>
          <cell r="H4504" t="str">
            <v>mRNA文库</v>
          </cell>
          <cell r="I4504" t="str">
            <v>ZZ</v>
          </cell>
          <cell r="J4504">
            <v>6.48</v>
          </cell>
          <cell r="N4504" t="e">
            <v>#DIV/0!</v>
          </cell>
        </row>
        <row r="4505">
          <cell r="E4505" t="str">
            <v>HGC-Lib-2456183</v>
          </cell>
          <cell r="F4505" t="str">
            <v>NGS0224022-44</v>
          </cell>
          <cell r="G4505">
            <v>6</v>
          </cell>
          <cell r="H4505" t="str">
            <v>mRNA文库</v>
          </cell>
          <cell r="I4505" t="str">
            <v>GZQ</v>
          </cell>
          <cell r="J4505">
            <v>5.8</v>
          </cell>
          <cell r="N4505" t="e">
            <v>#DIV/0!</v>
          </cell>
        </row>
        <row r="4506">
          <cell r="E4506" t="str">
            <v>HGC-Lib-2456184</v>
          </cell>
          <cell r="F4506" t="str">
            <v>NGS0224022-45</v>
          </cell>
          <cell r="G4506">
            <v>6</v>
          </cell>
          <cell r="H4506" t="str">
            <v>mRNA文库</v>
          </cell>
          <cell r="I4506" t="str">
            <v>GZQ</v>
          </cell>
          <cell r="J4506">
            <v>9.26</v>
          </cell>
          <cell r="N4506" t="e">
            <v>#DIV/0!</v>
          </cell>
        </row>
        <row r="4507">
          <cell r="E4507" t="str">
            <v>HGC-Lib-2456185</v>
          </cell>
          <cell r="F4507" t="str">
            <v>NGS0224022-46</v>
          </cell>
          <cell r="G4507">
            <v>6</v>
          </cell>
          <cell r="H4507" t="str">
            <v>mRNA文库</v>
          </cell>
          <cell r="I4507" t="str">
            <v>GZQ</v>
          </cell>
          <cell r="J4507">
            <v>8.74</v>
          </cell>
          <cell r="N4507" t="e">
            <v>#DIV/0!</v>
          </cell>
        </row>
        <row r="4508">
          <cell r="E4508" t="str">
            <v>HGC-Lib-2456186</v>
          </cell>
          <cell r="F4508" t="str">
            <v>NGS0224022-47</v>
          </cell>
          <cell r="G4508">
            <v>6</v>
          </cell>
          <cell r="H4508" t="str">
            <v>mRNA文库</v>
          </cell>
          <cell r="I4508" t="str">
            <v>GZQ</v>
          </cell>
          <cell r="J4508">
            <v>8.7799999999999994</v>
          </cell>
          <cell r="N4508" t="e">
            <v>#DIV/0!</v>
          </cell>
        </row>
        <row r="4509">
          <cell r="E4509" t="str">
            <v>HGC-Lib-2456187</v>
          </cell>
          <cell r="F4509" t="str">
            <v>NGS0224022-48</v>
          </cell>
          <cell r="G4509">
            <v>6</v>
          </cell>
          <cell r="H4509" t="str">
            <v>mRNA文库</v>
          </cell>
          <cell r="I4509" t="str">
            <v>GZQ</v>
          </cell>
          <cell r="J4509">
            <v>10.3</v>
          </cell>
          <cell r="N4509" t="e">
            <v>#DIV/0!</v>
          </cell>
        </row>
        <row r="4510">
          <cell r="E4510" t="str">
            <v>HGC-Lib-2456188</v>
          </cell>
          <cell r="F4510" t="str">
            <v>NGS0224022-49</v>
          </cell>
          <cell r="G4510">
            <v>6</v>
          </cell>
          <cell r="H4510" t="str">
            <v>mRNA文库</v>
          </cell>
          <cell r="I4510" t="str">
            <v>GZQ</v>
          </cell>
          <cell r="J4510">
            <v>19.3</v>
          </cell>
          <cell r="N4510" t="e">
            <v>#DIV/0!</v>
          </cell>
        </row>
        <row r="4511">
          <cell r="E4511" t="str">
            <v>HGC-Lib-2456189</v>
          </cell>
          <cell r="F4511" t="str">
            <v>NGS0224022-50</v>
          </cell>
          <cell r="G4511">
            <v>6</v>
          </cell>
          <cell r="H4511" t="str">
            <v>mRNA文库</v>
          </cell>
          <cell r="I4511" t="str">
            <v>GZQ</v>
          </cell>
          <cell r="J4511">
            <v>15.7</v>
          </cell>
          <cell r="N4511" t="e">
            <v>#DIV/0!</v>
          </cell>
        </row>
        <row r="4512">
          <cell r="E4512" t="str">
            <v>HGC-Lib-2456190</v>
          </cell>
          <cell r="F4512" t="str">
            <v>NGS0224022-51</v>
          </cell>
          <cell r="G4512">
            <v>6</v>
          </cell>
          <cell r="H4512" t="str">
            <v>mRNA文库</v>
          </cell>
          <cell r="I4512" t="str">
            <v>GZQ</v>
          </cell>
          <cell r="J4512">
            <v>25.4</v>
          </cell>
          <cell r="N4512" t="e">
            <v>#DIV/0!</v>
          </cell>
        </row>
        <row r="4513">
          <cell r="E4513" t="str">
            <v>HGC-Lib-2456191</v>
          </cell>
          <cell r="F4513" t="str">
            <v>NGS0224022-52</v>
          </cell>
          <cell r="G4513">
            <v>6</v>
          </cell>
          <cell r="H4513" t="str">
            <v>mRNA文库</v>
          </cell>
          <cell r="I4513" t="str">
            <v>GZQ</v>
          </cell>
          <cell r="J4513">
            <v>24.8</v>
          </cell>
          <cell r="N4513" t="e">
            <v>#DIV/0!</v>
          </cell>
        </row>
        <row r="4514">
          <cell r="E4514" t="str">
            <v>HGC-Lib-2456192</v>
          </cell>
          <cell r="F4514" t="str">
            <v>NGS0224022-53</v>
          </cell>
          <cell r="G4514">
            <v>6</v>
          </cell>
          <cell r="H4514" t="str">
            <v>mRNA文库</v>
          </cell>
          <cell r="I4514" t="str">
            <v>GZQ</v>
          </cell>
          <cell r="J4514">
            <v>23.4</v>
          </cell>
          <cell r="N4514" t="e">
            <v>#DIV/0!</v>
          </cell>
        </row>
        <row r="4515">
          <cell r="E4515" t="str">
            <v>HGC-Lib-2456193</v>
          </cell>
          <cell r="F4515" t="str">
            <v>NGS0224022-54</v>
          </cell>
          <cell r="G4515">
            <v>6</v>
          </cell>
          <cell r="H4515" t="str">
            <v>mRNA文库</v>
          </cell>
          <cell r="I4515" t="str">
            <v>GZQ</v>
          </cell>
          <cell r="J4515">
            <v>27</v>
          </cell>
          <cell r="N4515" t="e">
            <v>#DIV/0!</v>
          </cell>
        </row>
        <row r="4516">
          <cell r="E4516" t="str">
            <v>HGC-Lib-2456194</v>
          </cell>
          <cell r="F4516" t="str">
            <v>NGS0224022-55</v>
          </cell>
          <cell r="G4516">
            <v>6</v>
          </cell>
          <cell r="H4516" t="str">
            <v>mRNA文库</v>
          </cell>
          <cell r="I4516" t="str">
            <v>GZQ</v>
          </cell>
          <cell r="J4516">
            <v>29.6</v>
          </cell>
          <cell r="N4516" t="e">
            <v>#DIV/0!</v>
          </cell>
        </row>
        <row r="4517">
          <cell r="E4517" t="str">
            <v>HGC-Lib-2456195</v>
          </cell>
          <cell r="F4517" t="str">
            <v>NGS0224022-56</v>
          </cell>
          <cell r="G4517">
            <v>6</v>
          </cell>
          <cell r="H4517" t="str">
            <v>mRNA文库</v>
          </cell>
          <cell r="I4517" t="str">
            <v>GZQ</v>
          </cell>
          <cell r="J4517">
            <v>23.2</v>
          </cell>
          <cell r="N4517" t="e">
            <v>#DIV/0!</v>
          </cell>
        </row>
        <row r="4518">
          <cell r="E4518" t="str">
            <v>HGC-Lib-2456196</v>
          </cell>
          <cell r="F4518" t="str">
            <v>NGS0224022-57</v>
          </cell>
          <cell r="G4518">
            <v>6</v>
          </cell>
          <cell r="H4518" t="str">
            <v>mRNA文库</v>
          </cell>
          <cell r="I4518" t="str">
            <v>GZQ</v>
          </cell>
          <cell r="J4518">
            <v>29.6</v>
          </cell>
          <cell r="N4518" t="e">
            <v>#DIV/0!</v>
          </cell>
        </row>
        <row r="4519">
          <cell r="E4519" t="str">
            <v>HGC-Lib-2456197</v>
          </cell>
          <cell r="F4519" t="str">
            <v>NGS0224022-58</v>
          </cell>
          <cell r="G4519">
            <v>6</v>
          </cell>
          <cell r="H4519" t="str">
            <v>mRNA文库</v>
          </cell>
          <cell r="I4519" t="str">
            <v>GZQ</v>
          </cell>
          <cell r="J4519">
            <v>12</v>
          </cell>
          <cell r="N4519" t="e">
            <v>#DIV/0!</v>
          </cell>
        </row>
        <row r="4520">
          <cell r="E4520" t="str">
            <v>HGC-Lib-2456198</v>
          </cell>
          <cell r="F4520" t="str">
            <v>NGS0224022-59</v>
          </cell>
          <cell r="G4520">
            <v>6</v>
          </cell>
          <cell r="H4520" t="str">
            <v>mRNA文库</v>
          </cell>
          <cell r="I4520" t="str">
            <v>GZQ</v>
          </cell>
          <cell r="J4520">
            <v>10.7</v>
          </cell>
          <cell r="N4520" t="e">
            <v>#DIV/0!</v>
          </cell>
        </row>
        <row r="4521">
          <cell r="E4521" t="str">
            <v>HGC-Lib-2456199</v>
          </cell>
          <cell r="F4521" t="str">
            <v>NGS0224022-60</v>
          </cell>
          <cell r="G4521">
            <v>6</v>
          </cell>
          <cell r="H4521" t="str">
            <v>mRNA文库</v>
          </cell>
          <cell r="I4521" t="str">
            <v>GZQ</v>
          </cell>
          <cell r="J4521">
            <v>20</v>
          </cell>
          <cell r="N4521" t="e">
            <v>#DIV/0!</v>
          </cell>
        </row>
        <row r="4522">
          <cell r="E4522" t="str">
            <v>HGC-Lib-2456200</v>
          </cell>
          <cell r="F4522" t="str">
            <v>NGS0224022-61</v>
          </cell>
          <cell r="G4522">
            <v>6</v>
          </cell>
          <cell r="H4522" t="str">
            <v>mRNA文库</v>
          </cell>
          <cell r="I4522" t="str">
            <v>GZQ</v>
          </cell>
          <cell r="J4522">
            <v>20.2</v>
          </cell>
          <cell r="N4522" t="e">
            <v>#DIV/0!</v>
          </cell>
        </row>
        <row r="4523">
          <cell r="E4523" t="str">
            <v>HGC-Lib-2456201</v>
          </cell>
          <cell r="F4523" t="str">
            <v>NGS0224022-62</v>
          </cell>
          <cell r="G4523">
            <v>6</v>
          </cell>
          <cell r="H4523" t="str">
            <v>mRNA文库</v>
          </cell>
          <cell r="I4523" t="str">
            <v>GZQ</v>
          </cell>
          <cell r="J4523">
            <v>12</v>
          </cell>
          <cell r="N4523" t="e">
            <v>#DIV/0!</v>
          </cell>
        </row>
        <row r="4524">
          <cell r="E4524" t="str">
            <v>HGC-Lib-2456202</v>
          </cell>
          <cell r="F4524" t="str">
            <v>NGS0224022-63</v>
          </cell>
          <cell r="G4524">
            <v>6</v>
          </cell>
          <cell r="H4524" t="str">
            <v>mRNA文库</v>
          </cell>
          <cell r="I4524" t="str">
            <v>GZQ</v>
          </cell>
          <cell r="J4524">
            <v>5.3</v>
          </cell>
          <cell r="N4524" t="e">
            <v>#DIV/0!</v>
          </cell>
        </row>
        <row r="4525">
          <cell r="E4525" t="str">
            <v>HGC-Lib-2456203</v>
          </cell>
          <cell r="F4525" t="str">
            <v>NGS0224022-64</v>
          </cell>
          <cell r="G4525">
            <v>6</v>
          </cell>
          <cell r="H4525" t="str">
            <v>mRNA文库</v>
          </cell>
          <cell r="I4525" t="str">
            <v>GZQ</v>
          </cell>
          <cell r="J4525">
            <v>26.2</v>
          </cell>
          <cell r="N4525" t="e">
            <v>#DIV/0!</v>
          </cell>
        </row>
        <row r="4526">
          <cell r="E4526" t="str">
            <v>HGC-Lib-2456204</v>
          </cell>
          <cell r="F4526" t="str">
            <v>NGS0224022-65</v>
          </cell>
          <cell r="G4526">
            <v>6</v>
          </cell>
          <cell r="H4526" t="str">
            <v>mRNA文库</v>
          </cell>
          <cell r="I4526" t="str">
            <v>GZQ</v>
          </cell>
          <cell r="J4526">
            <v>13.1</v>
          </cell>
          <cell r="N4526" t="e">
            <v>#DIV/0!</v>
          </cell>
        </row>
        <row r="4527">
          <cell r="E4527" t="str">
            <v>HGC-Lib-2456205</v>
          </cell>
          <cell r="F4527" t="str">
            <v>NGS0224022-66</v>
          </cell>
          <cell r="G4527">
            <v>6</v>
          </cell>
          <cell r="H4527" t="str">
            <v>mRNA文库</v>
          </cell>
          <cell r="I4527" t="str">
            <v>GZQ</v>
          </cell>
          <cell r="J4527">
            <v>29</v>
          </cell>
          <cell r="N4527" t="e">
            <v>#DIV/0!</v>
          </cell>
        </row>
        <row r="4528">
          <cell r="E4528" t="str">
            <v>HGC-Lib-2456206</v>
          </cell>
          <cell r="F4528" t="str">
            <v>NGS0224022-67</v>
          </cell>
          <cell r="G4528">
            <v>6</v>
          </cell>
          <cell r="H4528" t="str">
            <v>mRNA文库</v>
          </cell>
          <cell r="I4528" t="str">
            <v>GZQ</v>
          </cell>
          <cell r="J4528">
            <v>26</v>
          </cell>
          <cell r="N4528" t="e">
            <v>#DIV/0!</v>
          </cell>
        </row>
        <row r="4529">
          <cell r="E4529" t="str">
            <v>HGC-Lib-2456207</v>
          </cell>
          <cell r="F4529" t="str">
            <v>NGS0224022-68</v>
          </cell>
          <cell r="G4529">
            <v>6</v>
          </cell>
          <cell r="H4529" t="str">
            <v>mRNA文库</v>
          </cell>
          <cell r="I4529" t="str">
            <v>GZQ</v>
          </cell>
          <cell r="J4529">
            <v>7.02</v>
          </cell>
          <cell r="N4529" t="e">
            <v>#DIV/0!</v>
          </cell>
        </row>
        <row r="4530">
          <cell r="E4530" t="str">
            <v>HGC-Lib-2456208</v>
          </cell>
          <cell r="F4530" t="str">
            <v>NGS0224022-69</v>
          </cell>
          <cell r="G4530">
            <v>6</v>
          </cell>
          <cell r="H4530" t="str">
            <v>mRNA文库</v>
          </cell>
          <cell r="I4530" t="str">
            <v>GZQ</v>
          </cell>
          <cell r="J4530">
            <v>7.14</v>
          </cell>
          <cell r="N4530" t="e">
            <v>#DIV/0!</v>
          </cell>
        </row>
        <row r="4531">
          <cell r="E4531" t="str">
            <v>HGC-Lib-2456209</v>
          </cell>
          <cell r="F4531" t="str">
            <v>NGS0224022-70</v>
          </cell>
          <cell r="G4531">
            <v>6</v>
          </cell>
          <cell r="H4531" t="str">
            <v>mRNA文库</v>
          </cell>
          <cell r="I4531" t="str">
            <v>GZQ</v>
          </cell>
          <cell r="J4531">
            <v>10.6</v>
          </cell>
          <cell r="N4531" t="e">
            <v>#DIV/0!</v>
          </cell>
        </row>
        <row r="4532">
          <cell r="E4532" t="str">
            <v>HGC-Lib-2456210</v>
          </cell>
          <cell r="F4532" t="str">
            <v>NGS0224022-71</v>
          </cell>
          <cell r="G4532">
            <v>6</v>
          </cell>
          <cell r="H4532" t="str">
            <v>mRNA文库</v>
          </cell>
          <cell r="I4532" t="str">
            <v>GZQ</v>
          </cell>
          <cell r="J4532">
            <v>12.5</v>
          </cell>
          <cell r="N4532" t="e">
            <v>#DIV/0!</v>
          </cell>
        </row>
        <row r="4533">
          <cell r="E4533" t="str">
            <v>HGC-Lib-2456211</v>
          </cell>
          <cell r="F4533" t="str">
            <v>NGS0224022-72</v>
          </cell>
          <cell r="G4533">
            <v>6</v>
          </cell>
          <cell r="H4533" t="str">
            <v>mRNA文库</v>
          </cell>
          <cell r="I4533" t="str">
            <v>GZQ</v>
          </cell>
          <cell r="J4533">
            <v>15.8</v>
          </cell>
          <cell r="N4533" t="e">
            <v>#DIV/0!</v>
          </cell>
        </row>
        <row r="4534">
          <cell r="E4534" t="str">
            <v>HGC-Lib-2456212</v>
          </cell>
          <cell r="F4534" t="str">
            <v>NGS0224022-73</v>
          </cell>
          <cell r="G4534">
            <v>6</v>
          </cell>
          <cell r="H4534" t="str">
            <v>mRNA文库</v>
          </cell>
          <cell r="I4534" t="str">
            <v>GZQ</v>
          </cell>
          <cell r="J4534">
            <v>12.7</v>
          </cell>
          <cell r="N4534" t="e">
            <v>#DIV/0!</v>
          </cell>
        </row>
        <row r="4535">
          <cell r="E4535" t="str">
            <v>HGC-Lib-2456213</v>
          </cell>
          <cell r="F4535" t="str">
            <v>NGS0224022-74</v>
          </cell>
          <cell r="G4535">
            <v>6</v>
          </cell>
          <cell r="H4535" t="str">
            <v>mRNA文库</v>
          </cell>
          <cell r="I4535" t="str">
            <v>GZQ</v>
          </cell>
          <cell r="J4535">
            <v>7.5</v>
          </cell>
          <cell r="N4535" t="e">
            <v>#DIV/0!</v>
          </cell>
        </row>
        <row r="4536">
          <cell r="E4536" t="str">
            <v>HGC-Lib-2456214</v>
          </cell>
          <cell r="F4536" t="str">
            <v>NGS0224022-75</v>
          </cell>
          <cell r="G4536">
            <v>6</v>
          </cell>
          <cell r="H4536" t="str">
            <v>mRNA文库</v>
          </cell>
          <cell r="I4536" t="str">
            <v>GZQ</v>
          </cell>
          <cell r="J4536">
            <v>27.2</v>
          </cell>
          <cell r="N4536" t="e">
            <v>#DIV/0!</v>
          </cell>
        </row>
        <row r="4537">
          <cell r="E4537" t="str">
            <v>HGC-Lib-2456215</v>
          </cell>
          <cell r="F4537" t="str">
            <v>NGS0224022-76</v>
          </cell>
          <cell r="G4537">
            <v>6</v>
          </cell>
          <cell r="H4537" t="str">
            <v>mRNA文库</v>
          </cell>
          <cell r="I4537" t="str">
            <v>GZQ</v>
          </cell>
          <cell r="J4537">
            <v>18.5</v>
          </cell>
          <cell r="N4537" t="e">
            <v>#DIV/0!</v>
          </cell>
        </row>
        <row r="4538">
          <cell r="E4538" t="str">
            <v>HGC-Lib-2456216</v>
          </cell>
          <cell r="F4538" t="str">
            <v>NGS0224022-77</v>
          </cell>
          <cell r="G4538">
            <v>6</v>
          </cell>
          <cell r="H4538" t="str">
            <v>mRNA文库</v>
          </cell>
          <cell r="I4538" t="str">
            <v>GZQ</v>
          </cell>
          <cell r="J4538">
            <v>8.1999999999999993</v>
          </cell>
          <cell r="N4538" t="e">
            <v>#DIV/0!</v>
          </cell>
        </row>
        <row r="4539">
          <cell r="E4539" t="str">
            <v>HGC-Lib-2456217</v>
          </cell>
          <cell r="F4539" t="str">
            <v>NGS0224022-78</v>
          </cell>
          <cell r="G4539">
            <v>6</v>
          </cell>
          <cell r="H4539" t="str">
            <v>mRNA文库</v>
          </cell>
          <cell r="I4539" t="str">
            <v>GZQ</v>
          </cell>
          <cell r="J4539">
            <v>13.9</v>
          </cell>
          <cell r="N4539" t="e">
            <v>#DIV/0!</v>
          </cell>
        </row>
        <row r="4540">
          <cell r="E4540" t="str">
            <v>HGC-Lib-2456218</v>
          </cell>
          <cell r="F4540" t="str">
            <v>NGS0224026-1</v>
          </cell>
          <cell r="G4540">
            <v>6</v>
          </cell>
          <cell r="H4540" t="str">
            <v>mRNA文库</v>
          </cell>
          <cell r="I4540" t="str">
            <v>GZQ</v>
          </cell>
          <cell r="J4540">
            <v>54</v>
          </cell>
          <cell r="N4540" t="e">
            <v>#DIV/0!</v>
          </cell>
        </row>
        <row r="4541">
          <cell r="E4541" t="str">
            <v>HGC-Lib-2456219</v>
          </cell>
          <cell r="F4541" t="str">
            <v>NGS0224026-2</v>
          </cell>
          <cell r="G4541">
            <v>6</v>
          </cell>
          <cell r="H4541" t="str">
            <v>mRNA文库</v>
          </cell>
          <cell r="I4541" t="str">
            <v>GZQ</v>
          </cell>
          <cell r="J4541">
            <v>19.100000000000001</v>
          </cell>
          <cell r="N4541" t="e">
            <v>#DIV/0!</v>
          </cell>
        </row>
        <row r="4542">
          <cell r="E4542" t="str">
            <v>HGC-Lib-2456220</v>
          </cell>
          <cell r="F4542" t="str">
            <v>NGS0224026-3</v>
          </cell>
          <cell r="G4542">
            <v>6</v>
          </cell>
          <cell r="H4542" t="str">
            <v>mRNA文库</v>
          </cell>
          <cell r="I4542" t="str">
            <v>GZQ</v>
          </cell>
          <cell r="J4542">
            <v>42.2</v>
          </cell>
          <cell r="N4542" t="e">
            <v>#DIV/0!</v>
          </cell>
        </row>
        <row r="4543">
          <cell r="E4543" t="str">
            <v>HGC-Lib-2456221</v>
          </cell>
          <cell r="F4543" t="str">
            <v>NGS0224026-4</v>
          </cell>
          <cell r="G4543">
            <v>6</v>
          </cell>
          <cell r="H4543" t="str">
            <v>mRNA文库</v>
          </cell>
          <cell r="I4543" t="str">
            <v>GZQ</v>
          </cell>
          <cell r="J4543">
            <v>39.4</v>
          </cell>
          <cell r="N4543" t="e">
            <v>#DIV/0!</v>
          </cell>
        </row>
        <row r="4544">
          <cell r="E4544" t="str">
            <v>HGC-Lib-2456222</v>
          </cell>
          <cell r="F4544" t="str">
            <v>NGS0224026-5</v>
          </cell>
          <cell r="G4544">
            <v>6</v>
          </cell>
          <cell r="H4544" t="str">
            <v>mRNA文库</v>
          </cell>
          <cell r="I4544" t="str">
            <v>GZQ</v>
          </cell>
          <cell r="J4544">
            <v>8.52</v>
          </cell>
          <cell r="N4544" t="e">
            <v>#DIV/0!</v>
          </cell>
        </row>
        <row r="4545">
          <cell r="E4545" t="str">
            <v>HGC-Lib-2456223</v>
          </cell>
          <cell r="F4545" t="str">
            <v>NGS0224026-6</v>
          </cell>
          <cell r="G4545">
            <v>6</v>
          </cell>
          <cell r="H4545" t="str">
            <v>mRNA文库</v>
          </cell>
          <cell r="I4545" t="str">
            <v>GZQ</v>
          </cell>
          <cell r="J4545">
            <v>44</v>
          </cell>
          <cell r="N4545" t="e">
            <v>#DIV/0!</v>
          </cell>
        </row>
        <row r="4546">
          <cell r="E4546" t="str">
            <v>HGC-Lib-2456224</v>
          </cell>
          <cell r="F4546" t="str">
            <v>NGS0224026-7</v>
          </cell>
          <cell r="G4546">
            <v>6</v>
          </cell>
          <cell r="H4546" t="str">
            <v>mRNA文库</v>
          </cell>
          <cell r="I4546" t="str">
            <v>GZQ</v>
          </cell>
          <cell r="J4546">
            <v>35.4</v>
          </cell>
          <cell r="N4546" t="e">
            <v>#DIV/0!</v>
          </cell>
        </row>
        <row r="4547">
          <cell r="E4547" t="str">
            <v>HGC-Lib-2456225</v>
          </cell>
          <cell r="F4547" t="str">
            <v>NGS0224026-8</v>
          </cell>
          <cell r="G4547">
            <v>6</v>
          </cell>
          <cell r="H4547" t="str">
            <v>mRNA文库</v>
          </cell>
          <cell r="I4547" t="str">
            <v>GZQ</v>
          </cell>
          <cell r="J4547">
            <v>4.3</v>
          </cell>
          <cell r="N4547" t="e">
            <v>#DIV/0!</v>
          </cell>
        </row>
        <row r="4548">
          <cell r="E4548" t="str">
            <v>HGC-Lib-2456226</v>
          </cell>
          <cell r="F4548" t="str">
            <v>NGS0224026-9</v>
          </cell>
          <cell r="G4548">
            <v>6</v>
          </cell>
          <cell r="H4548" t="str">
            <v>mRNA文库</v>
          </cell>
          <cell r="I4548" t="str">
            <v>GZQ</v>
          </cell>
          <cell r="J4548">
            <v>4.92</v>
          </cell>
          <cell r="N4548" t="e">
            <v>#DIV/0!</v>
          </cell>
        </row>
        <row r="4549">
          <cell r="E4549" t="str">
            <v>HGC-Lib-2456227</v>
          </cell>
          <cell r="F4549" t="str">
            <v>NGS0224026-10</v>
          </cell>
          <cell r="G4549">
            <v>6</v>
          </cell>
          <cell r="H4549" t="str">
            <v>mRNA文库</v>
          </cell>
          <cell r="I4549" t="str">
            <v>GZQ</v>
          </cell>
          <cell r="J4549">
            <v>46</v>
          </cell>
          <cell r="N4549" t="e">
            <v>#DIV/0!</v>
          </cell>
        </row>
        <row r="4550">
          <cell r="E4550" t="str">
            <v>HGC-Lib-2456228</v>
          </cell>
          <cell r="F4550" t="str">
            <v>NGS0224026-11</v>
          </cell>
          <cell r="G4550">
            <v>6</v>
          </cell>
          <cell r="H4550" t="str">
            <v>mRNA文库</v>
          </cell>
          <cell r="I4550" t="str">
            <v>GZQ</v>
          </cell>
          <cell r="J4550">
            <v>39.799999999999997</v>
          </cell>
          <cell r="N4550" t="e">
            <v>#DIV/0!</v>
          </cell>
        </row>
        <row r="4551">
          <cell r="E4551" t="str">
            <v>HGC-Lib-2456229</v>
          </cell>
          <cell r="F4551" t="str">
            <v>NGS0224026-12</v>
          </cell>
          <cell r="G4551">
            <v>6</v>
          </cell>
          <cell r="H4551" t="str">
            <v>mRNA文库</v>
          </cell>
          <cell r="I4551" t="str">
            <v>GZQ</v>
          </cell>
          <cell r="J4551">
            <v>52</v>
          </cell>
          <cell r="N4551" t="e">
            <v>#DIV/0!</v>
          </cell>
        </row>
        <row r="4552">
          <cell r="E4552" t="str">
            <v>HGC-Lib-2456230</v>
          </cell>
          <cell r="F4552" t="str">
            <v>NGS0224026-13</v>
          </cell>
          <cell r="G4552">
            <v>6</v>
          </cell>
          <cell r="H4552" t="str">
            <v>mRNA文库</v>
          </cell>
          <cell r="I4552" t="str">
            <v>GZQ</v>
          </cell>
          <cell r="J4552">
            <v>45.8</v>
          </cell>
          <cell r="N4552" t="e">
            <v>#DIV/0!</v>
          </cell>
        </row>
        <row r="4553">
          <cell r="E4553" t="str">
            <v>HGC-Lib-2456231</v>
          </cell>
          <cell r="F4553" t="str">
            <v>NGS0224026-14</v>
          </cell>
          <cell r="G4553">
            <v>6</v>
          </cell>
          <cell r="H4553" t="str">
            <v>mRNA文库</v>
          </cell>
          <cell r="I4553" t="str">
            <v>ZZ</v>
          </cell>
          <cell r="J4553">
            <v>45.8</v>
          </cell>
          <cell r="N4553" t="e">
            <v>#DIV/0!</v>
          </cell>
        </row>
        <row r="4554">
          <cell r="E4554" t="str">
            <v>HGC-Lib-2456232</v>
          </cell>
          <cell r="F4554" t="str">
            <v>NGS0224026-15</v>
          </cell>
          <cell r="G4554">
            <v>6</v>
          </cell>
          <cell r="H4554" t="str">
            <v>mRNA文库</v>
          </cell>
          <cell r="I4554" t="str">
            <v>ZZ</v>
          </cell>
          <cell r="J4554">
            <v>44.2</v>
          </cell>
          <cell r="N4554" t="e">
            <v>#DIV/0!</v>
          </cell>
        </row>
        <row r="4555">
          <cell r="E4555" t="str">
            <v>HGC-Lib-2456233</v>
          </cell>
          <cell r="F4555" t="str">
            <v>NGS0224026-16</v>
          </cell>
          <cell r="G4555">
            <v>6</v>
          </cell>
          <cell r="H4555" t="str">
            <v>mRNA文库</v>
          </cell>
          <cell r="I4555" t="str">
            <v>ZZ</v>
          </cell>
          <cell r="J4555">
            <v>27.8</v>
          </cell>
          <cell r="N4555" t="e">
            <v>#DIV/0!</v>
          </cell>
        </row>
        <row r="4556">
          <cell r="E4556" t="str">
            <v>HGC-Lib-2456234</v>
          </cell>
          <cell r="F4556" t="str">
            <v>NGS0224026-17</v>
          </cell>
          <cell r="G4556">
            <v>6</v>
          </cell>
          <cell r="H4556" t="str">
            <v>mRNA文库</v>
          </cell>
          <cell r="I4556" t="str">
            <v>ZZ</v>
          </cell>
          <cell r="J4556">
            <v>45.8</v>
          </cell>
          <cell r="N4556" t="e">
            <v>#DIV/0!</v>
          </cell>
        </row>
        <row r="4557">
          <cell r="E4557" t="str">
            <v>HGC-Lib-2456235</v>
          </cell>
          <cell r="F4557" t="str">
            <v>NGS0224026-18</v>
          </cell>
          <cell r="G4557">
            <v>6</v>
          </cell>
          <cell r="H4557" t="str">
            <v>mRNA文库</v>
          </cell>
          <cell r="I4557" t="str">
            <v>ZZ</v>
          </cell>
          <cell r="J4557">
            <v>52.8</v>
          </cell>
          <cell r="N4557" t="e">
            <v>#DIV/0!</v>
          </cell>
        </row>
        <row r="4558">
          <cell r="E4558" t="str">
            <v>HGC-Lib-2456236</v>
          </cell>
          <cell r="F4558" t="str">
            <v>NGS0224026-19</v>
          </cell>
          <cell r="G4558">
            <v>6</v>
          </cell>
          <cell r="H4558" t="str">
            <v>mRNA文库</v>
          </cell>
          <cell r="I4558" t="str">
            <v>ZZ</v>
          </cell>
          <cell r="J4558">
            <v>50</v>
          </cell>
          <cell r="N4558" t="e">
            <v>#DIV/0!</v>
          </cell>
        </row>
        <row r="4559">
          <cell r="E4559" t="str">
            <v>HGC-Lib-2456237</v>
          </cell>
          <cell r="F4559" t="str">
            <v>NGS0224026-20</v>
          </cell>
          <cell r="G4559">
            <v>6</v>
          </cell>
          <cell r="H4559" t="str">
            <v>mRNA文库</v>
          </cell>
          <cell r="I4559" t="str">
            <v>ZZ</v>
          </cell>
          <cell r="J4559">
            <v>36.799999999999997</v>
          </cell>
          <cell r="N4559" t="e">
            <v>#DIV/0!</v>
          </cell>
        </row>
        <row r="4560">
          <cell r="E4560" t="str">
            <v>HGC-Lib-2456238</v>
          </cell>
          <cell r="F4560" t="str">
            <v>NGS0224026-21</v>
          </cell>
          <cell r="G4560">
            <v>6</v>
          </cell>
          <cell r="H4560" t="str">
            <v>mRNA文库</v>
          </cell>
          <cell r="I4560" t="str">
            <v>ZZ</v>
          </cell>
          <cell r="J4560">
            <v>56.8</v>
          </cell>
          <cell r="N4560" t="e">
            <v>#DIV/0!</v>
          </cell>
        </row>
        <row r="4561">
          <cell r="E4561" t="str">
            <v>HGC-Lib-2456239</v>
          </cell>
          <cell r="F4561" t="str">
            <v>NGS0224026-22</v>
          </cell>
          <cell r="G4561">
            <v>6</v>
          </cell>
          <cell r="H4561" t="str">
            <v>mRNA文库</v>
          </cell>
          <cell r="I4561" t="str">
            <v>ZZ</v>
          </cell>
          <cell r="J4561">
            <v>20.2</v>
          </cell>
          <cell r="N4561" t="e">
            <v>#DIV/0!</v>
          </cell>
        </row>
        <row r="4562">
          <cell r="E4562" t="str">
            <v>HGC-Lib-2456240</v>
          </cell>
          <cell r="F4562" t="str">
            <v>NGS0224026-23</v>
          </cell>
          <cell r="G4562">
            <v>6</v>
          </cell>
          <cell r="H4562" t="str">
            <v>mRNA文库</v>
          </cell>
          <cell r="I4562" t="str">
            <v>ZZ</v>
          </cell>
          <cell r="J4562">
            <v>49.6</v>
          </cell>
          <cell r="N4562" t="e">
            <v>#DIV/0!</v>
          </cell>
        </row>
        <row r="4563">
          <cell r="E4563" t="str">
            <v>HGC-Lib-2456241</v>
          </cell>
          <cell r="F4563" t="str">
            <v>NGS0224026-24</v>
          </cell>
          <cell r="G4563">
            <v>6</v>
          </cell>
          <cell r="H4563" t="str">
            <v>mRNA文库</v>
          </cell>
          <cell r="I4563" t="str">
            <v>ZZ</v>
          </cell>
          <cell r="J4563">
            <v>29</v>
          </cell>
          <cell r="N4563" t="e">
            <v>#DIV/0!</v>
          </cell>
        </row>
        <row r="4564">
          <cell r="E4564" t="str">
            <v>HGC-Lib-2456242</v>
          </cell>
          <cell r="F4564" t="str">
            <v>NGS0224026-25</v>
          </cell>
          <cell r="G4564">
            <v>6</v>
          </cell>
          <cell r="H4564" t="str">
            <v>mRNA文库</v>
          </cell>
          <cell r="I4564" t="str">
            <v>ZZ</v>
          </cell>
          <cell r="J4564">
            <v>53</v>
          </cell>
          <cell r="N4564" t="e">
            <v>#DIV/0!</v>
          </cell>
        </row>
        <row r="4565">
          <cell r="E4565" t="str">
            <v>HGC-Lib-2456243</v>
          </cell>
          <cell r="F4565" t="str">
            <v>NGS0224026-26</v>
          </cell>
          <cell r="G4565">
            <v>6</v>
          </cell>
          <cell r="H4565" t="str">
            <v>mRNA文库</v>
          </cell>
          <cell r="I4565" t="str">
            <v>ZZ</v>
          </cell>
          <cell r="J4565">
            <v>40.200000000000003</v>
          </cell>
          <cell r="N4565" t="e">
            <v>#DIV/0!</v>
          </cell>
        </row>
        <row r="4566">
          <cell r="E4566" t="str">
            <v>HGC-Lib-2456244</v>
          </cell>
          <cell r="F4566" t="str">
            <v>NGS0224026-27</v>
          </cell>
          <cell r="G4566">
            <v>6</v>
          </cell>
          <cell r="H4566" t="str">
            <v>mRNA文库</v>
          </cell>
          <cell r="I4566" t="str">
            <v>ZZ</v>
          </cell>
          <cell r="J4566">
            <v>33</v>
          </cell>
          <cell r="N4566" t="e">
            <v>#DIV/0!</v>
          </cell>
        </row>
        <row r="4567">
          <cell r="E4567" t="str">
            <v>HGC-Lib-2456245</v>
          </cell>
          <cell r="F4567" t="str">
            <v>NGS0224026-28</v>
          </cell>
          <cell r="G4567">
            <v>6</v>
          </cell>
          <cell r="H4567" t="str">
            <v>mRNA文库</v>
          </cell>
          <cell r="I4567" t="str">
            <v>ZZ</v>
          </cell>
          <cell r="J4567">
            <v>18.899999999999999</v>
          </cell>
          <cell r="N4567" t="e">
            <v>#DIV/0!</v>
          </cell>
        </row>
        <row r="4568">
          <cell r="E4568" t="str">
            <v>HGC-Lib-2456246</v>
          </cell>
          <cell r="F4568" t="str">
            <v>NGS0224026-29</v>
          </cell>
          <cell r="G4568">
            <v>6</v>
          </cell>
          <cell r="H4568" t="str">
            <v>mRNA文库</v>
          </cell>
          <cell r="I4568" t="str">
            <v>ZZ</v>
          </cell>
          <cell r="J4568">
            <v>11.2</v>
          </cell>
          <cell r="N4568" t="e">
            <v>#DIV/0!</v>
          </cell>
        </row>
        <row r="4569">
          <cell r="E4569" t="str">
            <v>HGC-Lib-2456247</v>
          </cell>
          <cell r="F4569" t="str">
            <v>NGS0224026-30</v>
          </cell>
          <cell r="G4569">
            <v>6</v>
          </cell>
          <cell r="H4569" t="str">
            <v>mRNA文库</v>
          </cell>
          <cell r="I4569" t="str">
            <v>ZZ</v>
          </cell>
          <cell r="J4569">
            <v>5.9</v>
          </cell>
          <cell r="N4569" t="e">
            <v>#DIV/0!</v>
          </cell>
        </row>
        <row r="4570">
          <cell r="E4570" t="str">
            <v>HGC-Lib-2456248</v>
          </cell>
          <cell r="F4570" t="str">
            <v>NGS0224026-31</v>
          </cell>
          <cell r="G4570">
            <v>6</v>
          </cell>
          <cell r="H4570" t="str">
            <v>mRNA文库</v>
          </cell>
          <cell r="I4570" t="str">
            <v>ZZ</v>
          </cell>
          <cell r="J4570">
            <v>44.4</v>
          </cell>
          <cell r="N4570" t="e">
            <v>#DIV/0!</v>
          </cell>
        </row>
        <row r="4571">
          <cell r="E4571" t="str">
            <v>HGC-Lib-2456249</v>
          </cell>
          <cell r="F4571" t="str">
            <v>NGS0224026-32</v>
          </cell>
          <cell r="G4571">
            <v>6</v>
          </cell>
          <cell r="H4571" t="str">
            <v>mRNA文库</v>
          </cell>
          <cell r="I4571" t="str">
            <v>ZZ</v>
          </cell>
          <cell r="J4571">
            <v>27.8</v>
          </cell>
          <cell r="N4571" t="e">
            <v>#DIV/0!</v>
          </cell>
        </row>
        <row r="4572">
          <cell r="E4572" t="str">
            <v>HGC-Lib-2456250</v>
          </cell>
          <cell r="F4572" t="str">
            <v>NGS0224026-33</v>
          </cell>
          <cell r="G4572">
            <v>6</v>
          </cell>
          <cell r="H4572" t="str">
            <v>mRNA文库</v>
          </cell>
          <cell r="I4572" t="str">
            <v>ZZ</v>
          </cell>
          <cell r="J4572">
            <v>27.8</v>
          </cell>
          <cell r="N4572" t="e">
            <v>#DIV/0!</v>
          </cell>
        </row>
        <row r="4573">
          <cell r="E4573" t="str">
            <v>HGC-Lib-2456251</v>
          </cell>
          <cell r="F4573" t="str">
            <v>NGS0224026-34</v>
          </cell>
          <cell r="G4573">
            <v>6</v>
          </cell>
          <cell r="H4573" t="str">
            <v>mRNA文库</v>
          </cell>
          <cell r="I4573" t="str">
            <v>ZZ</v>
          </cell>
          <cell r="J4573">
            <v>15.6</v>
          </cell>
          <cell r="N4573" t="e">
            <v>#DIV/0!</v>
          </cell>
        </row>
        <row r="4574">
          <cell r="E4574" t="str">
            <v>HGC-Lib-2456252</v>
          </cell>
          <cell r="F4574" t="str">
            <v>NGS0224026-35</v>
          </cell>
          <cell r="G4574">
            <v>6</v>
          </cell>
          <cell r="H4574" t="str">
            <v>mRNA文库</v>
          </cell>
          <cell r="I4574" t="str">
            <v>ZZ</v>
          </cell>
          <cell r="J4574">
            <v>19.2</v>
          </cell>
          <cell r="N4574" t="e">
            <v>#DIV/0!</v>
          </cell>
        </row>
        <row r="4575">
          <cell r="E4575" t="str">
            <v>HGC-Lib-2456253</v>
          </cell>
          <cell r="F4575" t="str">
            <v>NGS0224026-36</v>
          </cell>
          <cell r="G4575">
            <v>6</v>
          </cell>
          <cell r="H4575" t="str">
            <v>mRNA文库</v>
          </cell>
          <cell r="I4575" t="str">
            <v>ZZ</v>
          </cell>
          <cell r="J4575">
            <v>7.64</v>
          </cell>
          <cell r="N4575" t="e">
            <v>#DIV/0!</v>
          </cell>
        </row>
        <row r="4576">
          <cell r="E4576" t="str">
            <v>HGC-Lib-2456254</v>
          </cell>
          <cell r="F4576" t="str">
            <v>NGS0224026-37</v>
          </cell>
          <cell r="G4576">
            <v>6</v>
          </cell>
          <cell r="H4576" t="str">
            <v>mRNA文库</v>
          </cell>
          <cell r="I4576" t="str">
            <v>ZZ</v>
          </cell>
          <cell r="J4576">
            <v>64.8</v>
          </cell>
          <cell r="N4576" t="e">
            <v>#DIV/0!</v>
          </cell>
        </row>
        <row r="4577">
          <cell r="E4577" t="str">
            <v>HGC-Lib-2456255</v>
          </cell>
          <cell r="F4577" t="str">
            <v>NGS0224026-38</v>
          </cell>
          <cell r="G4577">
            <v>6</v>
          </cell>
          <cell r="H4577" t="str">
            <v>mRNA文库</v>
          </cell>
          <cell r="I4577" t="str">
            <v>ZZ</v>
          </cell>
          <cell r="J4577">
            <v>34.6</v>
          </cell>
          <cell r="N4577" t="e">
            <v>#DIV/0!</v>
          </cell>
        </row>
        <row r="4578">
          <cell r="E4578" t="str">
            <v>HGC-Lib-2456256</v>
          </cell>
          <cell r="F4578" t="str">
            <v>NGS0224026-39</v>
          </cell>
          <cell r="G4578">
            <v>6</v>
          </cell>
          <cell r="H4578" t="str">
            <v>mRNA文库</v>
          </cell>
          <cell r="I4578" t="str">
            <v>ZZ</v>
          </cell>
          <cell r="J4578">
            <v>32</v>
          </cell>
          <cell r="N4578" t="e">
            <v>#DIV/0!</v>
          </cell>
        </row>
        <row r="4579">
          <cell r="E4579" t="str">
            <v>HGC-Lib-2456257</v>
          </cell>
          <cell r="F4579" t="str">
            <v>NGS0224026-40</v>
          </cell>
          <cell r="G4579">
            <v>6</v>
          </cell>
          <cell r="H4579" t="str">
            <v>mRNA文库</v>
          </cell>
          <cell r="I4579" t="str">
            <v>ZZ</v>
          </cell>
          <cell r="J4579">
            <v>45.8</v>
          </cell>
          <cell r="N4579" t="e">
            <v>#DIV/0!</v>
          </cell>
        </row>
        <row r="4580">
          <cell r="E4580" t="str">
            <v>HGC-Lib-2456258</v>
          </cell>
          <cell r="F4580" t="str">
            <v>NGS0224026-41</v>
          </cell>
          <cell r="G4580">
            <v>6</v>
          </cell>
          <cell r="H4580" t="str">
            <v>mRNA文库</v>
          </cell>
          <cell r="I4580" t="str">
            <v>ZZ</v>
          </cell>
          <cell r="J4580">
            <v>19.600000000000001</v>
          </cell>
          <cell r="N4580" t="e">
            <v>#DIV/0!</v>
          </cell>
        </row>
        <row r="4581">
          <cell r="E4581" t="str">
            <v>HGC-Lib-2456259</v>
          </cell>
          <cell r="F4581" t="str">
            <v>NGS0224026-42</v>
          </cell>
          <cell r="G4581">
            <v>6</v>
          </cell>
          <cell r="H4581" t="str">
            <v>mRNA文库</v>
          </cell>
          <cell r="I4581" t="str">
            <v>ZZ</v>
          </cell>
          <cell r="J4581">
            <v>27.6</v>
          </cell>
          <cell r="N4581" t="e">
            <v>#DIV/0!</v>
          </cell>
        </row>
        <row r="4582">
          <cell r="E4582" t="str">
            <v>HGC-Lib-2456260</v>
          </cell>
          <cell r="F4582" t="str">
            <v>NGS0224026-43</v>
          </cell>
          <cell r="G4582">
            <v>6</v>
          </cell>
          <cell r="H4582" t="str">
            <v>mRNA文库</v>
          </cell>
          <cell r="I4582" t="str">
            <v>ZZ</v>
          </cell>
          <cell r="J4582">
            <v>52</v>
          </cell>
          <cell r="N4582" t="e">
            <v>#DIV/0!</v>
          </cell>
        </row>
        <row r="4583">
          <cell r="E4583" t="str">
            <v>HGC-Lib-2456261</v>
          </cell>
          <cell r="F4583" t="str">
            <v>NGS0224026-44</v>
          </cell>
          <cell r="G4583">
            <v>6</v>
          </cell>
          <cell r="H4583" t="str">
            <v>mRNA文库</v>
          </cell>
          <cell r="I4583" t="str">
            <v>ZZ</v>
          </cell>
          <cell r="J4583">
            <v>12.6</v>
          </cell>
          <cell r="N4583" t="e">
            <v>#DIV/0!</v>
          </cell>
        </row>
        <row r="4584">
          <cell r="E4584" t="str">
            <v>HGC-Lib-2456262</v>
          </cell>
          <cell r="F4584" t="str">
            <v>NGS0224026-45</v>
          </cell>
          <cell r="G4584">
            <v>6</v>
          </cell>
          <cell r="H4584" t="str">
            <v>mRNA文库</v>
          </cell>
          <cell r="I4584" t="str">
            <v>ZZ</v>
          </cell>
          <cell r="J4584">
            <v>10.3</v>
          </cell>
          <cell r="N4584" t="e">
            <v>#DIV/0!</v>
          </cell>
        </row>
        <row r="4585">
          <cell r="E4585" t="str">
            <v>HGC-Lib-2456263</v>
          </cell>
          <cell r="F4585" t="str">
            <v>NGS0224026-46</v>
          </cell>
          <cell r="G4585">
            <v>6</v>
          </cell>
          <cell r="H4585" t="str">
            <v>mRNA文库</v>
          </cell>
          <cell r="I4585" t="str">
            <v>ZZ</v>
          </cell>
          <cell r="J4585">
            <v>17.7</v>
          </cell>
          <cell r="N4585" t="e">
            <v>#DIV/0!</v>
          </cell>
        </row>
        <row r="4586">
          <cell r="E4586" t="str">
            <v>HGC-Lib-2456264</v>
          </cell>
          <cell r="F4586" t="str">
            <v>NGS0224026-47</v>
          </cell>
          <cell r="G4586">
            <v>6</v>
          </cell>
          <cell r="H4586" t="str">
            <v>mRNA文库</v>
          </cell>
          <cell r="I4586" t="str">
            <v>ZZ</v>
          </cell>
          <cell r="J4586">
            <v>6.8</v>
          </cell>
          <cell r="N4586" t="e">
            <v>#DIV/0!</v>
          </cell>
        </row>
        <row r="4587">
          <cell r="E4587" t="str">
            <v>HGC-Lib-2456265</v>
          </cell>
          <cell r="F4587" t="str">
            <v>NGS0224026-48</v>
          </cell>
          <cell r="G4587">
            <v>6</v>
          </cell>
          <cell r="H4587" t="str">
            <v>mRNA文库</v>
          </cell>
          <cell r="I4587" t="str">
            <v>ZZ</v>
          </cell>
          <cell r="J4587">
            <v>38</v>
          </cell>
          <cell r="N4587" t="e">
            <v>#DIV/0!</v>
          </cell>
        </row>
        <row r="4588">
          <cell r="E4588" t="str">
            <v>HGC-Lib-2456266</v>
          </cell>
          <cell r="F4588" t="str">
            <v>NGS0224026-49</v>
          </cell>
          <cell r="G4588">
            <v>6</v>
          </cell>
          <cell r="H4588" t="str">
            <v>mRNA文库</v>
          </cell>
          <cell r="I4588" t="str">
            <v>ZZ</v>
          </cell>
          <cell r="J4588">
            <v>42.4</v>
          </cell>
          <cell r="N4588" t="e">
            <v>#DIV/0!</v>
          </cell>
        </row>
        <row r="4589">
          <cell r="E4589" t="str">
            <v>HGC-Lib-2456267</v>
          </cell>
          <cell r="F4589" t="str">
            <v>NGS0224026-50</v>
          </cell>
          <cell r="G4589">
            <v>6</v>
          </cell>
          <cell r="H4589" t="str">
            <v>mRNA文库</v>
          </cell>
          <cell r="I4589" t="str">
            <v>ZZ</v>
          </cell>
          <cell r="J4589">
            <v>24.8</v>
          </cell>
          <cell r="N4589" t="e">
            <v>#DIV/0!</v>
          </cell>
        </row>
        <row r="4590">
          <cell r="E4590" t="str">
            <v>HGC-Lib-2456268</v>
          </cell>
          <cell r="F4590" t="str">
            <v>NGS0224028-1</v>
          </cell>
          <cell r="G4590">
            <v>6</v>
          </cell>
          <cell r="H4590" t="str">
            <v>mRNA文库</v>
          </cell>
          <cell r="I4590" t="str">
            <v>ZZ</v>
          </cell>
          <cell r="J4590">
            <v>12.9</v>
          </cell>
          <cell r="N4590" t="e">
            <v>#DIV/0!</v>
          </cell>
        </row>
        <row r="4591">
          <cell r="E4591" t="str">
            <v>HGC-Lib-2456269</v>
          </cell>
          <cell r="F4591" t="str">
            <v>NGS0224028-2</v>
          </cell>
          <cell r="G4591">
            <v>6</v>
          </cell>
          <cell r="H4591" t="str">
            <v>mRNA文库</v>
          </cell>
          <cell r="I4591" t="str">
            <v>ZZ</v>
          </cell>
          <cell r="J4591">
            <v>11.5</v>
          </cell>
          <cell r="N4591" t="e">
            <v>#DIV/0!</v>
          </cell>
        </row>
        <row r="4592">
          <cell r="E4592" t="str">
            <v>HGC-Lib-2456270</v>
          </cell>
          <cell r="F4592" t="str">
            <v>NGS0224028-3</v>
          </cell>
          <cell r="G4592">
            <v>6</v>
          </cell>
          <cell r="H4592" t="str">
            <v>mRNA文库</v>
          </cell>
          <cell r="I4592" t="str">
            <v>ZZ</v>
          </cell>
          <cell r="J4592">
            <v>8.7200000000000006</v>
          </cell>
          <cell r="N4592" t="e">
            <v>#DIV/0!</v>
          </cell>
        </row>
        <row r="4593">
          <cell r="E4593" t="str">
            <v>HGC-Lib-2456271</v>
          </cell>
          <cell r="F4593" t="str">
            <v>NGS0224028-4</v>
          </cell>
          <cell r="G4593">
            <v>6</v>
          </cell>
          <cell r="H4593" t="str">
            <v>mRNA文库</v>
          </cell>
          <cell r="I4593" t="str">
            <v>ZZ</v>
          </cell>
          <cell r="J4593">
            <v>57.6</v>
          </cell>
          <cell r="N4593" t="e">
            <v>#DIV/0!</v>
          </cell>
        </row>
        <row r="4594">
          <cell r="E4594" t="str">
            <v>HGC-Lib-2456272</v>
          </cell>
          <cell r="F4594" t="str">
            <v>NGS0224029-1</v>
          </cell>
          <cell r="G4594">
            <v>6</v>
          </cell>
          <cell r="H4594" t="str">
            <v>mRNA文库</v>
          </cell>
          <cell r="I4594" t="str">
            <v>ZZ</v>
          </cell>
          <cell r="J4594">
            <v>63.4</v>
          </cell>
          <cell r="N4594" t="e">
            <v>#DIV/0!</v>
          </cell>
        </row>
        <row r="4595">
          <cell r="E4595" t="str">
            <v>HGC-Lib-2456273</v>
          </cell>
          <cell r="F4595" t="str">
            <v>NGS0224029-2</v>
          </cell>
          <cell r="G4595">
            <v>6</v>
          </cell>
          <cell r="H4595" t="str">
            <v>mRNA文库</v>
          </cell>
          <cell r="I4595" t="str">
            <v>ZZ</v>
          </cell>
          <cell r="J4595">
            <v>55</v>
          </cell>
          <cell r="N4595" t="e">
            <v>#DIV/0!</v>
          </cell>
        </row>
        <row r="4596">
          <cell r="E4596" t="str">
            <v>HGC-Lib-2456274</v>
          </cell>
          <cell r="F4596" t="str">
            <v>NGS0224029-3</v>
          </cell>
          <cell r="G4596">
            <v>6</v>
          </cell>
          <cell r="H4596" t="str">
            <v>mRNA文库</v>
          </cell>
          <cell r="I4596" t="str">
            <v>ZZ</v>
          </cell>
          <cell r="J4596">
            <v>37.200000000000003</v>
          </cell>
          <cell r="N4596" t="e">
            <v>#DIV/0!</v>
          </cell>
        </row>
        <row r="4597">
          <cell r="E4597" t="str">
            <v>HGC-Lib-2456275</v>
          </cell>
          <cell r="F4597" t="str">
            <v>NGS0224029-4</v>
          </cell>
          <cell r="G4597">
            <v>6</v>
          </cell>
          <cell r="H4597" t="str">
            <v>mRNA文库</v>
          </cell>
          <cell r="I4597" t="str">
            <v>ZZ</v>
          </cell>
          <cell r="J4597">
            <v>22</v>
          </cell>
          <cell r="N4597" t="e">
            <v>#DIV/0!</v>
          </cell>
        </row>
        <row r="4598">
          <cell r="E4598" t="str">
            <v>HGC-Lib-2456276</v>
          </cell>
          <cell r="F4598" t="str">
            <v>NGS0224029-5</v>
          </cell>
          <cell r="G4598">
            <v>6</v>
          </cell>
          <cell r="H4598" t="str">
            <v>mRNA文库</v>
          </cell>
          <cell r="I4598" t="str">
            <v>ZZ</v>
          </cell>
          <cell r="J4598">
            <v>48</v>
          </cell>
          <cell r="N4598" t="e">
            <v>#DIV/0!</v>
          </cell>
        </row>
        <row r="4599">
          <cell r="E4599" t="str">
            <v>HGC-Lib-2456277</v>
          </cell>
          <cell r="F4599" t="str">
            <v>NGS0224029-6</v>
          </cell>
          <cell r="G4599">
            <v>6</v>
          </cell>
          <cell r="H4599" t="str">
            <v>mRNA文库</v>
          </cell>
          <cell r="I4599" t="str">
            <v>ZZ</v>
          </cell>
          <cell r="J4599">
            <v>12.9</v>
          </cell>
          <cell r="N4599" t="e">
            <v>#DIV/0!</v>
          </cell>
        </row>
        <row r="4600">
          <cell r="E4600" t="str">
            <v>HGC-Lib-2456278</v>
          </cell>
          <cell r="F4600" t="str">
            <v>NGS0224029-7</v>
          </cell>
          <cell r="G4600">
            <v>6</v>
          </cell>
          <cell r="H4600" t="str">
            <v>mRNA文库</v>
          </cell>
          <cell r="I4600" t="str">
            <v>ZZ</v>
          </cell>
          <cell r="J4600">
            <v>32.6</v>
          </cell>
          <cell r="N4600" t="e">
            <v>#DIV/0!</v>
          </cell>
        </row>
        <row r="4601">
          <cell r="E4601" t="str">
            <v>HGC-Lib-2456279</v>
          </cell>
          <cell r="F4601" t="str">
            <v>NGS0224029-8</v>
          </cell>
          <cell r="G4601">
            <v>6</v>
          </cell>
          <cell r="H4601" t="str">
            <v>mRNA文库</v>
          </cell>
          <cell r="I4601" t="str">
            <v>XCL</v>
          </cell>
          <cell r="J4601">
            <v>42</v>
          </cell>
          <cell r="N4601" t="e">
            <v>#DIV/0!</v>
          </cell>
        </row>
        <row r="4602">
          <cell r="E4602" t="str">
            <v>HGC-Lib-2456280</v>
          </cell>
          <cell r="F4602" t="str">
            <v>NGS0224029-9</v>
          </cell>
          <cell r="G4602">
            <v>6</v>
          </cell>
          <cell r="H4602" t="str">
            <v>mRNA文库</v>
          </cell>
          <cell r="I4602" t="str">
            <v>XCL</v>
          </cell>
          <cell r="J4602">
            <v>28.8</v>
          </cell>
          <cell r="N4602" t="e">
            <v>#DIV/0!</v>
          </cell>
        </row>
        <row r="4603">
          <cell r="E4603" t="str">
            <v>HGC-Lib-2456281</v>
          </cell>
          <cell r="F4603" t="str">
            <v>NGS0224029-10</v>
          </cell>
          <cell r="G4603">
            <v>6</v>
          </cell>
          <cell r="H4603" t="str">
            <v>mRNA文库</v>
          </cell>
          <cell r="I4603" t="str">
            <v>XCL</v>
          </cell>
          <cell r="J4603">
            <v>30</v>
          </cell>
          <cell r="N4603" t="e">
            <v>#DIV/0!</v>
          </cell>
        </row>
        <row r="4604">
          <cell r="E4604" t="str">
            <v>HGC-Lib-2456282</v>
          </cell>
          <cell r="F4604" t="str">
            <v>NGS0224029-11</v>
          </cell>
          <cell r="G4604">
            <v>6</v>
          </cell>
          <cell r="H4604" t="str">
            <v>mRNA文库</v>
          </cell>
          <cell r="I4604" t="str">
            <v>XCL</v>
          </cell>
          <cell r="J4604">
            <v>46</v>
          </cell>
          <cell r="N4604" t="e">
            <v>#DIV/0!</v>
          </cell>
        </row>
        <row r="4605">
          <cell r="E4605" t="str">
            <v>HGC-Lib-2456283</v>
          </cell>
          <cell r="F4605" t="str">
            <v>NGS0224029-12</v>
          </cell>
          <cell r="G4605">
            <v>6</v>
          </cell>
          <cell r="H4605" t="str">
            <v>mRNA文库</v>
          </cell>
          <cell r="I4605" t="str">
            <v>XCL</v>
          </cell>
          <cell r="J4605">
            <v>6.5</v>
          </cell>
          <cell r="N4605" t="e">
            <v>#DIV/0!</v>
          </cell>
        </row>
        <row r="4606">
          <cell r="E4606" t="str">
            <v>HGC-Lib-2456284</v>
          </cell>
          <cell r="F4606" t="str">
            <v>NGS0224035-1</v>
          </cell>
          <cell r="G4606">
            <v>6</v>
          </cell>
          <cell r="H4606" t="str">
            <v>mRNA文库</v>
          </cell>
          <cell r="I4606" t="str">
            <v>XCL</v>
          </cell>
          <cell r="J4606">
            <v>49.6</v>
          </cell>
          <cell r="N4606" t="e">
            <v>#DIV/0!</v>
          </cell>
        </row>
        <row r="4607">
          <cell r="E4607" t="str">
            <v>HGC-Lib-2456285</v>
          </cell>
          <cell r="F4607" t="str">
            <v>NGS0224035-2</v>
          </cell>
          <cell r="G4607">
            <v>6</v>
          </cell>
          <cell r="H4607" t="str">
            <v>mRNA文库</v>
          </cell>
          <cell r="I4607" t="str">
            <v>XCL</v>
          </cell>
          <cell r="J4607">
            <v>49.4</v>
          </cell>
          <cell r="N4607" t="e">
            <v>#DIV/0!</v>
          </cell>
        </row>
        <row r="4608">
          <cell r="E4608" t="str">
            <v>HGC-Lib-2456286</v>
          </cell>
          <cell r="F4608" t="str">
            <v>NGS0224035-3</v>
          </cell>
          <cell r="G4608">
            <v>6</v>
          </cell>
          <cell r="H4608" t="str">
            <v>mRNA文库</v>
          </cell>
          <cell r="I4608" t="str">
            <v>XCL</v>
          </cell>
          <cell r="J4608">
            <v>49.6</v>
          </cell>
          <cell r="N4608" t="e">
            <v>#DIV/0!</v>
          </cell>
        </row>
        <row r="4609">
          <cell r="E4609" t="str">
            <v>HGC-Lib-2456287</v>
          </cell>
          <cell r="F4609" t="str">
            <v>NGS0224035-4</v>
          </cell>
          <cell r="G4609">
            <v>6</v>
          </cell>
          <cell r="H4609" t="str">
            <v>mRNA文库</v>
          </cell>
          <cell r="I4609" t="str">
            <v>XCL</v>
          </cell>
          <cell r="J4609">
            <v>40.200000000000003</v>
          </cell>
          <cell r="N4609" t="e">
            <v>#DIV/0!</v>
          </cell>
        </row>
        <row r="4610">
          <cell r="E4610" t="str">
            <v>HGC-Lib-2456288</v>
          </cell>
          <cell r="F4610" t="str">
            <v>NGS0224035-5</v>
          </cell>
          <cell r="G4610">
            <v>6</v>
          </cell>
          <cell r="H4610" t="str">
            <v>mRNA文库</v>
          </cell>
          <cell r="I4610" t="str">
            <v>XCL</v>
          </cell>
          <cell r="J4610">
            <v>47.8</v>
          </cell>
          <cell r="N4610" t="e">
            <v>#DIV/0!</v>
          </cell>
        </row>
        <row r="4611">
          <cell r="E4611" t="str">
            <v>HGC-Lib-2456289</v>
          </cell>
          <cell r="F4611" t="str">
            <v>NGS0224035-6</v>
          </cell>
          <cell r="G4611">
            <v>6</v>
          </cell>
          <cell r="H4611" t="str">
            <v>mRNA文库</v>
          </cell>
          <cell r="I4611" t="str">
            <v>XCL</v>
          </cell>
          <cell r="J4611">
            <v>59.2</v>
          </cell>
          <cell r="N4611" t="e">
            <v>#DIV/0!</v>
          </cell>
        </row>
        <row r="4612">
          <cell r="E4612" t="str">
            <v>HGC-Lib-2456290</v>
          </cell>
          <cell r="F4612" t="str">
            <v>NGS0224035-7</v>
          </cell>
          <cell r="G4612">
            <v>6</v>
          </cell>
          <cell r="H4612" t="str">
            <v>mRNA文库</v>
          </cell>
          <cell r="I4612" t="str">
            <v>XCL</v>
          </cell>
          <cell r="J4612">
            <v>51.8</v>
          </cell>
          <cell r="N4612" t="e">
            <v>#DIV/0!</v>
          </cell>
        </row>
        <row r="4613">
          <cell r="E4613" t="str">
            <v>HGC-Lib-2456291</v>
          </cell>
          <cell r="F4613" t="str">
            <v>NGS0224035-8</v>
          </cell>
          <cell r="G4613">
            <v>6</v>
          </cell>
          <cell r="H4613" t="str">
            <v>mRNA文库</v>
          </cell>
          <cell r="I4613" t="str">
            <v>XCL</v>
          </cell>
          <cell r="J4613">
            <v>50.4</v>
          </cell>
          <cell r="N4613" t="e">
            <v>#DIV/0!</v>
          </cell>
        </row>
        <row r="4614">
          <cell r="E4614" t="str">
            <v>HGC-Lib-2456292</v>
          </cell>
          <cell r="F4614" t="str">
            <v>NGS0224035-9</v>
          </cell>
          <cell r="G4614">
            <v>6</v>
          </cell>
          <cell r="H4614" t="str">
            <v>mRNA文库</v>
          </cell>
          <cell r="I4614" t="str">
            <v>XCL</v>
          </cell>
          <cell r="J4614">
            <v>27.8</v>
          </cell>
          <cell r="N4614" t="e">
            <v>#DIV/0!</v>
          </cell>
        </row>
        <row r="4615">
          <cell r="E4615" t="str">
            <v>HGC-Lib-2456293</v>
          </cell>
          <cell r="F4615" t="str">
            <v>NGS0224035-10</v>
          </cell>
          <cell r="G4615">
            <v>6</v>
          </cell>
          <cell r="H4615" t="str">
            <v>mRNA文库</v>
          </cell>
          <cell r="I4615" t="str">
            <v>XCL</v>
          </cell>
          <cell r="J4615">
            <v>38.6</v>
          </cell>
          <cell r="N4615" t="e">
            <v>#DIV/0!</v>
          </cell>
        </row>
        <row r="4616">
          <cell r="E4616" t="str">
            <v>HGC-Lib-2456294</v>
          </cell>
          <cell r="F4616" t="str">
            <v>LFTBC240628049CK</v>
          </cell>
          <cell r="G4616">
            <v>100</v>
          </cell>
          <cell r="H4616" t="str">
            <v>singleron-3'全长转录组文库</v>
          </cell>
          <cell r="I4616" t="str">
            <v>XCL</v>
          </cell>
          <cell r="J4616">
            <v>22.8</v>
          </cell>
          <cell r="N4616" t="e">
            <v>#DIV/0!</v>
          </cell>
        </row>
        <row r="4617">
          <cell r="E4617" t="str">
            <v>HGC-Lib-2456295</v>
          </cell>
          <cell r="F4617" t="str">
            <v>LFTBC240628050</v>
          </cell>
          <cell r="G4617">
            <v>100</v>
          </cell>
          <cell r="H4617" t="str">
            <v>singleron-3'全长转录组文库</v>
          </cell>
          <cell r="I4617" t="str">
            <v>XCL</v>
          </cell>
          <cell r="J4617">
            <v>18.2</v>
          </cell>
          <cell r="N4617" t="e">
            <v>#DIV/0!</v>
          </cell>
        </row>
        <row r="4618">
          <cell r="E4618" t="str">
            <v>HGC-Lib-2456296</v>
          </cell>
          <cell r="F4618" t="str">
            <v>LFTBC240628051CK</v>
          </cell>
          <cell r="G4618">
            <v>100</v>
          </cell>
          <cell r="H4618" t="str">
            <v>singleron-3'全长转录组文库</v>
          </cell>
          <cell r="I4618" t="str">
            <v>XCL</v>
          </cell>
          <cell r="J4618">
            <v>19.7</v>
          </cell>
          <cell r="N4618" t="e">
            <v>#DIV/0!</v>
          </cell>
        </row>
        <row r="4619">
          <cell r="E4619" t="str">
            <v>HGC-Lib-2456297</v>
          </cell>
          <cell r="F4619" t="str">
            <v>LFTBC240702054CK</v>
          </cell>
          <cell r="G4619">
            <v>100</v>
          </cell>
          <cell r="H4619" t="str">
            <v>singleron-3'全长转录组文库</v>
          </cell>
          <cell r="I4619" t="str">
            <v>XCL</v>
          </cell>
          <cell r="J4619">
            <v>26.6</v>
          </cell>
          <cell r="N4619" t="e">
            <v>#DIV/0!</v>
          </cell>
        </row>
        <row r="4620">
          <cell r="E4620" t="str">
            <v>HGC-Lib-2456298</v>
          </cell>
          <cell r="F4620" t="str">
            <v>LFTC240709048</v>
          </cell>
          <cell r="G4620">
            <v>120</v>
          </cell>
          <cell r="H4620" t="str">
            <v>singleron-3'全长转录组文库</v>
          </cell>
          <cell r="I4620" t="str">
            <v>XCL</v>
          </cell>
          <cell r="J4620">
            <v>37.4</v>
          </cell>
          <cell r="N4620" t="e">
            <v>#DIV/0!</v>
          </cell>
        </row>
        <row r="4621">
          <cell r="E4621" t="str">
            <v>HGC-Lib-2456299</v>
          </cell>
          <cell r="F4621" t="str">
            <v>LFTC240709047</v>
          </cell>
          <cell r="G4621">
            <v>120</v>
          </cell>
          <cell r="H4621" t="str">
            <v>singleron-3'全长转录组文库</v>
          </cell>
          <cell r="I4621" t="str">
            <v>XCL</v>
          </cell>
          <cell r="J4621">
            <v>15.9</v>
          </cell>
          <cell r="N4621" t="e">
            <v>#DIV/0!</v>
          </cell>
        </row>
        <row r="4622">
          <cell r="E4622" t="str">
            <v>HGC-Lib-2456300</v>
          </cell>
          <cell r="F4622" t="str">
            <v>LFTC240710061</v>
          </cell>
          <cell r="G4622">
            <v>120</v>
          </cell>
          <cell r="H4622" t="str">
            <v>singleron-3'全长转录组文库</v>
          </cell>
          <cell r="I4622" t="str">
            <v>XCL</v>
          </cell>
          <cell r="J4622">
            <v>32.6</v>
          </cell>
          <cell r="N4622" t="e">
            <v>#DIV/0!</v>
          </cell>
        </row>
        <row r="4623">
          <cell r="E4623" t="str">
            <v>HGC-Lib-2456301</v>
          </cell>
          <cell r="F4623" t="str">
            <v>LFTC240709038</v>
          </cell>
          <cell r="G4623">
            <v>90</v>
          </cell>
          <cell r="H4623" t="str">
            <v>singleron-3'全长转录组文库</v>
          </cell>
          <cell r="I4623" t="str">
            <v>XCL</v>
          </cell>
          <cell r="J4623">
            <v>19</v>
          </cell>
          <cell r="N4623" t="e">
            <v>#DIV/0!</v>
          </cell>
        </row>
        <row r="4624">
          <cell r="E4624" t="str">
            <v>HGC-Lib-2456302</v>
          </cell>
          <cell r="F4624" t="str">
            <v>LFTC240709042</v>
          </cell>
          <cell r="G4624">
            <v>90</v>
          </cell>
          <cell r="H4624" t="str">
            <v>singleron-3'全长转录组文库</v>
          </cell>
          <cell r="I4624" t="str">
            <v>XCL</v>
          </cell>
          <cell r="J4624">
            <v>28.8</v>
          </cell>
          <cell r="L4624" t="str">
            <v>9月25已上机</v>
          </cell>
          <cell r="N4624" t="e">
            <v>#DIV/0!</v>
          </cell>
        </row>
        <row r="4625">
          <cell r="E4625" t="str">
            <v>HGC-Lib-2456303</v>
          </cell>
          <cell r="F4625" t="str">
            <v>LFTC240709035</v>
          </cell>
          <cell r="G4625">
            <v>90</v>
          </cell>
          <cell r="H4625" t="str">
            <v>singleron-3'全长转录组文库</v>
          </cell>
          <cell r="I4625" t="str">
            <v>XCL</v>
          </cell>
          <cell r="J4625">
            <v>30.8</v>
          </cell>
          <cell r="N4625" t="e">
            <v>#DIV/0!</v>
          </cell>
        </row>
        <row r="4626">
          <cell r="E4626" t="str">
            <v>HGC-Lib-2456304</v>
          </cell>
          <cell r="F4626" t="str">
            <v>LFTC240709044</v>
          </cell>
          <cell r="G4626">
            <v>90</v>
          </cell>
          <cell r="H4626" t="str">
            <v>singleron-3'全长转录组文库</v>
          </cell>
          <cell r="I4626" t="str">
            <v>XCL</v>
          </cell>
          <cell r="J4626">
            <v>27.6</v>
          </cell>
          <cell r="N4626" t="e">
            <v>#DIV/0!</v>
          </cell>
        </row>
        <row r="4627">
          <cell r="E4627" t="str">
            <v>HGC-Lib-2456305</v>
          </cell>
          <cell r="F4627" t="str">
            <v>LFTC240709043</v>
          </cell>
          <cell r="G4627">
            <v>90</v>
          </cell>
          <cell r="H4627" t="str">
            <v>singleron-3'全长转录组文库</v>
          </cell>
          <cell r="I4627" t="str">
            <v>XCL</v>
          </cell>
          <cell r="J4627">
            <v>23.8</v>
          </cell>
          <cell r="N4627" t="e">
            <v>#DIV/0!</v>
          </cell>
        </row>
        <row r="4628">
          <cell r="E4628" t="str">
            <v>HGC-Lib-2456306</v>
          </cell>
          <cell r="F4628" t="str">
            <v>LFTC240709037</v>
          </cell>
          <cell r="G4628">
            <v>90</v>
          </cell>
          <cell r="H4628" t="str">
            <v>singleron-3'全长转录组文库</v>
          </cell>
          <cell r="I4628" t="str">
            <v>XCL</v>
          </cell>
          <cell r="J4628">
            <v>24.6</v>
          </cell>
          <cell r="N4628" t="e">
            <v>#DIV/0!</v>
          </cell>
        </row>
        <row r="4629">
          <cell r="E4629" t="str">
            <v>HGC-Lib-2456307</v>
          </cell>
          <cell r="F4629" t="str">
            <v>LFTC240709040</v>
          </cell>
          <cell r="G4629">
            <v>90</v>
          </cell>
          <cell r="H4629" t="str">
            <v>singleron-3'全长转录组文库</v>
          </cell>
          <cell r="I4629" t="str">
            <v>XCL</v>
          </cell>
          <cell r="J4629">
            <v>23</v>
          </cell>
          <cell r="N4629" t="e">
            <v>#DIV/0!</v>
          </cell>
        </row>
        <row r="4630">
          <cell r="E4630" t="str">
            <v>HGC-Lib-2456308</v>
          </cell>
          <cell r="F4630" t="str">
            <v>LFTC240709041</v>
          </cell>
          <cell r="G4630">
            <v>90</v>
          </cell>
          <cell r="H4630" t="str">
            <v>singleron-3'全长转录组文库</v>
          </cell>
          <cell r="I4630" t="str">
            <v>XCL</v>
          </cell>
          <cell r="J4630">
            <v>21.6</v>
          </cell>
          <cell r="N4630" t="e">
            <v>#DIV/0!</v>
          </cell>
        </row>
        <row r="4631">
          <cell r="E4631" t="str">
            <v>HGC-Lib-2456309</v>
          </cell>
          <cell r="F4631" t="str">
            <v>LFTC240709036</v>
          </cell>
          <cell r="G4631">
            <v>90</v>
          </cell>
          <cell r="H4631" t="str">
            <v>singleron-3'全长转录组文库</v>
          </cell>
          <cell r="I4631" t="str">
            <v>XCL</v>
          </cell>
          <cell r="J4631">
            <v>19.7</v>
          </cell>
          <cell r="N4631" t="e">
            <v>#DIV/0!</v>
          </cell>
        </row>
        <row r="4632">
          <cell r="E4632" t="str">
            <v>HGC-Lib-2456310</v>
          </cell>
          <cell r="F4632" t="str">
            <v>LFTC240709045</v>
          </cell>
          <cell r="G4632">
            <v>90</v>
          </cell>
          <cell r="H4632" t="str">
            <v>singleron-3'全长转录组文库</v>
          </cell>
          <cell r="I4632" t="str">
            <v>XCL</v>
          </cell>
          <cell r="J4632">
            <v>31.4</v>
          </cell>
          <cell r="N4632" t="e">
            <v>#DIV/0!</v>
          </cell>
        </row>
        <row r="4633">
          <cell r="E4633" t="str">
            <v>HGC-Lib-2456311</v>
          </cell>
          <cell r="F4633" t="str">
            <v>LFTC240709039</v>
          </cell>
          <cell r="G4633">
            <v>90</v>
          </cell>
          <cell r="H4633" t="str">
            <v>singleron-3'全长转录组文库</v>
          </cell>
          <cell r="I4633" t="str">
            <v>XCL</v>
          </cell>
          <cell r="J4633">
            <v>17.5</v>
          </cell>
          <cell r="N4633" t="e">
            <v>#DIV/0!</v>
          </cell>
        </row>
        <row r="4634">
          <cell r="E4634" t="str">
            <v>HGC-Lib-2456312</v>
          </cell>
          <cell r="F4634" t="str">
            <v>LFTC240709046</v>
          </cell>
          <cell r="G4634">
            <v>90</v>
          </cell>
          <cell r="H4634" t="str">
            <v>singleron-3'全长转录组文库</v>
          </cell>
          <cell r="I4634" t="str">
            <v>XCL</v>
          </cell>
          <cell r="J4634">
            <v>19.8</v>
          </cell>
          <cell r="N4634" t="e">
            <v>#DIV/0!</v>
          </cell>
        </row>
        <row r="4635">
          <cell r="E4635" t="str">
            <v>HGC-Lib-2456313</v>
          </cell>
          <cell r="F4635" t="str">
            <v>LPMFTBC240702032CK</v>
          </cell>
          <cell r="G4635">
            <v>90</v>
          </cell>
          <cell r="H4635" t="str">
            <v>singleron-3'全长转录组文库</v>
          </cell>
          <cell r="I4635" t="str">
            <v>XCL</v>
          </cell>
          <cell r="J4635">
            <v>27.2</v>
          </cell>
          <cell r="N4635" t="e">
            <v>#DIV/0!</v>
          </cell>
        </row>
        <row r="4636">
          <cell r="E4636" t="str">
            <v>HGC-Lib-2456314</v>
          </cell>
          <cell r="F4636" t="str">
            <v>PMLPMFTBC240702032</v>
          </cell>
          <cell r="G4636">
            <v>12</v>
          </cell>
          <cell r="H4636" t="str">
            <v>其他碱基不平衡文库</v>
          </cell>
          <cell r="I4636" t="str">
            <v>XCL</v>
          </cell>
          <cell r="J4636">
            <v>64.400000000000006</v>
          </cell>
          <cell r="N4636" t="e">
            <v>#DIV/0!</v>
          </cell>
        </row>
        <row r="4637">
          <cell r="E4637" t="str">
            <v>HGC-Lib-2456315</v>
          </cell>
          <cell r="F4637" t="str">
            <v>LTC240712098</v>
          </cell>
          <cell r="G4637">
            <v>90</v>
          </cell>
          <cell r="H4637" t="str">
            <v>singleron-3'转录组文库</v>
          </cell>
          <cell r="I4637" t="str">
            <v>XCL</v>
          </cell>
          <cell r="J4637">
            <v>15.4</v>
          </cell>
          <cell r="N4637" t="e">
            <v>#DIV/0!</v>
          </cell>
        </row>
        <row r="4638">
          <cell r="E4638" t="str">
            <v>HGC-Lib-2456316</v>
          </cell>
          <cell r="F4638" t="str">
            <v>LTC240712099</v>
          </cell>
          <cell r="G4638">
            <v>90</v>
          </cell>
          <cell r="H4638" t="str">
            <v>singleron-3'转录组文库</v>
          </cell>
          <cell r="I4638" t="str">
            <v>XCL</v>
          </cell>
          <cell r="J4638">
            <v>16.399999999999999</v>
          </cell>
          <cell r="N4638" t="e">
            <v>#DIV/0!</v>
          </cell>
        </row>
        <row r="4639">
          <cell r="E4639" t="str">
            <v>HGC-Lib-2456317</v>
          </cell>
          <cell r="F4639" t="str">
            <v>LA240707023X2</v>
          </cell>
          <cell r="G4639">
            <v>30</v>
          </cell>
          <cell r="H4639" t="str">
            <v>singleron-3'转录组文库</v>
          </cell>
          <cell r="I4639" t="str">
            <v>XCL</v>
          </cell>
          <cell r="J4639">
            <v>18.5</v>
          </cell>
          <cell r="N4639" t="e">
            <v>#DIV/0!</v>
          </cell>
        </row>
        <row r="4640">
          <cell r="E4640" t="str">
            <v>HGC-Lib-2456318</v>
          </cell>
          <cell r="F4640" t="str">
            <v>LA240707023X1</v>
          </cell>
          <cell r="G4640">
            <v>30</v>
          </cell>
          <cell r="H4640" t="str">
            <v>singleron-3'转录组文库</v>
          </cell>
          <cell r="I4640" t="str">
            <v>XCL</v>
          </cell>
          <cell r="J4640">
            <v>20.6</v>
          </cell>
          <cell r="N4640" t="e">
            <v>#DIV/0!</v>
          </cell>
        </row>
        <row r="4641">
          <cell r="E4641" t="str">
            <v>HGC-Lib-2456319</v>
          </cell>
          <cell r="F4641" t="str">
            <v>LA240707022X1</v>
          </cell>
          <cell r="G4641">
            <v>30</v>
          </cell>
          <cell r="H4641" t="str">
            <v>singleron-3'转录组文库</v>
          </cell>
          <cell r="I4641" t="str">
            <v>XCL</v>
          </cell>
          <cell r="J4641">
            <v>22.2</v>
          </cell>
          <cell r="N4641" t="e">
            <v>#DIV/0!</v>
          </cell>
        </row>
        <row r="4642">
          <cell r="E4642" t="str">
            <v>HGC-Lib-2456320</v>
          </cell>
          <cell r="F4642" t="str">
            <v>LA240707022X2</v>
          </cell>
          <cell r="G4642">
            <v>30</v>
          </cell>
          <cell r="H4642" t="str">
            <v>singleron-3'转录组文库</v>
          </cell>
          <cell r="I4642" t="str">
            <v>XCL</v>
          </cell>
          <cell r="J4642">
            <v>19.5</v>
          </cell>
          <cell r="N4642" t="e">
            <v>#DIV/0!</v>
          </cell>
        </row>
        <row r="4643">
          <cell r="E4643" t="str">
            <v>HGC-Lib-2456321</v>
          </cell>
          <cell r="F4643" t="str">
            <v>LC240709014</v>
          </cell>
          <cell r="G4643">
            <v>100</v>
          </cell>
          <cell r="H4643" t="str">
            <v>singleron-3'转录组文库</v>
          </cell>
          <cell r="I4643" t="str">
            <v>XCL</v>
          </cell>
          <cell r="J4643">
            <v>18</v>
          </cell>
          <cell r="N4643" t="e">
            <v>#DIV/0!</v>
          </cell>
        </row>
        <row r="4644">
          <cell r="E4644" t="str">
            <v>HGC-Lib-2456322</v>
          </cell>
          <cell r="F4644" t="str">
            <v>LA240710008</v>
          </cell>
          <cell r="G4644">
            <v>100</v>
          </cell>
          <cell r="H4644" t="str">
            <v>singleron-3'转录组文库</v>
          </cell>
          <cell r="I4644" t="str">
            <v>XCL</v>
          </cell>
          <cell r="J4644">
            <v>22.2</v>
          </cell>
          <cell r="N4644" t="e">
            <v>#DIV/0!</v>
          </cell>
        </row>
        <row r="4645">
          <cell r="E4645" t="str">
            <v>HGC-Lib-2456323</v>
          </cell>
          <cell r="F4645" t="str">
            <v>LC240711041X2</v>
          </cell>
          <cell r="G4645">
            <v>100</v>
          </cell>
          <cell r="H4645" t="str">
            <v>singleron-3'转录组文库</v>
          </cell>
          <cell r="I4645" t="str">
            <v>XCL</v>
          </cell>
          <cell r="J4645">
            <v>26</v>
          </cell>
          <cell r="N4645" t="e">
            <v>#DIV/0!</v>
          </cell>
        </row>
        <row r="4646">
          <cell r="E4646" t="str">
            <v>HGC-Lib-2456324</v>
          </cell>
          <cell r="F4646" t="str">
            <v>LHC240709015</v>
          </cell>
          <cell r="G4646">
            <v>200</v>
          </cell>
          <cell r="H4646" t="str">
            <v>singleron-3'转录组文库</v>
          </cell>
          <cell r="I4646" t="str">
            <v>XCL</v>
          </cell>
          <cell r="J4646">
            <v>23.6</v>
          </cell>
          <cell r="N4646" t="e">
            <v>#DIV/0!</v>
          </cell>
        </row>
        <row r="4647">
          <cell r="E4647" t="str">
            <v>HGC-Lib-2456325</v>
          </cell>
          <cell r="F4647" t="str">
            <v>LA240710066</v>
          </cell>
          <cell r="G4647">
            <v>100</v>
          </cell>
          <cell r="H4647" t="str">
            <v>singleron-3'转录组文库</v>
          </cell>
          <cell r="I4647" t="str">
            <v>XCL</v>
          </cell>
          <cell r="J4647">
            <v>25.8</v>
          </cell>
          <cell r="N4647" t="e">
            <v>#DIV/0!</v>
          </cell>
        </row>
        <row r="4648">
          <cell r="E4648" t="str">
            <v>HGC-Lib-2456326</v>
          </cell>
          <cell r="F4648" t="str">
            <v>LC240709023</v>
          </cell>
          <cell r="G4648">
            <v>100</v>
          </cell>
          <cell r="H4648" t="str">
            <v>singleron-3'转录组文库</v>
          </cell>
          <cell r="I4648" t="str">
            <v>XCL</v>
          </cell>
          <cell r="J4648">
            <v>32.200000000000003</v>
          </cell>
          <cell r="N4648" t="e">
            <v>#DIV/0!</v>
          </cell>
        </row>
        <row r="4649">
          <cell r="E4649" t="str">
            <v>HGC-Lib-2456327</v>
          </cell>
          <cell r="F4649" t="str">
            <v>LC240709022</v>
          </cell>
          <cell r="G4649">
            <v>100</v>
          </cell>
          <cell r="H4649" t="str">
            <v>singleron-3'转录组文库</v>
          </cell>
          <cell r="I4649" t="str">
            <v>HZK</v>
          </cell>
          <cell r="J4649">
            <v>33.200000000000003</v>
          </cell>
          <cell r="N4649" t="e">
            <v>#DIV/0!</v>
          </cell>
        </row>
        <row r="4650">
          <cell r="E4650" t="str">
            <v>HGC-Lib-2456328</v>
          </cell>
          <cell r="F4650" t="str">
            <v>LC240709024</v>
          </cell>
          <cell r="G4650">
            <v>100</v>
          </cell>
          <cell r="H4650" t="str">
            <v>singleron-3'转录组文库</v>
          </cell>
          <cell r="I4650" t="str">
            <v>HZK</v>
          </cell>
          <cell r="J4650">
            <v>31.2</v>
          </cell>
          <cell r="N4650" t="e">
            <v>#DIV/0!</v>
          </cell>
        </row>
        <row r="4651">
          <cell r="E4651" t="str">
            <v>HGC-Lib-2456329</v>
          </cell>
          <cell r="F4651" t="str">
            <v>LC240706022</v>
          </cell>
          <cell r="G4651">
            <v>100</v>
          </cell>
          <cell r="H4651" t="str">
            <v>singleron-3'转录组文库</v>
          </cell>
          <cell r="I4651" t="str">
            <v>HZK</v>
          </cell>
          <cell r="J4651">
            <v>26</v>
          </cell>
          <cell r="N4651" t="e">
            <v>#DIV/0!</v>
          </cell>
        </row>
        <row r="4652">
          <cell r="E4652" t="str">
            <v>HGC-Lib-2456330</v>
          </cell>
          <cell r="F4652" t="str">
            <v>LC240710057</v>
          </cell>
          <cell r="G4652">
            <v>100</v>
          </cell>
          <cell r="H4652" t="str">
            <v>singleron-3'转录组文库</v>
          </cell>
          <cell r="I4652" t="str">
            <v>HZK</v>
          </cell>
          <cell r="J4652">
            <v>22.4</v>
          </cell>
          <cell r="N4652" t="e">
            <v>#DIV/0!</v>
          </cell>
        </row>
        <row r="4653">
          <cell r="E4653" t="str">
            <v>HGC-Lib-2456331</v>
          </cell>
          <cell r="F4653" t="str">
            <v>LC240710058</v>
          </cell>
          <cell r="G4653">
            <v>100</v>
          </cell>
          <cell r="H4653" t="str">
            <v>singleron-3'转录组文库</v>
          </cell>
          <cell r="I4653" t="str">
            <v>HZK</v>
          </cell>
          <cell r="J4653">
            <v>27.8</v>
          </cell>
          <cell r="N4653" t="e">
            <v>#DIV/0!</v>
          </cell>
        </row>
        <row r="4654">
          <cell r="E4654" t="str">
            <v>HGC-Lib-2456332</v>
          </cell>
          <cell r="F4654" t="str">
            <v>LC240711038X1</v>
          </cell>
          <cell r="G4654">
            <v>10</v>
          </cell>
          <cell r="H4654" t="str">
            <v>singleron-3'转录组文库</v>
          </cell>
          <cell r="I4654" t="str">
            <v>HZK</v>
          </cell>
          <cell r="J4654">
            <v>25.2</v>
          </cell>
          <cell r="N4654" t="e">
            <v>#DIV/0!</v>
          </cell>
        </row>
        <row r="4655">
          <cell r="E4655" t="str">
            <v>HGC-Lib-2456333</v>
          </cell>
          <cell r="F4655" t="str">
            <v>LC240711038X2</v>
          </cell>
          <cell r="G4655">
            <v>10</v>
          </cell>
          <cell r="H4655" t="str">
            <v>singleron-3'转录组文库</v>
          </cell>
          <cell r="I4655" t="str">
            <v>HZK</v>
          </cell>
          <cell r="J4655">
            <v>27.2</v>
          </cell>
          <cell r="N4655" t="e">
            <v>#DIV/0!</v>
          </cell>
        </row>
        <row r="4656">
          <cell r="E4656" t="str">
            <v>HGC-Lib-2456334</v>
          </cell>
          <cell r="F4656" t="str">
            <v>LHC240711036</v>
          </cell>
          <cell r="G4656">
            <v>100</v>
          </cell>
          <cell r="H4656" t="str">
            <v>singleron-3'转录组文库</v>
          </cell>
          <cell r="I4656" t="str">
            <v>HZK</v>
          </cell>
          <cell r="J4656">
            <v>21.8</v>
          </cell>
          <cell r="N4656" t="e">
            <v>#DIV/0!</v>
          </cell>
        </row>
        <row r="4657">
          <cell r="E4657" t="str">
            <v>HGC-Lib-2456335</v>
          </cell>
          <cell r="F4657" t="str">
            <v>LHC240711037</v>
          </cell>
          <cell r="G4657">
            <v>100</v>
          </cell>
          <cell r="H4657" t="str">
            <v>singleron-3'转录组文库</v>
          </cell>
          <cell r="I4657" t="str">
            <v>HZK</v>
          </cell>
          <cell r="J4657">
            <v>23.8</v>
          </cell>
          <cell r="N4657" t="e">
            <v>#DIV/0!</v>
          </cell>
        </row>
        <row r="4658">
          <cell r="E4658" t="str">
            <v>HGC-Lib-2456336</v>
          </cell>
          <cell r="F4658" t="str">
            <v>LHC240710051X2</v>
          </cell>
          <cell r="G4658">
            <v>200</v>
          </cell>
          <cell r="H4658" t="str">
            <v>singleron-3'转录组文库</v>
          </cell>
          <cell r="I4658" t="str">
            <v>HZK</v>
          </cell>
          <cell r="J4658">
            <v>27</v>
          </cell>
          <cell r="N4658" t="e">
            <v>#DIV/0!</v>
          </cell>
        </row>
        <row r="4659">
          <cell r="E4659" t="str">
            <v>HGC-Lib-2456337</v>
          </cell>
          <cell r="F4659" t="str">
            <v>LHC240710051X1</v>
          </cell>
          <cell r="G4659">
            <v>200</v>
          </cell>
          <cell r="H4659" t="str">
            <v>singleron-3'转录组文库</v>
          </cell>
          <cell r="I4659" t="str">
            <v>HZK</v>
          </cell>
          <cell r="J4659">
            <v>32.799999999999997</v>
          </cell>
          <cell r="N4659" t="e">
            <v>#DIV/0!</v>
          </cell>
        </row>
        <row r="4660">
          <cell r="E4660" t="str">
            <v>HGC-Lib-2456338</v>
          </cell>
          <cell r="F4660" t="str">
            <v>LC240710067</v>
          </cell>
          <cell r="G4660">
            <v>20</v>
          </cell>
          <cell r="H4660" t="str">
            <v>singleron-3'转录组文库</v>
          </cell>
          <cell r="I4660" t="str">
            <v>HZK</v>
          </cell>
          <cell r="J4660">
            <v>24.8</v>
          </cell>
          <cell r="N4660" t="e">
            <v>#DIV/0!</v>
          </cell>
        </row>
        <row r="4661">
          <cell r="E4661" t="str">
            <v>HGC-Lib-2456339</v>
          </cell>
          <cell r="F4661" t="str">
            <v>LA240711043X2</v>
          </cell>
          <cell r="G4661">
            <v>100</v>
          </cell>
          <cell r="H4661" t="str">
            <v>singleron-3'转录组文库</v>
          </cell>
          <cell r="I4661" t="str">
            <v>HZK</v>
          </cell>
          <cell r="J4661">
            <v>20.399999999999999</v>
          </cell>
          <cell r="N4661" t="e">
            <v>#DIV/0!</v>
          </cell>
        </row>
        <row r="4662">
          <cell r="E4662" t="str">
            <v>HGC-Lib-2456340</v>
          </cell>
          <cell r="F4662" t="str">
            <v>LC240710056</v>
          </cell>
          <cell r="G4662">
            <v>90</v>
          </cell>
          <cell r="H4662" t="str">
            <v>singleron-3'转录组文库</v>
          </cell>
          <cell r="I4662" t="str">
            <v>HZK</v>
          </cell>
          <cell r="J4662">
            <v>23.2</v>
          </cell>
          <cell r="N4662" t="e">
            <v>#DIV/0!</v>
          </cell>
        </row>
        <row r="4663">
          <cell r="E4663" t="str">
            <v>HGC-Lib-2456341</v>
          </cell>
          <cell r="F4663" t="str">
            <v>LC240710054</v>
          </cell>
          <cell r="G4663">
            <v>90</v>
          </cell>
          <cell r="H4663" t="str">
            <v>singleron-3'转录组文库</v>
          </cell>
          <cell r="I4663" t="str">
            <v>HZK</v>
          </cell>
          <cell r="J4663">
            <v>23.2</v>
          </cell>
          <cell r="N4663" t="e">
            <v>#DIV/0!</v>
          </cell>
        </row>
        <row r="4664">
          <cell r="E4664" t="str">
            <v>HGC-Lib-2456342</v>
          </cell>
          <cell r="F4664" t="str">
            <v>LC240710055</v>
          </cell>
          <cell r="G4664">
            <v>90</v>
          </cell>
          <cell r="H4664" t="str">
            <v>singleron-3'转录组文库</v>
          </cell>
          <cell r="I4664" t="str">
            <v>HZK</v>
          </cell>
          <cell r="J4664">
            <v>25.4</v>
          </cell>
          <cell r="N4664" t="e">
            <v>#DIV/0!</v>
          </cell>
        </row>
        <row r="4665">
          <cell r="E4665" t="str">
            <v>HGC-Lib-2456343</v>
          </cell>
          <cell r="F4665" t="str">
            <v>LC240712007</v>
          </cell>
          <cell r="G4665">
            <v>90</v>
          </cell>
          <cell r="H4665" t="str">
            <v>singleron-3'转录组文库</v>
          </cell>
          <cell r="I4665" t="str">
            <v>HZK</v>
          </cell>
          <cell r="J4665">
            <v>25.6</v>
          </cell>
          <cell r="N4665" t="e">
            <v>#DIV/0!</v>
          </cell>
        </row>
        <row r="4666">
          <cell r="E4666" t="str">
            <v>HGC-Lib-2456344</v>
          </cell>
          <cell r="F4666" t="str">
            <v>LC240712008</v>
          </cell>
          <cell r="G4666">
            <v>90</v>
          </cell>
          <cell r="H4666" t="str">
            <v>singleron-3'转录组文库</v>
          </cell>
          <cell r="I4666" t="str">
            <v>HZK</v>
          </cell>
          <cell r="J4666">
            <v>23</v>
          </cell>
          <cell r="N4666" t="e">
            <v>#DIV/0!</v>
          </cell>
        </row>
        <row r="4667">
          <cell r="E4667" t="str">
            <v>HGC-Lib-2456345</v>
          </cell>
          <cell r="F4667" t="str">
            <v>LC240710082</v>
          </cell>
          <cell r="G4667">
            <v>100</v>
          </cell>
          <cell r="H4667" t="str">
            <v>singleron-3'转录组文库</v>
          </cell>
          <cell r="I4667" t="str">
            <v>HZK</v>
          </cell>
          <cell r="J4667">
            <v>24</v>
          </cell>
          <cell r="N4667" t="e">
            <v>#DIV/0!</v>
          </cell>
        </row>
        <row r="4668">
          <cell r="E4668" t="str">
            <v>HGC-Lib-2456346</v>
          </cell>
          <cell r="F4668" t="str">
            <v>LA240704013CT2</v>
          </cell>
          <cell r="G4668">
            <v>20</v>
          </cell>
          <cell r="H4668" t="str">
            <v>singleron-3'转录组文库</v>
          </cell>
          <cell r="I4668" t="str">
            <v>HZK</v>
          </cell>
          <cell r="J4668">
            <v>34.4</v>
          </cell>
          <cell r="N4668" t="e">
            <v>#DIV/0!</v>
          </cell>
        </row>
        <row r="4669">
          <cell r="E4669" t="str">
            <v>HGC-Lib-2456347</v>
          </cell>
          <cell r="F4669" t="str">
            <v>LC240704007</v>
          </cell>
          <cell r="G4669">
            <v>20</v>
          </cell>
          <cell r="H4669" t="str">
            <v>singleron-3'转录组文库</v>
          </cell>
          <cell r="I4669" t="str">
            <v>HZK</v>
          </cell>
          <cell r="J4669">
            <v>29.2</v>
          </cell>
          <cell r="N4669" t="e">
            <v>#DIV/0!</v>
          </cell>
        </row>
        <row r="4670">
          <cell r="E4670" t="str">
            <v>HGC-Lib-2456348</v>
          </cell>
          <cell r="F4670" t="str">
            <v>LA240704008CT2X1</v>
          </cell>
          <cell r="G4670">
            <v>20</v>
          </cell>
          <cell r="H4670" t="str">
            <v>singleron-3'转录组文库</v>
          </cell>
          <cell r="I4670" t="str">
            <v>HZK</v>
          </cell>
          <cell r="J4670">
            <v>23.6</v>
          </cell>
          <cell r="N4670" t="e">
            <v>#DIV/0!</v>
          </cell>
        </row>
        <row r="4671">
          <cell r="E4671" t="str">
            <v>HGC-Lib-2456349</v>
          </cell>
          <cell r="F4671" t="str">
            <v>LC240709016</v>
          </cell>
          <cell r="G4671">
            <v>200</v>
          </cell>
          <cell r="H4671" t="str">
            <v>singleron-3'转录组文库</v>
          </cell>
          <cell r="I4671" t="str">
            <v>HZK</v>
          </cell>
          <cell r="J4671">
            <v>20.8</v>
          </cell>
          <cell r="N4671" t="e">
            <v>#DIV/0!</v>
          </cell>
        </row>
        <row r="4672">
          <cell r="E4672" t="str">
            <v>HGC-Lib-2456350</v>
          </cell>
          <cell r="F4672" t="str">
            <v>LC240712059</v>
          </cell>
          <cell r="G4672">
            <v>100</v>
          </cell>
          <cell r="H4672" t="str">
            <v>singleron-3'转录组文库</v>
          </cell>
          <cell r="I4672" t="str">
            <v>HZK</v>
          </cell>
          <cell r="J4672">
            <v>15.8</v>
          </cell>
          <cell r="N4672" t="e">
            <v>#DIV/0!</v>
          </cell>
        </row>
        <row r="4673">
          <cell r="E4673" t="str">
            <v>HGC-Lib-2456351</v>
          </cell>
          <cell r="F4673" t="str">
            <v>LA240712074</v>
          </cell>
          <cell r="G4673">
            <v>100</v>
          </cell>
          <cell r="H4673" t="str">
            <v>singleron-3'转录组文库</v>
          </cell>
          <cell r="I4673" t="str">
            <v>HZK</v>
          </cell>
          <cell r="J4673">
            <v>16.100000000000001</v>
          </cell>
          <cell r="N4673" t="e">
            <v>#DIV/0!</v>
          </cell>
        </row>
        <row r="4674">
          <cell r="E4674" t="str">
            <v>HGC-Lib-2456352</v>
          </cell>
          <cell r="F4674" t="str">
            <v>LA240712076</v>
          </cell>
          <cell r="G4674">
            <v>100</v>
          </cell>
          <cell r="H4674" t="str">
            <v>singleron-3'转录组文库</v>
          </cell>
          <cell r="I4674" t="str">
            <v>HZK</v>
          </cell>
          <cell r="J4674">
            <v>18</v>
          </cell>
          <cell r="N4674" t="e">
            <v>#DIV/0!</v>
          </cell>
        </row>
        <row r="4675">
          <cell r="E4675" t="str">
            <v>HGC-Lib-2456353</v>
          </cell>
          <cell r="F4675" t="str">
            <v>LA240712075</v>
          </cell>
          <cell r="G4675">
            <v>100</v>
          </cell>
          <cell r="H4675" t="str">
            <v>singleron-3'转录组文库</v>
          </cell>
          <cell r="I4675" t="str">
            <v>HZK</v>
          </cell>
          <cell r="J4675">
            <v>19.399999999999999</v>
          </cell>
          <cell r="N4675" t="e">
            <v>#DIV/0!</v>
          </cell>
        </row>
        <row r="4676">
          <cell r="E4676" t="str">
            <v>HGC-Lib-2456354</v>
          </cell>
          <cell r="F4676" t="str">
            <v>LA240712073</v>
          </cell>
          <cell r="G4676">
            <v>100</v>
          </cell>
          <cell r="H4676" t="str">
            <v>singleron-3'转录组文库</v>
          </cell>
          <cell r="I4676" t="str">
            <v>HZK</v>
          </cell>
          <cell r="J4676">
            <v>14</v>
          </cell>
          <cell r="N4676" t="e">
            <v>#DIV/0!</v>
          </cell>
        </row>
        <row r="4677">
          <cell r="E4677" t="str">
            <v>HGC-Lib-2456355</v>
          </cell>
          <cell r="F4677" t="str">
            <v>LHC240712060</v>
          </cell>
          <cell r="G4677">
            <v>200</v>
          </cell>
          <cell r="H4677" t="str">
            <v>singleron-3'转录组文库</v>
          </cell>
          <cell r="I4677" t="str">
            <v>HZK</v>
          </cell>
          <cell r="J4677">
            <v>15.3</v>
          </cell>
          <cell r="N4677" t="e">
            <v>#DIV/0!</v>
          </cell>
        </row>
        <row r="4678">
          <cell r="E4678" t="str">
            <v>HGC-Lib-2456386</v>
          </cell>
          <cell r="F4678" t="str">
            <v>a</v>
          </cell>
          <cell r="G4678">
            <v>8</v>
          </cell>
          <cell r="H4678" t="str">
            <v>ATAC-Seq文库</v>
          </cell>
          <cell r="I4678" t="str">
            <v>HZK</v>
          </cell>
          <cell r="J4678">
            <v>17.2</v>
          </cell>
          <cell r="K4678">
            <v>403</v>
          </cell>
          <cell r="L4678" t="str">
            <v>YHT</v>
          </cell>
          <cell r="N4678">
            <v>65.661385760641394</v>
          </cell>
        </row>
        <row r="4679">
          <cell r="E4679" t="str">
            <v>HGC-Lib-2456387</v>
          </cell>
          <cell r="F4679" t="str">
            <v>b</v>
          </cell>
          <cell r="G4679">
            <v>8</v>
          </cell>
          <cell r="H4679" t="str">
            <v>ATAC-Seq文库</v>
          </cell>
          <cell r="I4679" t="str">
            <v>HZK</v>
          </cell>
          <cell r="J4679">
            <v>18.100000000000001</v>
          </cell>
          <cell r="K4679">
            <v>390</v>
          </cell>
          <cell r="L4679" t="str">
            <v>YHT</v>
          </cell>
          <cell r="N4679">
            <v>71.400394477317604</v>
          </cell>
        </row>
        <row r="4680">
          <cell r="E4680" t="str">
            <v>HGC-Lib-2456388</v>
          </cell>
          <cell r="F4680" t="str">
            <v>c</v>
          </cell>
          <cell r="G4680">
            <v>8</v>
          </cell>
          <cell r="H4680" t="str">
            <v>ATAC-Seq文库</v>
          </cell>
          <cell r="I4680" t="str">
            <v>HZK</v>
          </cell>
          <cell r="J4680">
            <v>13.7</v>
          </cell>
          <cell r="K4680">
            <v>382</v>
          </cell>
          <cell r="L4680" t="str">
            <v>YHT</v>
          </cell>
          <cell r="N4680">
            <v>55.175191300845697</v>
          </cell>
        </row>
        <row r="4681">
          <cell r="E4681" t="str">
            <v>HGC-Lib-2456389</v>
          </cell>
          <cell r="F4681" t="str">
            <v>d</v>
          </cell>
          <cell r="G4681">
            <v>8</v>
          </cell>
          <cell r="H4681" t="str">
            <v>ATAC-Seq文库</v>
          </cell>
          <cell r="I4681" t="str">
            <v>HZK</v>
          </cell>
          <cell r="J4681">
            <v>17.8</v>
          </cell>
          <cell r="K4681">
            <v>388</v>
          </cell>
          <cell r="L4681" t="str">
            <v>YHT</v>
          </cell>
          <cell r="N4681">
            <v>70.578905630451999</v>
          </cell>
        </row>
        <row r="4682">
          <cell r="E4682" t="str">
            <v>HGC-Lib-2456390</v>
          </cell>
          <cell r="F4682" t="str">
            <v>e</v>
          </cell>
          <cell r="G4682">
            <v>8</v>
          </cell>
          <cell r="H4682" t="str">
            <v>ATAC-Seq文库</v>
          </cell>
          <cell r="I4682" t="str">
            <v>HZK</v>
          </cell>
          <cell r="J4682">
            <v>19</v>
          </cell>
          <cell r="K4682">
            <v>340</v>
          </cell>
          <cell r="L4682" t="str">
            <v>YHT</v>
          </cell>
          <cell r="N4682">
            <v>85.972850678732996</v>
          </cell>
        </row>
        <row r="4683">
          <cell r="E4683" t="str">
            <v>HGC-Lib-2456391</v>
          </cell>
          <cell r="F4683" t="str">
            <v>f</v>
          </cell>
          <cell r="G4683">
            <v>8</v>
          </cell>
          <cell r="H4683" t="str">
            <v>ATAC-Seq文库</v>
          </cell>
          <cell r="I4683" t="str">
            <v>HZK</v>
          </cell>
          <cell r="J4683">
            <v>15.2</v>
          </cell>
          <cell r="K4683">
            <v>371</v>
          </cell>
          <cell r="L4683" t="str">
            <v>YHT</v>
          </cell>
          <cell r="N4683">
            <v>63.031308314327198</v>
          </cell>
        </row>
        <row r="4684">
          <cell r="E4684" t="str">
            <v>HGC-Lib-2456392</v>
          </cell>
          <cell r="F4684" t="str">
            <v>g</v>
          </cell>
          <cell r="G4684">
            <v>8</v>
          </cell>
          <cell r="H4684" t="str">
            <v>ATAC-Seq文库</v>
          </cell>
          <cell r="I4684" t="str">
            <v>HZK</v>
          </cell>
          <cell r="J4684">
            <v>31.8</v>
          </cell>
          <cell r="K4684">
            <v>374</v>
          </cell>
          <cell r="L4684" t="str">
            <v>YHT</v>
          </cell>
          <cell r="N4684">
            <v>130.81036610448399</v>
          </cell>
        </row>
        <row r="4685">
          <cell r="E4685" t="str">
            <v>HGC-Lib-2456393</v>
          </cell>
          <cell r="F4685" t="str">
            <v>h</v>
          </cell>
          <cell r="G4685">
            <v>8</v>
          </cell>
          <cell r="H4685" t="str">
            <v>ATAC-Seq文库</v>
          </cell>
          <cell r="I4685" t="str">
            <v>HZK</v>
          </cell>
          <cell r="J4685">
            <v>29.2</v>
          </cell>
          <cell r="K4685">
            <v>369</v>
          </cell>
          <cell r="L4685" t="str">
            <v>YHT</v>
          </cell>
          <cell r="N4685">
            <v>121.742755889097</v>
          </cell>
        </row>
        <row r="4686">
          <cell r="E4686" t="str">
            <v>HGC-Lib-2456394</v>
          </cell>
          <cell r="F4686" t="str">
            <v>i</v>
          </cell>
          <cell r="G4686">
            <v>8</v>
          </cell>
          <cell r="H4686" t="str">
            <v>ATAC-Seq文库</v>
          </cell>
          <cell r="I4686" t="str">
            <v>HZK</v>
          </cell>
          <cell r="J4686">
            <v>34</v>
          </cell>
          <cell r="K4686">
            <v>377</v>
          </cell>
          <cell r="L4686" t="str">
            <v>YHT</v>
          </cell>
          <cell r="N4686">
            <v>138.747194450112</v>
          </cell>
        </row>
        <row r="4687">
          <cell r="E4687" t="str">
            <v>HGC-Lib-2456395</v>
          </cell>
          <cell r="F4687" t="str">
            <v>j</v>
          </cell>
          <cell r="G4687">
            <v>8</v>
          </cell>
          <cell r="H4687" t="str">
            <v>ATAC-Seq文库</v>
          </cell>
          <cell r="I4687" t="str">
            <v>HZK</v>
          </cell>
          <cell r="J4687">
            <v>25.6</v>
          </cell>
          <cell r="K4687">
            <v>349</v>
          </cell>
          <cell r="L4687" t="str">
            <v>YHT</v>
          </cell>
          <cell r="N4687">
            <v>112.849900815517</v>
          </cell>
        </row>
        <row r="4688">
          <cell r="E4688" t="str">
            <v>HGC-Lib-2456396</v>
          </cell>
          <cell r="F4688" t="str">
            <v>k</v>
          </cell>
          <cell r="G4688">
            <v>8</v>
          </cell>
          <cell r="H4688" t="str">
            <v>ATAC-Seq文库</v>
          </cell>
          <cell r="I4688" t="str">
            <v>HZK</v>
          </cell>
          <cell r="J4688">
            <v>17.3</v>
          </cell>
          <cell r="K4688">
            <v>364</v>
          </cell>
          <cell r="L4688" t="str">
            <v>YHT</v>
          </cell>
          <cell r="N4688">
            <v>73.119188503803898</v>
          </cell>
        </row>
        <row r="4689">
          <cell r="E4689" t="str">
            <v>HGC-Lib-2456397</v>
          </cell>
          <cell r="F4689" t="str">
            <v>l</v>
          </cell>
          <cell r="G4689">
            <v>8</v>
          </cell>
          <cell r="H4689" t="str">
            <v>ATAC-Seq文库</v>
          </cell>
          <cell r="I4689" t="str">
            <v>HZK</v>
          </cell>
          <cell r="J4689">
            <v>23.6</v>
          </cell>
          <cell r="K4689">
            <v>366</v>
          </cell>
          <cell r="L4689" t="str">
            <v>YHT</v>
          </cell>
          <cell r="N4689">
            <v>99.201345102984405</v>
          </cell>
        </row>
        <row r="4690">
          <cell r="E4690" t="str">
            <v>HGC-Lib-2456398</v>
          </cell>
          <cell r="F4690" t="str">
            <v>m</v>
          </cell>
          <cell r="G4690">
            <v>8</v>
          </cell>
          <cell r="H4690" t="str">
            <v>ATAC-Seq文库</v>
          </cell>
          <cell r="I4690" t="str">
            <v>HZK</v>
          </cell>
          <cell r="J4690">
            <v>24.2</v>
          </cell>
          <cell r="K4690">
            <v>327</v>
          </cell>
          <cell r="L4690" t="str">
            <v>YHT</v>
          </cell>
          <cell r="N4690">
            <v>113.855563396848</v>
          </cell>
        </row>
        <row r="4691">
          <cell r="E4691" t="str">
            <v>HGC-Lib-2456399</v>
          </cell>
          <cell r="F4691" t="str">
            <v>n</v>
          </cell>
          <cell r="G4691">
            <v>8</v>
          </cell>
          <cell r="H4691" t="str">
            <v>ATAC-Seq文库</v>
          </cell>
          <cell r="I4691" t="str">
            <v>HZK</v>
          </cell>
          <cell r="J4691">
            <v>25</v>
          </cell>
          <cell r="K4691">
            <v>326</v>
          </cell>
          <cell r="L4691" t="str">
            <v>YHT</v>
          </cell>
          <cell r="N4691">
            <v>117.980179329873</v>
          </cell>
        </row>
        <row r="4692">
          <cell r="E4692" t="str">
            <v>HGC-Lib-2456400</v>
          </cell>
          <cell r="F4692" t="str">
            <v>o</v>
          </cell>
          <cell r="G4692">
            <v>8</v>
          </cell>
          <cell r="H4692" t="str">
            <v>ATAC-Seq文库</v>
          </cell>
          <cell r="I4692" t="str">
            <v>HZK</v>
          </cell>
          <cell r="J4692">
            <v>12.5</v>
          </cell>
          <cell r="K4692">
            <v>382</v>
          </cell>
          <cell r="L4692" t="str">
            <v>YHT</v>
          </cell>
          <cell r="N4692">
            <v>50.342327829238798</v>
          </cell>
        </row>
        <row r="4693">
          <cell r="E4693" t="str">
            <v>HGC-Lib-2456401</v>
          </cell>
          <cell r="F4693" t="str">
            <v>p</v>
          </cell>
          <cell r="G4693">
            <v>8</v>
          </cell>
          <cell r="H4693" t="str">
            <v>ATAC-Seq文库</v>
          </cell>
          <cell r="I4693" t="str">
            <v>HZK</v>
          </cell>
          <cell r="J4693">
            <v>27.8</v>
          </cell>
          <cell r="K4693">
            <v>428</v>
          </cell>
          <cell r="L4693" t="str">
            <v>YHT</v>
          </cell>
          <cell r="N4693">
            <v>99.928109273903701</v>
          </cell>
        </row>
        <row r="4694">
          <cell r="E4694" t="str">
            <v>HGC-Lib-2456402</v>
          </cell>
          <cell r="F4694" t="str">
            <v>q</v>
          </cell>
          <cell r="G4694">
            <v>8</v>
          </cell>
          <cell r="H4694" t="str">
            <v>ATAC-Seq文库</v>
          </cell>
          <cell r="I4694" t="str">
            <v>HZK</v>
          </cell>
          <cell r="J4694">
            <v>10.9</v>
          </cell>
          <cell r="K4694">
            <v>363</v>
          </cell>
          <cell r="L4694" t="str">
            <v>YHT</v>
          </cell>
          <cell r="N4694">
            <v>46.196228014409797</v>
          </cell>
        </row>
        <row r="4695">
          <cell r="E4695" t="str">
            <v>HGC-Lib-2456403</v>
          </cell>
          <cell r="F4695" t="str">
            <v>r</v>
          </cell>
          <cell r="G4695">
            <v>8</v>
          </cell>
          <cell r="H4695" t="str">
            <v>ATAC-Seq文库</v>
          </cell>
          <cell r="I4695" t="str">
            <v>HZK</v>
          </cell>
          <cell r="J4695">
            <v>9.3800000000000008</v>
          </cell>
          <cell r="K4695">
            <v>356</v>
          </cell>
          <cell r="L4695" t="str">
            <v>YHT</v>
          </cell>
          <cell r="N4695">
            <v>40.535868625756301</v>
          </cell>
        </row>
        <row r="4696">
          <cell r="E4696" t="str">
            <v>HGC-Lib-2456404</v>
          </cell>
          <cell r="F4696" t="str">
            <v>s</v>
          </cell>
          <cell r="G4696">
            <v>8</v>
          </cell>
          <cell r="H4696" t="str">
            <v>ATAC-Seq文库</v>
          </cell>
          <cell r="I4696" t="str">
            <v>HZK</v>
          </cell>
          <cell r="J4696">
            <v>8.0399999999999991</v>
          </cell>
          <cell r="K4696">
            <v>375</v>
          </cell>
          <cell r="L4696" t="str">
            <v>YHT</v>
          </cell>
          <cell r="N4696">
            <v>32.984615384615402</v>
          </cell>
        </row>
        <row r="4697">
          <cell r="E4697" t="str">
            <v>HGC-Lib-2456405</v>
          </cell>
          <cell r="F4697" t="str">
            <v>t</v>
          </cell>
          <cell r="G4697">
            <v>8</v>
          </cell>
          <cell r="H4697" t="str">
            <v>ATAC-Seq文库</v>
          </cell>
          <cell r="I4697" t="str">
            <v>HZK</v>
          </cell>
          <cell r="J4697">
            <v>13.5</v>
          </cell>
          <cell r="K4697">
            <v>396</v>
          </cell>
          <cell r="L4697" t="str">
            <v>YHT</v>
          </cell>
          <cell r="N4697">
            <v>52.447552447552397</v>
          </cell>
        </row>
        <row r="4698">
          <cell r="E4698" t="str">
            <v>HGC-Lib-2456406</v>
          </cell>
          <cell r="F4698" t="str">
            <v>u</v>
          </cell>
          <cell r="G4698">
            <v>8</v>
          </cell>
          <cell r="H4698" t="str">
            <v>ATAC-Seq文库</v>
          </cell>
          <cell r="I4698" t="str">
            <v>HZK</v>
          </cell>
          <cell r="J4698">
            <v>15.3</v>
          </cell>
          <cell r="K4698">
            <v>405</v>
          </cell>
          <cell r="L4698" t="str">
            <v>YHT</v>
          </cell>
          <cell r="N4698">
            <v>58.119658119658098</v>
          </cell>
        </row>
        <row r="4699">
          <cell r="E4699" t="str">
            <v>HGC-Lib-2456407</v>
          </cell>
          <cell r="F4699" t="str">
            <v>v</v>
          </cell>
          <cell r="G4699">
            <v>8</v>
          </cell>
          <cell r="H4699" t="str">
            <v>ATAC-Seq文库</v>
          </cell>
          <cell r="I4699" t="str">
            <v>HZK</v>
          </cell>
          <cell r="J4699">
            <v>8.48</v>
          </cell>
          <cell r="K4699">
            <v>417</v>
          </cell>
          <cell r="L4699" t="str">
            <v>YHT</v>
          </cell>
          <cell r="N4699">
            <v>31.285740638258599</v>
          </cell>
        </row>
        <row r="4700">
          <cell r="E4700" t="str">
            <v>HGC-Lib-2456408</v>
          </cell>
          <cell r="F4700" t="str">
            <v>T802-1</v>
          </cell>
          <cell r="G4700">
            <v>6</v>
          </cell>
          <cell r="H4700" t="str">
            <v>mRNA文库</v>
          </cell>
          <cell r="I4700" t="str">
            <v>WWH</v>
          </cell>
          <cell r="J4700">
            <v>11.3</v>
          </cell>
          <cell r="N4700" t="e">
            <v>#DIV/0!</v>
          </cell>
        </row>
        <row r="4701">
          <cell r="E4701" t="str">
            <v>HGC-Lib-2456409</v>
          </cell>
          <cell r="F4701" t="str">
            <v>T802-2</v>
          </cell>
          <cell r="G4701">
            <v>6</v>
          </cell>
          <cell r="H4701" t="str">
            <v>mRNA文库</v>
          </cell>
          <cell r="I4701" t="str">
            <v>WWH</v>
          </cell>
          <cell r="J4701">
            <v>23.6</v>
          </cell>
          <cell r="N4701" t="e">
            <v>#DIV/0!</v>
          </cell>
        </row>
        <row r="4702">
          <cell r="E4702" t="str">
            <v>HGC-Lib-2456410</v>
          </cell>
          <cell r="F4702" t="str">
            <v>T802-3</v>
          </cell>
          <cell r="G4702">
            <v>6</v>
          </cell>
          <cell r="H4702" t="str">
            <v>mRNA文库</v>
          </cell>
          <cell r="I4702" t="str">
            <v>WWH</v>
          </cell>
          <cell r="J4702">
            <v>11.6</v>
          </cell>
          <cell r="N4702" t="e">
            <v>#DIV/0!</v>
          </cell>
        </row>
        <row r="4703">
          <cell r="E4703" t="str">
            <v>HGC-Lib-2456411</v>
          </cell>
          <cell r="F4703" t="str">
            <v>T802-4</v>
          </cell>
          <cell r="G4703">
            <v>6</v>
          </cell>
          <cell r="H4703" t="str">
            <v>mRNA文库</v>
          </cell>
          <cell r="I4703" t="str">
            <v>WWH</v>
          </cell>
          <cell r="J4703">
            <v>10.9</v>
          </cell>
          <cell r="N4703" t="e">
            <v>#DIV/0!</v>
          </cell>
        </row>
        <row r="4704">
          <cell r="E4704" t="str">
            <v>HGC-Lib-2456412</v>
          </cell>
          <cell r="F4704" t="str">
            <v>T802-5</v>
          </cell>
          <cell r="G4704">
            <v>6</v>
          </cell>
          <cell r="H4704" t="str">
            <v>mRNA文库</v>
          </cell>
          <cell r="I4704" t="str">
            <v>WWH</v>
          </cell>
          <cell r="J4704">
            <v>10</v>
          </cell>
          <cell r="N4704" t="e">
            <v>#DIV/0!</v>
          </cell>
        </row>
        <row r="4705">
          <cell r="E4705" t="str">
            <v>HGC-Lib-2456413</v>
          </cell>
          <cell r="F4705" t="str">
            <v>T802-6</v>
          </cell>
          <cell r="G4705">
            <v>6</v>
          </cell>
          <cell r="H4705" t="str">
            <v>mRNA文库</v>
          </cell>
          <cell r="I4705" t="str">
            <v>WWH</v>
          </cell>
          <cell r="J4705">
            <v>20.6</v>
          </cell>
          <cell r="N4705" t="e">
            <v>#DIV/0!</v>
          </cell>
        </row>
        <row r="4706">
          <cell r="E4706" t="str">
            <v>HGC-Lib-2456414</v>
          </cell>
          <cell r="F4706" t="str">
            <v>T802-7</v>
          </cell>
          <cell r="G4706">
            <v>6</v>
          </cell>
          <cell r="H4706" t="str">
            <v>mRNA文库</v>
          </cell>
          <cell r="I4706" t="str">
            <v>WWH</v>
          </cell>
          <cell r="J4706">
            <v>11</v>
          </cell>
          <cell r="N4706" t="e">
            <v>#DIV/0!</v>
          </cell>
        </row>
        <row r="4707">
          <cell r="E4707" t="str">
            <v>HGC-Lib-2456415</v>
          </cell>
          <cell r="F4707" t="str">
            <v>T802-8</v>
          </cell>
          <cell r="G4707">
            <v>6</v>
          </cell>
          <cell r="H4707" t="str">
            <v>mRNA文库</v>
          </cell>
          <cell r="I4707" t="str">
            <v>WWH</v>
          </cell>
          <cell r="J4707">
            <v>7.72</v>
          </cell>
          <cell r="N4707" t="e">
            <v>#DIV/0!</v>
          </cell>
        </row>
        <row r="4708">
          <cell r="E4708" t="str">
            <v>HGC-Lib-2456416</v>
          </cell>
          <cell r="F4708" t="str">
            <v>T802-9</v>
          </cell>
          <cell r="G4708">
            <v>6</v>
          </cell>
          <cell r="H4708" t="str">
            <v>mRNA文库</v>
          </cell>
          <cell r="I4708" t="str">
            <v>WWH</v>
          </cell>
          <cell r="J4708">
            <v>13.2</v>
          </cell>
          <cell r="N4708" t="e">
            <v>#DIV/0!</v>
          </cell>
        </row>
        <row r="4709">
          <cell r="E4709" t="str">
            <v>HGC-Lib-2456417</v>
          </cell>
          <cell r="F4709" t="str">
            <v>T802-10</v>
          </cell>
          <cell r="G4709">
            <v>6</v>
          </cell>
          <cell r="H4709" t="str">
            <v>mRNA文库</v>
          </cell>
          <cell r="I4709" t="str">
            <v>WWH</v>
          </cell>
          <cell r="J4709">
            <v>15.3</v>
          </cell>
          <cell r="N4709" t="e">
            <v>#DIV/0!</v>
          </cell>
        </row>
        <row r="4710">
          <cell r="E4710" t="str">
            <v>HGC-Lib-2456418</v>
          </cell>
          <cell r="F4710" t="str">
            <v>T802-11</v>
          </cell>
          <cell r="G4710">
            <v>6</v>
          </cell>
          <cell r="H4710" t="str">
            <v>mRNA文库</v>
          </cell>
          <cell r="I4710" t="str">
            <v>WWH</v>
          </cell>
          <cell r="J4710">
            <v>4.8600000000000003</v>
          </cell>
          <cell r="N4710" t="e">
            <v>#DIV/0!</v>
          </cell>
        </row>
        <row r="4711">
          <cell r="E4711" t="str">
            <v>HGC-Lib-2456419</v>
          </cell>
          <cell r="F4711" t="str">
            <v>T802-12</v>
          </cell>
          <cell r="G4711">
            <v>6</v>
          </cell>
          <cell r="H4711" t="str">
            <v>mRNA文库</v>
          </cell>
          <cell r="I4711" t="str">
            <v>WWH</v>
          </cell>
          <cell r="J4711">
            <v>6.4</v>
          </cell>
          <cell r="N4711" t="e">
            <v>#DIV/0!</v>
          </cell>
        </row>
        <row r="4712">
          <cell r="E4712" t="str">
            <v>HGC-Lib-2456420</v>
          </cell>
          <cell r="F4712" t="str">
            <v>T839-1</v>
          </cell>
          <cell r="G4712">
            <v>6</v>
          </cell>
          <cell r="H4712" t="str">
            <v>mRNA文库</v>
          </cell>
          <cell r="I4712" t="str">
            <v>WWH</v>
          </cell>
          <cell r="J4712">
            <v>54</v>
          </cell>
          <cell r="N4712" t="e">
            <v>#DIV/0!</v>
          </cell>
        </row>
        <row r="4713">
          <cell r="E4713" t="str">
            <v>HGC-Lib-2456421</v>
          </cell>
          <cell r="F4713" t="str">
            <v>T839-2</v>
          </cell>
          <cell r="G4713">
            <v>6</v>
          </cell>
          <cell r="H4713" t="str">
            <v>mRNA文库</v>
          </cell>
          <cell r="I4713" t="str">
            <v>WWH</v>
          </cell>
          <cell r="J4713">
            <v>52</v>
          </cell>
          <cell r="N4713" t="e">
            <v>#DIV/0!</v>
          </cell>
        </row>
        <row r="4714">
          <cell r="E4714" t="str">
            <v>HGC-Lib-2456422</v>
          </cell>
          <cell r="F4714" t="str">
            <v>T839-3</v>
          </cell>
          <cell r="G4714">
            <v>6</v>
          </cell>
          <cell r="H4714" t="str">
            <v>mRNA文库</v>
          </cell>
          <cell r="I4714" t="str">
            <v>WWH</v>
          </cell>
          <cell r="J4714">
            <v>46.2</v>
          </cell>
          <cell r="N4714" t="e">
            <v>#DIV/0!</v>
          </cell>
        </row>
        <row r="4715">
          <cell r="E4715" t="str">
            <v>HGC-Lib-2456423</v>
          </cell>
          <cell r="F4715" t="str">
            <v>T839-4</v>
          </cell>
          <cell r="G4715">
            <v>6</v>
          </cell>
          <cell r="H4715" t="str">
            <v>mRNA文库</v>
          </cell>
          <cell r="I4715" t="str">
            <v>WWH</v>
          </cell>
          <cell r="J4715">
            <v>54</v>
          </cell>
          <cell r="N4715" t="e">
            <v>#DIV/0!</v>
          </cell>
        </row>
        <row r="4716">
          <cell r="E4716" t="str">
            <v>HGC-Lib-2456424</v>
          </cell>
          <cell r="F4716" t="str">
            <v>72B-HIC-FQ</v>
          </cell>
          <cell r="G4716">
            <v>10</v>
          </cell>
          <cell r="H4716" t="str">
            <v>HI-C文库</v>
          </cell>
          <cell r="I4716" t="str">
            <v>WWH</v>
          </cell>
          <cell r="J4716">
            <v>22.8</v>
          </cell>
          <cell r="K4716">
            <v>513</v>
          </cell>
          <cell r="L4716" t="str">
            <v>YHT</v>
          </cell>
          <cell r="N4716">
            <v>68.376068376068403</v>
          </cell>
        </row>
        <row r="4717">
          <cell r="E4717" t="str">
            <v>HGC-Lib-2456425</v>
          </cell>
          <cell r="F4717" t="str">
            <v>72B-HIC-FH</v>
          </cell>
          <cell r="G4717">
            <v>10</v>
          </cell>
          <cell r="H4717" t="str">
            <v>HI-C文库</v>
          </cell>
          <cell r="I4717" t="str">
            <v>WWH</v>
          </cell>
          <cell r="J4717">
            <v>21.4</v>
          </cell>
          <cell r="K4717">
            <v>514</v>
          </cell>
          <cell r="L4717" t="str">
            <v>YHT</v>
          </cell>
          <cell r="N4717">
            <v>64.052678838671099</v>
          </cell>
        </row>
        <row r="4718">
          <cell r="E4718" t="str">
            <v>HGC-Lib-2456426</v>
          </cell>
          <cell r="F4718">
            <v>5</v>
          </cell>
          <cell r="G4718">
            <v>10</v>
          </cell>
          <cell r="H4718" t="str">
            <v>cut&amp;tag文库</v>
          </cell>
          <cell r="I4718" t="str">
            <v>WWH</v>
          </cell>
          <cell r="J4718">
            <v>0.56000000000000005</v>
          </cell>
          <cell r="K4718">
            <v>341</v>
          </cell>
          <cell r="L4718" t="str">
            <v>YHT</v>
          </cell>
          <cell r="N4718">
            <v>2.5265057523121999</v>
          </cell>
        </row>
        <row r="4719">
          <cell r="E4719" t="str">
            <v>HGC-Lib-2456427</v>
          </cell>
          <cell r="F4719">
            <v>6</v>
          </cell>
          <cell r="G4719">
            <v>10</v>
          </cell>
          <cell r="H4719" t="str">
            <v>cut&amp;tag文库</v>
          </cell>
          <cell r="I4719" t="str">
            <v>WWH</v>
          </cell>
          <cell r="J4719">
            <v>1.53</v>
          </cell>
          <cell r="K4719">
            <v>374</v>
          </cell>
          <cell r="L4719" t="str">
            <v>YHT</v>
          </cell>
          <cell r="N4719">
            <v>6.2937062937062898</v>
          </cell>
        </row>
        <row r="4720">
          <cell r="E4720" t="str">
            <v>HGC-Lib-2456428</v>
          </cell>
          <cell r="F4720">
            <v>7</v>
          </cell>
          <cell r="G4720">
            <v>5</v>
          </cell>
          <cell r="H4720" t="str">
            <v>cut&amp;tag文库</v>
          </cell>
          <cell r="I4720" t="str">
            <v>WWH</v>
          </cell>
          <cell r="J4720">
            <v>0.63800000000000001</v>
          </cell>
          <cell r="K4720">
            <v>325</v>
          </cell>
          <cell r="L4720" t="str">
            <v>YHT</v>
          </cell>
          <cell r="N4720">
            <v>3.0201183431952701</v>
          </cell>
        </row>
        <row r="4721">
          <cell r="E4721" t="str">
            <v>HGC-Lib-2456429</v>
          </cell>
          <cell r="F4721">
            <v>8</v>
          </cell>
          <cell r="G4721">
            <v>10</v>
          </cell>
          <cell r="H4721" t="str">
            <v>cut&amp;tag文库</v>
          </cell>
          <cell r="I4721" t="str">
            <v>WWH</v>
          </cell>
          <cell r="J4721">
            <v>0.29199999999999998</v>
          </cell>
          <cell r="K4721">
            <v>306</v>
          </cell>
          <cell r="L4721" t="str">
            <v>YHT</v>
          </cell>
          <cell r="N4721">
            <v>1.46807440925088</v>
          </cell>
        </row>
        <row r="4722">
          <cell r="E4722" t="str">
            <v>HGC-Lib-2456430</v>
          </cell>
          <cell r="F4722" t="str">
            <v>MC-Fa1-ncr-1</v>
          </cell>
          <cell r="G4722">
            <v>5</v>
          </cell>
          <cell r="H4722" t="str">
            <v>HI-C文库</v>
          </cell>
          <cell r="I4722" t="str">
            <v>WWH</v>
          </cell>
          <cell r="J4722">
            <v>7.12</v>
          </cell>
          <cell r="K4722">
            <v>436</v>
          </cell>
          <cell r="L4722" t="str">
            <v>YHT</v>
          </cell>
          <cell r="N4722">
            <v>25.123500352858201</v>
          </cell>
        </row>
        <row r="4723">
          <cell r="E4723" t="str">
            <v>HGC-Lib-2456431</v>
          </cell>
          <cell r="F4723" t="str">
            <v>MC-Fa1-ncr-2</v>
          </cell>
          <cell r="G4723">
            <v>5</v>
          </cell>
          <cell r="H4723" t="str">
            <v>HI-C文库</v>
          </cell>
          <cell r="I4723" t="str">
            <v>WWH</v>
          </cell>
          <cell r="J4723">
            <v>7.94</v>
          </cell>
          <cell r="K4723">
            <v>439</v>
          </cell>
          <cell r="L4723" t="str">
            <v>YHT</v>
          </cell>
          <cell r="N4723">
            <v>27.825477483791801</v>
          </cell>
        </row>
        <row r="4724">
          <cell r="E4724" t="str">
            <v>HGC-POOL-2456432</v>
          </cell>
          <cell r="F4724" t="str">
            <v>WK0715-1</v>
          </cell>
          <cell r="G4724">
            <v>30</v>
          </cell>
          <cell r="H4724" t="str">
            <v>WES/panel捕获文库</v>
          </cell>
          <cell r="I4724" t="str">
            <v>WWH</v>
          </cell>
          <cell r="J4724">
            <v>0.78400000000000003</v>
          </cell>
          <cell r="K4724">
            <v>400</v>
          </cell>
          <cell r="L4724" t="str">
            <v>YHT</v>
          </cell>
          <cell r="N4724">
            <v>3.0153846153846202</v>
          </cell>
        </row>
        <row r="4725">
          <cell r="E4725" t="str">
            <v>HGC-Lib-2456433</v>
          </cell>
          <cell r="F4725" t="str">
            <v>UtoC-5-240715</v>
          </cell>
          <cell r="G4725">
            <v>2</v>
          </cell>
          <cell r="H4725" t="str">
            <v>PCR片段文库</v>
          </cell>
          <cell r="I4725" t="str">
            <v>WWH</v>
          </cell>
          <cell r="J4725">
            <v>46</v>
          </cell>
          <cell r="K4725">
            <v>396</v>
          </cell>
          <cell r="L4725" t="str">
            <v>WWH</v>
          </cell>
          <cell r="M4725" t="str">
            <v>加水40ul</v>
          </cell>
          <cell r="N4725">
            <v>178.71017871017901</v>
          </cell>
        </row>
        <row r="4726">
          <cell r="E4726" t="str">
            <v>HGC-Lib-2456434</v>
          </cell>
          <cell r="F4726" t="str">
            <v>XGSZ057</v>
          </cell>
          <cell r="G4726">
            <v>10</v>
          </cell>
          <cell r="H4726" t="str">
            <v>cut&amp;tag文库</v>
          </cell>
          <cell r="I4726" t="str">
            <v>WWH</v>
          </cell>
          <cell r="J4726">
            <v>0.76800000000000002</v>
          </cell>
          <cell r="K4726">
            <v>575</v>
          </cell>
          <cell r="L4726" t="str">
            <v>YHT</v>
          </cell>
          <cell r="N4726">
            <v>2.0548494983277599</v>
          </cell>
        </row>
        <row r="4727">
          <cell r="E4727" t="str">
            <v>HGC-Lib-2456435</v>
          </cell>
          <cell r="F4727" t="str">
            <v>XGSZ058</v>
          </cell>
          <cell r="G4727">
            <v>10</v>
          </cell>
          <cell r="H4727" t="str">
            <v>cut&amp;tag文库</v>
          </cell>
          <cell r="I4727" t="str">
            <v>WWH</v>
          </cell>
          <cell r="J4727">
            <v>0.78800000000000003</v>
          </cell>
          <cell r="K4727">
            <v>612</v>
          </cell>
          <cell r="L4727" t="str">
            <v>YHT</v>
          </cell>
          <cell r="N4727">
            <v>1.9808949220713901</v>
          </cell>
        </row>
        <row r="4728">
          <cell r="E4728" t="str">
            <v>HGC-Lib-2456436</v>
          </cell>
          <cell r="F4728" t="str">
            <v>LTSZ152</v>
          </cell>
          <cell r="G4728">
            <v>7</v>
          </cell>
          <cell r="H4728" t="str">
            <v>mRNA文库</v>
          </cell>
          <cell r="I4728" t="str">
            <v>WWH</v>
          </cell>
          <cell r="J4728">
            <v>7.54</v>
          </cell>
          <cell r="K4728">
            <v>378</v>
          </cell>
          <cell r="L4728" t="str">
            <v>YHT</v>
          </cell>
          <cell r="N4728">
            <v>30.687830687830701</v>
          </cell>
        </row>
        <row r="4729">
          <cell r="E4729" t="str">
            <v>HGC-Lib-2456437</v>
          </cell>
          <cell r="F4729" t="str">
            <v>LTSZ153</v>
          </cell>
          <cell r="G4729">
            <v>7</v>
          </cell>
          <cell r="H4729" t="str">
            <v>mRNA文库</v>
          </cell>
          <cell r="I4729" t="str">
            <v>WWH</v>
          </cell>
          <cell r="J4729">
            <v>1.82</v>
          </cell>
          <cell r="K4729">
            <v>445</v>
          </cell>
          <cell r="L4729" t="str">
            <v>YHT</v>
          </cell>
          <cell r="N4729">
            <v>6.2921348314606798</v>
          </cell>
        </row>
        <row r="4730">
          <cell r="E4730" t="str">
            <v>HGC-Lib-2456438</v>
          </cell>
          <cell r="F4730" t="str">
            <v>LTSZ154</v>
          </cell>
          <cell r="G4730">
            <v>8</v>
          </cell>
          <cell r="H4730" t="str">
            <v>small RNA文库</v>
          </cell>
          <cell r="I4730" t="str">
            <v>WWH</v>
          </cell>
          <cell r="J4730">
            <v>0.88400000000000001</v>
          </cell>
          <cell r="K4730">
            <v>281</v>
          </cell>
          <cell r="L4730" t="str">
            <v>YHT</v>
          </cell>
          <cell r="N4730">
            <v>4.8398576512455502</v>
          </cell>
        </row>
        <row r="4731">
          <cell r="E4731" t="str">
            <v>HGC-Lib-2456439</v>
          </cell>
          <cell r="F4731" t="str">
            <v>LTSZ155</v>
          </cell>
          <cell r="G4731">
            <v>8</v>
          </cell>
          <cell r="H4731" t="str">
            <v>small RNA文库</v>
          </cell>
          <cell r="I4731" t="str">
            <v>WWH</v>
          </cell>
          <cell r="J4731">
            <v>0.84599999999999997</v>
          </cell>
          <cell r="K4731">
            <v>271</v>
          </cell>
          <cell r="L4731" t="str">
            <v>YHT</v>
          </cell>
          <cell r="N4731">
            <v>4.8027249503264304</v>
          </cell>
        </row>
        <row r="4732">
          <cell r="E4732" t="str">
            <v>HGC-Lib-2456440</v>
          </cell>
          <cell r="F4732" t="str">
            <v>LTSZ158</v>
          </cell>
          <cell r="G4732">
            <v>8</v>
          </cell>
          <cell r="H4732" t="str">
            <v>small RNA文库</v>
          </cell>
          <cell r="I4732" t="str">
            <v>WWH</v>
          </cell>
          <cell r="J4732">
            <v>1.39</v>
          </cell>
          <cell r="K4732">
            <v>188</v>
          </cell>
          <cell r="L4732" t="str">
            <v>YHT</v>
          </cell>
          <cell r="N4732">
            <v>11.374795417348601</v>
          </cell>
        </row>
        <row r="4733">
          <cell r="E4733" t="str">
            <v>HGC-Lib-2456441</v>
          </cell>
          <cell r="F4733" t="str">
            <v>LTSZ159</v>
          </cell>
          <cell r="G4733">
            <v>8</v>
          </cell>
          <cell r="H4733" t="str">
            <v>small RNA文库</v>
          </cell>
          <cell r="I4733" t="str">
            <v>WWH</v>
          </cell>
          <cell r="J4733">
            <v>0.70399999999999996</v>
          </cell>
          <cell r="K4733">
            <v>183</v>
          </cell>
          <cell r="L4733" t="str">
            <v>YHT</v>
          </cell>
          <cell r="N4733">
            <v>5.9184531315678797</v>
          </cell>
        </row>
        <row r="4734">
          <cell r="E4734" t="str">
            <v>HGC-Lib-2456443</v>
          </cell>
          <cell r="F4734" t="str">
            <v>0716X1</v>
          </cell>
          <cell r="G4734">
            <v>1000</v>
          </cell>
          <cell r="H4734" t="str">
            <v>10x 5'单细胞</v>
          </cell>
          <cell r="I4734" t="str">
            <v>ZZ</v>
          </cell>
          <cell r="J4734">
            <v>7.54</v>
          </cell>
          <cell r="K4734">
            <v>490</v>
          </cell>
          <cell r="L4734" t="str">
            <v>ZZ</v>
          </cell>
          <cell r="N4734">
            <v>23.673469387755102</v>
          </cell>
        </row>
        <row r="4735">
          <cell r="E4735" t="str">
            <v>HGC-Lib-2456444</v>
          </cell>
          <cell r="F4735" t="str">
            <v>0716X2</v>
          </cell>
          <cell r="G4735">
            <v>1000</v>
          </cell>
          <cell r="H4735" t="str">
            <v>10x 5'单细胞</v>
          </cell>
          <cell r="I4735" t="str">
            <v>ZZ</v>
          </cell>
          <cell r="J4735">
            <v>18.7</v>
          </cell>
          <cell r="K4735">
            <v>473</v>
          </cell>
          <cell r="L4735" t="str">
            <v>ZZ</v>
          </cell>
          <cell r="N4735">
            <v>60.822898032200399</v>
          </cell>
        </row>
        <row r="4736">
          <cell r="E4736" t="str">
            <v>HGC-Lib-2456446</v>
          </cell>
          <cell r="F4736" t="str">
            <v>NT-15d</v>
          </cell>
          <cell r="G4736">
            <v>5</v>
          </cell>
          <cell r="H4736" t="str">
            <v>PCR产物文库</v>
          </cell>
          <cell r="I4736" t="str">
            <v>ZZ</v>
          </cell>
          <cell r="J4736">
            <v>39.799999999999997</v>
          </cell>
          <cell r="K4736">
            <v>438</v>
          </cell>
          <cell r="L4736" t="str">
            <v>ZZ</v>
          </cell>
          <cell r="N4736">
            <v>139.79627678257799</v>
          </cell>
        </row>
        <row r="4737">
          <cell r="E4737" t="str">
            <v>HGC-Lib-2456447</v>
          </cell>
          <cell r="F4737" t="str">
            <v>NL-1</v>
          </cell>
          <cell r="G4737">
            <v>5</v>
          </cell>
          <cell r="H4737" t="str">
            <v>PCR产物文库</v>
          </cell>
          <cell r="I4737" t="str">
            <v>ZZ</v>
          </cell>
          <cell r="J4737">
            <v>38.200000000000003</v>
          </cell>
          <cell r="K4737">
            <v>434</v>
          </cell>
          <cell r="L4737" t="str">
            <v>ZZ</v>
          </cell>
          <cell r="N4737">
            <v>135.412974122652</v>
          </cell>
        </row>
        <row r="4738">
          <cell r="E4738" t="str">
            <v>HGC-Lib-2456448</v>
          </cell>
          <cell r="F4738" t="str">
            <v>5Z-1</v>
          </cell>
          <cell r="G4738">
            <v>5</v>
          </cell>
          <cell r="H4738" t="str">
            <v>PCR产物文库</v>
          </cell>
          <cell r="I4738" t="str">
            <v>ZZ</v>
          </cell>
          <cell r="J4738">
            <v>39.799999999999997</v>
          </cell>
          <cell r="K4738">
            <v>432</v>
          </cell>
          <cell r="L4738" t="str">
            <v>ZZ</v>
          </cell>
          <cell r="N4738">
            <v>141.737891737892</v>
          </cell>
        </row>
        <row r="4739">
          <cell r="E4739" t="str">
            <v>HGC-Lib-2456449</v>
          </cell>
          <cell r="F4739" t="str">
            <v>clk-1724</v>
          </cell>
          <cell r="G4739">
            <v>3</v>
          </cell>
          <cell r="H4739" t="str">
            <v>mRNA文库</v>
          </cell>
          <cell r="I4739" t="str">
            <v>ZZ</v>
          </cell>
          <cell r="J4739">
            <v>8.92</v>
          </cell>
          <cell r="K4739">
            <v>351</v>
          </cell>
          <cell r="L4739" t="str">
            <v>GZQ</v>
          </cell>
          <cell r="N4739">
            <v>39.0970852509314</v>
          </cell>
        </row>
        <row r="4740">
          <cell r="E4740" t="str">
            <v>HGC-Lib-2456450</v>
          </cell>
          <cell r="F4740" t="str">
            <v>clk-1724-1</v>
          </cell>
          <cell r="I4740" t="str">
            <v>ZZ</v>
          </cell>
          <cell r="J4740">
            <v>8.44</v>
          </cell>
          <cell r="K4740">
            <v>348</v>
          </cell>
          <cell r="L4740" t="str">
            <v>GZQ</v>
          </cell>
          <cell r="N4740">
            <v>37.312113174182102</v>
          </cell>
        </row>
        <row r="4741">
          <cell r="E4741" t="str">
            <v>HGC-Lib-2456451</v>
          </cell>
          <cell r="F4741" t="str">
            <v>M10</v>
          </cell>
          <cell r="G4741">
            <v>5</v>
          </cell>
          <cell r="H4741" t="str">
            <v>PCR产物文库</v>
          </cell>
          <cell r="I4741" t="str">
            <v>ZZ</v>
          </cell>
          <cell r="J4741">
            <v>6.34</v>
          </cell>
          <cell r="K4741">
            <v>305</v>
          </cell>
          <cell r="L4741" t="str">
            <v>GZQ</v>
          </cell>
          <cell r="N4741">
            <v>31.979823455233301</v>
          </cell>
        </row>
        <row r="4742">
          <cell r="E4742" t="str">
            <v>HGC-Lib-2456452</v>
          </cell>
          <cell r="F4742" t="str">
            <v>sortR1</v>
          </cell>
          <cell r="G4742">
            <v>3</v>
          </cell>
          <cell r="H4742" t="str">
            <v>sgRNA</v>
          </cell>
          <cell r="I4742" t="str">
            <v>ZZ</v>
          </cell>
          <cell r="J4742">
            <v>5.26</v>
          </cell>
          <cell r="K4742">
            <v>326</v>
          </cell>
          <cell r="L4742" t="str">
            <v>GZQ</v>
          </cell>
          <cell r="N4742">
            <v>24.823029731005199</v>
          </cell>
        </row>
        <row r="4743">
          <cell r="E4743" t="str">
            <v>HGC-Lib-2456453</v>
          </cell>
          <cell r="F4743" t="str">
            <v>sortR2</v>
          </cell>
          <cell r="G4743">
            <v>3</v>
          </cell>
          <cell r="H4743" t="str">
            <v>sgRNA</v>
          </cell>
          <cell r="I4743" t="str">
            <v>ZZ</v>
          </cell>
          <cell r="J4743">
            <v>4.78</v>
          </cell>
          <cell r="K4743">
            <v>324</v>
          </cell>
          <cell r="L4743" t="str">
            <v>GZQ</v>
          </cell>
          <cell r="N4743">
            <v>22.697056030389401</v>
          </cell>
        </row>
        <row r="4744">
          <cell r="E4744" t="str">
            <v>HGC-Lib-2456454</v>
          </cell>
          <cell r="F4744" t="str">
            <v>sortR3</v>
          </cell>
          <cell r="G4744">
            <v>3</v>
          </cell>
          <cell r="H4744" t="str">
            <v>sgRNA</v>
          </cell>
          <cell r="I4744" t="str">
            <v>ZZ</v>
          </cell>
          <cell r="J4744">
            <v>3.36</v>
          </cell>
          <cell r="K4744">
            <v>316</v>
          </cell>
          <cell r="L4744" t="str">
            <v>GZQ</v>
          </cell>
          <cell r="N4744">
            <v>16.358325219084701</v>
          </cell>
        </row>
        <row r="4745">
          <cell r="E4745" t="str">
            <v>HGC-Lib-2456455</v>
          </cell>
          <cell r="F4745" t="str">
            <v>unsortR4</v>
          </cell>
          <cell r="G4745">
            <v>3</v>
          </cell>
          <cell r="H4745" t="str">
            <v>sgRNA</v>
          </cell>
          <cell r="I4745" t="str">
            <v>ZZ</v>
          </cell>
          <cell r="J4745">
            <v>3.26</v>
          </cell>
          <cell r="K4745">
            <v>318</v>
          </cell>
          <cell r="L4745" t="str">
            <v>GZQ</v>
          </cell>
          <cell r="N4745">
            <v>15.7716497339139</v>
          </cell>
        </row>
        <row r="4746">
          <cell r="E4746" t="str">
            <v>HGC-Lib-2456456</v>
          </cell>
          <cell r="F4746" t="str">
            <v>unsortR5</v>
          </cell>
          <cell r="G4746">
            <v>3</v>
          </cell>
          <cell r="H4746" t="str">
            <v>sgRNA</v>
          </cell>
          <cell r="I4746" t="str">
            <v>ZZ</v>
          </cell>
          <cell r="J4746">
            <v>4.68</v>
          </cell>
          <cell r="K4746">
            <v>324</v>
          </cell>
          <cell r="L4746" t="str">
            <v>GZQ</v>
          </cell>
          <cell r="N4746">
            <v>22.2222222222222</v>
          </cell>
        </row>
        <row r="4747">
          <cell r="E4747" t="str">
            <v>HGC-Lib-2456457</v>
          </cell>
          <cell r="F4747" t="str">
            <v>unsortR6</v>
          </cell>
          <cell r="G4747">
            <v>3</v>
          </cell>
          <cell r="H4747" t="str">
            <v>sgRNA</v>
          </cell>
          <cell r="I4747" t="str">
            <v>ZZ</v>
          </cell>
          <cell r="J4747">
            <v>2.88</v>
          </cell>
          <cell r="K4747">
            <v>321</v>
          </cell>
          <cell r="L4747" t="str">
            <v>GZQ</v>
          </cell>
          <cell r="N4747">
            <v>13.803019410496001</v>
          </cell>
        </row>
        <row r="4748">
          <cell r="E4748" t="str">
            <v>HGC-Lib-2456458</v>
          </cell>
          <cell r="F4748" t="str">
            <v>PROLHASHPROHC240704061</v>
          </cell>
          <cell r="G4748">
            <v>12</v>
          </cell>
          <cell r="H4748" t="str">
            <v>其他碱基不平衡文库</v>
          </cell>
          <cell r="I4748" t="str">
            <v>ZZ</v>
          </cell>
          <cell r="J4748">
            <v>6.36</v>
          </cell>
          <cell r="N4748" t="e">
            <v>#DIV/0!</v>
          </cell>
        </row>
        <row r="4749">
          <cell r="E4749" t="str">
            <v>HGC-Lib-2456459</v>
          </cell>
          <cell r="F4749" t="str">
            <v>LFTC240708002CK</v>
          </cell>
          <cell r="G4749">
            <v>130</v>
          </cell>
          <cell r="H4749" t="str">
            <v>singleron-3'全长转录组文库</v>
          </cell>
          <cell r="I4749" t="str">
            <v>ZZ</v>
          </cell>
          <cell r="J4749">
            <v>19.2</v>
          </cell>
          <cell r="N4749" t="e">
            <v>#DIV/0!</v>
          </cell>
        </row>
        <row r="4750">
          <cell r="E4750" t="str">
            <v>HGC-Lib-2456460</v>
          </cell>
          <cell r="F4750" t="str">
            <v>LFTC240712065</v>
          </cell>
          <cell r="G4750">
            <v>120</v>
          </cell>
          <cell r="H4750" t="str">
            <v>singleron-3'全长转录组文库</v>
          </cell>
          <cell r="I4750" t="str">
            <v>ZZ</v>
          </cell>
          <cell r="J4750">
            <v>18.600000000000001</v>
          </cell>
          <cell r="N4750" t="e">
            <v>#DIV/0!</v>
          </cell>
        </row>
        <row r="4751">
          <cell r="E4751" t="str">
            <v>HGC-Lib-2456461</v>
          </cell>
          <cell r="F4751" t="str">
            <v>LFTBC240711060X1</v>
          </cell>
          <cell r="G4751">
            <v>70</v>
          </cell>
          <cell r="H4751" t="str">
            <v>singleron-3'全长转录组文库</v>
          </cell>
          <cell r="I4751" t="str">
            <v>ZZ</v>
          </cell>
          <cell r="J4751">
            <v>24.4</v>
          </cell>
          <cell r="N4751" t="e">
            <v>#DIV/0!</v>
          </cell>
        </row>
        <row r="4752">
          <cell r="E4752" t="str">
            <v>HGC-Lib-2456462</v>
          </cell>
          <cell r="F4752" t="str">
            <v>LFTBC240711061X1</v>
          </cell>
          <cell r="G4752">
            <v>70</v>
          </cell>
          <cell r="H4752" t="str">
            <v>singleron-3'全长转录组文库</v>
          </cell>
          <cell r="I4752" t="str">
            <v>ZZ</v>
          </cell>
          <cell r="J4752">
            <v>29.6</v>
          </cell>
          <cell r="N4752" t="e">
            <v>#DIV/0!</v>
          </cell>
        </row>
        <row r="4753">
          <cell r="E4753" t="str">
            <v>HGC-Lib-2456463</v>
          </cell>
          <cell r="F4753" t="str">
            <v>LFTBC240712102</v>
          </cell>
          <cell r="G4753">
            <v>70</v>
          </cell>
          <cell r="H4753" t="str">
            <v>singleron-3'全长转录组文库</v>
          </cell>
          <cell r="I4753" t="str">
            <v>ZZ</v>
          </cell>
          <cell r="J4753">
            <v>17.600000000000001</v>
          </cell>
          <cell r="N4753" t="e">
            <v>#DIV/0!</v>
          </cell>
        </row>
        <row r="4754">
          <cell r="E4754" t="str">
            <v>HGC-Lib-2456464</v>
          </cell>
          <cell r="F4754" t="str">
            <v>LFTBC240712111</v>
          </cell>
          <cell r="G4754">
            <v>70</v>
          </cell>
          <cell r="H4754" t="str">
            <v>singleron-3'全长转录组文库</v>
          </cell>
          <cell r="I4754" t="str">
            <v>ZZ</v>
          </cell>
          <cell r="J4754">
            <v>16.3</v>
          </cell>
          <cell r="N4754" t="e">
            <v>#DIV/0!</v>
          </cell>
        </row>
        <row r="4755">
          <cell r="E4755" t="str">
            <v>HGC-Lib-2456465</v>
          </cell>
          <cell r="F4755" t="str">
            <v>LFTC240711053</v>
          </cell>
          <cell r="G4755">
            <v>110</v>
          </cell>
          <cell r="H4755" t="str">
            <v>singleron-3'全长转录组文库</v>
          </cell>
          <cell r="I4755" t="str">
            <v>ZZ</v>
          </cell>
          <cell r="J4755">
            <v>34.6</v>
          </cell>
          <cell r="N4755" t="e">
            <v>#DIV/0!</v>
          </cell>
        </row>
        <row r="4756">
          <cell r="E4756" t="str">
            <v>HGC-Lib-2456466</v>
          </cell>
          <cell r="F4756" t="str">
            <v>LFTC240711052CK</v>
          </cell>
          <cell r="G4756">
            <v>10</v>
          </cell>
          <cell r="H4756" t="str">
            <v>singleron-3'全长转录组文库</v>
          </cell>
          <cell r="I4756" t="str">
            <v>ZZ</v>
          </cell>
          <cell r="J4756">
            <v>27.2</v>
          </cell>
          <cell r="N4756" t="e">
            <v>#DIV/0!</v>
          </cell>
        </row>
        <row r="4757">
          <cell r="E4757" t="str">
            <v>HGC-Lib-2456467</v>
          </cell>
          <cell r="F4757" t="str">
            <v>HASHLHASHPROHC240704061</v>
          </cell>
          <cell r="G4757">
            <v>12</v>
          </cell>
          <cell r="H4757" t="str">
            <v>其他碱基不平衡文库</v>
          </cell>
          <cell r="I4757" t="str">
            <v>ZZ</v>
          </cell>
          <cell r="J4757">
            <v>66.400000000000006</v>
          </cell>
          <cell r="N4757" t="e">
            <v>#DIV/0!</v>
          </cell>
        </row>
        <row r="4758">
          <cell r="E4758" t="str">
            <v>HGC-Lib-2456468</v>
          </cell>
          <cell r="F4758" t="str">
            <v>LC240712092</v>
          </cell>
          <cell r="G4758">
            <v>100</v>
          </cell>
          <cell r="H4758" t="str">
            <v>singleron-3'转录组文库</v>
          </cell>
          <cell r="I4758" t="str">
            <v>ZZ</v>
          </cell>
          <cell r="J4758">
            <v>14.7</v>
          </cell>
          <cell r="N4758" t="e">
            <v>#DIV/0!</v>
          </cell>
        </row>
        <row r="4759">
          <cell r="E4759" t="str">
            <v>HGC-Lib-2456469</v>
          </cell>
          <cell r="F4759" t="str">
            <v>LC240710006CT</v>
          </cell>
          <cell r="G4759">
            <v>30</v>
          </cell>
          <cell r="H4759" t="str">
            <v>singleron-3'转录组文库</v>
          </cell>
          <cell r="I4759" t="str">
            <v>ZZ</v>
          </cell>
          <cell r="J4759">
            <v>11.3</v>
          </cell>
          <cell r="N4759" t="e">
            <v>#DIV/0!</v>
          </cell>
        </row>
        <row r="4760">
          <cell r="E4760" t="str">
            <v>HGC-Lib-2456470</v>
          </cell>
          <cell r="F4760" t="str">
            <v>LA240710006CZCK</v>
          </cell>
          <cell r="G4760">
            <v>30</v>
          </cell>
          <cell r="H4760" t="str">
            <v>singleron-3'转录组文库</v>
          </cell>
          <cell r="I4760" t="str">
            <v>ZZ</v>
          </cell>
          <cell r="J4760">
            <v>15.1</v>
          </cell>
          <cell r="N4760" t="e">
            <v>#DIV/0!</v>
          </cell>
        </row>
        <row r="4761">
          <cell r="E4761" t="str">
            <v>HGC-Lib-2456471</v>
          </cell>
          <cell r="F4761" t="str">
            <v>LA240629052FSX1</v>
          </cell>
          <cell r="G4761">
            <v>100</v>
          </cell>
          <cell r="H4761" t="str">
            <v>singleron-3'转录组文库</v>
          </cell>
          <cell r="I4761" t="str">
            <v>ZZ</v>
          </cell>
          <cell r="J4761">
            <v>22.8</v>
          </cell>
          <cell r="N4761" t="e">
            <v>#DIV/0!</v>
          </cell>
        </row>
        <row r="4762">
          <cell r="E4762" t="str">
            <v>HGC-Lib-2456472</v>
          </cell>
          <cell r="F4762" t="str">
            <v>LC240709013</v>
          </cell>
          <cell r="G4762">
            <v>120</v>
          </cell>
          <cell r="H4762" t="str">
            <v>singleron-3'转录组文库</v>
          </cell>
          <cell r="I4762" t="str">
            <v>ZZ</v>
          </cell>
          <cell r="J4762">
            <v>20</v>
          </cell>
          <cell r="N4762" t="e">
            <v>#DIV/0!</v>
          </cell>
        </row>
        <row r="4763">
          <cell r="E4763" t="str">
            <v>HGC-Lib-2456473</v>
          </cell>
          <cell r="F4763" t="str">
            <v>LC240702069</v>
          </cell>
          <cell r="G4763">
            <v>150</v>
          </cell>
          <cell r="H4763" t="str">
            <v>singleron-3'转录组文库</v>
          </cell>
          <cell r="I4763" t="str">
            <v>ZZ</v>
          </cell>
          <cell r="J4763">
            <v>11.6</v>
          </cell>
          <cell r="N4763" t="e">
            <v>#DIV/0!</v>
          </cell>
        </row>
        <row r="4764">
          <cell r="E4764" t="str">
            <v>HGC-Lib-2456474</v>
          </cell>
          <cell r="F4764" t="str">
            <v>LC240710069</v>
          </cell>
          <cell r="G4764">
            <v>100</v>
          </cell>
          <cell r="H4764" t="str">
            <v>singleron-3'转录组文库</v>
          </cell>
          <cell r="I4764" t="str">
            <v>ZZ</v>
          </cell>
          <cell r="J4764">
            <v>36.200000000000003</v>
          </cell>
          <cell r="N4764" t="e">
            <v>#DIV/0!</v>
          </cell>
        </row>
        <row r="4765">
          <cell r="E4765" t="str">
            <v>HGC-Lib-2456475</v>
          </cell>
          <cell r="F4765" t="str">
            <v>LC240710070</v>
          </cell>
          <cell r="G4765">
            <v>100</v>
          </cell>
          <cell r="H4765" t="str">
            <v>singleron-3'转录组文库</v>
          </cell>
          <cell r="I4765" t="str">
            <v>ZZ</v>
          </cell>
          <cell r="J4765">
            <v>28</v>
          </cell>
          <cell r="N4765" t="e">
            <v>#DIV/0!</v>
          </cell>
        </row>
        <row r="4766">
          <cell r="E4766" t="str">
            <v>HGC-Lib-2456476</v>
          </cell>
          <cell r="F4766" t="str">
            <v>LC240710068</v>
          </cell>
          <cell r="G4766">
            <v>100</v>
          </cell>
          <cell r="H4766" t="str">
            <v>singleron-3'转录组文库</v>
          </cell>
          <cell r="I4766" t="str">
            <v>ZZ</v>
          </cell>
          <cell r="J4766">
            <v>42.4</v>
          </cell>
          <cell r="N4766" t="e">
            <v>#DIV/0!</v>
          </cell>
        </row>
        <row r="4767">
          <cell r="E4767" t="str">
            <v>HGC-Lib-2456477</v>
          </cell>
          <cell r="F4767" t="str">
            <v>LC240710071</v>
          </cell>
          <cell r="G4767">
            <v>100</v>
          </cell>
          <cell r="H4767" t="str">
            <v>singleron-3'转录组文库</v>
          </cell>
          <cell r="I4767" t="str">
            <v>ZZ</v>
          </cell>
          <cell r="J4767">
            <v>31</v>
          </cell>
          <cell r="N4767" t="e">
            <v>#DIV/0!</v>
          </cell>
        </row>
        <row r="4768">
          <cell r="E4768" t="str">
            <v>HGC-Lib-2456478</v>
          </cell>
          <cell r="F4768" t="str">
            <v>LA240711001</v>
          </cell>
          <cell r="G4768">
            <v>100</v>
          </cell>
          <cell r="H4768" t="str">
            <v>singleron-3'转录组文库</v>
          </cell>
          <cell r="I4768" t="str">
            <v>ZZ</v>
          </cell>
          <cell r="J4768">
            <v>26.4</v>
          </cell>
          <cell r="L4768" t="str">
            <v>标签贴错</v>
          </cell>
          <cell r="M4768" t="str">
            <v>浓度已重测</v>
          </cell>
          <cell r="N4768" t="e">
            <v>#DIV/0!</v>
          </cell>
        </row>
        <row r="4769">
          <cell r="E4769" t="str">
            <v>HGC-Lib-2456479</v>
          </cell>
          <cell r="F4769" t="str">
            <v>LA240711002</v>
          </cell>
          <cell r="G4769">
            <v>100</v>
          </cell>
          <cell r="H4769" t="str">
            <v>singleron-3'转录组文库</v>
          </cell>
          <cell r="I4769" t="str">
            <v>ZZ</v>
          </cell>
          <cell r="J4769">
            <v>21.8</v>
          </cell>
          <cell r="L4769" t="str">
            <v>标签贴错</v>
          </cell>
          <cell r="M4769" t="str">
            <v>浓度已重测</v>
          </cell>
          <cell r="N4769" t="e">
            <v>#DIV/0!</v>
          </cell>
        </row>
        <row r="4770">
          <cell r="E4770" t="str">
            <v>HGC-Lib-2456480</v>
          </cell>
          <cell r="F4770" t="str">
            <v>LA240711064X2</v>
          </cell>
          <cell r="G4770">
            <v>100</v>
          </cell>
          <cell r="H4770" t="str">
            <v>singleron-3'转录组文库</v>
          </cell>
          <cell r="I4770" t="str">
            <v>ZZ</v>
          </cell>
          <cell r="J4770">
            <v>22</v>
          </cell>
          <cell r="N4770" t="e">
            <v>#DIV/0!</v>
          </cell>
        </row>
        <row r="4771">
          <cell r="E4771" t="str">
            <v>HGC-Lib-2456481</v>
          </cell>
          <cell r="F4771" t="str">
            <v>LA240711062X1</v>
          </cell>
          <cell r="G4771">
            <v>100</v>
          </cell>
          <cell r="H4771" t="str">
            <v>singleron-3'转录组文库</v>
          </cell>
          <cell r="I4771" t="str">
            <v>ZZ</v>
          </cell>
          <cell r="J4771">
            <v>30</v>
          </cell>
          <cell r="N4771" t="e">
            <v>#DIV/0!</v>
          </cell>
        </row>
        <row r="4772">
          <cell r="E4772" t="str">
            <v>HGC-Lib-2456482</v>
          </cell>
          <cell r="F4772" t="str">
            <v>LA240711063X1</v>
          </cell>
          <cell r="G4772">
            <v>100</v>
          </cell>
          <cell r="H4772" t="str">
            <v>singleron-3'转录组文库</v>
          </cell>
          <cell r="I4772" t="str">
            <v>ZZ</v>
          </cell>
          <cell r="J4772">
            <v>27.2</v>
          </cell>
          <cell r="N4772" t="e">
            <v>#DIV/0!</v>
          </cell>
        </row>
        <row r="4773">
          <cell r="E4773" t="str">
            <v>HGC-Lib-2456483</v>
          </cell>
          <cell r="F4773" t="str">
            <v>LC240712103</v>
          </cell>
          <cell r="G4773">
            <v>100</v>
          </cell>
          <cell r="H4773" t="str">
            <v>singleron-3'转录组文库</v>
          </cell>
          <cell r="I4773" t="str">
            <v>ZZ</v>
          </cell>
          <cell r="J4773">
            <v>15.1</v>
          </cell>
          <cell r="N4773" t="e">
            <v>#DIV/0!</v>
          </cell>
        </row>
        <row r="4774">
          <cell r="E4774" t="str">
            <v>HGC-Lib-2456484</v>
          </cell>
          <cell r="F4774" t="str">
            <v>LC240712110</v>
          </cell>
          <cell r="G4774">
            <v>100</v>
          </cell>
          <cell r="H4774" t="str">
            <v>singleron-3'转录组文库</v>
          </cell>
          <cell r="I4774" t="str">
            <v>ZZ</v>
          </cell>
          <cell r="J4774">
            <v>21.4</v>
          </cell>
          <cell r="N4774" t="e">
            <v>#DIV/0!</v>
          </cell>
        </row>
        <row r="4775">
          <cell r="E4775" t="str">
            <v>HGC-Lib-2456485</v>
          </cell>
          <cell r="F4775" t="str">
            <v>LC240712077</v>
          </cell>
          <cell r="G4775">
            <v>100</v>
          </cell>
          <cell r="H4775" t="str">
            <v>singleron-3'转录组文库</v>
          </cell>
          <cell r="I4775" t="str">
            <v>ZZ</v>
          </cell>
          <cell r="J4775">
            <v>14.6</v>
          </cell>
          <cell r="N4775" t="e">
            <v>#DIV/0!</v>
          </cell>
        </row>
        <row r="4776">
          <cell r="E4776" t="str">
            <v>HGC-Lib-2456486</v>
          </cell>
          <cell r="F4776" t="str">
            <v>LA240712001</v>
          </cell>
          <cell r="G4776">
            <v>100</v>
          </cell>
          <cell r="H4776" t="str">
            <v>singleron-3'转录组文库</v>
          </cell>
          <cell r="I4776" t="str">
            <v>ZZ</v>
          </cell>
          <cell r="J4776">
            <v>14.5</v>
          </cell>
          <cell r="L4776" t="str">
            <v>标签贴错</v>
          </cell>
          <cell r="M4776" t="str">
            <v>浓度已重测</v>
          </cell>
          <cell r="N4776" t="e">
            <v>#DIV/0!</v>
          </cell>
        </row>
        <row r="4777">
          <cell r="E4777" t="str">
            <v>HGC-Lib-2456487</v>
          </cell>
          <cell r="F4777" t="str">
            <v>LA240712002</v>
          </cell>
          <cell r="G4777">
            <v>100</v>
          </cell>
          <cell r="H4777" t="str">
            <v>singleron-3'转录组文库</v>
          </cell>
          <cell r="I4777" t="str">
            <v>ZZ</v>
          </cell>
          <cell r="J4777">
            <v>11.2</v>
          </cell>
          <cell r="L4777" t="str">
            <v>标签贴错</v>
          </cell>
          <cell r="M4777" t="str">
            <v>浓度已重测</v>
          </cell>
          <cell r="N4777" t="e">
            <v>#DIV/0!</v>
          </cell>
        </row>
        <row r="4778">
          <cell r="E4778" t="str">
            <v>HGC-Lib-2456488</v>
          </cell>
          <cell r="F4778" t="str">
            <v>LHASHPROHC240704061</v>
          </cell>
          <cell r="G4778">
            <v>50</v>
          </cell>
          <cell r="H4778" t="str">
            <v>singleron-3'转录组文库</v>
          </cell>
          <cell r="I4778" t="str">
            <v>ZZ</v>
          </cell>
          <cell r="J4778">
            <v>21.6</v>
          </cell>
          <cell r="N4778" t="e">
            <v>#DIV/0!</v>
          </cell>
        </row>
        <row r="4779">
          <cell r="E4779" t="str">
            <v>HGC-Lib-2456489</v>
          </cell>
          <cell r="F4779" t="str">
            <v>LC240712118</v>
          </cell>
          <cell r="G4779">
            <v>100</v>
          </cell>
          <cell r="H4779" t="str">
            <v>singleron-3'转录组文库</v>
          </cell>
          <cell r="I4779" t="str">
            <v>ZZ</v>
          </cell>
          <cell r="J4779">
            <v>16.3</v>
          </cell>
          <cell r="N4779" t="e">
            <v>#DIV/0!</v>
          </cell>
        </row>
        <row r="4780">
          <cell r="E4780" t="str">
            <v>HGC-Lib-2456490</v>
          </cell>
          <cell r="F4780" t="str">
            <v>LC240712068</v>
          </cell>
          <cell r="G4780">
            <v>120</v>
          </cell>
          <cell r="H4780" t="str">
            <v>singleron-3'转录组文库</v>
          </cell>
          <cell r="I4780" t="str">
            <v>ZZ</v>
          </cell>
          <cell r="J4780">
            <v>17</v>
          </cell>
          <cell r="N4780" t="e">
            <v>#DIV/0!</v>
          </cell>
        </row>
        <row r="4781">
          <cell r="E4781" t="str">
            <v>HGC-Lib-2456491</v>
          </cell>
          <cell r="F4781" t="str">
            <v>LA240712058</v>
          </cell>
          <cell r="G4781">
            <v>100</v>
          </cell>
          <cell r="H4781" t="str">
            <v>singleron-3'转录组文库</v>
          </cell>
          <cell r="I4781" t="str">
            <v>ZZ</v>
          </cell>
          <cell r="J4781">
            <v>18.3</v>
          </cell>
          <cell r="N4781" t="e">
            <v>#DIV/0!</v>
          </cell>
        </row>
        <row r="4782">
          <cell r="E4782" t="str">
            <v>HGC-Lib-2456492</v>
          </cell>
          <cell r="F4782" t="str">
            <v>LA240712057</v>
          </cell>
          <cell r="G4782">
            <v>10</v>
          </cell>
          <cell r="H4782" t="str">
            <v>singleron-3'转录组文库</v>
          </cell>
          <cell r="I4782" t="str">
            <v>ZZ</v>
          </cell>
          <cell r="J4782">
            <v>16.100000000000001</v>
          </cell>
          <cell r="N4782" t="e">
            <v>#DIV/0!</v>
          </cell>
        </row>
        <row r="4783">
          <cell r="E4783" t="str">
            <v>HGC-POOL-2456493</v>
          </cell>
          <cell r="F4783" t="str">
            <v>PCRD-240716-003</v>
          </cell>
          <cell r="G4783">
            <v>20</v>
          </cell>
          <cell r="H4783" t="str">
            <v>mRNA文库</v>
          </cell>
          <cell r="I4783" t="str">
            <v>ZZ</v>
          </cell>
          <cell r="J4783">
            <v>6.52</v>
          </cell>
          <cell r="N4783" t="e">
            <v>#DIV/0!</v>
          </cell>
        </row>
        <row r="4784">
          <cell r="E4784" t="str">
            <v>HGC-POOL-2456494</v>
          </cell>
          <cell r="F4784" t="str">
            <v>PCRD-240716-004</v>
          </cell>
          <cell r="G4784">
            <v>60</v>
          </cell>
          <cell r="H4784" t="str">
            <v>mRNA文库</v>
          </cell>
          <cell r="I4784" t="str">
            <v>ZZ</v>
          </cell>
          <cell r="J4784">
            <v>24.8</v>
          </cell>
          <cell r="N4784" t="e">
            <v>#DIV/0!</v>
          </cell>
        </row>
        <row r="4785">
          <cell r="E4785" t="str">
            <v>HGC-POOL-2456495</v>
          </cell>
          <cell r="F4785" t="str">
            <v>WHTRDRPEP000141745</v>
          </cell>
          <cell r="G4785">
            <v>1000</v>
          </cell>
          <cell r="H4785" t="str">
            <v>mRNA文库</v>
          </cell>
          <cell r="I4785" t="str">
            <v>ZZ</v>
          </cell>
          <cell r="J4785">
            <v>15.1</v>
          </cell>
          <cell r="K4785">
            <v>615</v>
          </cell>
          <cell r="L4785" t="str">
            <v>ZZ</v>
          </cell>
          <cell r="N4785">
            <v>37.773608505315799</v>
          </cell>
        </row>
        <row r="4786">
          <cell r="E4786" t="str">
            <v>HGC-POOL-2456496</v>
          </cell>
          <cell r="F4786" t="str">
            <v>WHTRDRPEP000141746</v>
          </cell>
          <cell r="G4786">
            <v>1000</v>
          </cell>
          <cell r="H4786" t="str">
            <v>mRNA文库</v>
          </cell>
          <cell r="I4786" t="str">
            <v>ZZ</v>
          </cell>
          <cell r="J4786">
            <v>15.3</v>
          </cell>
          <cell r="K4786">
            <v>609</v>
          </cell>
          <cell r="L4786" t="str">
            <v>ZZ</v>
          </cell>
          <cell r="N4786">
            <v>38.6510041682455</v>
          </cell>
        </row>
        <row r="4787">
          <cell r="E4787" t="str">
            <v>HGC-POOL-2456497</v>
          </cell>
          <cell r="F4787" t="str">
            <v>WHTRDRPEP000141747-LS</v>
          </cell>
          <cell r="G4787">
            <v>399</v>
          </cell>
          <cell r="H4787" t="str">
            <v>mRNA文库</v>
          </cell>
          <cell r="I4787" t="str">
            <v>ZZ</v>
          </cell>
          <cell r="J4787">
            <v>15.6</v>
          </cell>
          <cell r="K4787">
            <v>582</v>
          </cell>
          <cell r="L4787" t="str">
            <v>ZZ</v>
          </cell>
          <cell r="N4787">
            <v>41.237113402061901</v>
          </cell>
        </row>
        <row r="4788">
          <cell r="E4788" t="str">
            <v>HGC-POOL-2456498</v>
          </cell>
          <cell r="F4788" t="str">
            <v>YX-0716-KY</v>
          </cell>
          <cell r="G4788">
            <v>500</v>
          </cell>
          <cell r="H4788" t="str">
            <v>宏基因组文库</v>
          </cell>
          <cell r="I4788" t="str">
            <v>DY</v>
          </cell>
          <cell r="J4788">
            <v>10.4</v>
          </cell>
          <cell r="K4788">
            <v>282</v>
          </cell>
          <cell r="L4788" t="str">
            <v>HZK</v>
          </cell>
          <cell r="N4788">
            <v>56.737588652482302</v>
          </cell>
        </row>
        <row r="4789">
          <cell r="E4789" t="str">
            <v>HGC-Lib-2456499</v>
          </cell>
          <cell r="F4789" t="str">
            <v>LD240626O-0851A</v>
          </cell>
          <cell r="G4789">
            <v>1</v>
          </cell>
          <cell r="H4789" t="str">
            <v>DNA基因组文库</v>
          </cell>
          <cell r="I4789" t="str">
            <v>YHT</v>
          </cell>
          <cell r="J4789">
            <v>60.8</v>
          </cell>
          <cell r="N4789" t="e">
            <v>#DIV/0!</v>
          </cell>
        </row>
        <row r="4790">
          <cell r="E4790" t="str">
            <v>HGC-Lib-2456500</v>
          </cell>
          <cell r="F4790" t="str">
            <v>LD240705O-2611A</v>
          </cell>
          <cell r="G4790">
            <v>15</v>
          </cell>
          <cell r="H4790" t="str">
            <v>DNA宏基因组文库</v>
          </cell>
          <cell r="I4790" t="str">
            <v>YHT</v>
          </cell>
          <cell r="J4790">
            <v>21.2</v>
          </cell>
          <cell r="N4790" t="e">
            <v>#DIV/0!</v>
          </cell>
        </row>
        <row r="4791">
          <cell r="E4791" t="str">
            <v>HGC-Lib-2456501</v>
          </cell>
          <cell r="F4791" t="str">
            <v>LD240705O-2612A</v>
          </cell>
          <cell r="G4791">
            <v>15</v>
          </cell>
          <cell r="H4791" t="str">
            <v>DNA宏基因组文库</v>
          </cell>
          <cell r="I4791" t="str">
            <v>YHT</v>
          </cell>
          <cell r="J4791">
            <v>31.8</v>
          </cell>
          <cell r="N4791" t="e">
            <v>#DIV/0!</v>
          </cell>
        </row>
        <row r="4792">
          <cell r="E4792" t="str">
            <v>HGC-Lib-2456502</v>
          </cell>
          <cell r="F4792" t="str">
            <v>LD240705O-2613A</v>
          </cell>
          <cell r="G4792">
            <v>15</v>
          </cell>
          <cell r="H4792" t="str">
            <v>DNA宏基因组文库</v>
          </cell>
          <cell r="I4792" t="str">
            <v>YHT</v>
          </cell>
          <cell r="J4792">
            <v>13.3</v>
          </cell>
          <cell r="N4792" t="e">
            <v>#DIV/0!</v>
          </cell>
        </row>
        <row r="4793">
          <cell r="E4793" t="str">
            <v>HGC-Lib-2456503</v>
          </cell>
          <cell r="F4793" t="str">
            <v>LD240705O-2614A</v>
          </cell>
          <cell r="G4793">
            <v>15</v>
          </cell>
          <cell r="H4793" t="str">
            <v>DNA宏基因组文库</v>
          </cell>
          <cell r="I4793" t="str">
            <v>YHT</v>
          </cell>
          <cell r="J4793">
            <v>56.6</v>
          </cell>
          <cell r="N4793" t="e">
            <v>#DIV/0!</v>
          </cell>
        </row>
        <row r="4794">
          <cell r="E4794" t="str">
            <v>HGC-Lib-2456504</v>
          </cell>
          <cell r="F4794" t="str">
            <v>LD240705O-2615A</v>
          </cell>
          <cell r="G4794">
            <v>15</v>
          </cell>
          <cell r="H4794" t="str">
            <v>DNA宏基因组文库</v>
          </cell>
          <cell r="I4794" t="str">
            <v>YHT</v>
          </cell>
          <cell r="J4794">
            <v>41.6</v>
          </cell>
          <cell r="N4794" t="e">
            <v>#DIV/0!</v>
          </cell>
        </row>
        <row r="4795">
          <cell r="E4795" t="str">
            <v>HGC-Lib-2456505</v>
          </cell>
          <cell r="F4795" t="str">
            <v>LD240705O-2616A</v>
          </cell>
          <cell r="G4795">
            <v>15</v>
          </cell>
          <cell r="H4795" t="str">
            <v>DNA宏基因组文库</v>
          </cell>
          <cell r="I4795" t="str">
            <v>YHT</v>
          </cell>
          <cell r="J4795">
            <v>36.799999999999997</v>
          </cell>
          <cell r="N4795" t="e">
            <v>#DIV/0!</v>
          </cell>
        </row>
        <row r="4796">
          <cell r="E4796" t="str">
            <v>HGC-Lib-2456506</v>
          </cell>
          <cell r="F4796" t="str">
            <v>LD240705O-2617A</v>
          </cell>
          <cell r="G4796">
            <v>15</v>
          </cell>
          <cell r="H4796" t="str">
            <v>DNA宏基因组文库</v>
          </cell>
          <cell r="I4796" t="str">
            <v>YHT</v>
          </cell>
          <cell r="J4796">
            <v>55.6</v>
          </cell>
          <cell r="N4796" t="e">
            <v>#DIV/0!</v>
          </cell>
        </row>
        <row r="4797">
          <cell r="E4797" t="str">
            <v>HGC-Lib-2456507</v>
          </cell>
          <cell r="F4797" t="str">
            <v>LD240705O-2618A</v>
          </cell>
          <cell r="G4797">
            <v>15</v>
          </cell>
          <cell r="H4797" t="str">
            <v>DNA宏基因组文库</v>
          </cell>
          <cell r="I4797" t="str">
            <v>YHT</v>
          </cell>
          <cell r="J4797">
            <v>66.599999999999994</v>
          </cell>
          <cell r="N4797" t="e">
            <v>#DIV/0!</v>
          </cell>
        </row>
        <row r="4798">
          <cell r="E4798" t="str">
            <v>HGC-Lib-2456508</v>
          </cell>
          <cell r="F4798" t="str">
            <v>LD240705O-2619A</v>
          </cell>
          <cell r="G4798">
            <v>15</v>
          </cell>
          <cell r="H4798" t="str">
            <v>DNA宏基因组文库</v>
          </cell>
          <cell r="I4798" t="str">
            <v>YHT</v>
          </cell>
          <cell r="J4798">
            <v>76.400000000000006</v>
          </cell>
          <cell r="N4798" t="e">
            <v>#DIV/0!</v>
          </cell>
        </row>
        <row r="4799">
          <cell r="E4799" t="str">
            <v>HGC-Lib-2456509</v>
          </cell>
          <cell r="F4799" t="str">
            <v>LD240705O-2620A</v>
          </cell>
          <cell r="G4799">
            <v>15</v>
          </cell>
          <cell r="H4799" t="str">
            <v>DNA宏基因组文库</v>
          </cell>
          <cell r="I4799" t="str">
            <v>YHT</v>
          </cell>
          <cell r="J4799">
            <v>37.6</v>
          </cell>
          <cell r="N4799" t="e">
            <v>#DIV/0!</v>
          </cell>
        </row>
        <row r="4800">
          <cell r="E4800" t="str">
            <v>HGC-Lib-2456510</v>
          </cell>
          <cell r="F4800" t="str">
            <v>LD240705O-2621A</v>
          </cell>
          <cell r="G4800">
            <v>15</v>
          </cell>
          <cell r="H4800" t="str">
            <v>DNA宏基因组文库</v>
          </cell>
          <cell r="I4800" t="str">
            <v>YHT</v>
          </cell>
          <cell r="J4800">
            <v>70.8</v>
          </cell>
          <cell r="N4800" t="e">
            <v>#DIV/0!</v>
          </cell>
        </row>
        <row r="4801">
          <cell r="E4801" t="str">
            <v>HGC-Lib-2456511</v>
          </cell>
          <cell r="F4801" t="str">
            <v>LD240705O-2622A</v>
          </cell>
          <cell r="G4801">
            <v>15</v>
          </cell>
          <cell r="H4801" t="str">
            <v>DNA宏基因组文库</v>
          </cell>
          <cell r="I4801" t="str">
            <v>YHT</v>
          </cell>
          <cell r="J4801">
            <v>70.8</v>
          </cell>
          <cell r="N4801" t="e">
            <v>#DIV/0!</v>
          </cell>
        </row>
        <row r="4802">
          <cell r="E4802" t="str">
            <v>HGC-Lib-2456512</v>
          </cell>
          <cell r="F4802" t="str">
            <v>LD240705O-2623A</v>
          </cell>
          <cell r="G4802">
            <v>15</v>
          </cell>
          <cell r="H4802" t="str">
            <v>DNA宏基因组文库</v>
          </cell>
          <cell r="I4802" t="str">
            <v>YHT</v>
          </cell>
          <cell r="J4802">
            <v>28.4</v>
          </cell>
          <cell r="N4802" t="e">
            <v>#DIV/0!</v>
          </cell>
        </row>
        <row r="4803">
          <cell r="E4803" t="str">
            <v>HGC-Lib-2456513</v>
          </cell>
          <cell r="F4803" t="str">
            <v>LD240705O-2624A</v>
          </cell>
          <cell r="G4803">
            <v>15</v>
          </cell>
          <cell r="H4803" t="str">
            <v>DNA宏基因组文库</v>
          </cell>
          <cell r="I4803" t="str">
            <v>YHT</v>
          </cell>
          <cell r="J4803">
            <v>51.4</v>
          </cell>
          <cell r="N4803" t="e">
            <v>#DIV/0!</v>
          </cell>
        </row>
        <row r="4804">
          <cell r="E4804" t="str">
            <v>HGC-Lib-2456514</v>
          </cell>
          <cell r="F4804" t="str">
            <v>LD240705O-2625A</v>
          </cell>
          <cell r="G4804">
            <v>15</v>
          </cell>
          <cell r="H4804" t="str">
            <v>DNA宏基因组文库</v>
          </cell>
          <cell r="I4804" t="str">
            <v>YHT</v>
          </cell>
          <cell r="J4804">
            <v>79.400000000000006</v>
          </cell>
          <cell r="N4804" t="e">
            <v>#DIV/0!</v>
          </cell>
        </row>
        <row r="4805">
          <cell r="E4805" t="str">
            <v>HGC-Lib-2456515</v>
          </cell>
          <cell r="F4805" t="str">
            <v>LD240705O-2626A</v>
          </cell>
          <cell r="G4805">
            <v>15</v>
          </cell>
          <cell r="H4805" t="str">
            <v>DNA宏基因组文库</v>
          </cell>
          <cell r="I4805" t="str">
            <v>YHT</v>
          </cell>
          <cell r="J4805">
            <v>72</v>
          </cell>
          <cell r="N4805" t="e">
            <v>#DIV/0!</v>
          </cell>
        </row>
        <row r="4806">
          <cell r="E4806" t="str">
            <v>HGC-Lib-2456516</v>
          </cell>
          <cell r="F4806" t="str">
            <v>LD240705O-2627A</v>
          </cell>
          <cell r="G4806">
            <v>6</v>
          </cell>
          <cell r="H4806" t="str">
            <v>DNA宏基因组文库</v>
          </cell>
          <cell r="I4806" t="str">
            <v>YHT</v>
          </cell>
          <cell r="J4806">
            <v>114</v>
          </cell>
          <cell r="N4806" t="e">
            <v>#DIV/0!</v>
          </cell>
        </row>
        <row r="4807">
          <cell r="E4807" t="str">
            <v>HGC-Lib-2456517</v>
          </cell>
          <cell r="F4807" t="str">
            <v>LD240705O-2628A</v>
          </cell>
          <cell r="G4807">
            <v>6</v>
          </cell>
          <cell r="H4807" t="str">
            <v>DNA宏基因组文库</v>
          </cell>
          <cell r="I4807" t="str">
            <v>YHT</v>
          </cell>
          <cell r="J4807">
            <v>41.8</v>
          </cell>
          <cell r="N4807" t="e">
            <v>#DIV/0!</v>
          </cell>
        </row>
        <row r="4808">
          <cell r="E4808" t="str">
            <v>HGC-Lib-2456518</v>
          </cell>
          <cell r="F4808" t="str">
            <v>LD240705O-2629A</v>
          </cell>
          <cell r="G4808">
            <v>6</v>
          </cell>
          <cell r="H4808" t="str">
            <v>DNA宏基因组文库</v>
          </cell>
          <cell r="I4808" t="str">
            <v>YHT</v>
          </cell>
          <cell r="J4808">
            <v>65.8</v>
          </cell>
          <cell r="N4808" t="e">
            <v>#DIV/0!</v>
          </cell>
        </row>
        <row r="4809">
          <cell r="E4809" t="str">
            <v>HGC-Lib-2456519</v>
          </cell>
          <cell r="F4809" t="str">
            <v>LD240705O-2630A</v>
          </cell>
          <cell r="G4809">
            <v>6</v>
          </cell>
          <cell r="H4809" t="str">
            <v>DNA宏基因组文库</v>
          </cell>
          <cell r="I4809" t="str">
            <v>YHT</v>
          </cell>
          <cell r="J4809">
            <v>39.4</v>
          </cell>
          <cell r="N4809" t="e">
            <v>#DIV/0!</v>
          </cell>
        </row>
        <row r="4810">
          <cell r="E4810" t="str">
            <v>HGC-Lib-2456520</v>
          </cell>
          <cell r="F4810" t="str">
            <v>LD240705O-2631A</v>
          </cell>
          <cell r="G4810">
            <v>6</v>
          </cell>
          <cell r="H4810" t="str">
            <v>DNA宏基因组文库</v>
          </cell>
          <cell r="I4810" t="str">
            <v>YHT</v>
          </cell>
          <cell r="J4810">
            <v>30.8</v>
          </cell>
          <cell r="N4810" t="e">
            <v>#DIV/0!</v>
          </cell>
        </row>
        <row r="4811">
          <cell r="E4811" t="str">
            <v>HGC-Lib-2456521</v>
          </cell>
          <cell r="F4811" t="str">
            <v>LD240705O-2632A</v>
          </cell>
          <cell r="G4811">
            <v>6</v>
          </cell>
          <cell r="H4811" t="str">
            <v>DNA宏基因组文库</v>
          </cell>
          <cell r="I4811" t="str">
            <v>YHT</v>
          </cell>
          <cell r="J4811">
            <v>102</v>
          </cell>
          <cell r="N4811" t="e">
            <v>#DIV/0!</v>
          </cell>
        </row>
        <row r="4812">
          <cell r="E4812" t="str">
            <v>HGC-Lib-2456522</v>
          </cell>
          <cell r="F4812" t="str">
            <v>LD240705O-2633A</v>
          </cell>
          <cell r="G4812">
            <v>6</v>
          </cell>
          <cell r="H4812" t="str">
            <v>DNA宏基因组文库</v>
          </cell>
          <cell r="I4812" t="str">
            <v>YHT</v>
          </cell>
          <cell r="J4812">
            <v>114</v>
          </cell>
          <cell r="N4812" t="e">
            <v>#DIV/0!</v>
          </cell>
        </row>
        <row r="4813">
          <cell r="E4813" t="str">
            <v>HGC-Lib-2456523</v>
          </cell>
          <cell r="F4813" t="str">
            <v>LD240705O-2634A</v>
          </cell>
          <cell r="G4813">
            <v>6</v>
          </cell>
          <cell r="H4813" t="str">
            <v>DNA宏基因组文库</v>
          </cell>
          <cell r="I4813" t="str">
            <v>YHT</v>
          </cell>
          <cell r="J4813">
            <v>70.8</v>
          </cell>
          <cell r="N4813" t="e">
            <v>#DIV/0!</v>
          </cell>
        </row>
        <row r="4814">
          <cell r="E4814" t="str">
            <v>HGC-Lib-2456524</v>
          </cell>
          <cell r="F4814" t="str">
            <v>LD240705O-2635A</v>
          </cell>
          <cell r="G4814">
            <v>6</v>
          </cell>
          <cell r="H4814" t="str">
            <v>DNA宏基因组文库</v>
          </cell>
          <cell r="I4814" t="str">
            <v>YHT</v>
          </cell>
          <cell r="J4814">
            <v>118</v>
          </cell>
          <cell r="N4814" t="e">
            <v>#DIV/0!</v>
          </cell>
        </row>
        <row r="4815">
          <cell r="E4815" t="str">
            <v>HGC-Lib-2456525</v>
          </cell>
          <cell r="F4815" t="str">
            <v>LD240705O-2636A</v>
          </cell>
          <cell r="G4815">
            <v>6</v>
          </cell>
          <cell r="H4815" t="str">
            <v>DNA宏基因组文库</v>
          </cell>
          <cell r="I4815" t="str">
            <v>YHT</v>
          </cell>
          <cell r="J4815">
            <v>89.8</v>
          </cell>
          <cell r="N4815" t="e">
            <v>#DIV/0!</v>
          </cell>
        </row>
        <row r="4816">
          <cell r="E4816" t="str">
            <v>HGC-Lib-2456526</v>
          </cell>
          <cell r="F4816" t="str">
            <v>LD240705O-2637A</v>
          </cell>
          <cell r="G4816">
            <v>6</v>
          </cell>
          <cell r="H4816" t="str">
            <v>DNA宏基因组文库</v>
          </cell>
          <cell r="I4816" t="str">
            <v>YHT</v>
          </cell>
          <cell r="J4816">
            <v>106</v>
          </cell>
          <cell r="N4816" t="e">
            <v>#DIV/0!</v>
          </cell>
        </row>
        <row r="4817">
          <cell r="E4817" t="str">
            <v>HGC-Lib-2456527</v>
          </cell>
          <cell r="F4817" t="str">
            <v>LD240705O-2638A</v>
          </cell>
          <cell r="G4817">
            <v>6</v>
          </cell>
          <cell r="H4817" t="str">
            <v>DNA宏基因组文库</v>
          </cell>
          <cell r="I4817" t="str">
            <v>YHT</v>
          </cell>
          <cell r="J4817">
            <v>33.200000000000003</v>
          </cell>
          <cell r="N4817" t="e">
            <v>#DIV/0!</v>
          </cell>
        </row>
        <row r="4818">
          <cell r="E4818" t="str">
            <v>HGC-Lib-2456528</v>
          </cell>
          <cell r="F4818" t="str">
            <v>LD240705O-2639A</v>
          </cell>
          <cell r="G4818">
            <v>6</v>
          </cell>
          <cell r="H4818" t="str">
            <v>DNA宏基因组文库</v>
          </cell>
          <cell r="I4818" t="str">
            <v>YHT</v>
          </cell>
          <cell r="J4818">
            <v>112</v>
          </cell>
          <cell r="N4818" t="e">
            <v>#DIV/0!</v>
          </cell>
        </row>
        <row r="4819">
          <cell r="E4819" t="str">
            <v>HGC-Lib-2456529</v>
          </cell>
          <cell r="F4819" t="str">
            <v>LD240705O-2640A</v>
          </cell>
          <cell r="G4819">
            <v>6</v>
          </cell>
          <cell r="H4819" t="str">
            <v>DNA宏基因组文库</v>
          </cell>
          <cell r="I4819" t="str">
            <v>YHT</v>
          </cell>
          <cell r="J4819">
            <v>70.400000000000006</v>
          </cell>
          <cell r="N4819" t="e">
            <v>#DIV/0!</v>
          </cell>
        </row>
        <row r="4820">
          <cell r="E4820" t="str">
            <v>HGC-Lib-2456530</v>
          </cell>
          <cell r="F4820" t="str">
            <v>LD240705O-2641A</v>
          </cell>
          <cell r="G4820">
            <v>6</v>
          </cell>
          <cell r="H4820" t="str">
            <v>DNA宏基因组文库</v>
          </cell>
          <cell r="I4820" t="str">
            <v>YHT</v>
          </cell>
          <cell r="J4820">
            <v>56</v>
          </cell>
          <cell r="N4820" t="e">
            <v>#DIV/0!</v>
          </cell>
        </row>
        <row r="4821">
          <cell r="E4821" t="str">
            <v>HGC-Lib-2456531</v>
          </cell>
          <cell r="F4821" t="str">
            <v>LD240705O-2642A</v>
          </cell>
          <cell r="G4821">
            <v>6</v>
          </cell>
          <cell r="H4821" t="str">
            <v>DNA宏基因组文库</v>
          </cell>
          <cell r="I4821" t="str">
            <v>YHT</v>
          </cell>
          <cell r="J4821">
            <v>78.2</v>
          </cell>
          <cell r="N4821" t="e">
            <v>#DIV/0!</v>
          </cell>
        </row>
        <row r="4822">
          <cell r="E4822" t="str">
            <v>HGC-Lib-2456532</v>
          </cell>
          <cell r="F4822" t="str">
            <v>LD240705O-2643A</v>
          </cell>
          <cell r="G4822">
            <v>6</v>
          </cell>
          <cell r="H4822" t="str">
            <v>DNA宏基因组文库</v>
          </cell>
          <cell r="I4822" t="str">
            <v>YHT</v>
          </cell>
          <cell r="J4822">
            <v>114</v>
          </cell>
          <cell r="N4822" t="e">
            <v>#DIV/0!</v>
          </cell>
        </row>
        <row r="4823">
          <cell r="E4823" t="str">
            <v>HGC-Lib-2456533</v>
          </cell>
          <cell r="F4823" t="str">
            <v>LD240705O-2644A</v>
          </cell>
          <cell r="G4823">
            <v>6</v>
          </cell>
          <cell r="H4823" t="str">
            <v>DNA宏基因组文库</v>
          </cell>
          <cell r="I4823" t="str">
            <v>YHT</v>
          </cell>
          <cell r="J4823">
            <v>44.8</v>
          </cell>
          <cell r="N4823" t="e">
            <v>#DIV/0!</v>
          </cell>
        </row>
        <row r="4824">
          <cell r="E4824" t="str">
            <v>HGC-Lib-2456534</v>
          </cell>
          <cell r="F4824" t="str">
            <v>LD240705O-2645A</v>
          </cell>
          <cell r="G4824">
            <v>6</v>
          </cell>
          <cell r="H4824" t="str">
            <v>DNA宏基因组文库</v>
          </cell>
          <cell r="I4824" t="str">
            <v>YHT</v>
          </cell>
          <cell r="J4824">
            <v>38.799999999999997</v>
          </cell>
          <cell r="N4824" t="e">
            <v>#DIV/0!</v>
          </cell>
        </row>
        <row r="4825">
          <cell r="E4825" t="str">
            <v>HGC-Lib-2456535</v>
          </cell>
          <cell r="F4825" t="str">
            <v>LD240705O-2646A</v>
          </cell>
          <cell r="G4825">
            <v>6</v>
          </cell>
          <cell r="H4825" t="str">
            <v>DNA宏基因组文库</v>
          </cell>
          <cell r="I4825" t="str">
            <v>YHT</v>
          </cell>
          <cell r="J4825">
            <v>95.6</v>
          </cell>
          <cell r="N4825" t="e">
            <v>#DIV/0!</v>
          </cell>
        </row>
        <row r="4826">
          <cell r="E4826" t="str">
            <v>HGC-Lib-2456536</v>
          </cell>
          <cell r="F4826" t="str">
            <v>LD240705O-2647A</v>
          </cell>
          <cell r="G4826">
            <v>6</v>
          </cell>
          <cell r="H4826" t="str">
            <v>DNA宏基因组文库</v>
          </cell>
          <cell r="I4826" t="str">
            <v>YHT</v>
          </cell>
          <cell r="J4826">
            <v>94.8</v>
          </cell>
          <cell r="N4826" t="e">
            <v>#DIV/0!</v>
          </cell>
        </row>
        <row r="4827">
          <cell r="E4827" t="str">
            <v>HGC-Lib-2456537</v>
          </cell>
          <cell r="F4827" t="str">
            <v>LD240705O-2648A</v>
          </cell>
          <cell r="G4827">
            <v>6</v>
          </cell>
          <cell r="H4827" t="str">
            <v>DNA宏基因组文库</v>
          </cell>
          <cell r="I4827" t="str">
            <v>YHT</v>
          </cell>
          <cell r="J4827">
            <v>51.2</v>
          </cell>
          <cell r="N4827" t="e">
            <v>#DIV/0!</v>
          </cell>
        </row>
        <row r="4828">
          <cell r="E4828" t="str">
            <v>HGC-Lib-2456538</v>
          </cell>
          <cell r="F4828" t="str">
            <v>LD240705O-2649A</v>
          </cell>
          <cell r="G4828">
            <v>6</v>
          </cell>
          <cell r="H4828" t="str">
            <v>DNA宏基因组文库</v>
          </cell>
          <cell r="I4828" t="str">
            <v>YHT</v>
          </cell>
          <cell r="J4828">
            <v>85.4</v>
          </cell>
          <cell r="N4828" t="e">
            <v>#DIV/0!</v>
          </cell>
        </row>
        <row r="4829">
          <cell r="E4829" t="str">
            <v>HGC-Lib-2456539</v>
          </cell>
          <cell r="F4829" t="str">
            <v>LD240705O-2650A</v>
          </cell>
          <cell r="G4829">
            <v>6</v>
          </cell>
          <cell r="H4829" t="str">
            <v>DNA宏基因组文库</v>
          </cell>
          <cell r="I4829" t="str">
            <v>YHT</v>
          </cell>
          <cell r="J4829">
            <v>49.2</v>
          </cell>
          <cell r="N4829" t="e">
            <v>#DIV/0!</v>
          </cell>
        </row>
        <row r="4830">
          <cell r="E4830" t="str">
            <v>HGC-Lib-2456540</v>
          </cell>
          <cell r="F4830" t="str">
            <v>LD240705O-2651A</v>
          </cell>
          <cell r="G4830">
            <v>6</v>
          </cell>
          <cell r="H4830" t="str">
            <v>DNA宏基因组文库</v>
          </cell>
          <cell r="I4830" t="str">
            <v>YHT</v>
          </cell>
          <cell r="J4830">
            <v>45.2</v>
          </cell>
          <cell r="N4830" t="e">
            <v>#DIV/0!</v>
          </cell>
        </row>
        <row r="4831">
          <cell r="E4831" t="str">
            <v>HGC-Lib-2456541</v>
          </cell>
          <cell r="F4831" t="str">
            <v>LD240705O-2652A</v>
          </cell>
          <cell r="G4831">
            <v>6</v>
          </cell>
          <cell r="H4831" t="str">
            <v>DNA宏基因组文库</v>
          </cell>
          <cell r="I4831" t="str">
            <v>YHT</v>
          </cell>
          <cell r="J4831">
            <v>32.6</v>
          </cell>
          <cell r="N4831" t="e">
            <v>#DIV/0!</v>
          </cell>
        </row>
        <row r="4832">
          <cell r="E4832" t="str">
            <v>HGC-Lib-2456542</v>
          </cell>
          <cell r="F4832" t="str">
            <v>LD240705O-2653A</v>
          </cell>
          <cell r="G4832">
            <v>6</v>
          </cell>
          <cell r="H4832" t="str">
            <v>DNA宏基因组文库</v>
          </cell>
          <cell r="I4832" t="str">
            <v>YHT</v>
          </cell>
          <cell r="J4832">
            <v>43.8</v>
          </cell>
          <cell r="N4832" t="e">
            <v>#DIV/0!</v>
          </cell>
        </row>
        <row r="4833">
          <cell r="E4833" t="str">
            <v>HGC-Lib-2456543</v>
          </cell>
          <cell r="F4833" t="str">
            <v>LD240705O-2654A</v>
          </cell>
          <cell r="G4833">
            <v>6</v>
          </cell>
          <cell r="H4833" t="str">
            <v>DNA宏基因组文库</v>
          </cell>
          <cell r="I4833" t="str">
            <v>YHT</v>
          </cell>
          <cell r="J4833">
            <v>39.4</v>
          </cell>
          <cell r="N4833" t="e">
            <v>#DIV/0!</v>
          </cell>
        </row>
        <row r="4834">
          <cell r="E4834" t="str">
            <v>HGC-Lib-2456544</v>
          </cell>
          <cell r="F4834" t="str">
            <v>LD240705O-2655A</v>
          </cell>
          <cell r="G4834">
            <v>6</v>
          </cell>
          <cell r="H4834" t="str">
            <v>DNA宏基因组文库</v>
          </cell>
          <cell r="I4834" t="str">
            <v>YHT</v>
          </cell>
          <cell r="J4834">
            <v>44.8</v>
          </cell>
          <cell r="N4834" t="e">
            <v>#DIV/0!</v>
          </cell>
        </row>
        <row r="4835">
          <cell r="E4835" t="str">
            <v>HGC-Lib-2456545</v>
          </cell>
          <cell r="F4835" t="str">
            <v>LD240705O-2656A</v>
          </cell>
          <cell r="G4835">
            <v>6</v>
          </cell>
          <cell r="H4835" t="str">
            <v>DNA宏基因组文库</v>
          </cell>
          <cell r="I4835" t="str">
            <v>YHT</v>
          </cell>
          <cell r="J4835">
            <v>72</v>
          </cell>
          <cell r="N4835" t="e">
            <v>#DIV/0!</v>
          </cell>
        </row>
        <row r="4836">
          <cell r="E4836" t="str">
            <v>HGC-Lib-2456546</v>
          </cell>
          <cell r="F4836" t="str">
            <v>LD240705O-2657A</v>
          </cell>
          <cell r="G4836">
            <v>6</v>
          </cell>
          <cell r="H4836" t="str">
            <v>DNA宏基因组文库</v>
          </cell>
          <cell r="I4836" t="str">
            <v>YHT</v>
          </cell>
          <cell r="J4836">
            <v>39.6</v>
          </cell>
          <cell r="N4836" t="e">
            <v>#DIV/0!</v>
          </cell>
        </row>
        <row r="4837">
          <cell r="E4837" t="str">
            <v>HGC-Lib-2456547</v>
          </cell>
          <cell r="F4837" t="str">
            <v>LD240705O-2658A</v>
          </cell>
          <cell r="G4837">
            <v>6</v>
          </cell>
          <cell r="H4837" t="str">
            <v>DNA宏基因组文库</v>
          </cell>
          <cell r="I4837" t="str">
            <v>GZQ</v>
          </cell>
          <cell r="J4837">
            <v>70.8</v>
          </cell>
          <cell r="N4837" t="e">
            <v>#DIV/0!</v>
          </cell>
        </row>
        <row r="4838">
          <cell r="E4838" t="str">
            <v>HGC-Lib-2456548</v>
          </cell>
          <cell r="F4838" t="str">
            <v>LD240705O-2659A</v>
          </cell>
          <cell r="G4838">
            <v>6</v>
          </cell>
          <cell r="H4838" t="str">
            <v>DNA宏基因组文库</v>
          </cell>
          <cell r="I4838" t="str">
            <v>GZQ</v>
          </cell>
          <cell r="J4838">
            <v>69</v>
          </cell>
          <cell r="N4838" t="e">
            <v>#DIV/0!</v>
          </cell>
        </row>
        <row r="4839">
          <cell r="E4839" t="str">
            <v>HGC-Lib-2456549</v>
          </cell>
          <cell r="F4839" t="str">
            <v>LD240705O-2660A</v>
          </cell>
          <cell r="G4839">
            <v>6</v>
          </cell>
          <cell r="H4839" t="str">
            <v>DNA宏基因组文库</v>
          </cell>
          <cell r="I4839" t="str">
            <v>GZQ</v>
          </cell>
          <cell r="J4839">
            <v>76</v>
          </cell>
          <cell r="N4839" t="e">
            <v>#DIV/0!</v>
          </cell>
        </row>
        <row r="4840">
          <cell r="E4840" t="str">
            <v>HGC-Lib-2456550</v>
          </cell>
          <cell r="F4840" t="str">
            <v>LD240705O-2661A</v>
          </cell>
          <cell r="G4840">
            <v>6</v>
          </cell>
          <cell r="H4840" t="str">
            <v>DNA宏基因组文库</v>
          </cell>
          <cell r="I4840" t="str">
            <v>GZQ</v>
          </cell>
          <cell r="J4840">
            <v>108</v>
          </cell>
          <cell r="N4840" t="e">
            <v>#DIV/0!</v>
          </cell>
        </row>
        <row r="4841">
          <cell r="E4841" t="str">
            <v>HGC-Lib-2456551</v>
          </cell>
          <cell r="F4841" t="str">
            <v>LD240705O-2662A</v>
          </cell>
          <cell r="G4841">
            <v>6</v>
          </cell>
          <cell r="H4841" t="str">
            <v>DNA宏基因组文库</v>
          </cell>
          <cell r="I4841" t="str">
            <v>GZQ</v>
          </cell>
          <cell r="J4841">
            <v>104</v>
          </cell>
          <cell r="N4841" t="e">
            <v>#DIV/0!</v>
          </cell>
        </row>
        <row r="4842">
          <cell r="E4842" t="str">
            <v>HGC-Lib-2456552</v>
          </cell>
          <cell r="F4842" t="str">
            <v>LD240705O-2663A</v>
          </cell>
          <cell r="G4842">
            <v>6</v>
          </cell>
          <cell r="H4842" t="str">
            <v>DNA宏基因组文库</v>
          </cell>
          <cell r="I4842" t="str">
            <v>GZQ</v>
          </cell>
          <cell r="J4842">
            <v>62</v>
          </cell>
          <cell r="N4842" t="e">
            <v>#DIV/0!</v>
          </cell>
        </row>
        <row r="4843">
          <cell r="E4843" t="str">
            <v>HGC-Lib-2456553</v>
          </cell>
          <cell r="F4843" t="str">
            <v>LD240705O-2664A</v>
          </cell>
          <cell r="G4843">
            <v>6</v>
          </cell>
          <cell r="H4843" t="str">
            <v>DNA宏基因组文库</v>
          </cell>
          <cell r="I4843" t="str">
            <v>GZQ</v>
          </cell>
          <cell r="J4843">
            <v>108</v>
          </cell>
          <cell r="N4843" t="e">
            <v>#DIV/0!</v>
          </cell>
        </row>
        <row r="4844">
          <cell r="E4844" t="str">
            <v>HGC-Lib-2456554</v>
          </cell>
          <cell r="F4844" t="str">
            <v>LD240705O-2665A</v>
          </cell>
          <cell r="G4844">
            <v>6</v>
          </cell>
          <cell r="H4844" t="str">
            <v>DNA宏基因组文库</v>
          </cell>
          <cell r="I4844" t="str">
            <v>GZQ</v>
          </cell>
          <cell r="J4844">
            <v>106</v>
          </cell>
          <cell r="N4844" t="e">
            <v>#DIV/0!</v>
          </cell>
        </row>
        <row r="4845">
          <cell r="E4845" t="str">
            <v>HGC-Lib-2456555</v>
          </cell>
          <cell r="F4845" t="str">
            <v>LD240705O-2666A</v>
          </cell>
          <cell r="G4845">
            <v>6</v>
          </cell>
          <cell r="H4845" t="str">
            <v>DNA宏基因组文库</v>
          </cell>
          <cell r="I4845" t="str">
            <v>GZQ</v>
          </cell>
          <cell r="J4845">
            <v>46.8</v>
          </cell>
          <cell r="N4845" t="e">
            <v>#DIV/0!</v>
          </cell>
        </row>
        <row r="4846">
          <cell r="E4846" t="str">
            <v>HGC-Lib-2456556</v>
          </cell>
          <cell r="F4846" t="str">
            <v>LD240705O-2667A</v>
          </cell>
          <cell r="G4846">
            <v>6</v>
          </cell>
          <cell r="H4846" t="str">
            <v>DNA宏基因组文库</v>
          </cell>
          <cell r="I4846" t="str">
            <v>GZQ</v>
          </cell>
          <cell r="J4846">
            <v>71.400000000000006</v>
          </cell>
          <cell r="N4846" t="e">
            <v>#DIV/0!</v>
          </cell>
        </row>
        <row r="4847">
          <cell r="E4847" t="str">
            <v>HGC-Lib-2456557</v>
          </cell>
          <cell r="F4847" t="str">
            <v>LD240705O-2668A</v>
          </cell>
          <cell r="G4847">
            <v>6</v>
          </cell>
          <cell r="H4847" t="str">
            <v>DNA宏基因组文库</v>
          </cell>
          <cell r="I4847" t="str">
            <v>GZQ</v>
          </cell>
          <cell r="J4847">
            <v>42.2</v>
          </cell>
          <cell r="N4847" t="e">
            <v>#DIV/0!</v>
          </cell>
        </row>
        <row r="4848">
          <cell r="E4848" t="str">
            <v>HGC-Lib-2456558</v>
          </cell>
          <cell r="F4848" t="str">
            <v>LD240705O-2669A</v>
          </cell>
          <cell r="G4848">
            <v>6</v>
          </cell>
          <cell r="H4848" t="str">
            <v>DNA宏基因组文库</v>
          </cell>
          <cell r="I4848" t="str">
            <v>GZQ</v>
          </cell>
          <cell r="J4848">
            <v>87.8</v>
          </cell>
          <cell r="N4848" t="e">
            <v>#DIV/0!</v>
          </cell>
        </row>
        <row r="4849">
          <cell r="E4849" t="str">
            <v>HGC-Lib-2456559</v>
          </cell>
          <cell r="F4849" t="str">
            <v>LD240705O-2670A</v>
          </cell>
          <cell r="G4849">
            <v>6</v>
          </cell>
          <cell r="H4849" t="str">
            <v>DNA宏基因组文库</v>
          </cell>
          <cell r="I4849" t="str">
            <v>GZQ</v>
          </cell>
          <cell r="J4849">
            <v>75</v>
          </cell>
          <cell r="N4849" t="e">
            <v>#DIV/0!</v>
          </cell>
        </row>
        <row r="4850">
          <cell r="E4850" t="str">
            <v>HGC-Lib-2456560</v>
          </cell>
          <cell r="F4850" t="str">
            <v>LD240705O-2671A</v>
          </cell>
          <cell r="G4850">
            <v>6</v>
          </cell>
          <cell r="H4850" t="str">
            <v>DNA宏基因组文库</v>
          </cell>
          <cell r="I4850" t="str">
            <v>GZQ</v>
          </cell>
          <cell r="J4850">
            <v>98.4</v>
          </cell>
          <cell r="N4850" t="e">
            <v>#DIV/0!</v>
          </cell>
        </row>
        <row r="4851">
          <cell r="E4851" t="str">
            <v>HGC-Lib-2456561</v>
          </cell>
          <cell r="F4851" t="str">
            <v>LD240705O-2672A</v>
          </cell>
          <cell r="G4851">
            <v>6</v>
          </cell>
          <cell r="H4851" t="str">
            <v>DNA宏基因组文库</v>
          </cell>
          <cell r="I4851" t="str">
            <v>GZQ</v>
          </cell>
          <cell r="J4851">
            <v>96.2</v>
          </cell>
          <cell r="N4851" t="e">
            <v>#DIV/0!</v>
          </cell>
        </row>
        <row r="4852">
          <cell r="E4852" t="str">
            <v>HGC-Lib-2456562</v>
          </cell>
          <cell r="F4852" t="str">
            <v>LD240705O-2673A</v>
          </cell>
          <cell r="G4852">
            <v>6</v>
          </cell>
          <cell r="H4852" t="str">
            <v>DNA宏基因组文库</v>
          </cell>
          <cell r="I4852" t="str">
            <v>GZQ</v>
          </cell>
          <cell r="J4852">
            <v>89</v>
          </cell>
          <cell r="N4852" t="e">
            <v>#DIV/0!</v>
          </cell>
        </row>
        <row r="4853">
          <cell r="E4853" t="str">
            <v>HGC-Lib-2456563</v>
          </cell>
          <cell r="F4853" t="str">
            <v>LD240705O-2674A</v>
          </cell>
          <cell r="G4853">
            <v>6</v>
          </cell>
          <cell r="H4853" t="str">
            <v>DNA宏基因组文库</v>
          </cell>
          <cell r="I4853" t="str">
            <v>GZQ</v>
          </cell>
          <cell r="J4853">
            <v>54.8</v>
          </cell>
          <cell r="N4853" t="e">
            <v>#DIV/0!</v>
          </cell>
        </row>
        <row r="4854">
          <cell r="E4854" t="str">
            <v>HGC-Lib-2456564</v>
          </cell>
          <cell r="F4854" t="str">
            <v>LD240705O-2675A</v>
          </cell>
          <cell r="G4854">
            <v>6</v>
          </cell>
          <cell r="H4854" t="str">
            <v>DNA宏基因组文库</v>
          </cell>
          <cell r="I4854" t="str">
            <v>GZQ</v>
          </cell>
          <cell r="J4854">
            <v>62</v>
          </cell>
          <cell r="N4854" t="e">
            <v>#DIV/0!</v>
          </cell>
        </row>
        <row r="4855">
          <cell r="E4855" t="str">
            <v>HGC-Lib-2456565</v>
          </cell>
          <cell r="F4855" t="str">
            <v>LD240705O-2676A</v>
          </cell>
          <cell r="G4855">
            <v>6</v>
          </cell>
          <cell r="H4855" t="str">
            <v>DNA宏基因组文库</v>
          </cell>
          <cell r="I4855" t="str">
            <v>GZQ</v>
          </cell>
          <cell r="J4855">
            <v>50.2</v>
          </cell>
          <cell r="N4855" t="e">
            <v>#DIV/0!</v>
          </cell>
        </row>
        <row r="4856">
          <cell r="E4856" t="str">
            <v>HGC-Lib-2456566</v>
          </cell>
          <cell r="F4856" t="str">
            <v>LD240705O-2677A</v>
          </cell>
          <cell r="G4856">
            <v>6</v>
          </cell>
          <cell r="H4856" t="str">
            <v>DNA宏基因组文库</v>
          </cell>
          <cell r="I4856" t="str">
            <v>GZQ</v>
          </cell>
          <cell r="J4856">
            <v>54.4</v>
          </cell>
          <cell r="N4856" t="e">
            <v>#DIV/0!</v>
          </cell>
        </row>
        <row r="4857">
          <cell r="E4857" t="str">
            <v>HGC-Lib-2456567</v>
          </cell>
          <cell r="F4857" t="str">
            <v>LD240705O-2678A</v>
          </cell>
          <cell r="G4857">
            <v>6</v>
          </cell>
          <cell r="H4857" t="str">
            <v>DNA宏基因组文库</v>
          </cell>
          <cell r="I4857" t="str">
            <v>GZQ</v>
          </cell>
          <cell r="J4857">
            <v>27.6</v>
          </cell>
          <cell r="N4857" t="e">
            <v>#DIV/0!</v>
          </cell>
        </row>
        <row r="4858">
          <cell r="E4858" t="str">
            <v>HGC-Lib-2456568</v>
          </cell>
          <cell r="F4858" t="str">
            <v>LD240708D-0285A</v>
          </cell>
          <cell r="G4858">
            <v>2</v>
          </cell>
          <cell r="H4858" t="str">
            <v>DNA基因组文库</v>
          </cell>
          <cell r="I4858" t="str">
            <v>GZQ</v>
          </cell>
          <cell r="J4858">
            <v>43.8</v>
          </cell>
          <cell r="N4858" t="e">
            <v>#DIV/0!</v>
          </cell>
        </row>
        <row r="4859">
          <cell r="E4859" t="str">
            <v>HGC-Lib-2456569</v>
          </cell>
          <cell r="F4859" t="str">
            <v>LD240708D-0286A</v>
          </cell>
          <cell r="G4859">
            <v>2</v>
          </cell>
          <cell r="H4859" t="str">
            <v>DNA基因组文库</v>
          </cell>
          <cell r="I4859" t="str">
            <v>GZQ</v>
          </cell>
          <cell r="J4859">
            <v>68.400000000000006</v>
          </cell>
          <cell r="N4859" t="e">
            <v>#DIV/0!</v>
          </cell>
        </row>
        <row r="4860">
          <cell r="E4860" t="str">
            <v>HGC-Lib-2456570</v>
          </cell>
          <cell r="F4860" t="str">
            <v>LD240708D-0287A</v>
          </cell>
          <cell r="G4860">
            <v>2</v>
          </cell>
          <cell r="H4860" t="str">
            <v>DNA基因组文库</v>
          </cell>
          <cell r="I4860" t="str">
            <v>GZQ</v>
          </cell>
          <cell r="J4860">
            <v>65.2</v>
          </cell>
          <cell r="N4860" t="e">
            <v>#DIV/0!</v>
          </cell>
        </row>
        <row r="4861">
          <cell r="E4861" t="str">
            <v>HGC-Lib-2456571</v>
          </cell>
          <cell r="F4861" t="str">
            <v>LD240708D-0288A</v>
          </cell>
          <cell r="G4861">
            <v>2</v>
          </cell>
          <cell r="H4861" t="str">
            <v>DNA基因组文库</v>
          </cell>
          <cell r="I4861" t="str">
            <v>GZQ</v>
          </cell>
          <cell r="J4861">
            <v>68</v>
          </cell>
          <cell r="N4861" t="e">
            <v>#DIV/0!</v>
          </cell>
        </row>
        <row r="4862">
          <cell r="E4862" t="str">
            <v>HGC-Lib-2456572</v>
          </cell>
          <cell r="F4862" t="str">
            <v>LD240708D-0289A</v>
          </cell>
          <cell r="G4862">
            <v>2</v>
          </cell>
          <cell r="H4862" t="str">
            <v>DNA基因组文库</v>
          </cell>
          <cell r="I4862" t="str">
            <v>GZQ</v>
          </cell>
          <cell r="J4862">
            <v>48</v>
          </cell>
          <cell r="N4862" t="e">
            <v>#DIV/0!</v>
          </cell>
        </row>
        <row r="4863">
          <cell r="E4863" t="str">
            <v>HGC-Lib-2456573</v>
          </cell>
          <cell r="F4863" t="str">
            <v>LD240708D-0290A</v>
          </cell>
          <cell r="G4863">
            <v>2</v>
          </cell>
          <cell r="H4863" t="str">
            <v>DNA基因组文库</v>
          </cell>
          <cell r="I4863" t="str">
            <v>GZQ</v>
          </cell>
          <cell r="J4863">
            <v>55</v>
          </cell>
          <cell r="N4863" t="e">
            <v>#DIV/0!</v>
          </cell>
        </row>
        <row r="4864">
          <cell r="E4864" t="str">
            <v>HGC-Lib-2456574</v>
          </cell>
          <cell r="F4864" t="str">
            <v>LD240708D-0291A</v>
          </cell>
          <cell r="G4864">
            <v>2</v>
          </cell>
          <cell r="H4864" t="str">
            <v>DNA基因组文库</v>
          </cell>
          <cell r="I4864" t="str">
            <v>GZQ</v>
          </cell>
          <cell r="J4864">
            <v>55.6</v>
          </cell>
          <cell r="N4864" t="e">
            <v>#DIV/0!</v>
          </cell>
        </row>
        <row r="4865">
          <cell r="E4865" t="str">
            <v>HGC-Lib-2456575</v>
          </cell>
          <cell r="F4865" t="str">
            <v>LD240708D-0292A</v>
          </cell>
          <cell r="G4865">
            <v>2</v>
          </cell>
          <cell r="H4865" t="str">
            <v>DNA基因组文库</v>
          </cell>
          <cell r="I4865" t="str">
            <v>GZQ</v>
          </cell>
          <cell r="J4865">
            <v>38.6</v>
          </cell>
          <cell r="N4865" t="e">
            <v>#DIV/0!</v>
          </cell>
        </row>
        <row r="4866">
          <cell r="E4866" t="str">
            <v>HGC-Lib-2456576</v>
          </cell>
          <cell r="F4866" t="str">
            <v>LD240708D-0293A</v>
          </cell>
          <cell r="G4866">
            <v>2</v>
          </cell>
          <cell r="H4866" t="str">
            <v>DNA基因组文库</v>
          </cell>
          <cell r="I4866" t="str">
            <v>GZQ</v>
          </cell>
          <cell r="J4866">
            <v>93.6</v>
          </cell>
          <cell r="N4866" t="e">
            <v>#DIV/0!</v>
          </cell>
        </row>
        <row r="4867">
          <cell r="E4867" t="str">
            <v>HGC-Lib-2456577</v>
          </cell>
          <cell r="F4867" t="str">
            <v>LD240708D-0294A</v>
          </cell>
          <cell r="G4867">
            <v>2</v>
          </cell>
          <cell r="H4867" t="str">
            <v>DNA基因组文库</v>
          </cell>
          <cell r="I4867" t="str">
            <v>GZQ</v>
          </cell>
          <cell r="J4867">
            <v>47</v>
          </cell>
          <cell r="N4867" t="e">
            <v>#DIV/0!</v>
          </cell>
        </row>
        <row r="4868">
          <cell r="E4868" t="str">
            <v>HGC-Lib-2456578</v>
          </cell>
          <cell r="F4868" t="str">
            <v>LD240708D-0295A</v>
          </cell>
          <cell r="G4868">
            <v>2</v>
          </cell>
          <cell r="H4868" t="str">
            <v>DNA基因组文库</v>
          </cell>
          <cell r="I4868" t="str">
            <v>GZQ</v>
          </cell>
          <cell r="J4868">
            <v>33.200000000000003</v>
          </cell>
          <cell r="N4868" t="e">
            <v>#DIV/0!</v>
          </cell>
        </row>
        <row r="4869">
          <cell r="E4869" t="str">
            <v>HGC-Lib-2456579</v>
          </cell>
          <cell r="F4869" t="str">
            <v>LD240708D-0296A</v>
          </cell>
          <cell r="G4869">
            <v>2</v>
          </cell>
          <cell r="H4869" t="str">
            <v>DNA基因组文库</v>
          </cell>
          <cell r="I4869" t="str">
            <v>GZQ</v>
          </cell>
          <cell r="J4869">
            <v>42.4</v>
          </cell>
          <cell r="N4869" t="e">
            <v>#DIV/0!</v>
          </cell>
        </row>
        <row r="4870">
          <cell r="E4870" t="str">
            <v>HGC-Lib-2456580</v>
          </cell>
          <cell r="F4870" t="str">
            <v>LD240708D-0297A</v>
          </cell>
          <cell r="G4870">
            <v>2</v>
          </cell>
          <cell r="H4870" t="str">
            <v>DNA基因组文库</v>
          </cell>
          <cell r="I4870" t="str">
            <v>GZQ</v>
          </cell>
          <cell r="J4870">
            <v>39.4</v>
          </cell>
          <cell r="N4870" t="e">
            <v>#DIV/0!</v>
          </cell>
        </row>
        <row r="4871">
          <cell r="E4871" t="str">
            <v>HGC-Lib-2456581</v>
          </cell>
          <cell r="F4871" t="str">
            <v>LD240708D-0298A</v>
          </cell>
          <cell r="G4871">
            <v>2</v>
          </cell>
          <cell r="H4871" t="str">
            <v>DNA基因组文库</v>
          </cell>
          <cell r="I4871" t="str">
            <v>GZQ</v>
          </cell>
          <cell r="J4871">
            <v>51</v>
          </cell>
          <cell r="N4871" t="e">
            <v>#DIV/0!</v>
          </cell>
        </row>
        <row r="4872">
          <cell r="E4872" t="str">
            <v>HGC-Lib-2456582</v>
          </cell>
          <cell r="F4872" t="str">
            <v>LD240708D-0299A</v>
          </cell>
          <cell r="G4872">
            <v>2</v>
          </cell>
          <cell r="H4872" t="str">
            <v>DNA基因组文库</v>
          </cell>
          <cell r="I4872" t="str">
            <v>GZQ</v>
          </cell>
          <cell r="J4872">
            <v>68</v>
          </cell>
          <cell r="N4872" t="e">
            <v>#DIV/0!</v>
          </cell>
        </row>
        <row r="4873">
          <cell r="E4873" t="str">
            <v>HGC-Lib-2456583</v>
          </cell>
          <cell r="F4873" t="str">
            <v>LD240708D-0300A</v>
          </cell>
          <cell r="G4873">
            <v>2</v>
          </cell>
          <cell r="H4873" t="str">
            <v>DNA基因组文库</v>
          </cell>
          <cell r="I4873" t="str">
            <v>GZQ</v>
          </cell>
          <cell r="J4873">
            <v>40</v>
          </cell>
          <cell r="N4873" t="e">
            <v>#DIV/0!</v>
          </cell>
        </row>
        <row r="4874">
          <cell r="E4874" t="str">
            <v>HGC-Lib-2456584</v>
          </cell>
          <cell r="F4874" t="str">
            <v>LD240708D-0301A</v>
          </cell>
          <cell r="G4874">
            <v>2</v>
          </cell>
          <cell r="H4874" t="str">
            <v>DNA基因组文库</v>
          </cell>
          <cell r="I4874" t="str">
            <v>GZQ</v>
          </cell>
          <cell r="J4874">
            <v>55.6</v>
          </cell>
          <cell r="N4874" t="e">
            <v>#DIV/0!</v>
          </cell>
        </row>
        <row r="4875">
          <cell r="E4875" t="str">
            <v>HGC-Lib-2456585</v>
          </cell>
          <cell r="F4875" t="str">
            <v>LD240708D-0302A</v>
          </cell>
          <cell r="G4875">
            <v>2</v>
          </cell>
          <cell r="H4875" t="str">
            <v>DNA基因组文库</v>
          </cell>
          <cell r="I4875" t="str">
            <v>GZQ</v>
          </cell>
          <cell r="J4875">
            <v>16.8</v>
          </cell>
          <cell r="N4875" t="e">
            <v>#DIV/0!</v>
          </cell>
        </row>
        <row r="4876">
          <cell r="E4876" t="str">
            <v>HGC-Lib-2456586</v>
          </cell>
          <cell r="F4876" t="str">
            <v>LD240708D-0303A</v>
          </cell>
          <cell r="G4876">
            <v>2</v>
          </cell>
          <cell r="H4876" t="str">
            <v>DNA基因组文库</v>
          </cell>
          <cell r="I4876" t="str">
            <v>GZQ</v>
          </cell>
          <cell r="J4876">
            <v>76.8</v>
          </cell>
          <cell r="N4876" t="e">
            <v>#DIV/0!</v>
          </cell>
        </row>
        <row r="4877">
          <cell r="E4877" t="str">
            <v>HGC-Lib-2456587</v>
          </cell>
          <cell r="F4877" t="str">
            <v>LD240708D-0304A</v>
          </cell>
          <cell r="G4877">
            <v>2</v>
          </cell>
          <cell r="H4877" t="str">
            <v>DNA基因组文库</v>
          </cell>
          <cell r="I4877" t="str">
            <v>GZQ</v>
          </cell>
          <cell r="J4877">
            <v>45.4</v>
          </cell>
          <cell r="N4877" t="e">
            <v>#DIV/0!</v>
          </cell>
        </row>
        <row r="4878">
          <cell r="E4878" t="str">
            <v>HGC-Lib-2456588</v>
          </cell>
          <cell r="F4878" t="str">
            <v>LD240708D-0305A</v>
          </cell>
          <cell r="G4878">
            <v>2</v>
          </cell>
          <cell r="H4878" t="str">
            <v>DNA基因组文库</v>
          </cell>
          <cell r="I4878" t="str">
            <v>GZQ</v>
          </cell>
          <cell r="J4878">
            <v>38.200000000000003</v>
          </cell>
          <cell r="N4878" t="e">
            <v>#DIV/0!</v>
          </cell>
        </row>
        <row r="4879">
          <cell r="E4879" t="str">
            <v>HGC-Lib-2456589</v>
          </cell>
          <cell r="F4879" t="str">
            <v>LD240708D-0306A</v>
          </cell>
          <cell r="G4879">
            <v>2</v>
          </cell>
          <cell r="H4879" t="str">
            <v>DNA基因组文库</v>
          </cell>
          <cell r="I4879" t="str">
            <v>GZQ</v>
          </cell>
          <cell r="J4879">
            <v>60.4</v>
          </cell>
          <cell r="N4879" t="e">
            <v>#DIV/0!</v>
          </cell>
        </row>
        <row r="4880">
          <cell r="E4880" t="str">
            <v>HGC-Lib-2456590</v>
          </cell>
          <cell r="F4880" t="str">
            <v>LD240708D-0307A</v>
          </cell>
          <cell r="G4880">
            <v>2</v>
          </cell>
          <cell r="H4880" t="str">
            <v>DNA基因组文库</v>
          </cell>
          <cell r="I4880" t="str">
            <v>GZQ</v>
          </cell>
          <cell r="J4880">
            <v>54.2</v>
          </cell>
          <cell r="N4880" t="e">
            <v>#DIV/0!</v>
          </cell>
        </row>
        <row r="4881">
          <cell r="E4881" t="str">
            <v>HGC-Lib-2456591</v>
          </cell>
          <cell r="F4881" t="str">
            <v>LD240708D-0308A</v>
          </cell>
          <cell r="G4881">
            <v>2</v>
          </cell>
          <cell r="H4881" t="str">
            <v>DNA基因组文库</v>
          </cell>
          <cell r="I4881" t="str">
            <v>GZQ</v>
          </cell>
          <cell r="J4881">
            <v>37.4</v>
          </cell>
          <cell r="N4881" t="e">
            <v>#DIV/0!</v>
          </cell>
        </row>
        <row r="4882">
          <cell r="E4882" t="str">
            <v>HGC-Lib-2456592</v>
          </cell>
          <cell r="F4882" t="str">
            <v>LR240703O-1694A</v>
          </cell>
          <cell r="G4882">
            <v>1</v>
          </cell>
          <cell r="H4882" t="str">
            <v>RNA病毒基因组文库</v>
          </cell>
          <cell r="I4882" t="str">
            <v>GZQ</v>
          </cell>
          <cell r="J4882">
            <v>21.2</v>
          </cell>
          <cell r="N4882" t="e">
            <v>#DIV/0!</v>
          </cell>
        </row>
        <row r="4883">
          <cell r="E4883" t="str">
            <v>HGC-Lib-2456593</v>
          </cell>
          <cell r="F4883" t="str">
            <v>LD240710D-0116A</v>
          </cell>
          <cell r="G4883">
            <v>20</v>
          </cell>
          <cell r="H4883" t="str">
            <v>DNA宏基因组文库</v>
          </cell>
          <cell r="I4883" t="str">
            <v>GZQ</v>
          </cell>
          <cell r="J4883">
            <v>35</v>
          </cell>
          <cell r="N4883" t="e">
            <v>#DIV/0!</v>
          </cell>
        </row>
        <row r="4884">
          <cell r="E4884" t="str">
            <v>HGC-Lib-2456594</v>
          </cell>
          <cell r="F4884" t="str">
            <v>LD240710D-0117A</v>
          </cell>
          <cell r="G4884">
            <v>20</v>
          </cell>
          <cell r="H4884" t="str">
            <v>DNA宏基因组文库</v>
          </cell>
          <cell r="I4884" t="str">
            <v>GZQ</v>
          </cell>
          <cell r="J4884">
            <v>75</v>
          </cell>
          <cell r="N4884" t="e">
            <v>#DIV/0!</v>
          </cell>
        </row>
        <row r="4885">
          <cell r="E4885" t="str">
            <v>HGC-Lib-2456595</v>
          </cell>
          <cell r="F4885" t="str">
            <v>LD240710D-0118A</v>
          </cell>
          <cell r="G4885">
            <v>20</v>
          </cell>
          <cell r="H4885" t="str">
            <v>DNA宏基因组文库</v>
          </cell>
          <cell r="I4885" t="str">
            <v>DY</v>
          </cell>
          <cell r="J4885">
            <v>82.4</v>
          </cell>
          <cell r="N4885" t="e">
            <v>#DIV/0!</v>
          </cell>
        </row>
        <row r="4886">
          <cell r="E4886" t="str">
            <v>HGC-Lib-2456596</v>
          </cell>
          <cell r="F4886" t="str">
            <v>LD240710D-0119A</v>
          </cell>
          <cell r="G4886">
            <v>20</v>
          </cell>
          <cell r="H4886" t="str">
            <v>DNA宏基因组文库</v>
          </cell>
          <cell r="I4886" t="str">
            <v>DY</v>
          </cell>
          <cell r="J4886">
            <v>82.4</v>
          </cell>
          <cell r="N4886" t="e">
            <v>#DIV/0!</v>
          </cell>
        </row>
        <row r="4887">
          <cell r="E4887" t="str">
            <v>HGC-Lib-2456597</v>
          </cell>
          <cell r="F4887" t="str">
            <v>LD240710D-0120A</v>
          </cell>
          <cell r="G4887">
            <v>20</v>
          </cell>
          <cell r="H4887" t="str">
            <v>DNA宏基因组文库</v>
          </cell>
          <cell r="I4887" t="str">
            <v>DY</v>
          </cell>
          <cell r="J4887">
            <v>79.400000000000006</v>
          </cell>
          <cell r="N4887" t="e">
            <v>#DIV/0!</v>
          </cell>
        </row>
        <row r="4888">
          <cell r="E4888" t="str">
            <v>HGC-POOL-2456598</v>
          </cell>
          <cell r="F4888" t="str">
            <v>10Jul_Pool</v>
          </cell>
          <cell r="G4888" t="str">
            <v>6G</v>
          </cell>
          <cell r="H4888" t="str">
            <v>10× 3' single cell</v>
          </cell>
          <cell r="I4888" t="str">
            <v>DY</v>
          </cell>
          <cell r="J4888">
            <v>5.72</v>
          </cell>
          <cell r="K4888">
            <v>567</v>
          </cell>
          <cell r="L4888" t="str">
            <v>WWH</v>
          </cell>
          <cell r="N4888">
            <v>15.520282186948901</v>
          </cell>
        </row>
        <row r="4889">
          <cell r="E4889" t="str">
            <v>HGC-Lib-2456611</v>
          </cell>
          <cell r="F4889" t="str">
            <v>正常组7号</v>
          </cell>
          <cell r="G4889">
            <v>6</v>
          </cell>
          <cell r="H4889" t="str">
            <v>mRNA文库</v>
          </cell>
          <cell r="I4889" t="str">
            <v>DY</v>
          </cell>
          <cell r="J4889">
            <v>12.2</v>
          </cell>
          <cell r="K4889">
            <v>443</v>
          </cell>
          <cell r="L4889" t="str">
            <v>WWH</v>
          </cell>
          <cell r="N4889">
            <v>42.368466747699301</v>
          </cell>
        </row>
        <row r="4890">
          <cell r="E4890" t="str">
            <v>HGC-Lib-2456612</v>
          </cell>
          <cell r="F4890" t="str">
            <v>正常组8-1号</v>
          </cell>
          <cell r="G4890">
            <v>6</v>
          </cell>
          <cell r="H4890" t="str">
            <v>mRNA文库</v>
          </cell>
          <cell r="I4890" t="str">
            <v>DY</v>
          </cell>
          <cell r="J4890">
            <v>2.48</v>
          </cell>
          <cell r="K4890">
            <v>439</v>
          </cell>
          <cell r="L4890" t="str">
            <v>WWH</v>
          </cell>
          <cell r="N4890">
            <v>8.6910811284387606</v>
          </cell>
        </row>
        <row r="4891">
          <cell r="E4891" t="str">
            <v>HGC-Lib-2456613</v>
          </cell>
          <cell r="F4891" t="str">
            <v>正常组8-2号</v>
          </cell>
          <cell r="G4891">
            <v>6</v>
          </cell>
          <cell r="H4891" t="str">
            <v>mRNA文库</v>
          </cell>
          <cell r="I4891" t="str">
            <v>DY</v>
          </cell>
          <cell r="J4891">
            <v>1.18</v>
          </cell>
          <cell r="K4891">
            <v>453</v>
          </cell>
          <cell r="L4891" t="str">
            <v>WWH</v>
          </cell>
          <cell r="N4891">
            <v>4.0074715571404296</v>
          </cell>
        </row>
        <row r="4892">
          <cell r="E4892" t="str">
            <v>HGC-Lib-2456614</v>
          </cell>
          <cell r="F4892" t="str">
            <v>231-1</v>
          </cell>
          <cell r="G4892">
            <v>6</v>
          </cell>
          <cell r="H4892" t="str">
            <v>mRNA文库</v>
          </cell>
          <cell r="I4892" t="str">
            <v>DY</v>
          </cell>
          <cell r="J4892">
            <v>18.899999999999999</v>
          </cell>
          <cell r="K4892">
            <v>450</v>
          </cell>
          <cell r="L4892" t="str">
            <v>WWH</v>
          </cell>
          <cell r="N4892">
            <v>64.615384615384599</v>
          </cell>
        </row>
        <row r="4893">
          <cell r="E4893" t="str">
            <v>HGC-Lib-2456615</v>
          </cell>
          <cell r="F4893" t="str">
            <v>蒋昊宇WGS</v>
          </cell>
          <cell r="G4893">
            <v>90</v>
          </cell>
          <cell r="H4893" t="str">
            <v>全基因组文库</v>
          </cell>
          <cell r="I4893" t="str">
            <v>DY</v>
          </cell>
          <cell r="J4893">
            <v>2.2799999999999998</v>
          </cell>
          <cell r="K4893">
            <v>489</v>
          </cell>
          <cell r="L4893" t="str">
            <v>WWH</v>
          </cell>
          <cell r="N4893">
            <v>7.1731949032562499</v>
          </cell>
        </row>
        <row r="4894">
          <cell r="E4894" t="str">
            <v>HGC-Lib-2456616</v>
          </cell>
          <cell r="F4894" t="str">
            <v>ST2</v>
          </cell>
          <cell r="G4894">
            <v>6</v>
          </cell>
          <cell r="H4894" t="str">
            <v>mRNA文库</v>
          </cell>
          <cell r="I4894" t="str">
            <v>DY</v>
          </cell>
          <cell r="J4894">
            <v>23.4</v>
          </cell>
          <cell r="K4894">
            <v>364</v>
          </cell>
          <cell r="L4894" t="str">
            <v>WWH</v>
          </cell>
          <cell r="N4894">
            <v>98.901098901098905</v>
          </cell>
        </row>
        <row r="4895">
          <cell r="E4895" t="str">
            <v>HGC-Lib-2456617</v>
          </cell>
          <cell r="F4895" t="str">
            <v>LT2</v>
          </cell>
          <cell r="G4895">
            <v>6</v>
          </cell>
          <cell r="H4895" t="str">
            <v>mRNA文库</v>
          </cell>
          <cell r="I4895" t="str">
            <v>DY</v>
          </cell>
          <cell r="J4895">
            <v>14.2</v>
          </cell>
          <cell r="K4895">
            <v>338</v>
          </cell>
          <cell r="L4895" t="str">
            <v>WWH</v>
          </cell>
          <cell r="N4895">
            <v>64.633591260810206</v>
          </cell>
        </row>
        <row r="4896">
          <cell r="E4896" t="str">
            <v>HGC-Lib-2456618</v>
          </cell>
          <cell r="F4896" t="str">
            <v>LMPP1</v>
          </cell>
          <cell r="G4896">
            <v>6</v>
          </cell>
          <cell r="H4896" t="str">
            <v>mRNA文库</v>
          </cell>
          <cell r="I4896" t="str">
            <v>DY</v>
          </cell>
          <cell r="J4896">
            <v>9.6999999999999993</v>
          </cell>
          <cell r="K4896">
            <v>402</v>
          </cell>
          <cell r="L4896" t="str">
            <v>WWH</v>
          </cell>
          <cell r="N4896">
            <v>37.122081898201301</v>
          </cell>
        </row>
        <row r="4897">
          <cell r="E4897" t="str">
            <v>HGC-Lib-2456619</v>
          </cell>
          <cell r="F4897" t="str">
            <v>LMPP3</v>
          </cell>
          <cell r="G4897">
            <v>6</v>
          </cell>
          <cell r="H4897" t="str">
            <v>mRNA文库</v>
          </cell>
          <cell r="I4897" t="str">
            <v>DY</v>
          </cell>
          <cell r="J4897">
            <v>1.31</v>
          </cell>
          <cell r="K4897">
            <v>417</v>
          </cell>
          <cell r="L4897" t="str">
            <v>WWH</v>
          </cell>
          <cell r="N4897">
            <v>4.8330566316177803</v>
          </cell>
        </row>
        <row r="4898">
          <cell r="E4898" t="str">
            <v>HGC-Lib-2456620</v>
          </cell>
          <cell r="F4898" t="str">
            <v>LMPP5</v>
          </cell>
          <cell r="G4898">
            <v>6</v>
          </cell>
          <cell r="H4898" t="str">
            <v>mRNA文库</v>
          </cell>
          <cell r="I4898" t="str">
            <v>DY</v>
          </cell>
          <cell r="J4898">
            <v>4.5</v>
          </cell>
          <cell r="K4898">
            <v>395</v>
          </cell>
          <cell r="L4898" t="str">
            <v>WWH</v>
          </cell>
          <cell r="N4898">
            <v>17.526777020447899</v>
          </cell>
        </row>
        <row r="4899">
          <cell r="E4899" t="str">
            <v>HGC-Lib-2456621</v>
          </cell>
          <cell r="F4899" t="str">
            <v>LMPP6</v>
          </cell>
          <cell r="G4899">
            <v>6</v>
          </cell>
          <cell r="H4899" t="str">
            <v>mRNA文库</v>
          </cell>
          <cell r="I4899" t="str">
            <v>DY</v>
          </cell>
          <cell r="J4899">
            <v>0.60199999999999998</v>
          </cell>
          <cell r="K4899">
            <v>764</v>
          </cell>
          <cell r="L4899" t="str">
            <v>WWH</v>
          </cell>
          <cell r="N4899">
            <v>1.2122432541280701</v>
          </cell>
        </row>
        <row r="4900">
          <cell r="E4900" t="str">
            <v>HGC-Lib-2456622</v>
          </cell>
          <cell r="F4900" t="str">
            <v>LMPP8</v>
          </cell>
          <cell r="G4900">
            <v>6</v>
          </cell>
          <cell r="H4900" t="str">
            <v>mRNA文库</v>
          </cell>
          <cell r="I4900" t="str">
            <v>DY</v>
          </cell>
          <cell r="J4900">
            <v>5.5</v>
          </cell>
          <cell r="K4900">
            <v>349</v>
          </cell>
          <cell r="L4900" t="str">
            <v>WWH</v>
          </cell>
          <cell r="N4900">
            <v>24.2450958783337</v>
          </cell>
        </row>
        <row r="4901">
          <cell r="E4901" t="str">
            <v>HGC-Lib-2456623</v>
          </cell>
          <cell r="F4901" t="str">
            <v>LMPP10</v>
          </cell>
          <cell r="G4901">
            <v>6</v>
          </cell>
          <cell r="H4901" t="str">
            <v>mRNA文库</v>
          </cell>
          <cell r="I4901" t="str">
            <v>DY</v>
          </cell>
          <cell r="J4901">
            <v>10.8</v>
          </cell>
          <cell r="K4901">
            <v>396</v>
          </cell>
          <cell r="L4901" t="str">
            <v>WWH</v>
          </cell>
          <cell r="N4901">
            <v>41.958041958042003</v>
          </cell>
        </row>
        <row r="4902">
          <cell r="E4902" t="str">
            <v>HGC-Lib-2456624</v>
          </cell>
          <cell r="F4902" t="str">
            <v>LMPP11</v>
          </cell>
          <cell r="G4902">
            <v>6</v>
          </cell>
          <cell r="H4902" t="str">
            <v>mRNA文库</v>
          </cell>
          <cell r="I4902" t="str">
            <v>DY</v>
          </cell>
          <cell r="J4902">
            <v>1</v>
          </cell>
          <cell r="K4902">
            <v>410</v>
          </cell>
          <cell r="L4902" t="str">
            <v>WWH</v>
          </cell>
          <cell r="N4902">
            <v>3.75234521575985</v>
          </cell>
        </row>
        <row r="4903">
          <cell r="E4903" t="str">
            <v>HGC-Lib-2456625</v>
          </cell>
          <cell r="F4903" t="str">
            <v>LMPP12</v>
          </cell>
          <cell r="G4903">
            <v>6</v>
          </cell>
          <cell r="H4903" t="str">
            <v>mRNA文库</v>
          </cell>
          <cell r="I4903" t="str">
            <v>DY</v>
          </cell>
          <cell r="J4903">
            <v>5.92</v>
          </cell>
          <cell r="K4903">
            <v>399</v>
          </cell>
          <cell r="L4903" t="str">
            <v>WWH</v>
          </cell>
          <cell r="N4903">
            <v>22.826296510506999</v>
          </cell>
        </row>
        <row r="4904">
          <cell r="E4904" t="str">
            <v>HGC-Lib-2456626</v>
          </cell>
          <cell r="F4904" t="str">
            <v>LMPP13</v>
          </cell>
          <cell r="G4904">
            <v>6</v>
          </cell>
          <cell r="H4904" t="str">
            <v>mRNA文库</v>
          </cell>
          <cell r="I4904" t="str">
            <v>DY</v>
          </cell>
          <cell r="J4904">
            <v>0.68400000000000005</v>
          </cell>
          <cell r="K4904">
            <v>653</v>
          </cell>
          <cell r="L4904" t="str">
            <v>WWH</v>
          </cell>
          <cell r="N4904">
            <v>1.6114972317116301</v>
          </cell>
        </row>
        <row r="4905">
          <cell r="E4905" t="str">
            <v>HGC-Lib-2456627</v>
          </cell>
          <cell r="F4905" t="str">
            <v>LMPP14</v>
          </cell>
          <cell r="G4905">
            <v>6</v>
          </cell>
          <cell r="H4905" t="str">
            <v>mRNA文库</v>
          </cell>
          <cell r="I4905" t="str">
            <v>DY</v>
          </cell>
          <cell r="J4905">
            <v>4.96</v>
          </cell>
          <cell r="K4905">
            <v>358</v>
          </cell>
          <cell r="L4905" t="str">
            <v>WWH</v>
          </cell>
          <cell r="N4905">
            <v>21.3149978513107</v>
          </cell>
        </row>
        <row r="4906">
          <cell r="E4906" t="str">
            <v>HGC-Lib-2456628</v>
          </cell>
          <cell r="F4906" t="str">
            <v>CLP1</v>
          </cell>
          <cell r="G4906">
            <v>6</v>
          </cell>
          <cell r="H4906" t="str">
            <v>mRNA文库</v>
          </cell>
          <cell r="I4906" t="str">
            <v>DY</v>
          </cell>
          <cell r="J4906">
            <v>2.08</v>
          </cell>
          <cell r="K4906">
            <v>525</v>
          </cell>
          <cell r="L4906" t="str">
            <v>WWH</v>
          </cell>
          <cell r="N4906">
            <v>6.0952380952381002</v>
          </cell>
        </row>
        <row r="4907">
          <cell r="E4907" t="str">
            <v>HGC-Lib-2456629</v>
          </cell>
          <cell r="F4907" t="str">
            <v>CLP3</v>
          </cell>
          <cell r="G4907">
            <v>6</v>
          </cell>
          <cell r="H4907" t="str">
            <v>mRNA文库</v>
          </cell>
          <cell r="I4907" t="str">
            <v>DY</v>
          </cell>
          <cell r="J4907">
            <v>3.02</v>
          </cell>
          <cell r="K4907">
            <v>327</v>
          </cell>
          <cell r="L4907" t="str">
            <v>WWH</v>
          </cell>
          <cell r="N4907">
            <v>14.208421547871099</v>
          </cell>
        </row>
        <row r="4908">
          <cell r="E4908" t="str">
            <v>HGC-Lib-2456630</v>
          </cell>
          <cell r="F4908" t="str">
            <v>CLP5</v>
          </cell>
          <cell r="G4908">
            <v>6</v>
          </cell>
          <cell r="H4908" t="str">
            <v>mRNA文库</v>
          </cell>
          <cell r="I4908" t="str">
            <v>DY</v>
          </cell>
          <cell r="J4908">
            <v>0.624</v>
          </cell>
          <cell r="K4908">
            <v>679</v>
          </cell>
          <cell r="L4908" t="str">
            <v>WWH</v>
          </cell>
          <cell r="N4908">
            <v>1.4138438880706901</v>
          </cell>
        </row>
        <row r="4909">
          <cell r="E4909" t="str">
            <v>HGC-Lib-2456631</v>
          </cell>
          <cell r="F4909" t="str">
            <v>CLP6</v>
          </cell>
          <cell r="G4909">
            <v>6</v>
          </cell>
          <cell r="H4909" t="str">
            <v>mRNA文库</v>
          </cell>
          <cell r="I4909" t="str">
            <v>DY</v>
          </cell>
          <cell r="J4909">
            <v>0.49199999999999999</v>
          </cell>
          <cell r="K4909">
            <v>642</v>
          </cell>
          <cell r="L4909" t="str">
            <v>WWH</v>
          </cell>
          <cell r="N4909">
            <v>1.1790079079798701</v>
          </cell>
        </row>
        <row r="4910">
          <cell r="E4910" t="str">
            <v>HGC-Lib-2456632</v>
          </cell>
          <cell r="F4910" t="str">
            <v>CLP8</v>
          </cell>
          <cell r="G4910">
            <v>6</v>
          </cell>
          <cell r="H4910" t="str">
            <v>mRNA文库</v>
          </cell>
          <cell r="I4910" t="str">
            <v>DY</v>
          </cell>
          <cell r="J4910">
            <v>6.12</v>
          </cell>
          <cell r="K4910">
            <v>387</v>
          </cell>
          <cell r="L4910" t="str">
            <v>WWH</v>
          </cell>
          <cell r="N4910">
            <v>24.3291592128801</v>
          </cell>
        </row>
        <row r="4911">
          <cell r="E4911" t="str">
            <v>HGC-Lib-2456633</v>
          </cell>
          <cell r="F4911" t="str">
            <v>CLP10</v>
          </cell>
          <cell r="G4911">
            <v>6</v>
          </cell>
          <cell r="H4911" t="str">
            <v>mRNA文库</v>
          </cell>
          <cell r="I4911" t="str">
            <v>DY</v>
          </cell>
          <cell r="J4911">
            <v>7</v>
          </cell>
          <cell r="K4911">
            <v>326</v>
          </cell>
          <cell r="L4911" t="str">
            <v>WWH</v>
          </cell>
          <cell r="N4911">
            <v>33.034450212364298</v>
          </cell>
        </row>
        <row r="4912">
          <cell r="E4912" t="str">
            <v>HGC-Lib-2456634</v>
          </cell>
          <cell r="F4912" t="str">
            <v>CLP11</v>
          </cell>
          <cell r="G4912">
            <v>6</v>
          </cell>
          <cell r="H4912" t="str">
            <v>mRNA文库</v>
          </cell>
          <cell r="I4912" t="str">
            <v>DY</v>
          </cell>
          <cell r="J4912">
            <v>2.1800000000000002</v>
          </cell>
          <cell r="K4912">
            <v>706</v>
          </cell>
          <cell r="L4912" t="str">
            <v>WWH</v>
          </cell>
          <cell r="N4912">
            <v>4.7504903028982399</v>
          </cell>
        </row>
        <row r="4913">
          <cell r="E4913" t="str">
            <v>HGC-Lib-2456635</v>
          </cell>
          <cell r="F4913" t="str">
            <v>CLP12</v>
          </cell>
          <cell r="G4913">
            <v>6</v>
          </cell>
          <cell r="H4913" t="str">
            <v>mRNA文库</v>
          </cell>
          <cell r="I4913" t="str">
            <v>DY</v>
          </cell>
          <cell r="J4913">
            <v>6.18</v>
          </cell>
          <cell r="K4913">
            <v>312</v>
          </cell>
          <cell r="L4913" t="str">
            <v>WWH</v>
          </cell>
          <cell r="N4913">
            <v>30.473372781065098</v>
          </cell>
        </row>
        <row r="4914">
          <cell r="E4914" t="str">
            <v>HGC-Lib-2456636</v>
          </cell>
          <cell r="F4914" t="str">
            <v>CLP13</v>
          </cell>
          <cell r="G4914">
            <v>6</v>
          </cell>
          <cell r="H4914" t="str">
            <v>mRNA文库</v>
          </cell>
          <cell r="I4914" t="str">
            <v>DY</v>
          </cell>
          <cell r="J4914">
            <v>4.76</v>
          </cell>
          <cell r="K4914">
            <v>348</v>
          </cell>
          <cell r="L4914" t="str">
            <v>WWH</v>
          </cell>
          <cell r="N4914">
            <v>21.043324491600401</v>
          </cell>
        </row>
        <row r="4915">
          <cell r="E4915" t="str">
            <v>HGC-Lib-2456637</v>
          </cell>
          <cell r="F4915" t="str">
            <v>CLP14</v>
          </cell>
          <cell r="G4915">
            <v>6</v>
          </cell>
          <cell r="H4915" t="str">
            <v>mRNA文库</v>
          </cell>
          <cell r="I4915" t="str">
            <v>DY</v>
          </cell>
          <cell r="J4915">
            <v>6.88</v>
          </cell>
          <cell r="K4915">
            <v>336</v>
          </cell>
          <cell r="L4915" t="str">
            <v>WWH</v>
          </cell>
          <cell r="N4915">
            <v>31.5018315018315</v>
          </cell>
        </row>
        <row r="4916">
          <cell r="E4916" t="str">
            <v>HGC-Lib-2456638</v>
          </cell>
          <cell r="F4916" t="str">
            <v>IgG</v>
          </cell>
          <cell r="G4916">
            <v>6</v>
          </cell>
          <cell r="H4916" t="str">
            <v>cut&amp;tag文库</v>
          </cell>
          <cell r="I4916" t="str">
            <v>DY</v>
          </cell>
          <cell r="J4916">
            <v>21</v>
          </cell>
          <cell r="K4916">
            <v>361</v>
          </cell>
          <cell r="L4916" t="str">
            <v>WWH</v>
          </cell>
          <cell r="N4916">
            <v>89.494992542084006</v>
          </cell>
        </row>
        <row r="4917">
          <cell r="E4917" t="str">
            <v>HGC-Lib-2456642</v>
          </cell>
          <cell r="F4917" t="str">
            <v>S1</v>
          </cell>
          <cell r="G4917">
            <v>2</v>
          </cell>
          <cell r="H4917" t="str">
            <v>ATAC-Seq文库</v>
          </cell>
          <cell r="I4917" t="str">
            <v>DY</v>
          </cell>
          <cell r="J4917">
            <v>56.8</v>
          </cell>
          <cell r="K4917">
            <v>307</v>
          </cell>
          <cell r="L4917" t="str">
            <v>HZK</v>
          </cell>
          <cell r="N4917">
            <v>284.64044099223202</v>
          </cell>
        </row>
        <row r="4918">
          <cell r="E4918" t="str">
            <v>HGC-Lib-2456643</v>
          </cell>
          <cell r="F4918" t="str">
            <v>S2</v>
          </cell>
          <cell r="G4918">
            <v>2</v>
          </cell>
          <cell r="H4918" t="str">
            <v>ATAC-Seq文库</v>
          </cell>
          <cell r="I4918" t="str">
            <v>DY</v>
          </cell>
          <cell r="J4918">
            <v>56.8</v>
          </cell>
          <cell r="K4918">
            <v>319</v>
          </cell>
          <cell r="L4918" t="str">
            <v>HZK</v>
          </cell>
          <cell r="N4918">
            <v>273.93296358813598</v>
          </cell>
        </row>
        <row r="4919">
          <cell r="E4919" t="str">
            <v>HGC-Lib-2456644</v>
          </cell>
          <cell r="F4919" t="str">
            <v>S3</v>
          </cell>
          <cell r="G4919">
            <v>2</v>
          </cell>
          <cell r="H4919" t="str">
            <v>ATAC-Seq文库</v>
          </cell>
          <cell r="I4919" t="str">
            <v>DY</v>
          </cell>
          <cell r="J4919">
            <v>47</v>
          </cell>
          <cell r="K4919">
            <v>279</v>
          </cell>
          <cell r="L4919" t="str">
            <v>HZK</v>
          </cell>
          <cell r="N4919">
            <v>259.16735594154898</v>
          </cell>
        </row>
        <row r="4920">
          <cell r="E4920" t="str">
            <v>HGC-Lib-2456645</v>
          </cell>
          <cell r="F4920" t="str">
            <v>S4</v>
          </cell>
          <cell r="G4920">
            <v>2</v>
          </cell>
          <cell r="H4920" t="str">
            <v>ATAC-Seq文库</v>
          </cell>
          <cell r="I4920" t="str">
            <v>DY</v>
          </cell>
          <cell r="J4920">
            <v>45.6</v>
          </cell>
          <cell r="K4920">
            <v>283</v>
          </cell>
          <cell r="L4920" t="str">
            <v>HZK</v>
          </cell>
          <cell r="N4920">
            <v>247.89344930687699</v>
          </cell>
        </row>
        <row r="4921">
          <cell r="E4921" t="str">
            <v>HGC-Lib-2456646</v>
          </cell>
          <cell r="F4921" t="str">
            <v>S5</v>
          </cell>
          <cell r="G4921">
            <v>2</v>
          </cell>
          <cell r="H4921" t="str">
            <v>ATAC-Seq文库</v>
          </cell>
          <cell r="I4921" t="str">
            <v>DY</v>
          </cell>
          <cell r="J4921">
            <v>46.8</v>
          </cell>
          <cell r="K4921">
            <v>263</v>
          </cell>
          <cell r="L4921" t="str">
            <v>HZK</v>
          </cell>
          <cell r="N4921">
            <v>273.76425855513298</v>
          </cell>
        </row>
        <row r="4922">
          <cell r="E4922" t="str">
            <v>HGC-Lib-2456647</v>
          </cell>
          <cell r="F4922" t="str">
            <v>S6</v>
          </cell>
          <cell r="G4922">
            <v>2</v>
          </cell>
          <cell r="H4922" t="str">
            <v>ATAC-Seq文库</v>
          </cell>
          <cell r="I4922" t="str">
            <v>DY</v>
          </cell>
          <cell r="J4922">
            <v>49</v>
          </cell>
          <cell r="K4922">
            <v>282</v>
          </cell>
          <cell r="L4922" t="str">
            <v>HZK</v>
          </cell>
          <cell r="N4922">
            <v>267.32133115111799</v>
          </cell>
        </row>
        <row r="4923">
          <cell r="E4923" t="str">
            <v>HGC-Lib-2456648</v>
          </cell>
          <cell r="F4923" t="str">
            <v>WTA index pro-1</v>
          </cell>
          <cell r="G4923">
            <v>200</v>
          </cell>
          <cell r="H4923" t="str">
            <v>BD-单细胞</v>
          </cell>
          <cell r="I4923" t="str">
            <v>DY</v>
          </cell>
          <cell r="J4923">
            <v>9.84</v>
          </cell>
          <cell r="K4923">
            <v>531</v>
          </cell>
          <cell r="L4923" t="str">
            <v>HZK</v>
          </cell>
          <cell r="N4923">
            <v>28.509343763581001</v>
          </cell>
        </row>
        <row r="4924">
          <cell r="E4924" t="str">
            <v>HGC-Lib-2456649</v>
          </cell>
          <cell r="F4924" t="str">
            <v>WTA index pro-2</v>
          </cell>
          <cell r="G4924">
            <v>200</v>
          </cell>
          <cell r="H4924" t="str">
            <v>BD-单细胞</v>
          </cell>
          <cell r="I4924" t="str">
            <v>DY</v>
          </cell>
          <cell r="J4924">
            <v>12.4</v>
          </cell>
          <cell r="K4924">
            <v>550</v>
          </cell>
          <cell r="L4924" t="str">
            <v>HZK</v>
          </cell>
          <cell r="N4924">
            <v>34.685314685314701</v>
          </cell>
        </row>
        <row r="4925">
          <cell r="E4925" t="str">
            <v>HGC-Lib-2456650</v>
          </cell>
          <cell r="F4925" t="str">
            <v>WTA index pro-3</v>
          </cell>
          <cell r="G4925">
            <v>200</v>
          </cell>
          <cell r="H4925" t="str">
            <v>BD-单细胞</v>
          </cell>
          <cell r="I4925" t="str">
            <v>DY</v>
          </cell>
          <cell r="J4925">
            <v>10.199999999999999</v>
          </cell>
          <cell r="K4925">
            <v>535</v>
          </cell>
          <cell r="L4925" t="str">
            <v>HZK</v>
          </cell>
          <cell r="N4925">
            <v>29.331416247304102</v>
          </cell>
        </row>
        <row r="4926">
          <cell r="E4926" t="str">
            <v>HGC-Lib-2456651</v>
          </cell>
          <cell r="F4926" t="str">
            <v>WTA index pro-4</v>
          </cell>
          <cell r="G4926">
            <v>200</v>
          </cell>
          <cell r="H4926" t="str">
            <v>BD-单细胞</v>
          </cell>
          <cell r="I4926" t="str">
            <v>DY</v>
          </cell>
          <cell r="J4926">
            <v>11.3</v>
          </cell>
          <cell r="K4926">
            <v>558</v>
          </cell>
          <cell r="L4926" t="str">
            <v>HZK</v>
          </cell>
          <cell r="N4926">
            <v>31.1552247036118</v>
          </cell>
        </row>
        <row r="4927">
          <cell r="E4927" t="str">
            <v>HGC-Lib-2456652</v>
          </cell>
          <cell r="F4927" t="str">
            <v>Sample Tag index pro-1</v>
          </cell>
          <cell r="G4927">
            <v>10</v>
          </cell>
          <cell r="H4927" t="str">
            <v>BD-单细胞</v>
          </cell>
          <cell r="I4927" t="str">
            <v>DY</v>
          </cell>
          <cell r="J4927">
            <v>3.66</v>
          </cell>
          <cell r="K4927">
            <v>299</v>
          </cell>
          <cell r="L4927" t="str">
            <v>HZK</v>
          </cell>
          <cell r="N4927">
            <v>18.832004116285098</v>
          </cell>
        </row>
        <row r="4928">
          <cell r="E4928" t="str">
            <v>HGC-Lib-2456653</v>
          </cell>
          <cell r="F4928" t="str">
            <v>Sample Tag index pro-2</v>
          </cell>
          <cell r="G4928">
            <v>10</v>
          </cell>
          <cell r="H4928" t="str">
            <v>BD-单细胞</v>
          </cell>
          <cell r="I4928" t="str">
            <v>DY</v>
          </cell>
          <cell r="J4928">
            <v>5.98</v>
          </cell>
          <cell r="K4928">
            <v>296</v>
          </cell>
          <cell r="L4928" t="str">
            <v>HZK</v>
          </cell>
          <cell r="N4928">
            <v>31.081081081081098</v>
          </cell>
        </row>
        <row r="4929">
          <cell r="E4929" t="str">
            <v>HGC-Lib-2456654</v>
          </cell>
          <cell r="F4929" t="str">
            <v>Sample Tag index pro-3</v>
          </cell>
          <cell r="G4929">
            <v>10</v>
          </cell>
          <cell r="H4929" t="str">
            <v>BD-单细胞</v>
          </cell>
          <cell r="I4929" t="str">
            <v>DY</v>
          </cell>
          <cell r="J4929">
            <v>4.0599999999999996</v>
          </cell>
          <cell r="K4929">
            <v>298</v>
          </cell>
          <cell r="L4929" t="str">
            <v>HZK</v>
          </cell>
          <cell r="N4929">
            <v>20.960247805885398</v>
          </cell>
        </row>
        <row r="4930">
          <cell r="E4930" t="str">
            <v>HGC-Lib-2456655</v>
          </cell>
          <cell r="F4930" t="str">
            <v>Sample Tag index pro-4</v>
          </cell>
          <cell r="G4930">
            <v>10</v>
          </cell>
          <cell r="H4930" t="str">
            <v>BD-单细胞</v>
          </cell>
          <cell r="I4930" t="str">
            <v>DY</v>
          </cell>
          <cell r="J4930">
            <v>3.58</v>
          </cell>
          <cell r="K4930">
            <v>290</v>
          </cell>
          <cell r="L4930" t="str">
            <v>HZK</v>
          </cell>
          <cell r="N4930">
            <v>18.992042440318301</v>
          </cell>
        </row>
        <row r="4931">
          <cell r="E4931" t="str">
            <v>HGC-Lib-2456656</v>
          </cell>
          <cell r="F4931" t="str">
            <v>N_B_N4626-01-10X-FFPE2400654-1</v>
          </cell>
          <cell r="G4931">
            <v>50</v>
          </cell>
          <cell r="H4931" t="str">
            <v>空转石蜡文库</v>
          </cell>
          <cell r="I4931" t="str">
            <v>YHT</v>
          </cell>
          <cell r="J4931">
            <v>17.7</v>
          </cell>
          <cell r="N4931" t="e">
            <v>#DIV/0!</v>
          </cell>
        </row>
        <row r="4932">
          <cell r="E4932" t="str">
            <v>HGC-Lib-2456657</v>
          </cell>
          <cell r="F4932" t="str">
            <v>N_B_E4701A-10X-FFPEASshiyanzupizangAS-SP</v>
          </cell>
          <cell r="G4932">
            <v>50</v>
          </cell>
          <cell r="H4932" t="str">
            <v>空转石蜡文库</v>
          </cell>
          <cell r="I4932" t="str">
            <v>YHT</v>
          </cell>
          <cell r="J4932">
            <v>14.1</v>
          </cell>
          <cell r="N4932" t="e">
            <v>#DIV/0!</v>
          </cell>
        </row>
        <row r="4933">
          <cell r="E4933" t="str">
            <v>HGC-Lib-2456658</v>
          </cell>
          <cell r="F4933" t="str">
            <v>N_B_N4626-0D-10X-FFPEA5-1</v>
          </cell>
          <cell r="G4933">
            <v>100</v>
          </cell>
          <cell r="H4933" t="str">
            <v>空转石蜡文库</v>
          </cell>
          <cell r="I4933" t="str">
            <v>YHT</v>
          </cell>
          <cell r="J4933">
            <v>27.6</v>
          </cell>
          <cell r="N4933" t="e">
            <v>#DIV/0!</v>
          </cell>
        </row>
        <row r="4934">
          <cell r="E4934" t="str">
            <v>HGC-Lib-2456659</v>
          </cell>
          <cell r="F4934" t="str">
            <v>N_B_N4626-0E-10X-FFPEMcao-1</v>
          </cell>
          <cell r="G4934">
            <v>100</v>
          </cell>
          <cell r="H4934" t="str">
            <v>空转石蜡文库</v>
          </cell>
          <cell r="I4934" t="str">
            <v>YHT</v>
          </cell>
          <cell r="J4934">
            <v>20.8</v>
          </cell>
          <cell r="N4934" t="e">
            <v>#DIV/0!</v>
          </cell>
        </row>
        <row r="4935">
          <cell r="E4935" t="str">
            <v>HGC-Lib-2456660</v>
          </cell>
          <cell r="F4935" t="str">
            <v>N_B_N4708-0H-BDv2LDC-PBMC</v>
          </cell>
          <cell r="G4935">
            <v>100</v>
          </cell>
          <cell r="H4935" t="str">
            <v>BD-单细胞</v>
          </cell>
          <cell r="I4935" t="str">
            <v>YHT</v>
          </cell>
          <cell r="J4935">
            <v>23</v>
          </cell>
          <cell r="N4935" t="e">
            <v>#DIV/0!</v>
          </cell>
        </row>
        <row r="4936">
          <cell r="E4936" t="str">
            <v>HGC-Lib-2456661</v>
          </cell>
          <cell r="F4936" t="str">
            <v>N_B_N4708-0J-BDv2LDC-BM</v>
          </cell>
          <cell r="G4936">
            <v>100</v>
          </cell>
          <cell r="H4936" t="str">
            <v>BD-单细胞</v>
          </cell>
          <cell r="I4936" t="str">
            <v>YHT</v>
          </cell>
          <cell r="J4936">
            <v>20.8</v>
          </cell>
          <cell r="N4936" t="e">
            <v>#DIV/0!</v>
          </cell>
        </row>
        <row r="4937">
          <cell r="E4937" t="str">
            <v>HGC-Lib-2456662</v>
          </cell>
          <cell r="F4937" t="str">
            <v>N_B_N4627-4X-10X31</v>
          </cell>
          <cell r="G4937">
            <v>100</v>
          </cell>
          <cell r="H4937" t="str">
            <v>10× 3'单细胞</v>
          </cell>
          <cell r="I4937" t="str">
            <v>YHT</v>
          </cell>
          <cell r="J4937">
            <v>19.600000000000001</v>
          </cell>
          <cell r="N4937" t="e">
            <v>#DIV/0!</v>
          </cell>
        </row>
        <row r="4938">
          <cell r="E4938" t="str">
            <v>HGC-Lib-2456663</v>
          </cell>
          <cell r="F4938" t="str">
            <v>N_B_N4703-5C-10X3A18_0703_shengyuxinzang-1</v>
          </cell>
          <cell r="G4938">
            <v>100</v>
          </cell>
          <cell r="H4938" t="str">
            <v>10× 3'单细胞</v>
          </cell>
          <cell r="I4938" t="str">
            <v>YHT</v>
          </cell>
          <cell r="J4938">
            <v>11.9</v>
          </cell>
          <cell r="N4938" t="e">
            <v>#DIV/0!</v>
          </cell>
        </row>
        <row r="4939">
          <cell r="E4939" t="str">
            <v>HGC-Lib-2456664</v>
          </cell>
          <cell r="F4939" t="str">
            <v>N_B_N4703-10-10X3A18_0703_shengyuxinzang-2</v>
          </cell>
          <cell r="G4939">
            <v>100</v>
          </cell>
          <cell r="H4939" t="str">
            <v>10× 3'单细胞</v>
          </cell>
          <cell r="I4939" t="str">
            <v>YHT</v>
          </cell>
          <cell r="J4939">
            <v>12</v>
          </cell>
          <cell r="N4939" t="e">
            <v>#DIV/0!</v>
          </cell>
        </row>
        <row r="4940">
          <cell r="E4940" t="str">
            <v>HGC-Lib-2456665</v>
          </cell>
          <cell r="F4940" t="str">
            <v>N_B_N4703-11-10X3A18_0703_banmayuzaishengzuzhi</v>
          </cell>
          <cell r="G4940">
            <v>100</v>
          </cell>
          <cell r="H4940" t="str">
            <v>10× 3'单细胞</v>
          </cell>
          <cell r="I4940" t="str">
            <v>YHT</v>
          </cell>
          <cell r="J4940">
            <v>19.899999999999999</v>
          </cell>
          <cell r="N4940" t="e">
            <v>#DIV/0!</v>
          </cell>
        </row>
        <row r="4941">
          <cell r="E4941" t="str">
            <v>HGC-Lib-2456666</v>
          </cell>
          <cell r="F4941" t="str">
            <v>N_B_N4704-0R-10X3DP-E60-spleen-1</v>
          </cell>
          <cell r="G4941">
            <v>100</v>
          </cell>
          <cell r="H4941" t="str">
            <v>10× 3'单细胞</v>
          </cell>
          <cell r="I4941" t="str">
            <v>YHT</v>
          </cell>
          <cell r="J4941">
            <v>18.600000000000001</v>
          </cell>
          <cell r="N4941" t="e">
            <v>#DIV/0!</v>
          </cell>
        </row>
        <row r="4942">
          <cell r="E4942" t="str">
            <v>HGC-Lib-2456667</v>
          </cell>
          <cell r="F4942" t="str">
            <v>N_B_N4704-0S-10X3DP-E60-spleen-2</v>
          </cell>
          <cell r="G4942">
            <v>100</v>
          </cell>
          <cell r="H4942" t="str">
            <v>10× 3'单细胞</v>
          </cell>
          <cell r="I4942" t="str">
            <v>YHT</v>
          </cell>
          <cell r="J4942">
            <v>26.8</v>
          </cell>
          <cell r="N4942" t="e">
            <v>#DIV/0!</v>
          </cell>
        </row>
        <row r="4943">
          <cell r="E4943" t="str">
            <v>HGC-Lib-2456668</v>
          </cell>
          <cell r="F4943" t="str">
            <v>N_B_N4704-0T-10X3DP-E60-spleen-3</v>
          </cell>
          <cell r="G4943">
            <v>100</v>
          </cell>
          <cell r="H4943" t="str">
            <v>10× 3'单细胞</v>
          </cell>
          <cell r="I4943" t="str">
            <v>YHT</v>
          </cell>
          <cell r="J4943">
            <v>19.5</v>
          </cell>
          <cell r="N4943" t="e">
            <v>#DIV/0!</v>
          </cell>
        </row>
        <row r="4944">
          <cell r="E4944" t="str">
            <v>HGC-Lib-2456669</v>
          </cell>
          <cell r="F4944" t="str">
            <v>N_B_N4704-0U-10X3DP-E60-spleen-5</v>
          </cell>
          <cell r="G4944">
            <v>100</v>
          </cell>
          <cell r="H4944" t="str">
            <v>10× 3'单细胞</v>
          </cell>
          <cell r="I4944" t="str">
            <v>YHT</v>
          </cell>
          <cell r="J4944">
            <v>24</v>
          </cell>
          <cell r="N4944" t="e">
            <v>#DIV/0!</v>
          </cell>
        </row>
        <row r="4945">
          <cell r="E4945" t="str">
            <v>HGC-Lib-2456670</v>
          </cell>
          <cell r="F4945" t="str">
            <v>N_B_N4704-0V-10X3DP-E60-testis-1</v>
          </cell>
          <cell r="G4945">
            <v>100</v>
          </cell>
          <cell r="H4945" t="str">
            <v>10× 3'单细胞</v>
          </cell>
          <cell r="I4945" t="str">
            <v>YHT</v>
          </cell>
          <cell r="J4945">
            <v>16.7</v>
          </cell>
          <cell r="N4945" t="e">
            <v>#DIV/0!</v>
          </cell>
        </row>
        <row r="4946">
          <cell r="E4946" t="str">
            <v>HGC-Lib-2456671</v>
          </cell>
          <cell r="F4946" t="str">
            <v>N_B_N4704-0W-10X3DP-E60-testis-3</v>
          </cell>
          <cell r="G4946">
            <v>100</v>
          </cell>
          <cell r="H4946" t="str">
            <v>10× 3'单细胞</v>
          </cell>
          <cell r="I4946" t="str">
            <v>YHT</v>
          </cell>
          <cell r="J4946">
            <v>15.1</v>
          </cell>
          <cell r="N4946" t="e">
            <v>#DIV/0!</v>
          </cell>
        </row>
        <row r="4947">
          <cell r="E4947" t="str">
            <v>HGC-Lib-2456672</v>
          </cell>
          <cell r="F4947" t="str">
            <v>N_B_N4704-0X-10X3DP-E60-ovary-2</v>
          </cell>
          <cell r="G4947">
            <v>100</v>
          </cell>
          <cell r="H4947" t="str">
            <v>10× 3'单细胞</v>
          </cell>
          <cell r="I4947" t="str">
            <v>YHT</v>
          </cell>
          <cell r="J4947">
            <v>13.1</v>
          </cell>
          <cell r="N4947" t="e">
            <v>#DIV/0!</v>
          </cell>
        </row>
        <row r="4948">
          <cell r="E4948" t="str">
            <v>HGC-Lib-2456673</v>
          </cell>
          <cell r="F4948" t="str">
            <v>N_B_N4704-0Y-10X3DP-E60-ovary-5</v>
          </cell>
          <cell r="G4948">
            <v>100</v>
          </cell>
          <cell r="H4948" t="str">
            <v>10× 3'单细胞</v>
          </cell>
          <cell r="I4948" t="str">
            <v>YHT</v>
          </cell>
          <cell r="J4948">
            <v>13.4</v>
          </cell>
          <cell r="N4948" t="e">
            <v>#DIV/0!</v>
          </cell>
        </row>
        <row r="4949">
          <cell r="E4949" t="str">
            <v>HGC-Lib-2456674</v>
          </cell>
          <cell r="F4949" t="str">
            <v>N_B_N4705-15-10X3CR-hMC101</v>
          </cell>
          <cell r="G4949">
            <v>100</v>
          </cell>
          <cell r="H4949" t="str">
            <v>10× 3'单细胞</v>
          </cell>
          <cell r="I4949" t="str">
            <v>YHT</v>
          </cell>
          <cell r="J4949">
            <v>11.4</v>
          </cell>
          <cell r="N4949" t="e">
            <v>#DIV/0!</v>
          </cell>
        </row>
        <row r="4950">
          <cell r="E4950" t="str">
            <v>HGC-Lib-2456675</v>
          </cell>
          <cell r="F4950" t="str">
            <v>N_B_N4705-16-10X3CR-hMC102</v>
          </cell>
          <cell r="G4950">
            <v>100</v>
          </cell>
          <cell r="H4950" t="str">
            <v>10× 3'单细胞</v>
          </cell>
          <cell r="I4950" t="str">
            <v>YHT</v>
          </cell>
          <cell r="J4950">
            <v>13.3</v>
          </cell>
          <cell r="N4950" t="e">
            <v>#DIV/0!</v>
          </cell>
        </row>
        <row r="4951">
          <cell r="E4951" t="str">
            <v>HGC-Lib-2456676</v>
          </cell>
          <cell r="F4951" t="str">
            <v>N_B_N4705-4N-10X3K2</v>
          </cell>
          <cell r="G4951">
            <v>100</v>
          </cell>
          <cell r="H4951" t="str">
            <v>10× 3'单细胞</v>
          </cell>
          <cell r="I4951" t="str">
            <v>YHT</v>
          </cell>
          <cell r="J4951">
            <v>16.3</v>
          </cell>
          <cell r="N4951" t="e">
            <v>#DIV/0!</v>
          </cell>
        </row>
        <row r="4952">
          <cell r="E4952" t="str">
            <v>HGC-Lib-2456677</v>
          </cell>
          <cell r="F4952" t="str">
            <v>N_B_N4702-0Y-10X-FFPEyuanwei33</v>
          </cell>
          <cell r="G4952">
            <v>100</v>
          </cell>
          <cell r="H4952" t="str">
            <v>空转石蜡文库</v>
          </cell>
          <cell r="I4952" t="str">
            <v>YHT</v>
          </cell>
          <cell r="J4952">
            <v>19.100000000000001</v>
          </cell>
          <cell r="N4952" t="e">
            <v>#DIV/0!</v>
          </cell>
        </row>
        <row r="4953">
          <cell r="E4953" t="str">
            <v>HGC-Lib-2456678</v>
          </cell>
          <cell r="F4953" t="str">
            <v>N_B_N4702-0Z-10X-FFPEganzhuanyi26</v>
          </cell>
          <cell r="G4953">
            <v>100</v>
          </cell>
          <cell r="H4953" t="str">
            <v>空转石蜡文库</v>
          </cell>
          <cell r="I4953" t="str">
            <v>YHT</v>
          </cell>
          <cell r="J4953">
            <v>32.200000000000003</v>
          </cell>
          <cell r="N4953" t="e">
            <v>#DIV/0!</v>
          </cell>
        </row>
        <row r="4954">
          <cell r="E4954" t="str">
            <v>HGC-Lib-2456679</v>
          </cell>
          <cell r="F4954" t="str">
            <v>7-2</v>
          </cell>
          <cell r="G4954">
            <v>10</v>
          </cell>
          <cell r="H4954" t="str">
            <v>PCR产物文库</v>
          </cell>
          <cell r="I4954" t="str">
            <v>YHT</v>
          </cell>
          <cell r="J4954">
            <v>45.2</v>
          </cell>
          <cell r="K4954">
            <v>486</v>
          </cell>
          <cell r="L4954" t="str">
            <v>HZK</v>
          </cell>
          <cell r="N4954">
            <v>143.083254194365</v>
          </cell>
        </row>
        <row r="4955">
          <cell r="E4955" t="str">
            <v>HGC-Lib-2456680</v>
          </cell>
          <cell r="F4955" t="str">
            <v>CB-T25</v>
          </cell>
          <cell r="G4955">
            <v>5</v>
          </cell>
          <cell r="H4955" t="str">
            <v>PCR产物文库</v>
          </cell>
          <cell r="I4955" t="str">
            <v>YHT</v>
          </cell>
          <cell r="J4955">
            <v>104</v>
          </cell>
          <cell r="K4955">
            <v>423</v>
          </cell>
          <cell r="L4955" t="str">
            <v>HZK</v>
          </cell>
          <cell r="N4955">
            <v>378.25059101654801</v>
          </cell>
        </row>
        <row r="4956">
          <cell r="E4956" t="str">
            <v>HGC-Lib-2456681</v>
          </cell>
          <cell r="F4956" t="str">
            <v>PAA</v>
          </cell>
          <cell r="G4956">
            <v>150</v>
          </cell>
          <cell r="H4956" t="str">
            <v>全基因组文库</v>
          </cell>
          <cell r="I4956" t="str">
            <v>YHT</v>
          </cell>
          <cell r="J4956">
            <v>19.100000000000001</v>
          </cell>
          <cell r="K4956">
            <v>298</v>
          </cell>
          <cell r="L4956" t="str">
            <v>HZK</v>
          </cell>
          <cell r="N4956">
            <v>98.606091894682507</v>
          </cell>
        </row>
        <row r="4957">
          <cell r="E4957" t="str">
            <v>HGC-Lib-2456682</v>
          </cell>
          <cell r="F4957" t="str">
            <v>COAD</v>
          </cell>
          <cell r="G4957">
            <v>150</v>
          </cell>
          <cell r="H4957" t="str">
            <v>全基因组文库</v>
          </cell>
          <cell r="I4957" t="str">
            <v>YHT</v>
          </cell>
          <cell r="J4957">
            <v>15.5</v>
          </cell>
          <cell r="K4957">
            <v>308</v>
          </cell>
          <cell r="L4957" t="str">
            <v>HZK</v>
          </cell>
          <cell r="N4957">
            <v>77.422577422577405</v>
          </cell>
        </row>
        <row r="4958">
          <cell r="E4958" t="str">
            <v>HGC-POOL-2456683</v>
          </cell>
          <cell r="F4958" t="str">
            <v>RX20240717-1</v>
          </cell>
          <cell r="G4958">
            <v>84</v>
          </cell>
          <cell r="H4958" t="str">
            <v>mRNA文库</v>
          </cell>
          <cell r="I4958" t="str">
            <v>YHT</v>
          </cell>
          <cell r="J4958">
            <v>12.8</v>
          </cell>
          <cell r="K4958">
            <v>347</v>
          </cell>
          <cell r="L4958" t="str">
            <v>HZK</v>
          </cell>
          <cell r="N4958">
            <v>56.750166260252698</v>
          </cell>
        </row>
        <row r="4959">
          <cell r="E4959" t="str">
            <v>HGC-POOL-2456684</v>
          </cell>
          <cell r="F4959" t="str">
            <v>RX20240717-2</v>
          </cell>
          <cell r="G4959">
            <v>84</v>
          </cell>
          <cell r="H4959" t="str">
            <v>mRNA文库</v>
          </cell>
          <cell r="I4959" t="str">
            <v>YHT</v>
          </cell>
          <cell r="J4959">
            <v>1.72</v>
          </cell>
          <cell r="K4959">
            <v>364</v>
          </cell>
          <cell r="L4959" t="str">
            <v>YHT</v>
          </cell>
          <cell r="N4959">
            <v>7.2696534234995802</v>
          </cell>
        </row>
        <row r="4960">
          <cell r="E4960" t="str">
            <v>HGC-POOL-2456685</v>
          </cell>
          <cell r="F4960" t="str">
            <v>RX20240717-3</v>
          </cell>
          <cell r="G4960">
            <v>6</v>
          </cell>
          <cell r="H4960" t="str">
            <v>mRNA文库</v>
          </cell>
          <cell r="I4960" t="str">
            <v>YHT</v>
          </cell>
          <cell r="J4960">
            <v>8.1</v>
          </cell>
          <cell r="K4960">
            <v>391</v>
          </cell>
          <cell r="L4960" t="str">
            <v>YHT</v>
          </cell>
          <cell r="N4960">
            <v>31.870942356875901</v>
          </cell>
        </row>
        <row r="4961">
          <cell r="E4961" t="str">
            <v>HGC-POOL-2456686</v>
          </cell>
          <cell r="F4961" t="str">
            <v>RX20240717-4</v>
          </cell>
          <cell r="G4961">
            <v>12</v>
          </cell>
          <cell r="H4961" t="str">
            <v>mRNA文库</v>
          </cell>
          <cell r="I4961" t="str">
            <v>YHT</v>
          </cell>
          <cell r="J4961">
            <v>10.5</v>
          </cell>
          <cell r="K4961">
            <v>714</v>
          </cell>
          <cell r="L4961" t="str">
            <v>HZK</v>
          </cell>
          <cell r="N4961">
            <v>22.624434389140301</v>
          </cell>
        </row>
        <row r="4962">
          <cell r="E4962" t="str">
            <v>HGC-Lib-2456687</v>
          </cell>
          <cell r="F4962" t="str">
            <v>RX20240717-5</v>
          </cell>
          <cell r="G4962">
            <v>100</v>
          </cell>
          <cell r="H4962" t="str">
            <v>BD-单细胞</v>
          </cell>
          <cell r="I4962" t="str">
            <v>YHT</v>
          </cell>
          <cell r="J4962">
            <v>11.8</v>
          </cell>
          <cell r="K4962">
            <v>529</v>
          </cell>
          <cell r="L4962" t="str">
            <v>HZK</v>
          </cell>
          <cell r="N4962">
            <v>34.317289515777198</v>
          </cell>
        </row>
        <row r="4963">
          <cell r="E4963" t="str">
            <v>HGC-Lib-2456688</v>
          </cell>
          <cell r="F4963" t="str">
            <v>HitomXNN388</v>
          </cell>
          <cell r="G4963">
            <v>2</v>
          </cell>
          <cell r="H4963" t="str">
            <v>PCR片段文库</v>
          </cell>
          <cell r="I4963" t="str">
            <v>YHT</v>
          </cell>
          <cell r="J4963">
            <v>76.8</v>
          </cell>
          <cell r="K4963">
            <v>545</v>
          </cell>
          <cell r="L4963" t="str">
            <v>HZK</v>
          </cell>
          <cell r="N4963">
            <v>216.79604798870901</v>
          </cell>
        </row>
        <row r="4964">
          <cell r="E4964" t="str">
            <v>HGC-Lib-2456689</v>
          </cell>
          <cell r="F4964" t="str">
            <v>HitomXNN389</v>
          </cell>
          <cell r="G4964">
            <v>2</v>
          </cell>
          <cell r="H4964" t="str">
            <v>PCR片段文库</v>
          </cell>
          <cell r="I4964" t="str">
            <v>YHT</v>
          </cell>
          <cell r="J4964">
            <v>56.4</v>
          </cell>
          <cell r="K4964">
            <v>614</v>
          </cell>
          <cell r="L4964" t="str">
            <v>HZK</v>
          </cell>
          <cell r="N4964">
            <v>141.31796542219999</v>
          </cell>
        </row>
        <row r="4965">
          <cell r="E4965" t="str">
            <v>HGC-Lib-2456690</v>
          </cell>
          <cell r="F4965" t="str">
            <v>HitomXNN390</v>
          </cell>
          <cell r="G4965">
            <v>2</v>
          </cell>
          <cell r="H4965" t="str">
            <v>PCR片段文库</v>
          </cell>
          <cell r="I4965" t="str">
            <v>YHT</v>
          </cell>
          <cell r="J4965">
            <v>57.8</v>
          </cell>
          <cell r="K4965">
            <v>642</v>
          </cell>
          <cell r="L4965" t="str">
            <v>HZK</v>
          </cell>
          <cell r="N4965">
            <v>138.509465612269</v>
          </cell>
        </row>
        <row r="4966">
          <cell r="E4966" t="str">
            <v>HGC-Lib-2456691</v>
          </cell>
          <cell r="F4966" t="str">
            <v>Tilapia_Gut</v>
          </cell>
          <cell r="G4966">
            <v>10</v>
          </cell>
          <cell r="H4966" t="str">
            <v>ATAC-Seq文库</v>
          </cell>
          <cell r="I4966" t="str">
            <v>YHT</v>
          </cell>
          <cell r="J4966">
            <v>7.92</v>
          </cell>
          <cell r="K4966">
            <v>460</v>
          </cell>
          <cell r="L4966" t="str">
            <v>YHT</v>
          </cell>
          <cell r="N4966">
            <v>26.488294314381299</v>
          </cell>
        </row>
        <row r="4967">
          <cell r="E4967" t="str">
            <v>HGC-Lib-2456692</v>
          </cell>
          <cell r="F4967" t="str">
            <v>Tilapia_Midkidney</v>
          </cell>
          <cell r="G4967">
            <v>10</v>
          </cell>
          <cell r="H4967" t="str">
            <v>ATAC-Seq文库</v>
          </cell>
          <cell r="I4967" t="str">
            <v>YHT</v>
          </cell>
          <cell r="J4967">
            <v>7.44</v>
          </cell>
          <cell r="K4967">
            <v>313</v>
          </cell>
          <cell r="L4967" t="str">
            <v>YHT</v>
          </cell>
          <cell r="N4967">
            <v>36.569181617104903</v>
          </cell>
        </row>
        <row r="4968">
          <cell r="E4968" t="str">
            <v>HGC-Lib-2456693</v>
          </cell>
          <cell r="F4968" t="str">
            <v>Tilapia_Stomach</v>
          </cell>
          <cell r="G4968">
            <v>10</v>
          </cell>
          <cell r="H4968" t="str">
            <v>ATAC-Seq文库</v>
          </cell>
          <cell r="I4968" t="str">
            <v>YHT</v>
          </cell>
          <cell r="J4968">
            <v>8.7200000000000006</v>
          </cell>
          <cell r="K4968">
            <v>417</v>
          </cell>
          <cell r="L4968" t="str">
            <v>YHT</v>
          </cell>
          <cell r="N4968">
            <v>32.1711861280207</v>
          </cell>
        </row>
        <row r="4969">
          <cell r="E4969" t="str">
            <v>HGC-Lib-2456694</v>
          </cell>
          <cell r="F4969" t="str">
            <v>Tilapia_Liver</v>
          </cell>
          <cell r="G4969">
            <v>10</v>
          </cell>
          <cell r="H4969" t="str">
            <v>ATAC-Seq文库</v>
          </cell>
          <cell r="I4969" t="str">
            <v>YHT</v>
          </cell>
          <cell r="J4969">
            <v>7.36</v>
          </cell>
          <cell r="K4969">
            <v>459</v>
          </cell>
          <cell r="L4969" t="str">
            <v>YHT</v>
          </cell>
          <cell r="N4969">
            <v>24.669012904306999</v>
          </cell>
        </row>
        <row r="4970">
          <cell r="E4970" t="str">
            <v>HGC-Lib-2456695</v>
          </cell>
          <cell r="F4970" t="str">
            <v>Tilapia_Oral</v>
          </cell>
          <cell r="G4970">
            <v>10</v>
          </cell>
          <cell r="H4970" t="str">
            <v>ATAC-Seq文库</v>
          </cell>
          <cell r="I4970" t="str">
            <v>YHT</v>
          </cell>
          <cell r="J4970">
            <v>7.64</v>
          </cell>
          <cell r="K4970">
            <v>372</v>
          </cell>
          <cell r="L4970" t="str">
            <v>YHT</v>
          </cell>
          <cell r="N4970">
            <v>31.596360628618701</v>
          </cell>
        </row>
        <row r="4971">
          <cell r="E4971" t="str">
            <v>HGC-Lib-2456700</v>
          </cell>
          <cell r="F4971" t="str">
            <v>IgG</v>
          </cell>
          <cell r="G4971">
            <v>6</v>
          </cell>
          <cell r="H4971" t="str">
            <v>cut&amp;tag文库</v>
          </cell>
          <cell r="I4971" t="str">
            <v>YHT</v>
          </cell>
          <cell r="J4971">
            <v>0.432</v>
          </cell>
          <cell r="K4971">
            <v>429</v>
          </cell>
          <cell r="L4971" t="str">
            <v>YHT</v>
          </cell>
          <cell r="N4971">
            <v>1.5492200107584699</v>
          </cell>
        </row>
        <row r="4972">
          <cell r="E4972" t="str">
            <v>HGC-Lib-2456701</v>
          </cell>
          <cell r="F4972" t="str">
            <v>H3yi__1</v>
          </cell>
          <cell r="G4972">
            <v>6</v>
          </cell>
          <cell r="H4972" t="str">
            <v>cut&amp;tag文库</v>
          </cell>
          <cell r="I4972" t="str">
            <v>YHT</v>
          </cell>
          <cell r="J4972">
            <v>12.5</v>
          </cell>
          <cell r="K4972">
            <v>492</v>
          </cell>
          <cell r="L4972" t="str">
            <v>YHT</v>
          </cell>
          <cell r="N4972">
            <v>39.086929330831801</v>
          </cell>
        </row>
        <row r="4973">
          <cell r="E4973" t="str">
            <v>HGC-Lib-2456702</v>
          </cell>
          <cell r="F4973" t="str">
            <v>H3yi__2</v>
          </cell>
          <cell r="G4973">
            <v>6</v>
          </cell>
          <cell r="H4973" t="str">
            <v>cut&amp;tag文库</v>
          </cell>
          <cell r="I4973" t="str">
            <v>YHT</v>
          </cell>
          <cell r="J4973">
            <v>16.3</v>
          </cell>
          <cell r="K4973">
            <v>486</v>
          </cell>
          <cell r="L4973" t="str">
            <v>YHT</v>
          </cell>
          <cell r="N4973">
            <v>51.5986071541627</v>
          </cell>
        </row>
        <row r="4974">
          <cell r="E4974" t="str">
            <v>HGC-Lib-2456703</v>
          </cell>
          <cell r="F4974" t="str">
            <v>RNA_1</v>
          </cell>
          <cell r="G4974">
            <v>6</v>
          </cell>
          <cell r="H4974" t="str">
            <v>cut&amp;tag文库</v>
          </cell>
          <cell r="I4974" t="str">
            <v>YHT</v>
          </cell>
          <cell r="J4974">
            <v>0.65600000000000003</v>
          </cell>
          <cell r="K4974">
            <v>443</v>
          </cell>
          <cell r="L4974" t="str">
            <v>YHT</v>
          </cell>
          <cell r="N4974">
            <v>2.2781732939746502</v>
          </cell>
        </row>
        <row r="4975">
          <cell r="E4975" t="str">
            <v>HGC-Lib-2456704</v>
          </cell>
          <cell r="F4975" t="str">
            <v>RNA_2</v>
          </cell>
          <cell r="G4975">
            <v>6</v>
          </cell>
          <cell r="H4975" t="str">
            <v>cut&amp;tag文库</v>
          </cell>
          <cell r="I4975" t="str">
            <v>YHT</v>
          </cell>
          <cell r="J4975">
            <v>0.75</v>
          </cell>
          <cell r="K4975">
            <v>421</v>
          </cell>
          <cell r="L4975" t="str">
            <v>YHT</v>
          </cell>
          <cell r="N4975">
            <v>2.7407272062854</v>
          </cell>
        </row>
        <row r="4976">
          <cell r="E4976" t="str">
            <v>HGC-Lib-2456705</v>
          </cell>
          <cell r="F4976" t="str">
            <v>RNA_3</v>
          </cell>
          <cell r="G4976">
            <v>6</v>
          </cell>
          <cell r="H4976" t="str">
            <v>cut&amp;tag文库</v>
          </cell>
          <cell r="I4976" t="str">
            <v>YHT</v>
          </cell>
          <cell r="J4976">
            <v>0.43</v>
          </cell>
          <cell r="K4976">
            <v>431</v>
          </cell>
          <cell r="L4976" t="str">
            <v>YHT</v>
          </cell>
          <cell r="N4976">
            <v>1.5348920221310001</v>
          </cell>
        </row>
        <row r="4977">
          <cell r="E4977" t="str">
            <v>HGC-Lib-2456706</v>
          </cell>
          <cell r="F4977" t="str">
            <v>G700</v>
          </cell>
          <cell r="G4977">
            <v>100</v>
          </cell>
          <cell r="H4977" t="str">
            <v>10× 3'单细胞</v>
          </cell>
          <cell r="I4977" t="str">
            <v>YHT</v>
          </cell>
          <cell r="J4977">
            <v>50.6</v>
          </cell>
          <cell r="K4977">
            <v>544</v>
          </cell>
          <cell r="L4977" t="str">
            <v>HZK</v>
          </cell>
          <cell r="N4977">
            <v>143.09954751131201</v>
          </cell>
        </row>
        <row r="4978">
          <cell r="E4978" t="str">
            <v>HGC-Lib-2456707</v>
          </cell>
          <cell r="F4978" t="str">
            <v>G701</v>
          </cell>
          <cell r="G4978">
            <v>100</v>
          </cell>
          <cell r="H4978" t="str">
            <v>10× 3'单细胞</v>
          </cell>
          <cell r="I4978" t="str">
            <v>YHT</v>
          </cell>
          <cell r="J4978">
            <v>51.8</v>
          </cell>
          <cell r="K4978">
            <v>531</v>
          </cell>
          <cell r="L4978" t="str">
            <v>HZK</v>
          </cell>
          <cell r="N4978">
            <v>150.07967550340399</v>
          </cell>
        </row>
        <row r="4979">
          <cell r="E4979" t="str">
            <v>HGC-Lib-2456708</v>
          </cell>
          <cell r="F4979" t="str">
            <v>G702</v>
          </cell>
          <cell r="G4979">
            <v>100</v>
          </cell>
          <cell r="H4979" t="str">
            <v>10× 3'单细胞</v>
          </cell>
          <cell r="I4979" t="str">
            <v>HZK</v>
          </cell>
          <cell r="J4979">
            <v>73.8</v>
          </cell>
          <cell r="K4979">
            <v>540</v>
          </cell>
          <cell r="L4979" t="str">
            <v>HZK</v>
          </cell>
          <cell r="N4979">
            <v>210.25641025640999</v>
          </cell>
        </row>
        <row r="4980">
          <cell r="E4980" t="str">
            <v>HGC-Lib-2456709</v>
          </cell>
          <cell r="F4980" t="str">
            <v>G704</v>
          </cell>
          <cell r="G4980">
            <v>100</v>
          </cell>
          <cell r="H4980" t="str">
            <v>10× 3'单细胞</v>
          </cell>
          <cell r="I4980" t="str">
            <v>HZK</v>
          </cell>
          <cell r="J4980">
            <v>34.200000000000003</v>
          </cell>
          <cell r="K4980">
            <v>546</v>
          </cell>
          <cell r="L4980" t="str">
            <v>HZK</v>
          </cell>
          <cell r="N4980">
            <v>96.365173288250205</v>
          </cell>
        </row>
        <row r="4981">
          <cell r="E4981" t="str">
            <v>HGC-Lib-2456710</v>
          </cell>
          <cell r="F4981" t="str">
            <v>N07-ZHWC-T</v>
          </cell>
          <cell r="G4981">
            <v>12</v>
          </cell>
          <cell r="H4981" t="str">
            <v>转录组文库</v>
          </cell>
          <cell r="I4981" t="str">
            <v>HZK</v>
          </cell>
          <cell r="J4981">
            <v>46.6</v>
          </cell>
          <cell r="K4981">
            <v>360</v>
          </cell>
          <cell r="L4981" t="str">
            <v>HZK</v>
          </cell>
          <cell r="N4981">
            <v>199.14529914529899</v>
          </cell>
        </row>
        <row r="4982">
          <cell r="E4982" t="str">
            <v>HGC-Lib-2456711</v>
          </cell>
          <cell r="F4982" t="str">
            <v>N07-ZHWC-NT</v>
          </cell>
          <cell r="G4982">
            <v>12</v>
          </cell>
          <cell r="H4982" t="str">
            <v>转录组文库</v>
          </cell>
          <cell r="I4982" t="str">
            <v>HZK</v>
          </cell>
          <cell r="J4982">
            <v>40.6</v>
          </cell>
          <cell r="K4982">
            <v>337</v>
          </cell>
          <cell r="L4982" t="str">
            <v>HZK</v>
          </cell>
          <cell r="N4982">
            <v>185.34581145857101</v>
          </cell>
        </row>
        <row r="4983">
          <cell r="E4983" t="str">
            <v>HGC-Lib-2456712</v>
          </cell>
          <cell r="F4983" t="str">
            <v>mliver</v>
          </cell>
          <cell r="G4983">
            <v>60</v>
          </cell>
          <cell r="H4983" t="str">
            <v>转录组文库</v>
          </cell>
          <cell r="I4983" t="str">
            <v>HZK</v>
          </cell>
          <cell r="J4983">
            <v>24</v>
          </cell>
          <cell r="K4983">
            <v>309</v>
          </cell>
          <cell r="L4983" t="str">
            <v>HZK</v>
          </cell>
          <cell r="N4983">
            <v>119.49215832711</v>
          </cell>
        </row>
        <row r="4984">
          <cell r="E4984" t="str">
            <v>HGC-Lib-2456713</v>
          </cell>
          <cell r="F4984" t="str">
            <v>clk-1529</v>
          </cell>
          <cell r="G4984">
            <v>3</v>
          </cell>
          <cell r="H4984" t="str">
            <v>mRNA文库</v>
          </cell>
          <cell r="I4984" t="str">
            <v>HZK</v>
          </cell>
          <cell r="J4984">
            <v>8.76</v>
          </cell>
          <cell r="K4984">
            <v>319</v>
          </cell>
          <cell r="L4984" t="str">
            <v>YHT</v>
          </cell>
          <cell r="N4984">
            <v>42.247407764649097</v>
          </cell>
        </row>
        <row r="4985">
          <cell r="E4985" t="str">
            <v>HGC-Lib-2456714</v>
          </cell>
          <cell r="F4985" t="str">
            <v>hitomcll279</v>
          </cell>
          <cell r="G4985">
            <v>2</v>
          </cell>
          <cell r="H4985" t="str">
            <v>PCR片段文库</v>
          </cell>
          <cell r="I4985" t="str">
            <v>HZK</v>
          </cell>
          <cell r="J4985">
            <v>77.400000000000006</v>
          </cell>
          <cell r="K4985">
            <v>488</v>
          </cell>
          <cell r="L4985" t="str">
            <v>HZK</v>
          </cell>
          <cell r="N4985">
            <v>244.010088272383</v>
          </cell>
        </row>
        <row r="4986">
          <cell r="E4986" t="str">
            <v>HGC-Lib-2456715</v>
          </cell>
          <cell r="F4986" t="str">
            <v>hitomcll280</v>
          </cell>
          <cell r="G4986">
            <v>2</v>
          </cell>
          <cell r="H4986" t="str">
            <v>PCR片段文库</v>
          </cell>
          <cell r="I4986" t="str">
            <v>HZK</v>
          </cell>
          <cell r="J4986">
            <v>46</v>
          </cell>
          <cell r="K4986">
            <v>479</v>
          </cell>
          <cell r="L4986" t="str">
            <v>HZK</v>
          </cell>
          <cell r="N4986">
            <v>147.74369680423999</v>
          </cell>
        </row>
        <row r="4987">
          <cell r="E4987" t="str">
            <v>HGC-Lib-2456716</v>
          </cell>
          <cell r="F4987" t="str">
            <v>hitomcll281</v>
          </cell>
          <cell r="G4987">
            <v>2</v>
          </cell>
          <cell r="H4987" t="str">
            <v>PCR片段文库</v>
          </cell>
          <cell r="I4987" t="str">
            <v>HZK</v>
          </cell>
          <cell r="J4987">
            <v>47.8</v>
          </cell>
          <cell r="K4987">
            <v>353</v>
          </cell>
          <cell r="L4987" t="str">
            <v>HZK</v>
          </cell>
          <cell r="N4987">
            <v>208.324253650033</v>
          </cell>
        </row>
        <row r="4988">
          <cell r="E4988" t="str">
            <v>HGC-Lib-2456717</v>
          </cell>
          <cell r="F4988" t="str">
            <v>hitomcll282</v>
          </cell>
          <cell r="G4988">
            <v>2</v>
          </cell>
          <cell r="H4988" t="str">
            <v>PCR片段文库</v>
          </cell>
          <cell r="I4988" t="str">
            <v>HZK</v>
          </cell>
          <cell r="J4988">
            <v>51.8</v>
          </cell>
          <cell r="K4988">
            <v>375</v>
          </cell>
          <cell r="L4988" t="str">
            <v>HZK</v>
          </cell>
          <cell r="N4988">
            <v>212.51282051282101</v>
          </cell>
        </row>
        <row r="4989">
          <cell r="E4989" t="str">
            <v>HGC-Lib-2456718</v>
          </cell>
          <cell r="F4989" t="str">
            <v>hitomcll283</v>
          </cell>
          <cell r="G4989">
            <v>2</v>
          </cell>
          <cell r="H4989" t="str">
            <v>PCR片段文库</v>
          </cell>
          <cell r="I4989" t="str">
            <v>HZK</v>
          </cell>
          <cell r="J4989">
            <v>38.799999999999997</v>
          </cell>
          <cell r="K4989">
            <v>450</v>
          </cell>
          <cell r="L4989" t="str">
            <v>HZK</v>
          </cell>
          <cell r="N4989">
            <v>132.649572649573</v>
          </cell>
        </row>
        <row r="4990">
          <cell r="E4990" t="str">
            <v>HGC-Lib-2456719</v>
          </cell>
          <cell r="F4990" t="str">
            <v>hitomcll284</v>
          </cell>
          <cell r="G4990">
            <v>2</v>
          </cell>
          <cell r="H4990" t="str">
            <v>PCR片段文库</v>
          </cell>
          <cell r="I4990" t="str">
            <v>HZK</v>
          </cell>
          <cell r="J4990">
            <v>50.6</v>
          </cell>
          <cell r="K4990">
            <v>439</v>
          </cell>
          <cell r="L4990" t="str">
            <v>HZK</v>
          </cell>
          <cell r="N4990">
            <v>177.32609076572601</v>
          </cell>
        </row>
        <row r="4991">
          <cell r="E4991" t="str">
            <v>HGC-Lib-2456720</v>
          </cell>
          <cell r="F4991" t="str">
            <v>hitomcll285</v>
          </cell>
          <cell r="G4991">
            <v>2</v>
          </cell>
          <cell r="H4991" t="str">
            <v>PCR片段文库</v>
          </cell>
          <cell r="I4991" t="str">
            <v>HZK</v>
          </cell>
          <cell r="J4991">
            <v>33.799999999999997</v>
          </cell>
          <cell r="K4991">
            <v>427</v>
          </cell>
          <cell r="L4991" t="str">
            <v>HZK</v>
          </cell>
          <cell r="N4991">
            <v>121.779859484778</v>
          </cell>
        </row>
        <row r="4992">
          <cell r="E4992" t="str">
            <v>HGC-Lib-2456721</v>
          </cell>
          <cell r="F4992" t="str">
            <v>hitomcll286</v>
          </cell>
          <cell r="G4992">
            <v>2</v>
          </cell>
          <cell r="H4992" t="str">
            <v>PCR片段文库</v>
          </cell>
          <cell r="I4992" t="str">
            <v>HZK</v>
          </cell>
          <cell r="J4992">
            <v>46</v>
          </cell>
          <cell r="K4992">
            <v>434</v>
          </cell>
          <cell r="L4992" t="str">
            <v>HZK</v>
          </cell>
          <cell r="N4992">
            <v>163.06274370790501</v>
          </cell>
        </row>
        <row r="4993">
          <cell r="E4993" t="str">
            <v>HGC-Lib-2456722</v>
          </cell>
          <cell r="F4993" t="str">
            <v>hitomcll287</v>
          </cell>
          <cell r="G4993">
            <v>2</v>
          </cell>
          <cell r="H4993" t="str">
            <v>PCR片段文库</v>
          </cell>
          <cell r="I4993" t="str">
            <v>HZK</v>
          </cell>
          <cell r="J4993">
            <v>97.2</v>
          </cell>
          <cell r="K4993">
            <v>480</v>
          </cell>
          <cell r="L4993" t="str">
            <v>HZK</v>
          </cell>
          <cell r="N4993">
            <v>311.538461538462</v>
          </cell>
        </row>
        <row r="4994">
          <cell r="E4994" t="str">
            <v>HGC-Lib-2456723</v>
          </cell>
          <cell r="F4994" t="str">
            <v>hitomcll288</v>
          </cell>
          <cell r="G4994">
            <v>2</v>
          </cell>
          <cell r="H4994" t="str">
            <v>PCR片段文库</v>
          </cell>
          <cell r="I4994" t="str">
            <v>HZK</v>
          </cell>
          <cell r="J4994">
            <v>50.6</v>
          </cell>
          <cell r="K4994">
            <v>465</v>
          </cell>
          <cell r="L4994" t="str">
            <v>HZK</v>
          </cell>
          <cell r="N4994">
            <v>167.41108354011601</v>
          </cell>
        </row>
        <row r="4995">
          <cell r="E4995" t="str">
            <v>HGC-Lib-2456724</v>
          </cell>
          <cell r="F4995" t="str">
            <v>hitomcll289</v>
          </cell>
          <cell r="G4995">
            <v>2</v>
          </cell>
          <cell r="H4995" t="str">
            <v>PCR片段文库</v>
          </cell>
          <cell r="I4995" t="str">
            <v>HZK</v>
          </cell>
          <cell r="J4995">
            <v>70.2</v>
          </cell>
          <cell r="K4995">
            <v>460</v>
          </cell>
          <cell r="L4995" t="str">
            <v>HZK</v>
          </cell>
          <cell r="N4995">
            <v>234.78260869565199</v>
          </cell>
        </row>
        <row r="4996">
          <cell r="E4996" t="str">
            <v>HGC-POOL-2456733</v>
          </cell>
          <cell r="F4996" t="str">
            <v>PCRD-240717-001</v>
          </cell>
          <cell r="G4996">
            <v>120</v>
          </cell>
          <cell r="H4996" t="str">
            <v>singleron-3'转录组文库</v>
          </cell>
          <cell r="I4996" t="str">
            <v>HZK</v>
          </cell>
          <cell r="J4996">
            <v>13.7</v>
          </cell>
          <cell r="N4996" t="e">
            <v>#DIV/0!</v>
          </cell>
        </row>
        <row r="4997">
          <cell r="E4997" t="str">
            <v>HGC-POOL-2456734</v>
          </cell>
          <cell r="F4997" t="str">
            <v>PCRD-240717-002</v>
          </cell>
          <cell r="G4997">
            <v>60</v>
          </cell>
          <cell r="H4997" t="str">
            <v>singleron-3'转录组文库</v>
          </cell>
          <cell r="I4997" t="str">
            <v>HZK</v>
          </cell>
          <cell r="J4997">
            <v>12</v>
          </cell>
          <cell r="N4997" t="e">
            <v>#DIV/0!</v>
          </cell>
        </row>
        <row r="4998">
          <cell r="E4998" t="str">
            <v>HGC-Lib-2456735</v>
          </cell>
          <cell r="F4998" t="str">
            <v>Capt-1dpf-1-mch</v>
          </cell>
          <cell r="G4998">
            <v>10</v>
          </cell>
          <cell r="H4998" t="str">
            <v>PCR产物文库</v>
          </cell>
          <cell r="I4998" t="str">
            <v>HZK</v>
          </cell>
          <cell r="J4998">
            <v>9.7799999999999994</v>
          </cell>
          <cell r="K4998">
            <v>639</v>
          </cell>
          <cell r="L4998" t="str">
            <v>YHT</v>
          </cell>
          <cell r="N4998">
            <v>23.5464066449982</v>
          </cell>
        </row>
        <row r="4999">
          <cell r="E4999" t="str">
            <v>HGC-Lib-2456736</v>
          </cell>
          <cell r="F4999" t="str">
            <v>Capt-2dpf-1-mch</v>
          </cell>
          <cell r="G4999">
            <v>10</v>
          </cell>
          <cell r="H4999" t="str">
            <v>PCR产物文库</v>
          </cell>
          <cell r="I4999" t="str">
            <v>HZK</v>
          </cell>
          <cell r="J4999">
            <v>2.2000000000000002</v>
          </cell>
          <cell r="K4999">
            <v>617</v>
          </cell>
          <cell r="L4999" t="str">
            <v>YHT</v>
          </cell>
          <cell r="N4999">
            <v>5.4856002992145596</v>
          </cell>
        </row>
        <row r="5000">
          <cell r="E5000" t="str">
            <v>HGC-Lib-2456737</v>
          </cell>
          <cell r="F5000" t="str">
            <v>Capt-1dpf-2-mch</v>
          </cell>
          <cell r="G5000">
            <v>10</v>
          </cell>
          <cell r="H5000" t="str">
            <v>PCR产物文库</v>
          </cell>
          <cell r="I5000" t="str">
            <v>HZK</v>
          </cell>
          <cell r="J5000">
            <v>14.6</v>
          </cell>
          <cell r="K5000">
            <v>663</v>
          </cell>
          <cell r="L5000" t="str">
            <v>YHT</v>
          </cell>
          <cell r="N5000">
            <v>33.878640213481802</v>
          </cell>
        </row>
        <row r="5001">
          <cell r="E5001" t="str">
            <v>HGC-Lib-2456738</v>
          </cell>
          <cell r="F5001" t="str">
            <v>Capt-2dpf-2-mch</v>
          </cell>
          <cell r="G5001">
            <v>10</v>
          </cell>
          <cell r="H5001" t="str">
            <v>PCR产物文库</v>
          </cell>
          <cell r="I5001" t="str">
            <v>HZK</v>
          </cell>
          <cell r="J5001">
            <v>1.74</v>
          </cell>
          <cell r="K5001">
            <v>624</v>
          </cell>
          <cell r="L5001" t="str">
            <v>YHT</v>
          </cell>
          <cell r="N5001">
            <v>4.2899408284023703</v>
          </cell>
        </row>
        <row r="5002">
          <cell r="E5002" t="str">
            <v>HGC-Lib-2456739</v>
          </cell>
          <cell r="F5002" t="str">
            <v>Capt-1dpf-1-gfp</v>
          </cell>
          <cell r="G5002">
            <v>10</v>
          </cell>
          <cell r="H5002" t="str">
            <v>PCR产物文库</v>
          </cell>
          <cell r="I5002" t="str">
            <v>HZK</v>
          </cell>
          <cell r="J5002">
            <v>9.26</v>
          </cell>
          <cell r="K5002">
            <v>662</v>
          </cell>
          <cell r="L5002" t="str">
            <v>YHT</v>
          </cell>
          <cell r="N5002">
            <v>21.519869858238401</v>
          </cell>
        </row>
        <row r="5003">
          <cell r="E5003" t="str">
            <v>HGC-Lib-2456740</v>
          </cell>
          <cell r="F5003" t="str">
            <v>Capt-1dpf-2-gfp</v>
          </cell>
          <cell r="G5003">
            <v>10</v>
          </cell>
          <cell r="H5003" t="str">
            <v>PCR产物文库</v>
          </cell>
          <cell r="I5003" t="str">
            <v>HZK</v>
          </cell>
          <cell r="J5003">
            <v>13</v>
          </cell>
          <cell r="K5003">
            <v>667</v>
          </cell>
          <cell r="L5003" t="str">
            <v>YHT</v>
          </cell>
          <cell r="N5003">
            <v>29.9850074962519</v>
          </cell>
        </row>
        <row r="5004">
          <cell r="E5004" t="str">
            <v>HGC-Lib-2456741</v>
          </cell>
          <cell r="F5004" t="str">
            <v>LC240713027</v>
          </cell>
          <cell r="G5004">
            <v>100</v>
          </cell>
          <cell r="H5004" t="str">
            <v>singleron-3'转录组文库</v>
          </cell>
          <cell r="I5004" t="str">
            <v>HZK</v>
          </cell>
          <cell r="J5004">
            <v>20.6</v>
          </cell>
          <cell r="N5004" t="e">
            <v>#DIV/0!</v>
          </cell>
        </row>
        <row r="5005">
          <cell r="E5005" t="str">
            <v>HGC-Lib-2456742</v>
          </cell>
          <cell r="F5005" t="str">
            <v>LC240712090</v>
          </cell>
          <cell r="G5005">
            <v>150</v>
          </cell>
          <cell r="H5005" t="str">
            <v>singleron-3'转录组文库</v>
          </cell>
          <cell r="I5005" t="str">
            <v>HZK</v>
          </cell>
          <cell r="J5005">
            <v>11.7</v>
          </cell>
          <cell r="N5005" t="e">
            <v>#DIV/0!</v>
          </cell>
        </row>
        <row r="5006">
          <cell r="E5006" t="str">
            <v>HGC-Lib-2456743</v>
          </cell>
          <cell r="F5006" t="str">
            <v>LC240712089</v>
          </cell>
          <cell r="G5006">
            <v>150</v>
          </cell>
          <cell r="H5006" t="str">
            <v>singleron-3'转录组文库</v>
          </cell>
          <cell r="I5006" t="str">
            <v>HZK</v>
          </cell>
          <cell r="J5006">
            <v>17.600000000000001</v>
          </cell>
          <cell r="N5006" t="e">
            <v>#DIV/0!</v>
          </cell>
        </row>
        <row r="5007">
          <cell r="E5007" t="str">
            <v>HGC-Lib-2456744</v>
          </cell>
          <cell r="F5007" t="str">
            <v>EBLEBVC240618005X2</v>
          </cell>
          <cell r="G5007">
            <v>12</v>
          </cell>
          <cell r="H5007" t="str">
            <v>其他碱基不平衡文库</v>
          </cell>
          <cell r="I5007" t="str">
            <v>HZK</v>
          </cell>
          <cell r="J5007">
            <v>4.4000000000000004</v>
          </cell>
          <cell r="N5007" t="e">
            <v>#DIV/0!</v>
          </cell>
        </row>
        <row r="5008">
          <cell r="E5008" t="str">
            <v>HGC-Lib-2456745</v>
          </cell>
          <cell r="F5008" t="str">
            <v>LEBVC240618005X2</v>
          </cell>
          <cell r="G5008">
            <v>100</v>
          </cell>
          <cell r="H5008" t="str">
            <v>singleron-3'转录组文库</v>
          </cell>
          <cell r="I5008" t="str">
            <v>HZK</v>
          </cell>
          <cell r="J5008">
            <v>19.600000000000001</v>
          </cell>
          <cell r="N5008" t="e">
            <v>#DIV/0!</v>
          </cell>
        </row>
        <row r="5009">
          <cell r="E5009" t="str">
            <v>HGC-Lib-2456746</v>
          </cell>
          <cell r="F5009" t="str">
            <v>LPMFTBC240710007</v>
          </cell>
          <cell r="G5009">
            <v>30</v>
          </cell>
          <cell r="H5009" t="str">
            <v>singleron-3'全长转录组文库</v>
          </cell>
          <cell r="I5009" t="str">
            <v>HZK</v>
          </cell>
          <cell r="J5009">
            <v>23.6</v>
          </cell>
          <cell r="N5009" t="e">
            <v>#DIV/0!</v>
          </cell>
        </row>
        <row r="5010">
          <cell r="E5010" t="str">
            <v>HGC-Lib-2456747</v>
          </cell>
          <cell r="F5010" t="str">
            <v>LC240712003</v>
          </cell>
          <cell r="G5010">
            <v>30</v>
          </cell>
          <cell r="H5010" t="str">
            <v>singleron-3'转录组文库</v>
          </cell>
          <cell r="I5010" t="str">
            <v>HZK</v>
          </cell>
          <cell r="J5010">
            <v>16.899999999999999</v>
          </cell>
          <cell r="N5010" t="e">
            <v>#DIV/0!</v>
          </cell>
        </row>
        <row r="5011">
          <cell r="E5011" t="str">
            <v>HGC-Lib-2456748</v>
          </cell>
          <cell r="F5011" t="str">
            <v>LFTBA240712108X2</v>
          </cell>
          <cell r="G5011">
            <v>90</v>
          </cell>
          <cell r="H5011" t="str">
            <v>singleron-3'全长转录组文库</v>
          </cell>
          <cell r="I5011" t="str">
            <v>HZK</v>
          </cell>
          <cell r="J5011">
            <v>13.9</v>
          </cell>
          <cell r="N5011" t="e">
            <v>#DIV/0!</v>
          </cell>
        </row>
        <row r="5012">
          <cell r="E5012" t="str">
            <v>HGC-Lib-2456749</v>
          </cell>
          <cell r="F5012" t="str">
            <v>LFTBA240712109X2</v>
          </cell>
          <cell r="G5012">
            <v>90</v>
          </cell>
          <cell r="H5012" t="str">
            <v>singleron-3'全长转录组文库</v>
          </cell>
          <cell r="I5012" t="str">
            <v>HZK</v>
          </cell>
          <cell r="J5012">
            <v>17.5</v>
          </cell>
          <cell r="N5012" t="e">
            <v>#DIV/0!</v>
          </cell>
        </row>
        <row r="5013">
          <cell r="E5013" t="str">
            <v>HGC-Lib-2456750</v>
          </cell>
          <cell r="F5013" t="str">
            <v>LFTBA240712091X1</v>
          </cell>
          <cell r="G5013">
            <v>90</v>
          </cell>
          <cell r="H5013" t="str">
            <v>singleron-3'全长转录组文库</v>
          </cell>
          <cell r="I5013" t="str">
            <v>HZK</v>
          </cell>
          <cell r="J5013">
            <v>19.7</v>
          </cell>
          <cell r="N5013" t="e">
            <v>#DIV/0!</v>
          </cell>
        </row>
        <row r="5014">
          <cell r="E5014" t="str">
            <v>HGC-Lib-2456751</v>
          </cell>
          <cell r="F5014" t="str">
            <v>LFTC240709006X1</v>
          </cell>
          <cell r="G5014">
            <v>100</v>
          </cell>
          <cell r="H5014" t="str">
            <v>singleron-3'全长转录组文库</v>
          </cell>
          <cell r="I5014" t="str">
            <v>HZK</v>
          </cell>
          <cell r="J5014">
            <v>15.8</v>
          </cell>
          <cell r="N5014" t="e">
            <v>#DIV/0!</v>
          </cell>
        </row>
        <row r="5015">
          <cell r="E5015" t="str">
            <v>HGC-Lib-2456752</v>
          </cell>
          <cell r="F5015" t="str">
            <v>LFTC240709005X2</v>
          </cell>
          <cell r="G5015">
            <v>100</v>
          </cell>
          <cell r="H5015" t="str">
            <v>singleron-3'全长转录组文库</v>
          </cell>
          <cell r="I5015" t="str">
            <v>HZK</v>
          </cell>
          <cell r="J5015">
            <v>20.399999999999999</v>
          </cell>
          <cell r="N5015" t="e">
            <v>#DIV/0!</v>
          </cell>
        </row>
        <row r="5016">
          <cell r="E5016" t="str">
            <v>HGC-Lib-2456753</v>
          </cell>
          <cell r="F5016" t="str">
            <v>LC240712126</v>
          </cell>
          <cell r="G5016">
            <v>90</v>
          </cell>
          <cell r="H5016" t="str">
            <v>singleron-3'转录组文库</v>
          </cell>
          <cell r="I5016" t="str">
            <v>HZK</v>
          </cell>
          <cell r="J5016">
            <v>16.7</v>
          </cell>
          <cell r="N5016" t="e">
            <v>#DIV/0!</v>
          </cell>
        </row>
        <row r="5017">
          <cell r="E5017" t="str">
            <v>HGC-Lib-2456754</v>
          </cell>
          <cell r="F5017" t="str">
            <v>NGS0324043-1</v>
          </cell>
          <cell r="G5017">
            <v>6</v>
          </cell>
          <cell r="H5017" t="str">
            <v>mRNA文库</v>
          </cell>
          <cell r="I5017" t="str">
            <v>HZK</v>
          </cell>
          <cell r="J5017">
            <v>50</v>
          </cell>
          <cell r="N5017" t="e">
            <v>#DIV/0!</v>
          </cell>
        </row>
        <row r="5018">
          <cell r="E5018" t="str">
            <v>HGC-Lib-2456755</v>
          </cell>
          <cell r="F5018" t="str">
            <v>NGS0324043-2</v>
          </cell>
          <cell r="G5018">
            <v>6</v>
          </cell>
          <cell r="H5018" t="str">
            <v>mRNA文库</v>
          </cell>
          <cell r="I5018" t="str">
            <v>HZK</v>
          </cell>
          <cell r="J5018">
            <v>65.2</v>
          </cell>
          <cell r="N5018" t="e">
            <v>#DIV/0!</v>
          </cell>
        </row>
        <row r="5019">
          <cell r="E5019" t="str">
            <v>HGC-Lib-2456756</v>
          </cell>
          <cell r="F5019" t="str">
            <v>NGS0324043-3</v>
          </cell>
          <cell r="G5019">
            <v>6</v>
          </cell>
          <cell r="H5019" t="str">
            <v>mRNA文库</v>
          </cell>
          <cell r="I5019" t="str">
            <v>HZK</v>
          </cell>
          <cell r="J5019">
            <v>55.8</v>
          </cell>
          <cell r="N5019" t="e">
            <v>#DIV/0!</v>
          </cell>
        </row>
        <row r="5020">
          <cell r="E5020" t="str">
            <v>HGC-Lib-2456757</v>
          </cell>
          <cell r="F5020" t="str">
            <v>NGS0324043-4</v>
          </cell>
          <cell r="G5020">
            <v>6</v>
          </cell>
          <cell r="H5020" t="str">
            <v>mRNA文库</v>
          </cell>
          <cell r="I5020" t="str">
            <v>HZK</v>
          </cell>
          <cell r="J5020">
            <v>56.4</v>
          </cell>
          <cell r="N5020" t="e">
            <v>#DIV/0!</v>
          </cell>
        </row>
        <row r="5021">
          <cell r="E5021" t="str">
            <v>HGC-Lib-2456758</v>
          </cell>
          <cell r="F5021" t="str">
            <v>NGS0324043-5</v>
          </cell>
          <cell r="G5021">
            <v>6</v>
          </cell>
          <cell r="H5021" t="str">
            <v>mRNA文库</v>
          </cell>
          <cell r="I5021" t="str">
            <v>HZK</v>
          </cell>
          <cell r="J5021">
            <v>43.2</v>
          </cell>
          <cell r="N5021" t="e">
            <v>#DIV/0!</v>
          </cell>
        </row>
        <row r="5022">
          <cell r="E5022" t="str">
            <v>HGC-Lib-2456759</v>
          </cell>
          <cell r="F5022" t="str">
            <v>NGS0324043-6</v>
          </cell>
          <cell r="G5022">
            <v>6</v>
          </cell>
          <cell r="H5022" t="str">
            <v>mRNA文库</v>
          </cell>
          <cell r="I5022" t="str">
            <v>HZK</v>
          </cell>
          <cell r="J5022">
            <v>48.6</v>
          </cell>
          <cell r="N5022" t="e">
            <v>#DIV/0!</v>
          </cell>
        </row>
        <row r="5023">
          <cell r="E5023" t="str">
            <v>HGC-Lib-2456760</v>
          </cell>
          <cell r="F5023" t="str">
            <v>NGS0324043-7</v>
          </cell>
          <cell r="G5023">
            <v>6</v>
          </cell>
          <cell r="H5023" t="str">
            <v>mRNA文库</v>
          </cell>
          <cell r="I5023" t="str">
            <v>HZK</v>
          </cell>
          <cell r="J5023">
            <v>43.6</v>
          </cell>
          <cell r="N5023" t="e">
            <v>#DIV/0!</v>
          </cell>
        </row>
        <row r="5024">
          <cell r="E5024" t="str">
            <v>HGC-Lib-2456761</v>
          </cell>
          <cell r="F5024" t="str">
            <v>NGS0324043-8</v>
          </cell>
          <cell r="G5024">
            <v>6</v>
          </cell>
          <cell r="H5024" t="str">
            <v>mRNA文库</v>
          </cell>
          <cell r="I5024" t="str">
            <v>HZK</v>
          </cell>
          <cell r="J5024">
            <v>49</v>
          </cell>
          <cell r="N5024" t="e">
            <v>#DIV/0!</v>
          </cell>
        </row>
        <row r="5025">
          <cell r="E5025" t="str">
            <v>HGC-Lib-2456762</v>
          </cell>
          <cell r="F5025" t="str">
            <v>NGS0324043-9</v>
          </cell>
          <cell r="G5025">
            <v>6</v>
          </cell>
          <cell r="H5025" t="str">
            <v>mRNA文库</v>
          </cell>
          <cell r="I5025" t="str">
            <v>HZK</v>
          </cell>
          <cell r="J5025">
            <v>57.4</v>
          </cell>
          <cell r="N5025" t="e">
            <v>#DIV/0!</v>
          </cell>
        </row>
        <row r="5026">
          <cell r="E5026" t="str">
            <v>HGC-Lib-2456763</v>
          </cell>
          <cell r="F5026" t="str">
            <v>NGS0324043-10</v>
          </cell>
          <cell r="G5026">
            <v>6</v>
          </cell>
          <cell r="H5026" t="str">
            <v>mRNA文库</v>
          </cell>
          <cell r="I5026" t="str">
            <v>HZK</v>
          </cell>
          <cell r="J5026">
            <v>55.2</v>
          </cell>
          <cell r="N5026" t="e">
            <v>#DIV/0!</v>
          </cell>
        </row>
        <row r="5027">
          <cell r="E5027" t="str">
            <v>HGC-Lib-2456764</v>
          </cell>
          <cell r="F5027" t="str">
            <v>NGS0324043-11</v>
          </cell>
          <cell r="G5027">
            <v>6</v>
          </cell>
          <cell r="H5027" t="str">
            <v>mRNA文库</v>
          </cell>
          <cell r="I5027" t="str">
            <v>HZK</v>
          </cell>
          <cell r="J5027">
            <v>41.8</v>
          </cell>
          <cell r="N5027" t="e">
            <v>#DIV/0!</v>
          </cell>
        </row>
        <row r="5028">
          <cell r="E5028" t="str">
            <v>HGC-Lib-2456765</v>
          </cell>
          <cell r="F5028" t="str">
            <v>NGS0324043-12</v>
          </cell>
          <cell r="G5028">
            <v>6</v>
          </cell>
          <cell r="H5028" t="str">
            <v>mRNA文库</v>
          </cell>
          <cell r="I5028" t="str">
            <v>HZK</v>
          </cell>
          <cell r="J5028">
            <v>45</v>
          </cell>
          <cell r="N5028" t="e">
            <v>#DIV/0!</v>
          </cell>
        </row>
        <row r="5029">
          <cell r="E5029" t="str">
            <v>HGC-Lib-2456766</v>
          </cell>
          <cell r="F5029" t="str">
            <v>NGS0324044-1</v>
          </cell>
          <cell r="G5029">
            <v>6</v>
          </cell>
          <cell r="H5029" t="str">
            <v>mRNA文库</v>
          </cell>
          <cell r="I5029" t="str">
            <v>HZK</v>
          </cell>
          <cell r="J5029">
            <v>29.6</v>
          </cell>
          <cell r="N5029" t="e">
            <v>#DIV/0!</v>
          </cell>
        </row>
        <row r="5030">
          <cell r="E5030" t="str">
            <v>HGC-Lib-2456767</v>
          </cell>
          <cell r="F5030" t="str">
            <v>NGS0324044-2</v>
          </cell>
          <cell r="G5030">
            <v>6</v>
          </cell>
          <cell r="H5030" t="str">
            <v>mRNA文库</v>
          </cell>
          <cell r="I5030" t="str">
            <v>HZK</v>
          </cell>
          <cell r="J5030">
            <v>31.2</v>
          </cell>
          <cell r="N5030" t="e">
            <v>#DIV/0!</v>
          </cell>
        </row>
        <row r="5031">
          <cell r="E5031" t="str">
            <v>HGC-Lib-2456768</v>
          </cell>
          <cell r="F5031" t="str">
            <v>NGS0324044-3</v>
          </cell>
          <cell r="G5031">
            <v>6</v>
          </cell>
          <cell r="H5031" t="str">
            <v>mRNA文库</v>
          </cell>
          <cell r="I5031" t="str">
            <v>HZK</v>
          </cell>
          <cell r="J5031">
            <v>30.8</v>
          </cell>
          <cell r="N5031" t="e">
            <v>#DIV/0!</v>
          </cell>
        </row>
        <row r="5032">
          <cell r="E5032" t="str">
            <v>HGC-Lib-2456769</v>
          </cell>
          <cell r="F5032" t="str">
            <v>NGS0324044-4</v>
          </cell>
          <cell r="G5032">
            <v>6</v>
          </cell>
          <cell r="H5032" t="str">
            <v>mRNA文库</v>
          </cell>
          <cell r="I5032" t="str">
            <v>HZK</v>
          </cell>
          <cell r="J5032">
            <v>45.8</v>
          </cell>
          <cell r="N5032" t="e">
            <v>#DIV/0!</v>
          </cell>
        </row>
        <row r="5033">
          <cell r="E5033" t="str">
            <v>HGC-Lib-2456770</v>
          </cell>
          <cell r="F5033" t="str">
            <v>NGS0324044-5</v>
          </cell>
          <cell r="G5033">
            <v>6</v>
          </cell>
          <cell r="H5033" t="str">
            <v>mRNA文库</v>
          </cell>
          <cell r="I5033" t="str">
            <v>HZK</v>
          </cell>
          <cell r="J5033">
            <v>34</v>
          </cell>
          <cell r="N5033" t="e">
            <v>#DIV/0!</v>
          </cell>
        </row>
        <row r="5034">
          <cell r="E5034" t="str">
            <v>HGC-Lib-2456771</v>
          </cell>
          <cell r="F5034" t="str">
            <v>NGS0324044-6</v>
          </cell>
          <cell r="G5034">
            <v>6</v>
          </cell>
          <cell r="H5034" t="str">
            <v>mRNA文库</v>
          </cell>
          <cell r="I5034" t="str">
            <v>HZK</v>
          </cell>
          <cell r="J5034">
            <v>47.8</v>
          </cell>
          <cell r="N5034" t="e">
            <v>#DIV/0!</v>
          </cell>
        </row>
        <row r="5035">
          <cell r="E5035" t="str">
            <v>HGC-Lib-2456772</v>
          </cell>
          <cell r="F5035" t="str">
            <v>NGS0324045-1-1</v>
          </cell>
          <cell r="G5035">
            <v>6</v>
          </cell>
          <cell r="H5035" t="str">
            <v>mRNA文库</v>
          </cell>
          <cell r="I5035" t="str">
            <v>HZK</v>
          </cell>
          <cell r="J5035">
            <v>53.6</v>
          </cell>
          <cell r="N5035" t="e">
            <v>#DIV/0!</v>
          </cell>
        </row>
        <row r="5036">
          <cell r="E5036" t="str">
            <v>HGC-Lib-2456773</v>
          </cell>
          <cell r="F5036" t="str">
            <v>NGS0324045-1-2</v>
          </cell>
          <cell r="G5036">
            <v>6</v>
          </cell>
          <cell r="H5036" t="str">
            <v>mRNA文库</v>
          </cell>
          <cell r="I5036" t="str">
            <v>HZK</v>
          </cell>
          <cell r="J5036">
            <v>69.400000000000006</v>
          </cell>
          <cell r="N5036" t="e">
            <v>#DIV/0!</v>
          </cell>
        </row>
        <row r="5037">
          <cell r="E5037" t="str">
            <v>HGC-Lib-2456774</v>
          </cell>
          <cell r="F5037" t="str">
            <v>NGS0324045-1-3</v>
          </cell>
          <cell r="G5037">
            <v>6</v>
          </cell>
          <cell r="H5037" t="str">
            <v>mRNA文库</v>
          </cell>
          <cell r="I5037" t="str">
            <v>HZK</v>
          </cell>
          <cell r="J5037">
            <v>81.2</v>
          </cell>
          <cell r="N5037" t="e">
            <v>#DIV/0!</v>
          </cell>
        </row>
        <row r="5038">
          <cell r="E5038" t="str">
            <v>HGC-Lib-2456775</v>
          </cell>
          <cell r="F5038" t="str">
            <v>NGS0324045-2-1</v>
          </cell>
          <cell r="G5038">
            <v>6</v>
          </cell>
          <cell r="H5038" t="str">
            <v>mRNA文库</v>
          </cell>
          <cell r="I5038" t="str">
            <v>HZK</v>
          </cell>
          <cell r="J5038">
            <v>56.2</v>
          </cell>
          <cell r="N5038" t="e">
            <v>#DIV/0!</v>
          </cell>
        </row>
        <row r="5039">
          <cell r="E5039" t="str">
            <v>HGC-Lib-2456776</v>
          </cell>
          <cell r="F5039" t="str">
            <v>NGS0324045-2-2</v>
          </cell>
          <cell r="G5039">
            <v>6</v>
          </cell>
          <cell r="H5039" t="str">
            <v>mRNA文库</v>
          </cell>
          <cell r="I5039" t="str">
            <v>HZK</v>
          </cell>
          <cell r="J5039">
            <v>55.6</v>
          </cell>
          <cell r="N5039" t="e">
            <v>#DIV/0!</v>
          </cell>
        </row>
        <row r="5040">
          <cell r="E5040" t="str">
            <v>HGC-Lib-2456777</v>
          </cell>
          <cell r="F5040" t="str">
            <v>NGS0324045-2-3</v>
          </cell>
          <cell r="G5040">
            <v>6</v>
          </cell>
          <cell r="H5040" t="str">
            <v>mRNA文库</v>
          </cell>
          <cell r="I5040" t="str">
            <v>HZK</v>
          </cell>
          <cell r="J5040">
            <v>62</v>
          </cell>
          <cell r="N5040" t="e">
            <v>#DIV/0!</v>
          </cell>
        </row>
        <row r="5041">
          <cell r="E5041" t="str">
            <v>HGC-Lib-2456778</v>
          </cell>
          <cell r="F5041" t="str">
            <v>NGS0324045-3-1</v>
          </cell>
          <cell r="G5041">
            <v>6</v>
          </cell>
          <cell r="H5041" t="str">
            <v>mRNA文库</v>
          </cell>
          <cell r="I5041" t="str">
            <v>HZK</v>
          </cell>
          <cell r="J5041">
            <v>75.599999999999994</v>
          </cell>
          <cell r="N5041" t="e">
            <v>#DIV/0!</v>
          </cell>
        </row>
        <row r="5042">
          <cell r="E5042" t="str">
            <v>HGC-Lib-2456779</v>
          </cell>
          <cell r="F5042" t="str">
            <v>NGS0324045-3-2</v>
          </cell>
          <cell r="G5042">
            <v>6</v>
          </cell>
          <cell r="H5042" t="str">
            <v>mRNA文库</v>
          </cell>
          <cell r="I5042" t="str">
            <v>HZK</v>
          </cell>
          <cell r="J5042">
            <v>78.8</v>
          </cell>
          <cell r="N5042" t="e">
            <v>#DIV/0!</v>
          </cell>
        </row>
        <row r="5043">
          <cell r="E5043" t="str">
            <v>HGC-Lib-2456780</v>
          </cell>
          <cell r="F5043" t="str">
            <v>NGS0324045-3-3</v>
          </cell>
          <cell r="G5043">
            <v>6</v>
          </cell>
          <cell r="H5043" t="str">
            <v>mRNA文库</v>
          </cell>
          <cell r="I5043" t="str">
            <v>HZK</v>
          </cell>
          <cell r="J5043">
            <v>67.599999999999994</v>
          </cell>
          <cell r="N5043" t="e">
            <v>#DIV/0!</v>
          </cell>
        </row>
        <row r="5044">
          <cell r="E5044" t="str">
            <v>HGC-Lib-2456781</v>
          </cell>
          <cell r="F5044" t="str">
            <v>NGS0324045-4-1</v>
          </cell>
          <cell r="G5044">
            <v>6</v>
          </cell>
          <cell r="H5044" t="str">
            <v>mRNA文库</v>
          </cell>
          <cell r="I5044" t="str">
            <v>HZK</v>
          </cell>
          <cell r="J5044">
            <v>46.4</v>
          </cell>
          <cell r="N5044" t="e">
            <v>#DIV/0!</v>
          </cell>
        </row>
        <row r="5045">
          <cell r="E5045" t="str">
            <v>HGC-Lib-2456782</v>
          </cell>
          <cell r="F5045" t="str">
            <v>NGS0324045-4-2</v>
          </cell>
          <cell r="G5045">
            <v>6</v>
          </cell>
          <cell r="H5045" t="str">
            <v>mRNA文库</v>
          </cell>
          <cell r="I5045" t="str">
            <v>HZK</v>
          </cell>
          <cell r="J5045">
            <v>46.4</v>
          </cell>
          <cell r="N5045" t="e">
            <v>#DIV/0!</v>
          </cell>
        </row>
        <row r="5046">
          <cell r="E5046" t="str">
            <v>HGC-Lib-2456783</v>
          </cell>
          <cell r="F5046" t="str">
            <v>NGS0324045-4-3</v>
          </cell>
          <cell r="G5046">
            <v>6</v>
          </cell>
          <cell r="H5046" t="str">
            <v>mRNA文库</v>
          </cell>
          <cell r="I5046" t="str">
            <v>HZK</v>
          </cell>
          <cell r="J5046">
            <v>38.799999999999997</v>
          </cell>
          <cell r="N5046" t="e">
            <v>#DIV/0!</v>
          </cell>
        </row>
        <row r="5047">
          <cell r="E5047" t="str">
            <v>HGC-Lib-2456784</v>
          </cell>
          <cell r="F5047" t="str">
            <v>NGS0324046-1</v>
          </cell>
          <cell r="G5047">
            <v>6</v>
          </cell>
          <cell r="H5047" t="str">
            <v>mRNA文库</v>
          </cell>
          <cell r="I5047" t="str">
            <v>HZK</v>
          </cell>
          <cell r="J5047">
            <v>19.399999999999999</v>
          </cell>
          <cell r="N5047" t="e">
            <v>#DIV/0!</v>
          </cell>
        </row>
        <row r="5048">
          <cell r="E5048" t="str">
            <v>HGC-Lib-2456785</v>
          </cell>
          <cell r="F5048" t="str">
            <v>NGS0324046-2</v>
          </cell>
          <cell r="G5048">
            <v>6</v>
          </cell>
          <cell r="H5048" t="str">
            <v>mRNA文库</v>
          </cell>
          <cell r="I5048" t="str">
            <v>HZK</v>
          </cell>
          <cell r="J5048">
            <v>21.6</v>
          </cell>
          <cell r="N5048" t="e">
            <v>#DIV/0!</v>
          </cell>
        </row>
        <row r="5049">
          <cell r="E5049" t="str">
            <v>HGC-Lib-2456786</v>
          </cell>
          <cell r="F5049" t="str">
            <v>NGS0324046-3</v>
          </cell>
          <cell r="G5049">
            <v>6</v>
          </cell>
          <cell r="H5049" t="str">
            <v>mRNA文库</v>
          </cell>
          <cell r="I5049" t="str">
            <v>HZK</v>
          </cell>
          <cell r="J5049">
            <v>37.6</v>
          </cell>
          <cell r="N5049" t="e">
            <v>#DIV/0!</v>
          </cell>
        </row>
        <row r="5050">
          <cell r="E5050" t="str">
            <v>HGC-Lib-2456787</v>
          </cell>
          <cell r="F5050" t="str">
            <v>NGS0324046-4</v>
          </cell>
          <cell r="G5050">
            <v>6</v>
          </cell>
          <cell r="H5050" t="str">
            <v>mRNA文库</v>
          </cell>
          <cell r="I5050" t="str">
            <v>HZK</v>
          </cell>
          <cell r="J5050">
            <v>34.6</v>
          </cell>
          <cell r="N5050" t="e">
            <v>#DIV/0!</v>
          </cell>
        </row>
        <row r="5051">
          <cell r="E5051" t="str">
            <v>HGC-Lib-2456788</v>
          </cell>
          <cell r="F5051" t="str">
            <v>NGS0324046-5</v>
          </cell>
          <cell r="G5051">
            <v>6</v>
          </cell>
          <cell r="H5051" t="str">
            <v>mRNA文库</v>
          </cell>
          <cell r="I5051" t="str">
            <v>HZK</v>
          </cell>
          <cell r="J5051">
            <v>35.799999999999997</v>
          </cell>
          <cell r="N5051" t="e">
            <v>#DIV/0!</v>
          </cell>
        </row>
        <row r="5052">
          <cell r="E5052" t="str">
            <v>HGC-Lib-2456789</v>
          </cell>
          <cell r="F5052" t="str">
            <v>NGS0324046-6</v>
          </cell>
          <cell r="G5052">
            <v>6</v>
          </cell>
          <cell r="H5052" t="str">
            <v>mRNA文库</v>
          </cell>
          <cell r="I5052" t="str">
            <v>HZK</v>
          </cell>
          <cell r="J5052">
            <v>44</v>
          </cell>
          <cell r="N5052" t="e">
            <v>#DIV/0!</v>
          </cell>
        </row>
        <row r="5053">
          <cell r="E5053" t="str">
            <v>HGC-Lib-2456790</v>
          </cell>
          <cell r="F5053" t="str">
            <v>rHG4056</v>
          </cell>
          <cell r="G5053">
            <v>50</v>
          </cell>
          <cell r="H5053" t="str">
            <v>ATAC-Seq文库</v>
          </cell>
          <cell r="I5053" t="str">
            <v>HZK</v>
          </cell>
          <cell r="J5053">
            <v>0.46</v>
          </cell>
          <cell r="K5053">
            <v>355</v>
          </cell>
          <cell r="L5053" t="str">
            <v>YHT</v>
          </cell>
          <cell r="N5053">
            <v>1.99349945828819</v>
          </cell>
        </row>
        <row r="5054">
          <cell r="E5054" t="str">
            <v>HGC-POOL-2456791</v>
          </cell>
          <cell r="F5054" t="str">
            <v>zc-mix</v>
          </cell>
          <cell r="G5054">
            <v>72</v>
          </cell>
          <cell r="H5054" t="str">
            <v>mRNA文库</v>
          </cell>
          <cell r="I5054" t="str">
            <v>HZK</v>
          </cell>
          <cell r="J5054">
            <v>31.6</v>
          </cell>
          <cell r="K5054">
            <v>389</v>
          </cell>
          <cell r="L5054" t="str">
            <v>HZK</v>
          </cell>
          <cell r="N5054">
            <v>124.975281787621</v>
          </cell>
        </row>
        <row r="5055">
          <cell r="E5055" t="str">
            <v>HGC-POOL-2456792</v>
          </cell>
          <cell r="F5055" t="str">
            <v>436-mix</v>
          </cell>
          <cell r="G5055">
            <v>12</v>
          </cell>
          <cell r="H5055" t="str">
            <v>cut&amp;tag文库</v>
          </cell>
          <cell r="I5055" t="str">
            <v>HZK</v>
          </cell>
          <cell r="J5055">
            <v>32.799999999999997</v>
          </cell>
          <cell r="K5055">
            <v>315</v>
          </cell>
          <cell r="L5055" t="str">
            <v>HZK</v>
          </cell>
          <cell r="N5055">
            <v>160.19536019536</v>
          </cell>
        </row>
        <row r="5056">
          <cell r="E5056" t="str">
            <v>HGC-Lib-2456793</v>
          </cell>
          <cell r="F5056" t="str">
            <v>1 cell RNA-seq lib</v>
          </cell>
          <cell r="G5056">
            <v>6</v>
          </cell>
          <cell r="H5056" t="str">
            <v>mRNA文库</v>
          </cell>
          <cell r="I5056" t="str">
            <v>HZK</v>
          </cell>
          <cell r="J5056">
            <v>1.36</v>
          </cell>
          <cell r="K5056">
            <v>394</v>
          </cell>
          <cell r="L5056" t="str">
            <v>YHT</v>
          </cell>
          <cell r="N5056">
            <v>5.3104256149941396</v>
          </cell>
        </row>
        <row r="5057">
          <cell r="E5057" t="str">
            <v>HGC-Lib-2456794</v>
          </cell>
          <cell r="F5057" t="str">
            <v>2 cell RNA-seq lib</v>
          </cell>
          <cell r="G5057">
            <v>6</v>
          </cell>
          <cell r="H5057" t="str">
            <v>mRNA文库</v>
          </cell>
          <cell r="I5057" t="str">
            <v>HZK</v>
          </cell>
          <cell r="J5057">
            <v>1.5</v>
          </cell>
          <cell r="K5057">
            <v>372</v>
          </cell>
          <cell r="L5057" t="str">
            <v>YHT</v>
          </cell>
          <cell r="N5057">
            <v>6.2034739454094296</v>
          </cell>
        </row>
        <row r="5058">
          <cell r="E5058" t="str">
            <v>HGC-Lib-2456795</v>
          </cell>
          <cell r="F5058" t="str">
            <v>1 testis RNA-seq lib</v>
          </cell>
          <cell r="G5058">
            <v>6</v>
          </cell>
          <cell r="H5058" t="str">
            <v>mRNA文库</v>
          </cell>
          <cell r="I5058" t="str">
            <v>HZK</v>
          </cell>
          <cell r="J5058">
            <v>3.28</v>
          </cell>
          <cell r="K5058">
            <v>344</v>
          </cell>
          <cell r="L5058" t="str">
            <v>YHT</v>
          </cell>
          <cell r="N5058">
            <v>14.6690518783542</v>
          </cell>
        </row>
        <row r="5059">
          <cell r="E5059" t="str">
            <v>HGC-Lib-2456796</v>
          </cell>
          <cell r="F5059" t="str">
            <v>2 testis RNA-seq lib</v>
          </cell>
          <cell r="G5059">
            <v>6</v>
          </cell>
          <cell r="H5059" t="str">
            <v>mRNA文库</v>
          </cell>
          <cell r="I5059" t="str">
            <v>HZK</v>
          </cell>
          <cell r="J5059">
            <v>0.51800000000000002</v>
          </cell>
          <cell r="K5059">
            <v>361</v>
          </cell>
          <cell r="L5059" t="str">
            <v>YHT</v>
          </cell>
          <cell r="N5059">
            <v>2.2075431493713999</v>
          </cell>
        </row>
        <row r="5060">
          <cell r="E5060" t="str">
            <v>HGC-Lib-2456797</v>
          </cell>
          <cell r="F5060" t="str">
            <v>1 肝 RNA-seq lib</v>
          </cell>
          <cell r="G5060">
            <v>6</v>
          </cell>
          <cell r="H5060" t="str">
            <v>mRNA文库</v>
          </cell>
          <cell r="I5060" t="str">
            <v>HZK</v>
          </cell>
          <cell r="J5060">
            <v>3.66</v>
          </cell>
          <cell r="K5060">
            <v>339</v>
          </cell>
          <cell r="L5060" t="str">
            <v>YHT</v>
          </cell>
          <cell r="N5060">
            <v>16.6099387338325</v>
          </cell>
        </row>
        <row r="5061">
          <cell r="E5061" t="str">
            <v>HGC-Lib-2456798</v>
          </cell>
          <cell r="F5061" t="str">
            <v>2 肝 RNA-seq lib</v>
          </cell>
          <cell r="G5061">
            <v>6</v>
          </cell>
          <cell r="H5061" t="str">
            <v>mRNA文库</v>
          </cell>
          <cell r="I5061" t="str">
            <v>HZK</v>
          </cell>
          <cell r="J5061">
            <v>0.85199999999999998</v>
          </cell>
          <cell r="K5061">
            <v>330</v>
          </cell>
          <cell r="L5061" t="str">
            <v>YHT</v>
          </cell>
          <cell r="N5061">
            <v>3.9720279720279699</v>
          </cell>
        </row>
        <row r="5062">
          <cell r="E5062" t="str">
            <v>HGC-Lib-2456916</v>
          </cell>
          <cell r="F5062" t="str">
            <v>HPLS24GSL016</v>
          </cell>
          <cell r="G5062">
            <v>1000</v>
          </cell>
          <cell r="H5062" t="str">
            <v>WES/panel捕获文库</v>
          </cell>
          <cell r="I5062" t="str">
            <v>GZQ</v>
          </cell>
          <cell r="J5062">
            <v>7.07</v>
          </cell>
          <cell r="K5062">
            <v>403</v>
          </cell>
          <cell r="L5062" t="str">
            <v>GZQ</v>
          </cell>
          <cell r="N5062">
            <v>26.989883565566</v>
          </cell>
        </row>
        <row r="5063">
          <cell r="E5063" t="str">
            <v>HGC-Lib-2456799</v>
          </cell>
          <cell r="F5063" t="str">
            <v>T831+T837pooling1</v>
          </cell>
          <cell r="G5063">
            <v>9</v>
          </cell>
          <cell r="H5063" t="str">
            <v>small RNA文库</v>
          </cell>
          <cell r="I5063" t="str">
            <v>ZZ</v>
          </cell>
          <cell r="J5063">
            <v>3.37</v>
          </cell>
          <cell r="K5063">
            <v>285</v>
          </cell>
          <cell r="L5063" t="str">
            <v>ZZ</v>
          </cell>
          <cell r="N5063">
            <v>18.191632928474998</v>
          </cell>
        </row>
        <row r="5064">
          <cell r="E5064" t="str">
            <v>HGC-Lib-2456800</v>
          </cell>
          <cell r="F5064" t="str">
            <v>T831+T837pooling2</v>
          </cell>
          <cell r="G5064">
            <v>9</v>
          </cell>
          <cell r="H5064" t="str">
            <v>small RNA文库</v>
          </cell>
          <cell r="I5064" t="str">
            <v>ZZ</v>
          </cell>
          <cell r="J5064">
            <v>2.8</v>
          </cell>
          <cell r="K5064">
            <v>288</v>
          </cell>
          <cell r="L5064" t="str">
            <v>ZZ</v>
          </cell>
          <cell r="N5064">
            <v>14.957264957265</v>
          </cell>
        </row>
        <row r="5065">
          <cell r="E5065" t="str">
            <v>HGC-Lib-2456801</v>
          </cell>
          <cell r="F5065" t="str">
            <v>T831+T837pooling3</v>
          </cell>
          <cell r="G5065">
            <v>9</v>
          </cell>
          <cell r="H5065" t="str">
            <v>small RNA文库</v>
          </cell>
          <cell r="I5065" t="str">
            <v>ZZ</v>
          </cell>
          <cell r="J5065">
            <v>4.4000000000000004</v>
          </cell>
          <cell r="K5065">
            <v>267</v>
          </cell>
          <cell r="L5065" t="str">
            <v>ZZ</v>
          </cell>
          <cell r="N5065">
            <v>25.3529242293287</v>
          </cell>
        </row>
        <row r="5066">
          <cell r="E5066" t="str">
            <v>HGC-Lib-2456802</v>
          </cell>
          <cell r="F5066" t="str">
            <v>T831+T837pooling4</v>
          </cell>
          <cell r="G5066">
            <v>9</v>
          </cell>
          <cell r="H5066" t="str">
            <v>small RNA文库</v>
          </cell>
          <cell r="I5066" t="str">
            <v>ZZ</v>
          </cell>
          <cell r="J5066">
            <v>6.4</v>
          </cell>
          <cell r="K5066">
            <v>263</v>
          </cell>
          <cell r="L5066" t="str">
            <v>ZZ</v>
          </cell>
          <cell r="N5066">
            <v>37.437847323778897</v>
          </cell>
        </row>
        <row r="5067">
          <cell r="E5067" t="str">
            <v>HGC-Lib-2456803</v>
          </cell>
          <cell r="F5067" t="str">
            <v>T831+T837pooling5</v>
          </cell>
          <cell r="G5067">
            <v>9</v>
          </cell>
          <cell r="H5067" t="str">
            <v>small RNA文库</v>
          </cell>
          <cell r="I5067" t="str">
            <v>ZZ</v>
          </cell>
          <cell r="J5067">
            <v>5.2</v>
          </cell>
          <cell r="K5067">
            <v>316</v>
          </cell>
          <cell r="L5067" t="str">
            <v>ZZ</v>
          </cell>
          <cell r="N5067">
            <v>25.3164556962025</v>
          </cell>
        </row>
        <row r="5068">
          <cell r="E5068" t="str">
            <v>HGC-Lib-2456804</v>
          </cell>
          <cell r="F5068" t="str">
            <v>T831+T837pooling6</v>
          </cell>
          <cell r="G5068">
            <v>12</v>
          </cell>
          <cell r="H5068" t="str">
            <v>small RNA文库</v>
          </cell>
          <cell r="I5068" t="str">
            <v>ZZ</v>
          </cell>
          <cell r="J5068">
            <v>9.0500000000000007</v>
          </cell>
          <cell r="K5068">
            <v>390</v>
          </cell>
          <cell r="L5068" t="str">
            <v>ZZ</v>
          </cell>
          <cell r="N5068">
            <v>35.700197238658802</v>
          </cell>
        </row>
        <row r="5069">
          <cell r="E5069" t="str">
            <v>HGC-POOL-2456805</v>
          </cell>
          <cell r="F5069" t="str">
            <v>T818pooling</v>
          </cell>
          <cell r="G5069">
            <v>18</v>
          </cell>
          <cell r="H5069" t="str">
            <v>WES/panel捕获文库</v>
          </cell>
          <cell r="I5069" t="str">
            <v>ZZ</v>
          </cell>
          <cell r="J5069">
            <v>2.2799999999999998</v>
          </cell>
          <cell r="K5069">
            <v>401</v>
          </cell>
          <cell r="L5069" t="str">
            <v>ZZ</v>
          </cell>
          <cell r="N5069">
            <v>8.7473623633224609</v>
          </cell>
        </row>
        <row r="5070">
          <cell r="E5070" t="str">
            <v>HGC-Lib-2456806</v>
          </cell>
          <cell r="F5070" t="str">
            <v>GDM20240717-1</v>
          </cell>
          <cell r="G5070">
            <v>3</v>
          </cell>
          <cell r="H5070" t="str">
            <v>全基因组文库</v>
          </cell>
          <cell r="I5070" t="str">
            <v>ZZ</v>
          </cell>
          <cell r="J5070">
            <v>1.21</v>
          </cell>
          <cell r="K5070">
            <v>242</v>
          </cell>
          <cell r="L5070" t="str">
            <v>ZZ</v>
          </cell>
          <cell r="N5070">
            <v>7.6923076923076898</v>
          </cell>
        </row>
        <row r="5071">
          <cell r="E5071" t="str">
            <v>HGC-Lib-2456807</v>
          </cell>
          <cell r="F5071">
            <v>1</v>
          </cell>
          <cell r="G5071">
            <v>10</v>
          </cell>
          <cell r="H5071" t="str">
            <v>甲基化文库</v>
          </cell>
          <cell r="I5071" t="str">
            <v>ZZ</v>
          </cell>
          <cell r="J5071">
            <v>5.94</v>
          </cell>
          <cell r="K5071">
            <v>416</v>
          </cell>
          <cell r="L5071" t="str">
            <v>ZZ</v>
          </cell>
          <cell r="N5071">
            <v>21.967455621301799</v>
          </cell>
        </row>
        <row r="5072">
          <cell r="E5072" t="str">
            <v>HGC-Lib-2456808</v>
          </cell>
          <cell r="F5072">
            <v>2</v>
          </cell>
          <cell r="G5072">
            <v>10</v>
          </cell>
          <cell r="H5072" t="str">
            <v>甲基化文库</v>
          </cell>
          <cell r="I5072" t="str">
            <v>ZZ</v>
          </cell>
          <cell r="J5072">
            <v>10.199999999999999</v>
          </cell>
          <cell r="K5072">
            <v>394</v>
          </cell>
          <cell r="L5072" t="str">
            <v>YHT</v>
          </cell>
          <cell r="N5072">
            <v>39.828192112456101</v>
          </cell>
        </row>
        <row r="5073">
          <cell r="E5073" t="str">
            <v>HGC-Lib-2456809</v>
          </cell>
          <cell r="F5073">
            <v>3</v>
          </cell>
          <cell r="G5073">
            <v>10</v>
          </cell>
          <cell r="H5073" t="str">
            <v>甲基化文库</v>
          </cell>
          <cell r="I5073" t="str">
            <v>ZZ</v>
          </cell>
          <cell r="J5073">
            <v>7.76</v>
          </cell>
          <cell r="K5073">
            <v>402</v>
          </cell>
          <cell r="L5073" t="str">
            <v>ZZ</v>
          </cell>
          <cell r="N5073">
            <v>29.697665518560999</v>
          </cell>
        </row>
        <row r="5074">
          <cell r="E5074" t="str">
            <v>HGC-Lib-2456810</v>
          </cell>
          <cell r="F5074">
            <v>4</v>
          </cell>
          <cell r="G5074">
            <v>10</v>
          </cell>
          <cell r="H5074" t="str">
            <v>甲基化文库</v>
          </cell>
          <cell r="I5074" t="str">
            <v>ZZ</v>
          </cell>
          <cell r="J5074">
            <v>13.6</v>
          </cell>
          <cell r="K5074">
            <v>419</v>
          </cell>
          <cell r="L5074" t="str">
            <v>YHT</v>
          </cell>
          <cell r="N5074">
            <v>49.9357444464843</v>
          </cell>
        </row>
        <row r="5075">
          <cell r="E5075" t="str">
            <v>HGC-Lib-2456811</v>
          </cell>
          <cell r="F5075">
            <v>5</v>
          </cell>
          <cell r="G5075">
            <v>10</v>
          </cell>
          <cell r="H5075" t="str">
            <v>甲基化文库</v>
          </cell>
          <cell r="I5075" t="str">
            <v>ZZ</v>
          </cell>
          <cell r="J5075">
            <v>10.3</v>
          </cell>
          <cell r="K5075">
            <v>417</v>
          </cell>
          <cell r="L5075" t="str">
            <v>YHT</v>
          </cell>
          <cell r="N5075">
            <v>38.000368935620699</v>
          </cell>
        </row>
        <row r="5076">
          <cell r="E5076" t="str">
            <v>HGC-Lib-2456812</v>
          </cell>
          <cell r="F5076">
            <v>6</v>
          </cell>
          <cell r="G5076">
            <v>10</v>
          </cell>
          <cell r="H5076" t="str">
            <v>甲基化文库</v>
          </cell>
          <cell r="I5076" t="str">
            <v>ZZ</v>
          </cell>
          <cell r="J5076">
            <v>11.1</v>
          </cell>
          <cell r="K5076">
            <v>394</v>
          </cell>
          <cell r="L5076" t="str">
            <v>YHT</v>
          </cell>
          <cell r="N5076">
            <v>43.342444357672797</v>
          </cell>
        </row>
        <row r="5077">
          <cell r="E5077" t="str">
            <v>HGC-Lib-2456813</v>
          </cell>
          <cell r="F5077" t="str">
            <v>nc-1</v>
          </cell>
          <cell r="G5077">
            <v>10</v>
          </cell>
          <cell r="H5077" t="str">
            <v>甲基化文库</v>
          </cell>
          <cell r="I5077" t="str">
            <v>ZZ</v>
          </cell>
          <cell r="J5077">
            <v>12</v>
          </cell>
          <cell r="K5077">
            <v>402</v>
          </cell>
          <cell r="L5077" t="str">
            <v>YHT</v>
          </cell>
          <cell r="N5077">
            <v>45.924225028702601</v>
          </cell>
        </row>
        <row r="5078">
          <cell r="E5078" t="str">
            <v>HGC-Lib-2456814</v>
          </cell>
          <cell r="F5078" t="str">
            <v>nc-2</v>
          </cell>
          <cell r="G5078">
            <v>10</v>
          </cell>
          <cell r="H5078" t="str">
            <v>甲基化文库</v>
          </cell>
          <cell r="I5078" t="str">
            <v>ZZ</v>
          </cell>
          <cell r="J5078">
            <v>8.6999999999999993</v>
          </cell>
          <cell r="K5078">
            <v>441</v>
          </cell>
          <cell r="L5078" t="str">
            <v>ZZ</v>
          </cell>
          <cell r="N5078">
            <v>30.3506017791732</v>
          </cell>
        </row>
        <row r="5079">
          <cell r="E5079" t="str">
            <v>HGC-Lib-2456815</v>
          </cell>
          <cell r="F5079" t="str">
            <v>nc-3</v>
          </cell>
          <cell r="G5079">
            <v>10</v>
          </cell>
          <cell r="H5079" t="str">
            <v>甲基化文库</v>
          </cell>
          <cell r="I5079" t="str">
            <v>ZZ</v>
          </cell>
          <cell r="J5079">
            <v>13.9</v>
          </cell>
          <cell r="K5079">
            <v>396</v>
          </cell>
          <cell r="L5079" t="str">
            <v>YHT</v>
          </cell>
          <cell r="N5079">
            <v>54.001554001553998</v>
          </cell>
        </row>
        <row r="5080">
          <cell r="E5080" t="str">
            <v>HGC-Lib-2456816</v>
          </cell>
          <cell r="F5080" t="str">
            <v>nc-4</v>
          </cell>
          <cell r="G5080">
            <v>10</v>
          </cell>
          <cell r="H5080" t="str">
            <v>甲基化文库</v>
          </cell>
          <cell r="I5080" t="str">
            <v>ZZ</v>
          </cell>
          <cell r="J5080">
            <v>14</v>
          </cell>
          <cell r="K5080">
            <v>390</v>
          </cell>
          <cell r="L5080" t="str">
            <v>YHT</v>
          </cell>
          <cell r="N5080">
            <v>55.2268244575937</v>
          </cell>
        </row>
        <row r="5081">
          <cell r="E5081" t="str">
            <v>HGC-Lib-2456817</v>
          </cell>
          <cell r="F5081" t="str">
            <v>nc-5</v>
          </cell>
          <cell r="G5081">
            <v>10</v>
          </cell>
          <cell r="H5081" t="str">
            <v>甲基化文库</v>
          </cell>
          <cell r="I5081" t="str">
            <v>ZZ</v>
          </cell>
          <cell r="J5081">
            <v>10.3</v>
          </cell>
          <cell r="K5081">
            <v>381</v>
          </cell>
          <cell r="L5081" t="str">
            <v>YHT</v>
          </cell>
          <cell r="N5081">
            <v>41.590954976781802</v>
          </cell>
        </row>
        <row r="5082">
          <cell r="E5082" t="str">
            <v>HGC-Lib-2456818</v>
          </cell>
          <cell r="F5082" t="str">
            <v>cp-1</v>
          </cell>
          <cell r="G5082">
            <v>10</v>
          </cell>
          <cell r="H5082" t="str">
            <v>甲基化文库</v>
          </cell>
          <cell r="I5082" t="str">
            <v>ZZ</v>
          </cell>
          <cell r="J5082">
            <v>18.8</v>
          </cell>
          <cell r="K5082">
            <v>382</v>
          </cell>
          <cell r="L5082" t="str">
            <v>YHT</v>
          </cell>
          <cell r="N5082">
            <v>75.714861055175206</v>
          </cell>
        </row>
        <row r="5083">
          <cell r="E5083" t="str">
            <v>HGC-Lib-2456819</v>
          </cell>
          <cell r="F5083" t="str">
            <v>cp-2</v>
          </cell>
          <cell r="G5083">
            <v>10</v>
          </cell>
          <cell r="H5083" t="str">
            <v>甲基化文库</v>
          </cell>
          <cell r="I5083" t="str">
            <v>ZZ</v>
          </cell>
          <cell r="J5083">
            <v>11.6</v>
          </cell>
          <cell r="K5083">
            <v>419</v>
          </cell>
          <cell r="L5083" t="str">
            <v>YHT</v>
          </cell>
          <cell r="N5083">
            <v>42.592252616118998</v>
          </cell>
        </row>
        <row r="5084">
          <cell r="E5084" t="str">
            <v>HGC-Lib-2456820</v>
          </cell>
          <cell r="F5084" t="str">
            <v>cp-3</v>
          </cell>
          <cell r="G5084">
            <v>10</v>
          </cell>
          <cell r="H5084" t="str">
            <v>甲基化文库</v>
          </cell>
          <cell r="I5084" t="str">
            <v>ZZ</v>
          </cell>
          <cell r="J5084">
            <v>11.2</v>
          </cell>
          <cell r="K5084">
            <v>398</v>
          </cell>
          <cell r="L5084" t="str">
            <v>YHT</v>
          </cell>
          <cell r="N5084">
            <v>43.2933900270584</v>
          </cell>
        </row>
        <row r="5085">
          <cell r="E5085" t="str">
            <v>HGC-Lib-2456821</v>
          </cell>
          <cell r="F5085" t="str">
            <v>cp-4</v>
          </cell>
          <cell r="G5085">
            <v>10</v>
          </cell>
          <cell r="H5085" t="str">
            <v>甲基化文库</v>
          </cell>
          <cell r="I5085" t="str">
            <v>ZZ</v>
          </cell>
          <cell r="J5085">
            <v>16.2</v>
          </cell>
          <cell r="K5085">
            <v>384</v>
          </cell>
          <cell r="L5085" t="str">
            <v>YHT</v>
          </cell>
          <cell r="N5085">
            <v>64.903846153846104</v>
          </cell>
        </row>
        <row r="5086">
          <cell r="E5086" t="str">
            <v>HGC-Lib-2456822</v>
          </cell>
          <cell r="F5086" t="str">
            <v>cp-5</v>
          </cell>
          <cell r="G5086">
            <v>10</v>
          </cell>
          <cell r="H5086" t="str">
            <v>甲基化文库</v>
          </cell>
          <cell r="I5086" t="str">
            <v>ZZ</v>
          </cell>
          <cell r="J5086">
            <v>10.6</v>
          </cell>
          <cell r="K5086">
            <v>388</v>
          </cell>
          <cell r="L5086" t="str">
            <v>YHT</v>
          </cell>
          <cell r="N5086">
            <v>42.030134813639997</v>
          </cell>
        </row>
        <row r="5087">
          <cell r="E5087" t="str">
            <v>HGC-Lib-2456823</v>
          </cell>
          <cell r="F5087" t="str">
            <v>BS-C-1-DNA</v>
          </cell>
          <cell r="G5087">
            <v>10</v>
          </cell>
          <cell r="H5087" t="str">
            <v>甲基化文库</v>
          </cell>
          <cell r="I5087" t="str">
            <v>ZZ</v>
          </cell>
          <cell r="J5087">
            <v>10</v>
          </cell>
          <cell r="K5087">
            <v>408</v>
          </cell>
          <cell r="L5087" t="str">
            <v>ZZ</v>
          </cell>
          <cell r="N5087">
            <v>37.707390648567099</v>
          </cell>
        </row>
        <row r="5088">
          <cell r="E5088" t="str">
            <v>HGC-Lib-2456824</v>
          </cell>
          <cell r="F5088" t="str">
            <v>BS-C-2-DNA</v>
          </cell>
          <cell r="G5088">
            <v>10</v>
          </cell>
          <cell r="H5088" t="str">
            <v>甲基化文库</v>
          </cell>
          <cell r="I5088" t="str">
            <v>ZZ</v>
          </cell>
          <cell r="J5088">
            <v>15.1</v>
          </cell>
          <cell r="K5088">
            <v>324</v>
          </cell>
          <cell r="L5088" t="str">
            <v>YHT</v>
          </cell>
          <cell r="N5088">
            <v>71.699905033238394</v>
          </cell>
        </row>
        <row r="5089">
          <cell r="E5089" t="str">
            <v>HGC-Lib-2456825</v>
          </cell>
          <cell r="F5089" t="str">
            <v>BS-C-3-DNA</v>
          </cell>
          <cell r="G5089">
            <v>10</v>
          </cell>
          <cell r="H5089" t="str">
            <v>甲基化文库</v>
          </cell>
          <cell r="I5089" t="str">
            <v>ZZ</v>
          </cell>
          <cell r="J5089">
            <v>16.2</v>
          </cell>
          <cell r="K5089">
            <v>297</v>
          </cell>
          <cell r="L5089" t="str">
            <v>YHT</v>
          </cell>
          <cell r="N5089">
            <v>83.916083916083906</v>
          </cell>
        </row>
        <row r="5090">
          <cell r="E5090" t="str">
            <v>HGC-Lib-2456826</v>
          </cell>
          <cell r="F5090" t="str">
            <v>BS-D-1-DNA</v>
          </cell>
          <cell r="G5090">
            <v>10</v>
          </cell>
          <cell r="H5090" t="str">
            <v>甲基化文库</v>
          </cell>
          <cell r="I5090" t="str">
            <v>ZZ</v>
          </cell>
          <cell r="J5090">
            <v>15.5</v>
          </cell>
          <cell r="K5090">
            <v>306</v>
          </cell>
          <cell r="L5090" t="str">
            <v>YHT</v>
          </cell>
          <cell r="N5090">
            <v>77.928607340372096</v>
          </cell>
        </row>
        <row r="5091">
          <cell r="E5091" t="str">
            <v>HGC-Lib-2456827</v>
          </cell>
          <cell r="F5091" t="str">
            <v>BS-D-2-DNA</v>
          </cell>
          <cell r="G5091">
            <v>10</v>
          </cell>
          <cell r="H5091" t="str">
            <v>甲基化文库</v>
          </cell>
          <cell r="I5091" t="str">
            <v>ZZ</v>
          </cell>
          <cell r="J5091">
            <v>15.8</v>
          </cell>
          <cell r="K5091">
            <v>308</v>
          </cell>
          <cell r="L5091" t="str">
            <v>YHT</v>
          </cell>
          <cell r="N5091">
            <v>78.921078921078902</v>
          </cell>
        </row>
        <row r="5092">
          <cell r="E5092" t="str">
            <v>HGC-Lib-2456828</v>
          </cell>
          <cell r="F5092" t="str">
            <v>BS-D-3-DNA</v>
          </cell>
          <cell r="G5092">
            <v>10</v>
          </cell>
          <cell r="H5092" t="str">
            <v>甲基化文库</v>
          </cell>
          <cell r="I5092" t="str">
            <v>ZZ</v>
          </cell>
          <cell r="J5092">
            <v>11.4</v>
          </cell>
          <cell r="K5092">
            <v>337</v>
          </cell>
          <cell r="L5092" t="str">
            <v>YHT</v>
          </cell>
          <cell r="N5092">
            <v>52.0429125770372</v>
          </cell>
        </row>
        <row r="5093">
          <cell r="E5093" t="str">
            <v>HGC-Lib-2456829</v>
          </cell>
          <cell r="F5093" t="str">
            <v>OX-C-1-DNA</v>
          </cell>
          <cell r="G5093">
            <v>10</v>
          </cell>
          <cell r="H5093" t="str">
            <v>甲基化文库</v>
          </cell>
          <cell r="I5093" t="str">
            <v>ZZ</v>
          </cell>
          <cell r="J5093">
            <v>12.3</v>
          </cell>
          <cell r="K5093">
            <v>311</v>
          </cell>
          <cell r="L5093" t="str">
            <v>YHT</v>
          </cell>
          <cell r="N5093">
            <v>60.845906505070502</v>
          </cell>
        </row>
        <row r="5094">
          <cell r="E5094" t="str">
            <v>HGC-Lib-2456830</v>
          </cell>
          <cell r="F5094" t="str">
            <v>OX-C-2-DNA</v>
          </cell>
          <cell r="G5094">
            <v>10</v>
          </cell>
          <cell r="H5094" t="str">
            <v>甲基化文库</v>
          </cell>
          <cell r="I5094" t="str">
            <v>ZZ</v>
          </cell>
          <cell r="J5094">
            <v>11.3</v>
          </cell>
          <cell r="K5094">
            <v>298</v>
          </cell>
          <cell r="L5094" t="str">
            <v>YHT</v>
          </cell>
          <cell r="N5094">
            <v>58.337635518843598</v>
          </cell>
        </row>
        <row r="5095">
          <cell r="E5095" t="str">
            <v>HGC-Lib-2456831</v>
          </cell>
          <cell r="F5095" t="str">
            <v>OX-C-3-DNA</v>
          </cell>
          <cell r="G5095">
            <v>10</v>
          </cell>
          <cell r="H5095" t="str">
            <v>甲基化文库</v>
          </cell>
          <cell r="I5095" t="str">
            <v>ZZ</v>
          </cell>
          <cell r="J5095">
            <v>6.74</v>
          </cell>
          <cell r="K5095">
            <v>350</v>
          </cell>
          <cell r="L5095" t="str">
            <v>ZZ</v>
          </cell>
          <cell r="N5095">
            <v>29.626373626373599</v>
          </cell>
        </row>
        <row r="5096">
          <cell r="E5096" t="str">
            <v>HGC-Lib-2456832</v>
          </cell>
          <cell r="F5096" t="str">
            <v>OX-D-1-DNA</v>
          </cell>
          <cell r="G5096">
            <v>10</v>
          </cell>
          <cell r="H5096" t="str">
            <v>甲基化文库</v>
          </cell>
          <cell r="I5096" t="str">
            <v>ZZ</v>
          </cell>
          <cell r="J5096">
            <v>9.56</v>
          </cell>
          <cell r="K5096">
            <v>314</v>
          </cell>
          <cell r="L5096" t="str">
            <v>ZZ</v>
          </cell>
          <cell r="N5096">
            <v>46.839784419402299</v>
          </cell>
        </row>
        <row r="5097">
          <cell r="E5097" t="str">
            <v>HGC-Lib-2456833</v>
          </cell>
          <cell r="F5097" t="str">
            <v>OX-D-2-DNA</v>
          </cell>
          <cell r="G5097">
            <v>10</v>
          </cell>
          <cell r="H5097" t="str">
            <v>甲基化文库</v>
          </cell>
          <cell r="I5097" t="str">
            <v>ZZ</v>
          </cell>
          <cell r="J5097">
            <v>8.52</v>
          </cell>
          <cell r="K5097">
            <v>299</v>
          </cell>
          <cell r="L5097" t="str">
            <v>ZZ</v>
          </cell>
          <cell r="N5097">
            <v>43.83843581168</v>
          </cell>
        </row>
        <row r="5098">
          <cell r="E5098" t="str">
            <v>HGC-Lib-2456834</v>
          </cell>
          <cell r="F5098" t="str">
            <v>OX-D-3-DNA</v>
          </cell>
          <cell r="G5098">
            <v>10</v>
          </cell>
          <cell r="H5098" t="str">
            <v>甲基化文库</v>
          </cell>
          <cell r="I5098" t="str">
            <v>ZZ</v>
          </cell>
          <cell r="J5098">
            <v>9</v>
          </cell>
          <cell r="K5098">
            <v>294</v>
          </cell>
          <cell r="L5098" t="str">
            <v>ZZ</v>
          </cell>
          <cell r="N5098">
            <v>47.095761381475697</v>
          </cell>
        </row>
        <row r="5099">
          <cell r="E5099" t="str">
            <v>HGC-Lib-2456835</v>
          </cell>
          <cell r="F5099" t="str">
            <v>A549-virion-rep1</v>
          </cell>
          <cell r="G5099">
            <v>4</v>
          </cell>
          <cell r="H5099" t="str">
            <v>甲基化文库</v>
          </cell>
          <cell r="I5099" t="str">
            <v>ZZ</v>
          </cell>
          <cell r="J5099">
            <v>40.4</v>
          </cell>
          <cell r="K5099">
            <v>310</v>
          </cell>
          <cell r="L5099" t="str">
            <v>YHT</v>
          </cell>
          <cell r="N5099">
            <v>200.49627791563299</v>
          </cell>
        </row>
        <row r="5100">
          <cell r="E5100" t="str">
            <v>HGC-Lib-2456836</v>
          </cell>
          <cell r="F5100" t="str">
            <v>A549-virion-rep2</v>
          </cell>
          <cell r="G5100">
            <v>4</v>
          </cell>
          <cell r="H5100" t="str">
            <v>甲基化文库</v>
          </cell>
          <cell r="I5100" t="str">
            <v>ZZ</v>
          </cell>
          <cell r="J5100">
            <v>37.4</v>
          </cell>
          <cell r="K5100">
            <v>298</v>
          </cell>
          <cell r="L5100" t="str">
            <v>YHT</v>
          </cell>
          <cell r="N5100">
            <v>193.08208569953501</v>
          </cell>
        </row>
        <row r="5101">
          <cell r="E5101" t="str">
            <v>HGC-Lib-2456837</v>
          </cell>
          <cell r="F5101" t="str">
            <v>KO-virion-rep1</v>
          </cell>
          <cell r="G5101">
            <v>4</v>
          </cell>
          <cell r="H5101" t="str">
            <v>甲基化文库</v>
          </cell>
          <cell r="I5101" t="str">
            <v>ZZ</v>
          </cell>
          <cell r="J5101">
            <v>49.4</v>
          </cell>
          <cell r="K5101">
            <v>346</v>
          </cell>
          <cell r="L5101" t="str">
            <v>YHT</v>
          </cell>
          <cell r="N5101">
            <v>219.65317919075099</v>
          </cell>
        </row>
        <row r="5102">
          <cell r="E5102" t="str">
            <v>HGC-Lib-2456838</v>
          </cell>
          <cell r="F5102" t="str">
            <v>KO-virion-rep2</v>
          </cell>
          <cell r="G5102">
            <v>4</v>
          </cell>
          <cell r="H5102" t="str">
            <v>甲基化文库</v>
          </cell>
          <cell r="I5102" t="str">
            <v>ZZ</v>
          </cell>
          <cell r="J5102">
            <v>46.6</v>
          </cell>
          <cell r="K5102">
            <v>329</v>
          </cell>
          <cell r="L5102" t="str">
            <v>YHT</v>
          </cell>
          <cell r="N5102">
            <v>217.909749824643</v>
          </cell>
        </row>
        <row r="5103">
          <cell r="E5103" t="str">
            <v>HGC-Lib-2456839</v>
          </cell>
          <cell r="F5103" t="str">
            <v>A549-cell-rep1</v>
          </cell>
          <cell r="G5103">
            <v>12</v>
          </cell>
          <cell r="H5103" t="str">
            <v>甲基化文库</v>
          </cell>
          <cell r="I5103" t="str">
            <v>ZZ</v>
          </cell>
          <cell r="J5103">
            <v>102</v>
          </cell>
          <cell r="K5103">
            <v>335</v>
          </cell>
          <cell r="L5103" t="str">
            <v>YHT</v>
          </cell>
          <cell r="N5103">
            <v>468.42709529276698</v>
          </cell>
        </row>
        <row r="5104">
          <cell r="E5104" t="str">
            <v>HGC-Lib-2456840</v>
          </cell>
          <cell r="F5104" t="str">
            <v>A549-cell–rep2</v>
          </cell>
          <cell r="G5104">
            <v>12</v>
          </cell>
          <cell r="H5104" t="str">
            <v>甲基化文库</v>
          </cell>
          <cell r="I5104" t="str">
            <v>ZZ</v>
          </cell>
          <cell r="J5104">
            <v>86</v>
          </cell>
          <cell r="K5104">
            <v>340</v>
          </cell>
          <cell r="L5104" t="str">
            <v>YHT</v>
          </cell>
          <cell r="N5104">
            <v>389.14027149321299</v>
          </cell>
        </row>
        <row r="5105">
          <cell r="E5105" t="str">
            <v>HGC-Lib-2456841</v>
          </cell>
          <cell r="F5105" t="str">
            <v>KO–cell–rep1</v>
          </cell>
          <cell r="G5105">
            <v>12</v>
          </cell>
          <cell r="H5105" t="str">
            <v>甲基化文库</v>
          </cell>
          <cell r="I5105" t="str">
            <v>ZZ</v>
          </cell>
          <cell r="J5105">
            <v>66.400000000000006</v>
          </cell>
          <cell r="K5105">
            <v>329</v>
          </cell>
          <cell r="L5105" t="str">
            <v>YHT</v>
          </cell>
          <cell r="N5105">
            <v>310.498012625672</v>
          </cell>
        </row>
        <row r="5106">
          <cell r="E5106" t="str">
            <v>HGC-Lib-2456842</v>
          </cell>
          <cell r="F5106" t="str">
            <v>KO–cell–rep2</v>
          </cell>
          <cell r="G5106">
            <v>12</v>
          </cell>
          <cell r="H5106" t="str">
            <v>甲基化文库</v>
          </cell>
          <cell r="I5106" t="str">
            <v>ZZ</v>
          </cell>
          <cell r="J5106">
            <v>55.8</v>
          </cell>
          <cell r="K5106">
            <v>324</v>
          </cell>
          <cell r="L5106" t="str">
            <v>YHT</v>
          </cell>
          <cell r="N5106">
            <v>264.95726495726501</v>
          </cell>
        </row>
        <row r="5107">
          <cell r="E5107" t="str">
            <v>HGC-Lib-2456843</v>
          </cell>
          <cell r="F5107" t="str">
            <v>nc-1-RNA</v>
          </cell>
          <cell r="G5107">
            <v>12</v>
          </cell>
          <cell r="H5107" t="str">
            <v>mRNA文库</v>
          </cell>
          <cell r="I5107" t="str">
            <v>ZZ</v>
          </cell>
          <cell r="J5107">
            <v>15.5</v>
          </cell>
          <cell r="K5107">
            <v>395</v>
          </cell>
          <cell r="L5107" t="str">
            <v>YHT</v>
          </cell>
          <cell r="N5107">
            <v>60.3700097370983</v>
          </cell>
        </row>
        <row r="5108">
          <cell r="E5108" t="str">
            <v>HGC-Lib-2456844</v>
          </cell>
          <cell r="F5108" t="str">
            <v>nc-2-RNA</v>
          </cell>
          <cell r="G5108">
            <v>12</v>
          </cell>
          <cell r="H5108" t="str">
            <v>mRNA文库</v>
          </cell>
          <cell r="I5108" t="str">
            <v>ZZ</v>
          </cell>
          <cell r="J5108">
            <v>4.08</v>
          </cell>
          <cell r="K5108">
            <v>399</v>
          </cell>
          <cell r="L5108" t="str">
            <v>ZZ</v>
          </cell>
          <cell r="N5108">
            <v>15.7316367842684</v>
          </cell>
        </row>
        <row r="5109">
          <cell r="E5109" t="str">
            <v>HGC-Lib-2456845</v>
          </cell>
          <cell r="F5109" t="str">
            <v>nc-3-RNA</v>
          </cell>
          <cell r="G5109">
            <v>12</v>
          </cell>
          <cell r="H5109" t="str">
            <v>mRNA文库</v>
          </cell>
          <cell r="I5109" t="str">
            <v>ZZ</v>
          </cell>
          <cell r="J5109">
            <v>5.26</v>
          </cell>
          <cell r="K5109">
            <v>365</v>
          </cell>
          <cell r="L5109" t="str">
            <v>ZZ</v>
          </cell>
          <cell r="N5109">
            <v>22.170706006322401</v>
          </cell>
        </row>
        <row r="5110">
          <cell r="E5110" t="str">
            <v>HGC-Lib-2456846</v>
          </cell>
          <cell r="F5110" t="str">
            <v>nc-4-RNA</v>
          </cell>
          <cell r="G5110">
            <v>12</v>
          </cell>
          <cell r="H5110" t="str">
            <v>mRNA文库</v>
          </cell>
          <cell r="I5110" t="str">
            <v>ZZ</v>
          </cell>
          <cell r="J5110">
            <v>17.3</v>
          </cell>
          <cell r="K5110">
            <v>404</v>
          </cell>
          <cell r="L5110" t="str">
            <v>YHT</v>
          </cell>
          <cell r="N5110">
            <v>65.879664889565902</v>
          </cell>
        </row>
        <row r="5111">
          <cell r="E5111" t="str">
            <v>HGC-Lib-2456847</v>
          </cell>
          <cell r="F5111" t="str">
            <v>nc-5-RNA</v>
          </cell>
          <cell r="G5111">
            <v>12</v>
          </cell>
          <cell r="H5111" t="str">
            <v>mRNA文库</v>
          </cell>
          <cell r="I5111" t="str">
            <v>GZQ</v>
          </cell>
          <cell r="J5111">
            <v>3.36</v>
          </cell>
          <cell r="K5111">
            <v>429</v>
          </cell>
          <cell r="L5111" t="str">
            <v>ZZ</v>
          </cell>
          <cell r="N5111">
            <v>12.0494889725659</v>
          </cell>
        </row>
        <row r="5112">
          <cell r="E5112" t="str">
            <v>HGC-Lib-2456848</v>
          </cell>
          <cell r="F5112" t="str">
            <v>cp-1-RNA</v>
          </cell>
          <cell r="G5112">
            <v>12</v>
          </cell>
          <cell r="H5112" t="str">
            <v>mRNA文库</v>
          </cell>
          <cell r="I5112" t="str">
            <v>GZQ</v>
          </cell>
          <cell r="J5112">
            <v>37.6</v>
          </cell>
          <cell r="K5112">
            <v>435</v>
          </cell>
          <cell r="L5112" t="str">
            <v>YHT</v>
          </cell>
          <cell r="N5112">
            <v>132.979664014147</v>
          </cell>
        </row>
        <row r="5113">
          <cell r="E5113" t="str">
            <v>HGC-Lib-2456849</v>
          </cell>
          <cell r="F5113" t="str">
            <v>cp-2-RNA</v>
          </cell>
          <cell r="G5113">
            <v>12</v>
          </cell>
          <cell r="H5113" t="str">
            <v>mRNA文库</v>
          </cell>
          <cell r="I5113" t="str">
            <v>GZQ</v>
          </cell>
          <cell r="J5113">
            <v>1.88</v>
          </cell>
          <cell r="K5113">
            <v>431</v>
          </cell>
          <cell r="L5113" t="str">
            <v>ZZ</v>
          </cell>
          <cell r="N5113">
            <v>6.7106907014099599</v>
          </cell>
        </row>
        <row r="5114">
          <cell r="E5114" t="str">
            <v>HGC-Lib-2456850</v>
          </cell>
          <cell r="F5114" t="str">
            <v>cp-3-RNA</v>
          </cell>
          <cell r="G5114">
            <v>12</v>
          </cell>
          <cell r="H5114" t="str">
            <v>mRNA文库</v>
          </cell>
          <cell r="I5114" t="str">
            <v>GZQ</v>
          </cell>
          <cell r="J5114">
            <v>2.76</v>
          </cell>
          <cell r="K5114">
            <v>430</v>
          </cell>
          <cell r="L5114" t="str">
            <v>ZZ</v>
          </cell>
          <cell r="N5114">
            <v>9.8747763864042906</v>
          </cell>
        </row>
        <row r="5115">
          <cell r="E5115" t="str">
            <v>HGC-Lib-2456851</v>
          </cell>
          <cell r="F5115" t="str">
            <v>cp-4-RNA</v>
          </cell>
          <cell r="G5115">
            <v>12</v>
          </cell>
          <cell r="H5115" t="str">
            <v>mRNA文库</v>
          </cell>
          <cell r="I5115" t="str">
            <v>GZQ</v>
          </cell>
          <cell r="J5115">
            <v>6</v>
          </cell>
          <cell r="K5115">
            <v>423</v>
          </cell>
          <cell r="L5115" t="str">
            <v>ZZ</v>
          </cell>
          <cell r="N5115">
            <v>21.822149481724001</v>
          </cell>
        </row>
        <row r="5116">
          <cell r="E5116" t="str">
            <v>HGC-Lib-2456852</v>
          </cell>
          <cell r="F5116" t="str">
            <v>cp-5-RNA</v>
          </cell>
          <cell r="G5116">
            <v>12</v>
          </cell>
          <cell r="H5116" t="str">
            <v>mRNA文库</v>
          </cell>
          <cell r="I5116" t="str">
            <v>GZQ</v>
          </cell>
          <cell r="J5116">
            <v>1.9</v>
          </cell>
          <cell r="K5116">
            <v>308</v>
          </cell>
          <cell r="L5116" t="str">
            <v>ZZ</v>
          </cell>
          <cell r="N5116">
            <v>9.4905094905094902</v>
          </cell>
        </row>
        <row r="5117">
          <cell r="E5117" t="str">
            <v>HGC-Lib-2456853</v>
          </cell>
          <cell r="F5117" t="str">
            <v>IP-RC1</v>
          </cell>
          <cell r="G5117">
            <v>6</v>
          </cell>
          <cell r="H5117" t="str">
            <v>M7G文库</v>
          </cell>
          <cell r="I5117" t="str">
            <v>GZQ</v>
          </cell>
          <cell r="J5117">
            <v>40.200000000000003</v>
          </cell>
          <cell r="K5117">
            <v>328</v>
          </cell>
          <cell r="L5117" t="str">
            <v>YHT</v>
          </cell>
          <cell r="N5117">
            <v>188.55534709193199</v>
          </cell>
        </row>
        <row r="5118">
          <cell r="E5118" t="str">
            <v>HGC-Lib-2456854</v>
          </cell>
          <cell r="F5118" t="str">
            <v>IP-PR1</v>
          </cell>
          <cell r="G5118">
            <v>6</v>
          </cell>
          <cell r="H5118" t="str">
            <v>M7G文库</v>
          </cell>
          <cell r="I5118" t="str">
            <v>GZQ</v>
          </cell>
          <cell r="J5118">
            <v>46.6</v>
          </cell>
          <cell r="K5118">
            <v>320</v>
          </cell>
          <cell r="L5118" t="str">
            <v>YHT</v>
          </cell>
          <cell r="N5118">
            <v>224.038461538462</v>
          </cell>
        </row>
        <row r="5119">
          <cell r="E5119" t="str">
            <v>HGC-Lib-2456855</v>
          </cell>
          <cell r="F5119" t="str">
            <v>IP-RC2</v>
          </cell>
          <cell r="G5119">
            <v>6</v>
          </cell>
          <cell r="H5119" t="str">
            <v>M7G文库</v>
          </cell>
          <cell r="I5119" t="str">
            <v>GZQ</v>
          </cell>
          <cell r="J5119">
            <v>31.2</v>
          </cell>
          <cell r="K5119">
            <v>315</v>
          </cell>
          <cell r="L5119" t="str">
            <v>YHT</v>
          </cell>
          <cell r="N5119">
            <v>152.38095238095201</v>
          </cell>
        </row>
        <row r="5120">
          <cell r="E5120" t="str">
            <v>HGC-Lib-2456856</v>
          </cell>
          <cell r="F5120" t="str">
            <v>IP-RPR2</v>
          </cell>
          <cell r="G5120">
            <v>6</v>
          </cell>
          <cell r="H5120" t="str">
            <v>M7G文库</v>
          </cell>
          <cell r="I5120" t="str">
            <v>GZQ</v>
          </cell>
          <cell r="J5120">
            <v>59</v>
          </cell>
          <cell r="K5120">
            <v>313</v>
          </cell>
          <cell r="L5120" t="str">
            <v>YHT</v>
          </cell>
          <cell r="N5120">
            <v>289.99754239370799</v>
          </cell>
        </row>
        <row r="5121">
          <cell r="E5121" t="str">
            <v>HGC-Lib-2456857</v>
          </cell>
          <cell r="F5121" t="str">
            <v>IP-RRC3</v>
          </cell>
          <cell r="G5121">
            <v>6</v>
          </cell>
          <cell r="H5121" t="str">
            <v>M7G文库</v>
          </cell>
          <cell r="I5121" t="str">
            <v>GZQ</v>
          </cell>
          <cell r="J5121">
            <v>65.2</v>
          </cell>
          <cell r="K5121">
            <v>306</v>
          </cell>
          <cell r="L5121" t="str">
            <v>YHT</v>
          </cell>
          <cell r="N5121">
            <v>327.80291603821001</v>
          </cell>
        </row>
        <row r="5122">
          <cell r="E5122" t="str">
            <v>HGC-Lib-2456858</v>
          </cell>
          <cell r="F5122" t="str">
            <v>IP-RPR3</v>
          </cell>
          <cell r="G5122">
            <v>6</v>
          </cell>
          <cell r="H5122" t="str">
            <v>M7G文库</v>
          </cell>
          <cell r="I5122" t="str">
            <v>GZQ</v>
          </cell>
          <cell r="J5122">
            <v>28</v>
          </cell>
          <cell r="K5122">
            <v>313</v>
          </cell>
          <cell r="L5122" t="str">
            <v>YHT</v>
          </cell>
          <cell r="N5122">
            <v>137.625952322438</v>
          </cell>
        </row>
        <row r="5123">
          <cell r="E5123" t="str">
            <v>HGC-Lib-2456859</v>
          </cell>
          <cell r="F5123" t="str">
            <v>IP-RRC4</v>
          </cell>
          <cell r="G5123">
            <v>6</v>
          </cell>
          <cell r="H5123" t="str">
            <v>M7G文库</v>
          </cell>
          <cell r="I5123" t="str">
            <v>GZQ</v>
          </cell>
          <cell r="J5123">
            <v>16.3</v>
          </cell>
          <cell r="K5123">
            <v>316</v>
          </cell>
          <cell r="L5123" t="str">
            <v>YHT</v>
          </cell>
          <cell r="N5123">
            <v>79.357351509250293</v>
          </cell>
        </row>
        <row r="5124">
          <cell r="E5124" t="str">
            <v>HGC-Lib-2456860</v>
          </cell>
          <cell r="F5124" t="str">
            <v>IP-RPR4</v>
          </cell>
          <cell r="G5124">
            <v>6</v>
          </cell>
          <cell r="H5124" t="str">
            <v>M7G文库</v>
          </cell>
          <cell r="I5124" t="str">
            <v>GZQ</v>
          </cell>
          <cell r="J5124">
            <v>51.2</v>
          </cell>
          <cell r="K5124">
            <v>310</v>
          </cell>
          <cell r="L5124" t="str">
            <v>YHT</v>
          </cell>
          <cell r="N5124">
            <v>254.09429280397001</v>
          </cell>
        </row>
        <row r="5125">
          <cell r="E5125" t="str">
            <v>HGC-Lib-2456861</v>
          </cell>
          <cell r="F5125" t="str">
            <v>IP-RRC5</v>
          </cell>
          <cell r="G5125">
            <v>6</v>
          </cell>
          <cell r="H5125" t="str">
            <v>M7G文库</v>
          </cell>
          <cell r="I5125" t="str">
            <v>GZQ</v>
          </cell>
          <cell r="J5125">
            <v>40.6</v>
          </cell>
          <cell r="K5125">
            <v>325</v>
          </cell>
          <cell r="L5125" t="str">
            <v>YHT</v>
          </cell>
          <cell r="N5125">
            <v>192.18934911242599</v>
          </cell>
        </row>
        <row r="5126">
          <cell r="E5126" t="str">
            <v>HGC-Lib-2456862</v>
          </cell>
          <cell r="F5126" t="str">
            <v>IP-RPR5</v>
          </cell>
          <cell r="G5126">
            <v>6</v>
          </cell>
          <cell r="H5126" t="str">
            <v>M7G文库</v>
          </cell>
          <cell r="I5126" t="str">
            <v>GZQ</v>
          </cell>
          <cell r="J5126">
            <v>48.6</v>
          </cell>
          <cell r="K5126">
            <v>317</v>
          </cell>
          <cell r="L5126" t="str">
            <v>YHT</v>
          </cell>
          <cell r="N5126">
            <v>235.86508129094901</v>
          </cell>
        </row>
        <row r="5127">
          <cell r="E5127" t="str">
            <v>HGC-Lib-2456863</v>
          </cell>
          <cell r="F5127" t="str">
            <v>Input-RC1</v>
          </cell>
          <cell r="G5127">
            <v>6</v>
          </cell>
          <cell r="H5127" t="str">
            <v>M7G文库</v>
          </cell>
          <cell r="I5127" t="str">
            <v>GZQ</v>
          </cell>
          <cell r="J5127">
            <v>52.4</v>
          </cell>
          <cell r="K5127">
            <v>313</v>
          </cell>
          <cell r="L5127" t="str">
            <v>YHT</v>
          </cell>
          <cell r="N5127">
            <v>257.55713934627698</v>
          </cell>
        </row>
        <row r="5128">
          <cell r="E5128" t="str">
            <v>HGC-Lib-2456864</v>
          </cell>
          <cell r="F5128" t="str">
            <v>Input-PR1</v>
          </cell>
          <cell r="G5128">
            <v>6</v>
          </cell>
          <cell r="H5128" t="str">
            <v>M7G文库</v>
          </cell>
          <cell r="I5128" t="str">
            <v>GZQ</v>
          </cell>
          <cell r="J5128">
            <v>52.2</v>
          </cell>
          <cell r="K5128">
            <v>309</v>
          </cell>
          <cell r="L5128" t="str">
            <v>YHT</v>
          </cell>
          <cell r="N5128">
            <v>259.895444361464</v>
          </cell>
        </row>
        <row r="5129">
          <cell r="E5129" t="str">
            <v>HGC-Lib-2456865</v>
          </cell>
          <cell r="F5129" t="str">
            <v>Input-RC2</v>
          </cell>
          <cell r="G5129">
            <v>6</v>
          </cell>
          <cell r="H5129" t="str">
            <v>M7G文库</v>
          </cell>
          <cell r="I5129" t="str">
            <v>GZQ</v>
          </cell>
          <cell r="J5129">
            <v>51</v>
          </cell>
          <cell r="K5129">
            <v>304</v>
          </cell>
          <cell r="L5129" t="str">
            <v>YHT</v>
          </cell>
          <cell r="N5129">
            <v>258.09716599190301</v>
          </cell>
        </row>
        <row r="5130">
          <cell r="E5130" t="str">
            <v>HGC-Lib-2456866</v>
          </cell>
          <cell r="F5130" t="str">
            <v>Input-PR2</v>
          </cell>
          <cell r="G5130">
            <v>6</v>
          </cell>
          <cell r="H5130" t="str">
            <v>M7G文库</v>
          </cell>
          <cell r="I5130" t="str">
            <v>GZQ</v>
          </cell>
          <cell r="J5130">
            <v>58</v>
          </cell>
          <cell r="K5130">
            <v>303</v>
          </cell>
          <cell r="L5130" t="str">
            <v>YHT</v>
          </cell>
          <cell r="N5130">
            <v>294.49098756029503</v>
          </cell>
        </row>
        <row r="5131">
          <cell r="E5131" t="str">
            <v>HGC-Lib-2456867</v>
          </cell>
          <cell r="F5131" t="str">
            <v>Input-RC3</v>
          </cell>
          <cell r="G5131">
            <v>6</v>
          </cell>
          <cell r="H5131" t="str">
            <v>M7G文库</v>
          </cell>
          <cell r="I5131" t="str">
            <v>GZQ</v>
          </cell>
          <cell r="J5131">
            <v>54</v>
          </cell>
          <cell r="K5131">
            <v>298</v>
          </cell>
          <cell r="L5131" t="str">
            <v>YHT</v>
          </cell>
          <cell r="N5131">
            <v>278.78162106349998</v>
          </cell>
        </row>
        <row r="5132">
          <cell r="E5132" t="str">
            <v>HGC-Lib-2456868</v>
          </cell>
          <cell r="F5132" t="str">
            <v>Input-PR3</v>
          </cell>
          <cell r="G5132">
            <v>6</v>
          </cell>
          <cell r="H5132" t="str">
            <v>M7G文库</v>
          </cell>
          <cell r="I5132" t="str">
            <v>GZQ</v>
          </cell>
          <cell r="J5132">
            <v>40</v>
          </cell>
          <cell r="K5132">
            <v>293</v>
          </cell>
          <cell r="L5132" t="str">
            <v>YHT</v>
          </cell>
          <cell r="N5132">
            <v>210.02887897085799</v>
          </cell>
        </row>
        <row r="5133">
          <cell r="E5133" t="str">
            <v>HGC-Lib-2456869</v>
          </cell>
          <cell r="F5133" t="str">
            <v>Input-RC4</v>
          </cell>
          <cell r="G5133">
            <v>6</v>
          </cell>
          <cell r="H5133" t="str">
            <v>M7G文库</v>
          </cell>
          <cell r="I5133" t="str">
            <v>GZQ</v>
          </cell>
          <cell r="J5133">
            <v>38.6</v>
          </cell>
          <cell r="K5133">
            <v>302</v>
          </cell>
          <cell r="L5133" t="str">
            <v>YHT</v>
          </cell>
          <cell r="N5133">
            <v>196.637799286806</v>
          </cell>
        </row>
        <row r="5134">
          <cell r="E5134" t="str">
            <v>HGC-Lib-2456870</v>
          </cell>
          <cell r="F5134" t="str">
            <v>Input-PR4</v>
          </cell>
          <cell r="G5134">
            <v>6</v>
          </cell>
          <cell r="H5134" t="str">
            <v>M7G文库</v>
          </cell>
          <cell r="I5134" t="str">
            <v>GZQ</v>
          </cell>
          <cell r="J5134">
            <v>56</v>
          </cell>
          <cell r="K5134">
            <v>307</v>
          </cell>
          <cell r="L5134" t="str">
            <v>YHT</v>
          </cell>
          <cell r="N5134">
            <v>280.63142069656698</v>
          </cell>
        </row>
        <row r="5135">
          <cell r="E5135" t="str">
            <v>HGC-Lib-2456871</v>
          </cell>
          <cell r="F5135" t="str">
            <v>Input-RC5</v>
          </cell>
          <cell r="G5135">
            <v>6</v>
          </cell>
          <cell r="H5135" t="str">
            <v>M7G文库</v>
          </cell>
          <cell r="I5135" t="str">
            <v>GZQ</v>
          </cell>
          <cell r="J5135">
            <v>55.2</v>
          </cell>
          <cell r="K5135">
            <v>307</v>
          </cell>
          <cell r="L5135" t="str">
            <v>YHT</v>
          </cell>
          <cell r="N5135">
            <v>276.62240040090199</v>
          </cell>
        </row>
        <row r="5136">
          <cell r="E5136" t="str">
            <v>HGC-Lib-2456872</v>
          </cell>
          <cell r="F5136" t="str">
            <v>Input-PR5</v>
          </cell>
          <cell r="G5136">
            <v>6</v>
          </cell>
          <cell r="H5136" t="str">
            <v>M7G文库</v>
          </cell>
          <cell r="I5136" t="str">
            <v>GZQ</v>
          </cell>
          <cell r="J5136">
            <v>60.2</v>
          </cell>
          <cell r="K5136">
            <v>308</v>
          </cell>
          <cell r="L5136" t="str">
            <v>YHT</v>
          </cell>
          <cell r="N5136">
            <v>300.69930069930098</v>
          </cell>
        </row>
        <row r="5137">
          <cell r="E5137" t="str">
            <v>HGC-Lib-2456873</v>
          </cell>
          <cell r="F5137" t="str">
            <v>C3</v>
          </cell>
          <cell r="G5137">
            <v>20</v>
          </cell>
          <cell r="H5137" t="str">
            <v>甲基化文库</v>
          </cell>
          <cell r="I5137" t="str">
            <v>GZQ</v>
          </cell>
          <cell r="J5137">
            <v>40.200000000000003</v>
          </cell>
          <cell r="K5137">
            <v>368</v>
          </cell>
          <cell r="L5137" t="str">
            <v>YHT</v>
          </cell>
          <cell r="N5137">
            <v>168.06020066889599</v>
          </cell>
        </row>
        <row r="5138">
          <cell r="E5138" t="str">
            <v>HGC-Lib-2456874</v>
          </cell>
          <cell r="F5138" t="str">
            <v>L3</v>
          </cell>
          <cell r="G5138">
            <v>20</v>
          </cell>
          <cell r="H5138" t="str">
            <v>甲基化文库</v>
          </cell>
          <cell r="I5138" t="str">
            <v>GZQ</v>
          </cell>
          <cell r="J5138">
            <v>33</v>
          </cell>
          <cell r="K5138">
            <v>358</v>
          </cell>
          <cell r="L5138" t="str">
            <v>YHT</v>
          </cell>
          <cell r="N5138">
            <v>141.81349376880101</v>
          </cell>
        </row>
        <row r="5139">
          <cell r="E5139" t="str">
            <v>HGC-Lib-2456875</v>
          </cell>
          <cell r="F5139" t="str">
            <v>R4F1</v>
          </cell>
          <cell r="G5139">
            <v>10</v>
          </cell>
          <cell r="H5139" t="str">
            <v>甲基化文库</v>
          </cell>
          <cell r="I5139" t="str">
            <v>GZQ</v>
          </cell>
          <cell r="J5139">
            <v>8.86</v>
          </cell>
          <cell r="K5139">
            <v>412</v>
          </cell>
          <cell r="L5139" t="str">
            <v>ZZ</v>
          </cell>
          <cell r="N5139">
            <v>33.084391336818499</v>
          </cell>
        </row>
        <row r="5140">
          <cell r="E5140" t="str">
            <v>HGC-Lib-2456876</v>
          </cell>
          <cell r="F5140" t="str">
            <v>R5F1</v>
          </cell>
          <cell r="G5140">
            <v>10</v>
          </cell>
          <cell r="H5140" t="str">
            <v>甲基化文库</v>
          </cell>
          <cell r="I5140" t="str">
            <v>GZQ</v>
          </cell>
          <cell r="J5140">
            <v>13.5</v>
          </cell>
          <cell r="K5140">
            <v>408</v>
          </cell>
          <cell r="L5140" t="str">
            <v>YHT</v>
          </cell>
          <cell r="N5140">
            <v>50.904977375565601</v>
          </cell>
        </row>
        <row r="5141">
          <cell r="E5141" t="str">
            <v>HGC-Lib-2456877</v>
          </cell>
          <cell r="F5141" t="str">
            <v>R1F2</v>
          </cell>
          <cell r="G5141">
            <v>10</v>
          </cell>
          <cell r="H5141" t="str">
            <v>甲基化文库</v>
          </cell>
          <cell r="I5141" t="str">
            <v>GZQ</v>
          </cell>
          <cell r="J5141">
            <v>15.2</v>
          </cell>
          <cell r="K5141">
            <v>392</v>
          </cell>
          <cell r="L5141" t="str">
            <v>YHT</v>
          </cell>
          <cell r="N5141">
            <v>59.654631083202503</v>
          </cell>
        </row>
        <row r="5142">
          <cell r="E5142" t="str">
            <v>HGC-Lib-2456878</v>
          </cell>
          <cell r="F5142" t="str">
            <v>R2F2</v>
          </cell>
          <cell r="G5142">
            <v>10</v>
          </cell>
          <cell r="H5142" t="str">
            <v>甲基化文库</v>
          </cell>
          <cell r="I5142" t="str">
            <v>GZQ</v>
          </cell>
          <cell r="J5142">
            <v>21.8</v>
          </cell>
          <cell r="K5142">
            <v>354</v>
          </cell>
          <cell r="L5142" t="str">
            <v>YHT</v>
          </cell>
          <cell r="N5142">
            <v>94.741416775315102</v>
          </cell>
        </row>
        <row r="5143">
          <cell r="E5143" t="str">
            <v>HGC-Lib-2456879</v>
          </cell>
          <cell r="F5143" t="str">
            <v>R3F2</v>
          </cell>
          <cell r="G5143">
            <v>10</v>
          </cell>
          <cell r="H5143" t="str">
            <v>甲基化文库</v>
          </cell>
          <cell r="I5143" t="str">
            <v>GZQ</v>
          </cell>
          <cell r="J5143">
            <v>16.7</v>
          </cell>
          <cell r="K5143">
            <v>389</v>
          </cell>
          <cell r="L5143" t="str">
            <v>YHT</v>
          </cell>
          <cell r="N5143">
            <v>66.047063476369402</v>
          </cell>
        </row>
        <row r="5144">
          <cell r="E5144" t="str">
            <v>HGC-POOL-2456880</v>
          </cell>
          <cell r="F5144" t="str">
            <v>ssq_rice_20240716</v>
          </cell>
          <cell r="G5144">
            <v>144</v>
          </cell>
          <cell r="H5144" t="str">
            <v>ChIP-seq</v>
          </cell>
          <cell r="I5144" t="str">
            <v>GZQ</v>
          </cell>
          <cell r="J5144">
            <v>11.6</v>
          </cell>
          <cell r="K5144">
            <v>320</v>
          </cell>
          <cell r="L5144" t="str">
            <v>YHT</v>
          </cell>
          <cell r="N5144">
            <v>55.769230769230802</v>
          </cell>
        </row>
        <row r="5145">
          <cell r="E5145" t="str">
            <v>HGC-POOL-2456881</v>
          </cell>
          <cell r="F5145" t="str">
            <v>ssq_rice_20240717</v>
          </cell>
          <cell r="G5145">
            <v>144</v>
          </cell>
          <cell r="H5145" t="str">
            <v>ChIP-seq</v>
          </cell>
          <cell r="I5145" t="str">
            <v>GZQ</v>
          </cell>
          <cell r="J5145">
            <v>6.26</v>
          </cell>
          <cell r="K5145">
            <v>322</v>
          </cell>
          <cell r="L5145" t="str">
            <v>YHT</v>
          </cell>
          <cell r="N5145">
            <v>29.909221213569001</v>
          </cell>
        </row>
        <row r="5146">
          <cell r="E5146" t="str">
            <v>HGC-Lib-2456882</v>
          </cell>
          <cell r="F5146" t="str">
            <v>A9-mBrain-5K-0717</v>
          </cell>
          <cell r="G5146">
            <v>20</v>
          </cell>
          <cell r="H5146" t="str">
            <v>10× 3'单细胞</v>
          </cell>
          <cell r="I5146" t="str">
            <v>GZQ</v>
          </cell>
          <cell r="J5146">
            <v>29.3</v>
          </cell>
          <cell r="K5146">
            <v>383</v>
          </cell>
          <cell r="L5146" t="str">
            <v>YHT</v>
          </cell>
          <cell r="N5146">
            <v>117.694316127736</v>
          </cell>
        </row>
        <row r="5147">
          <cell r="E5147" t="str">
            <v>HGC-Lib-2456883</v>
          </cell>
          <cell r="F5147" t="str">
            <v>H9-TZ-prime1</v>
          </cell>
          <cell r="G5147">
            <v>6</v>
          </cell>
          <cell r="H5147" t="str">
            <v>mRNA文库</v>
          </cell>
          <cell r="I5147" t="str">
            <v>GZQ</v>
          </cell>
          <cell r="J5147">
            <v>98.4</v>
          </cell>
          <cell r="K5147">
            <v>481</v>
          </cell>
          <cell r="L5147" t="str">
            <v>YHT</v>
          </cell>
          <cell r="N5147">
            <v>314.72893011354603</v>
          </cell>
        </row>
        <row r="5148">
          <cell r="E5148" t="str">
            <v>HGC-Lib-2456884</v>
          </cell>
          <cell r="F5148" t="str">
            <v>H9-TZ-prime2</v>
          </cell>
          <cell r="G5148">
            <v>6</v>
          </cell>
          <cell r="H5148" t="str">
            <v>mRNA文库</v>
          </cell>
          <cell r="I5148" t="str">
            <v>GZQ</v>
          </cell>
          <cell r="J5148">
            <v>91.4</v>
          </cell>
          <cell r="K5148">
            <v>479</v>
          </cell>
          <cell r="L5148" t="str">
            <v>YHT</v>
          </cell>
          <cell r="N5148">
            <v>293.56030191103298</v>
          </cell>
        </row>
        <row r="5149">
          <cell r="E5149" t="str">
            <v>HGC-Lib-2456885</v>
          </cell>
          <cell r="F5149" t="str">
            <v>H9-TZ-4CL1</v>
          </cell>
          <cell r="G5149">
            <v>6</v>
          </cell>
          <cell r="H5149" t="str">
            <v>mRNA文库</v>
          </cell>
          <cell r="I5149" t="str">
            <v>GZQ</v>
          </cell>
          <cell r="J5149">
            <v>96.8</v>
          </cell>
          <cell r="K5149">
            <v>468</v>
          </cell>
          <cell r="L5149" t="str">
            <v>YHT</v>
          </cell>
          <cell r="N5149">
            <v>318.21170282708698</v>
          </cell>
        </row>
        <row r="5150">
          <cell r="E5150" t="str">
            <v>HGC-Lib-2456886</v>
          </cell>
          <cell r="F5150" t="str">
            <v>H9-TZ-4CL2</v>
          </cell>
          <cell r="G5150">
            <v>6</v>
          </cell>
          <cell r="H5150" t="str">
            <v>mRNA文库</v>
          </cell>
          <cell r="I5150" t="str">
            <v>GZQ</v>
          </cell>
          <cell r="J5150">
            <v>92.6</v>
          </cell>
          <cell r="K5150">
            <v>486</v>
          </cell>
          <cell r="L5150" t="str">
            <v>YHT</v>
          </cell>
          <cell r="N5150">
            <v>293.13073757518202</v>
          </cell>
        </row>
        <row r="5151">
          <cell r="E5151" t="str">
            <v>HGC-Lib-2456887</v>
          </cell>
          <cell r="F5151" t="str">
            <v>H9-TZ-e4CL1</v>
          </cell>
          <cell r="G5151">
            <v>6</v>
          </cell>
          <cell r="H5151" t="str">
            <v>mRNA文库</v>
          </cell>
          <cell r="I5151" t="str">
            <v>GZQ</v>
          </cell>
          <cell r="J5151">
            <v>90.4</v>
          </cell>
          <cell r="K5151">
            <v>493</v>
          </cell>
          <cell r="L5151" t="str">
            <v>YHT</v>
          </cell>
          <cell r="N5151">
            <v>282.10329224527999</v>
          </cell>
        </row>
        <row r="5152">
          <cell r="E5152" t="str">
            <v>HGC-Lib-2456888</v>
          </cell>
          <cell r="F5152" t="str">
            <v>H9-TZ-e4CL2</v>
          </cell>
          <cell r="G5152">
            <v>6</v>
          </cell>
          <cell r="H5152" t="str">
            <v>mRNA文库</v>
          </cell>
          <cell r="I5152" t="str">
            <v>GZQ</v>
          </cell>
          <cell r="J5152">
            <v>63.6</v>
          </cell>
          <cell r="K5152">
            <v>494</v>
          </cell>
          <cell r="L5152" t="str">
            <v>YHT</v>
          </cell>
          <cell r="N5152">
            <v>198.06913734039199</v>
          </cell>
        </row>
        <row r="5153">
          <cell r="E5153" t="str">
            <v>HGC-Lib-2456889</v>
          </cell>
          <cell r="F5153" t="str">
            <v>L240703032X3</v>
          </cell>
          <cell r="G5153">
            <v>100</v>
          </cell>
          <cell r="H5153" t="str">
            <v>10X 3'转录组文库</v>
          </cell>
          <cell r="I5153" t="str">
            <v>GZQ</v>
          </cell>
          <cell r="J5153">
            <v>10</v>
          </cell>
          <cell r="K5153">
            <v>525</v>
          </cell>
          <cell r="L5153" t="str">
            <v>YHT</v>
          </cell>
          <cell r="N5153">
            <v>29.304029304029299</v>
          </cell>
        </row>
        <row r="5154">
          <cell r="E5154" t="str">
            <v>HGC-Lib-2456909</v>
          </cell>
          <cell r="F5154" t="str">
            <v>Control</v>
          </cell>
          <cell r="G5154" t="str">
            <v>6G</v>
          </cell>
          <cell r="H5154" t="str">
            <v>RIP-seq文库</v>
          </cell>
          <cell r="I5154" t="str">
            <v>GZQ</v>
          </cell>
          <cell r="J5154">
            <v>31.4</v>
          </cell>
          <cell r="K5154">
            <v>269</v>
          </cell>
          <cell r="L5154" t="str">
            <v>YHT</v>
          </cell>
          <cell r="N5154">
            <v>179.58249928510199</v>
          </cell>
        </row>
        <row r="5155">
          <cell r="E5155" t="str">
            <v>HGC-Lib-2456910</v>
          </cell>
          <cell r="F5155" t="str">
            <v>SF</v>
          </cell>
          <cell r="G5155" t="str">
            <v>6G</v>
          </cell>
          <cell r="H5155" t="str">
            <v>RIP-seq文库</v>
          </cell>
          <cell r="I5155" t="str">
            <v>GZQ</v>
          </cell>
          <cell r="J5155">
            <v>35.200000000000003</v>
          </cell>
          <cell r="K5155">
            <v>268</v>
          </cell>
          <cell r="L5155" t="str">
            <v>YHT</v>
          </cell>
          <cell r="N5155">
            <v>202.066590126292</v>
          </cell>
        </row>
        <row r="5156">
          <cell r="E5156" t="str">
            <v>HGC-POOL-2456911</v>
          </cell>
          <cell r="F5156" t="str">
            <v>DZY-240711-TF</v>
          </cell>
          <cell r="G5156">
            <v>18</v>
          </cell>
          <cell r="H5156" t="str">
            <v>Chip-Seq</v>
          </cell>
          <cell r="I5156" t="str">
            <v>GZQ</v>
          </cell>
          <cell r="J5156">
            <v>9.5399999999999991</v>
          </cell>
          <cell r="K5156">
            <v>386</v>
          </cell>
          <cell r="L5156" t="str">
            <v>ZZ</v>
          </cell>
          <cell r="N5156">
            <v>38.023116779593501</v>
          </cell>
        </row>
        <row r="5157">
          <cell r="E5157" t="str">
            <v>HGC-Lib-2456912</v>
          </cell>
          <cell r="F5157" t="str">
            <v>CCL20240715</v>
          </cell>
          <cell r="G5157">
            <v>3</v>
          </cell>
          <cell r="H5157" t="str">
            <v>small RNA文库</v>
          </cell>
          <cell r="I5157" t="str">
            <v>GZQ</v>
          </cell>
          <cell r="J5157">
            <v>8.92</v>
          </cell>
          <cell r="K5157">
            <v>273</v>
          </cell>
          <cell r="L5157" t="str">
            <v>ZZ</v>
          </cell>
          <cell r="N5157">
            <v>50.267681036911803</v>
          </cell>
        </row>
        <row r="5158">
          <cell r="E5158" t="str">
            <v>HGC-Lib-2456913</v>
          </cell>
          <cell r="F5158" t="str">
            <v>CPL20240715</v>
          </cell>
          <cell r="G5158">
            <v>3</v>
          </cell>
          <cell r="H5158" t="str">
            <v>small RNA文库</v>
          </cell>
          <cell r="I5158" t="str">
            <v>GZQ</v>
          </cell>
          <cell r="J5158">
            <v>6.64</v>
          </cell>
          <cell r="K5158">
            <v>272</v>
          </cell>
          <cell r="L5158" t="str">
            <v>ZZ</v>
          </cell>
          <cell r="N5158">
            <v>37.556561085972803</v>
          </cell>
        </row>
        <row r="5159">
          <cell r="E5159" t="str">
            <v>HGC-POOL-2456914</v>
          </cell>
          <cell r="F5159" t="str">
            <v>240716-TM-RNA</v>
          </cell>
          <cell r="G5159">
            <v>24</v>
          </cell>
          <cell r="H5159" t="str">
            <v>mRNA文库</v>
          </cell>
          <cell r="I5159" t="str">
            <v>GZQ</v>
          </cell>
          <cell r="J5159">
            <v>18</v>
          </cell>
          <cell r="K5159">
            <v>399</v>
          </cell>
          <cell r="L5159" t="str">
            <v>YHT</v>
          </cell>
          <cell r="N5159">
            <v>69.404279930595706</v>
          </cell>
        </row>
        <row r="5160">
          <cell r="E5160" t="str">
            <v>HGC-POOL-2456915</v>
          </cell>
          <cell r="F5160" t="str">
            <v>240715-TM-RPF</v>
          </cell>
          <cell r="G5160">
            <v>40</v>
          </cell>
          <cell r="H5160" t="str">
            <v>Ribo-Seq文库</v>
          </cell>
          <cell r="I5160" t="str">
            <v>GZQ</v>
          </cell>
          <cell r="J5160">
            <v>15.6</v>
          </cell>
          <cell r="K5160">
            <v>163</v>
          </cell>
          <cell r="L5160" t="str">
            <v>YHT</v>
          </cell>
          <cell r="N5160">
            <v>147.23926380368101</v>
          </cell>
        </row>
        <row r="5161">
          <cell r="E5161" t="str">
            <v>HGC-POOL-2456917</v>
          </cell>
          <cell r="F5161" t="str">
            <v>WK0718-1</v>
          </cell>
          <cell r="G5161">
            <v>9</v>
          </cell>
          <cell r="H5161" t="str">
            <v>HGC20200907004-0619</v>
          </cell>
          <cell r="I5161" t="str">
            <v>HZK</v>
          </cell>
          <cell r="J5161">
            <v>0.89600000000000002</v>
          </cell>
          <cell r="K5161">
            <v>401</v>
          </cell>
          <cell r="N5161">
            <v>3.4375599462881299</v>
          </cell>
        </row>
        <row r="5162">
          <cell r="E5162" t="str">
            <v>HGC-Lib-2456918</v>
          </cell>
          <cell r="F5162" t="str">
            <v>hitomcll290</v>
          </cell>
          <cell r="G5162">
            <v>2</v>
          </cell>
          <cell r="H5162" t="str">
            <v>PCR片段文库</v>
          </cell>
          <cell r="I5162" t="str">
            <v>HZK</v>
          </cell>
          <cell r="J5162">
            <v>66.400000000000006</v>
          </cell>
          <cell r="K5162">
            <v>426</v>
          </cell>
          <cell r="N5162">
            <v>239.79776092452201</v>
          </cell>
        </row>
        <row r="5163">
          <cell r="E5163" t="str">
            <v>HGC-Lib-2456919</v>
          </cell>
          <cell r="F5163" t="str">
            <v>hitomcll291</v>
          </cell>
          <cell r="G5163">
            <v>2</v>
          </cell>
          <cell r="H5163" t="str">
            <v>PCR片段文库</v>
          </cell>
          <cell r="I5163" t="str">
            <v>HZK</v>
          </cell>
          <cell r="J5163">
            <v>51.8</v>
          </cell>
          <cell r="K5163">
            <v>430</v>
          </cell>
          <cell r="N5163">
            <v>185.330948121646</v>
          </cell>
        </row>
        <row r="5164">
          <cell r="E5164" t="str">
            <v>HGC-Lib-2456920</v>
          </cell>
          <cell r="F5164" t="str">
            <v>hitomcll292</v>
          </cell>
          <cell r="G5164">
            <v>2</v>
          </cell>
          <cell r="H5164" t="str">
            <v>PCR片段文库</v>
          </cell>
          <cell r="I5164" t="str">
            <v>HZK</v>
          </cell>
          <cell r="J5164">
            <v>38.6</v>
          </cell>
          <cell r="K5164">
            <v>458</v>
          </cell>
          <cell r="N5164">
            <v>129.66073228082001</v>
          </cell>
        </row>
        <row r="5165">
          <cell r="E5165" t="str">
            <v>HGC-Lib-2456921</v>
          </cell>
          <cell r="F5165" t="str">
            <v>hitomcll293</v>
          </cell>
          <cell r="G5165">
            <v>2</v>
          </cell>
          <cell r="H5165" t="str">
            <v>PCR片段文库</v>
          </cell>
          <cell r="I5165" t="str">
            <v>HZK</v>
          </cell>
          <cell r="J5165">
            <v>38.200000000000003</v>
          </cell>
          <cell r="K5165">
            <v>450</v>
          </cell>
          <cell r="N5165">
            <v>130.59829059829099</v>
          </cell>
        </row>
        <row r="5166">
          <cell r="E5166" t="str">
            <v>HGC-Lib-2456922</v>
          </cell>
          <cell r="F5166" t="str">
            <v>hitomcll294</v>
          </cell>
          <cell r="G5166">
            <v>2</v>
          </cell>
          <cell r="H5166" t="str">
            <v>PCR片段文库</v>
          </cell>
          <cell r="I5166" t="str">
            <v>HZK</v>
          </cell>
          <cell r="J5166">
            <v>61.6</v>
          </cell>
          <cell r="K5166">
            <v>441</v>
          </cell>
          <cell r="N5166">
            <v>214.89621489621501</v>
          </cell>
        </row>
        <row r="5167">
          <cell r="E5167" t="str">
            <v>HGC-Lib-2456923</v>
          </cell>
          <cell r="F5167" t="str">
            <v>hitomcll295</v>
          </cell>
          <cell r="G5167">
            <v>2</v>
          </cell>
          <cell r="H5167" t="str">
            <v>PCR片段文库</v>
          </cell>
          <cell r="I5167" t="str">
            <v>HZK</v>
          </cell>
          <cell r="J5167">
            <v>98.2</v>
          </cell>
          <cell r="K5167">
            <v>402</v>
          </cell>
          <cell r="N5167">
            <v>375.81324148488301</v>
          </cell>
        </row>
        <row r="5168">
          <cell r="E5168" t="str">
            <v>HGC-Lib-2456924</v>
          </cell>
          <cell r="F5168" t="str">
            <v>hitomcll296</v>
          </cell>
          <cell r="G5168">
            <v>2</v>
          </cell>
          <cell r="H5168" t="str">
            <v>PCR片段文库</v>
          </cell>
          <cell r="I5168" t="str">
            <v>HZK</v>
          </cell>
          <cell r="J5168">
            <v>36</v>
          </cell>
          <cell r="K5168">
            <v>423</v>
          </cell>
          <cell r="N5168">
            <v>130.93289689034401</v>
          </cell>
        </row>
        <row r="5169">
          <cell r="E5169" t="str">
            <v>HGC-Lib-2456925</v>
          </cell>
          <cell r="F5169" t="str">
            <v>hitomcll297</v>
          </cell>
          <cell r="G5169">
            <v>2</v>
          </cell>
          <cell r="H5169" t="str">
            <v>PCR片段文库</v>
          </cell>
          <cell r="I5169" t="str">
            <v>HZK</v>
          </cell>
          <cell r="J5169">
            <v>35.4</v>
          </cell>
          <cell r="K5169">
            <v>437</v>
          </cell>
          <cell r="N5169">
            <v>124.625946136244</v>
          </cell>
        </row>
        <row r="5170">
          <cell r="E5170" t="str">
            <v>HGC-Lib-2456926</v>
          </cell>
          <cell r="F5170" t="str">
            <v>hitomcll298</v>
          </cell>
          <cell r="G5170">
            <v>2</v>
          </cell>
          <cell r="H5170" t="str">
            <v>PCR片段文库</v>
          </cell>
          <cell r="I5170" t="str">
            <v>HZK</v>
          </cell>
          <cell r="J5170">
            <v>83</v>
          </cell>
          <cell r="K5170">
            <v>430</v>
          </cell>
          <cell r="N5170">
            <v>296.95885509839002</v>
          </cell>
        </row>
        <row r="5171">
          <cell r="E5171" t="str">
            <v>HGC-Lib-2456927</v>
          </cell>
          <cell r="F5171" t="str">
            <v>hitomcll299</v>
          </cell>
          <cell r="G5171">
            <v>2</v>
          </cell>
          <cell r="H5171" t="str">
            <v>PCR片段文库</v>
          </cell>
          <cell r="I5171" t="str">
            <v>HZK</v>
          </cell>
          <cell r="J5171">
            <v>89.8</v>
          </cell>
          <cell r="K5171">
            <v>414</v>
          </cell>
          <cell r="N5171">
            <v>333.70494240059497</v>
          </cell>
        </row>
        <row r="5172">
          <cell r="E5172" t="str">
            <v>HGC-Lib-2456928</v>
          </cell>
          <cell r="F5172" t="str">
            <v>hitomcll301</v>
          </cell>
          <cell r="G5172">
            <v>2</v>
          </cell>
          <cell r="H5172" t="str">
            <v>PCR片段文库</v>
          </cell>
          <cell r="I5172" t="str">
            <v>HZK</v>
          </cell>
          <cell r="J5172">
            <v>47</v>
          </cell>
          <cell r="K5172">
            <v>418</v>
          </cell>
          <cell r="N5172">
            <v>172.984909827015</v>
          </cell>
        </row>
        <row r="5173">
          <cell r="E5173" t="str">
            <v>HGC-Lib-2456929</v>
          </cell>
          <cell r="F5173" t="str">
            <v>hitomcll302</v>
          </cell>
          <cell r="G5173">
            <v>2</v>
          </cell>
          <cell r="H5173" t="str">
            <v>PCR片段文库</v>
          </cell>
          <cell r="I5173" t="str">
            <v>HZK</v>
          </cell>
          <cell r="J5173">
            <v>38.200000000000003</v>
          </cell>
          <cell r="K5173">
            <v>416</v>
          </cell>
          <cell r="N5173">
            <v>141.27218934911201</v>
          </cell>
        </row>
        <row r="5174">
          <cell r="E5174" t="str">
            <v>HGC-Lib-2456930</v>
          </cell>
          <cell r="F5174" t="str">
            <v>hitomcll303</v>
          </cell>
          <cell r="G5174">
            <v>2</v>
          </cell>
          <cell r="H5174" t="str">
            <v>PCR片段文库</v>
          </cell>
          <cell r="I5174" t="str">
            <v>HZK</v>
          </cell>
          <cell r="J5174">
            <v>53.2</v>
          </cell>
          <cell r="K5174">
            <v>431</v>
          </cell>
          <cell r="N5174">
            <v>189.89826878458001</v>
          </cell>
        </row>
        <row r="5175">
          <cell r="E5175" t="str">
            <v>HGC-Lib-2456931</v>
          </cell>
          <cell r="F5175" t="str">
            <v>hitomcll304</v>
          </cell>
          <cell r="G5175">
            <v>2</v>
          </cell>
          <cell r="H5175" t="str">
            <v>PCR片段文库</v>
          </cell>
          <cell r="I5175" t="str">
            <v>HZK</v>
          </cell>
          <cell r="J5175">
            <v>61.8</v>
          </cell>
          <cell r="K5175">
            <v>409</v>
          </cell>
          <cell r="N5175">
            <v>232.46191461350401</v>
          </cell>
        </row>
        <row r="5176">
          <cell r="E5176" t="str">
            <v>HGC-Lib-2456932</v>
          </cell>
          <cell r="F5176" t="str">
            <v>hitomcll305</v>
          </cell>
          <cell r="G5176">
            <v>2</v>
          </cell>
          <cell r="H5176" t="str">
            <v>PCR片段文库</v>
          </cell>
          <cell r="I5176" t="str">
            <v>HZK</v>
          </cell>
          <cell r="J5176">
            <v>33.200000000000003</v>
          </cell>
          <cell r="K5176">
            <v>397</v>
          </cell>
          <cell r="N5176">
            <v>128.65723696958</v>
          </cell>
        </row>
        <row r="5177">
          <cell r="E5177" t="str">
            <v>HGC-Lib-2456933</v>
          </cell>
          <cell r="F5177" t="str">
            <v>hitomcll306</v>
          </cell>
          <cell r="G5177">
            <v>2</v>
          </cell>
          <cell r="H5177" t="str">
            <v>PCR片段文库</v>
          </cell>
          <cell r="I5177" t="str">
            <v>HZK</v>
          </cell>
          <cell r="J5177">
            <v>32.6</v>
          </cell>
          <cell r="K5177">
            <v>415</v>
          </cell>
          <cell r="N5177">
            <v>120.852641334569</v>
          </cell>
        </row>
        <row r="5178">
          <cell r="E5178" t="str">
            <v>HGC-Lib-2456934</v>
          </cell>
          <cell r="F5178" t="str">
            <v>hitomcll307</v>
          </cell>
          <cell r="G5178">
            <v>2</v>
          </cell>
          <cell r="H5178" t="str">
            <v>PCR片段文库</v>
          </cell>
          <cell r="I5178" t="str">
            <v>HZK</v>
          </cell>
          <cell r="J5178">
            <v>54</v>
          </cell>
          <cell r="K5178">
            <v>392</v>
          </cell>
          <cell r="N5178">
            <v>211.93092621663999</v>
          </cell>
        </row>
        <row r="5179">
          <cell r="E5179" t="str">
            <v>HGC-Lib-2456935</v>
          </cell>
          <cell r="F5179" t="str">
            <v>hitomcll308</v>
          </cell>
          <cell r="G5179">
            <v>2</v>
          </cell>
          <cell r="H5179" t="str">
            <v>PCR片段文库</v>
          </cell>
          <cell r="I5179" t="str">
            <v>HZK</v>
          </cell>
          <cell r="J5179">
            <v>49.8</v>
          </cell>
          <cell r="K5179">
            <v>398</v>
          </cell>
          <cell r="N5179">
            <v>192.50096637031299</v>
          </cell>
        </row>
        <row r="5180">
          <cell r="E5180" t="str">
            <v>HGC-Lib-2456936</v>
          </cell>
          <cell r="F5180" t="str">
            <v>hitomcll309</v>
          </cell>
          <cell r="G5180">
            <v>2</v>
          </cell>
          <cell r="H5180" t="str">
            <v>PCR片段文库</v>
          </cell>
          <cell r="I5180" t="str">
            <v>HZK</v>
          </cell>
          <cell r="J5180">
            <v>81.8</v>
          </cell>
          <cell r="K5180">
            <v>396</v>
          </cell>
          <cell r="N5180">
            <v>317.79331779331801</v>
          </cell>
        </row>
        <row r="5181">
          <cell r="E5181" t="str">
            <v>HGC-Lib-2456937</v>
          </cell>
          <cell r="F5181" t="str">
            <v>hitomcll310</v>
          </cell>
          <cell r="I5181" t="str">
            <v>HZK</v>
          </cell>
          <cell r="J5181">
            <v>98.2</v>
          </cell>
          <cell r="K5181">
            <v>392</v>
          </cell>
          <cell r="N5181">
            <v>385.400313971743</v>
          </cell>
        </row>
        <row r="5182">
          <cell r="E5182" t="str">
            <v>HGC-POOL-2456958</v>
          </cell>
          <cell r="F5182" t="str">
            <v>ZH-73</v>
          </cell>
          <cell r="G5182" t="str">
            <v>60G</v>
          </cell>
          <cell r="H5182" t="str">
            <v>HGC20240326004-0006</v>
          </cell>
          <cell r="I5182" t="str">
            <v>HZK</v>
          </cell>
          <cell r="J5182">
            <v>20.8</v>
          </cell>
          <cell r="K5182">
            <v>630</v>
          </cell>
          <cell r="N5182">
            <v>50.793650793650798</v>
          </cell>
        </row>
        <row r="5183">
          <cell r="E5183" t="str">
            <v>HGC-Lib-2456973</v>
          </cell>
          <cell r="F5183" t="str">
            <v>NGS0324037-1</v>
          </cell>
          <cell r="G5183">
            <v>2</v>
          </cell>
          <cell r="H5183" t="str">
            <v>mRNA文库</v>
          </cell>
          <cell r="I5183" t="str">
            <v>TY</v>
          </cell>
          <cell r="J5183">
            <v>20.399999999999999</v>
          </cell>
          <cell r="N5183" t="e">
            <v>#DIV/0!</v>
          </cell>
        </row>
        <row r="5184">
          <cell r="E5184" t="str">
            <v>HGC-Lib-2456974</v>
          </cell>
          <cell r="F5184" t="str">
            <v>NGS0324037-2</v>
          </cell>
          <cell r="G5184">
            <v>2</v>
          </cell>
          <cell r="H5184" t="str">
            <v>mRNA文库</v>
          </cell>
          <cell r="I5184" t="str">
            <v>TY</v>
          </cell>
          <cell r="J5184">
            <v>17.899999999999999</v>
          </cell>
          <cell r="N5184" t="e">
            <v>#DIV/0!</v>
          </cell>
        </row>
        <row r="5185">
          <cell r="E5185" t="str">
            <v>HGC-Lib-2456975</v>
          </cell>
          <cell r="F5185" t="str">
            <v>NGS0324037-3</v>
          </cell>
          <cell r="G5185">
            <v>2</v>
          </cell>
          <cell r="H5185" t="str">
            <v>mRNA文库</v>
          </cell>
          <cell r="I5185" t="str">
            <v>TY</v>
          </cell>
          <cell r="J5185">
            <v>14.4</v>
          </cell>
          <cell r="N5185" t="e">
            <v>#DIV/0!</v>
          </cell>
        </row>
        <row r="5186">
          <cell r="E5186" t="str">
            <v>HGC-Lib-2456976</v>
          </cell>
          <cell r="F5186" t="str">
            <v>NGS0324037-4</v>
          </cell>
          <cell r="G5186">
            <v>2</v>
          </cell>
          <cell r="H5186" t="str">
            <v>mRNA文库</v>
          </cell>
          <cell r="I5186" t="str">
            <v>TY</v>
          </cell>
          <cell r="J5186">
            <v>5.32</v>
          </cell>
          <cell r="N5186" t="e">
            <v>#DIV/0!</v>
          </cell>
        </row>
        <row r="5187">
          <cell r="E5187" t="str">
            <v>HGC-Lib-2456977</v>
          </cell>
          <cell r="F5187" t="str">
            <v>NGS0324037-5</v>
          </cell>
          <cell r="G5187">
            <v>2</v>
          </cell>
          <cell r="H5187" t="str">
            <v>mRNA文库</v>
          </cell>
          <cell r="I5187" t="str">
            <v>TY</v>
          </cell>
          <cell r="J5187">
            <v>37.200000000000003</v>
          </cell>
          <cell r="N5187" t="e">
            <v>#DIV/0!</v>
          </cell>
        </row>
        <row r="5188">
          <cell r="E5188" t="str">
            <v>HGC-Lib-2456978</v>
          </cell>
          <cell r="F5188" t="str">
            <v>NGS0324037-7</v>
          </cell>
          <cell r="G5188">
            <v>3</v>
          </cell>
          <cell r="H5188" t="str">
            <v>mRNA文库</v>
          </cell>
          <cell r="I5188" t="str">
            <v>TY</v>
          </cell>
          <cell r="J5188">
            <v>16.100000000000001</v>
          </cell>
          <cell r="N5188" t="e">
            <v>#DIV/0!</v>
          </cell>
        </row>
        <row r="5189">
          <cell r="E5189" t="str">
            <v>HGC-Lib-2456979</v>
          </cell>
          <cell r="F5189" t="str">
            <v>NGS0324037-8</v>
          </cell>
          <cell r="G5189">
            <v>3</v>
          </cell>
          <cell r="H5189" t="str">
            <v>mRNA文库</v>
          </cell>
          <cell r="I5189" t="str">
            <v>TY</v>
          </cell>
          <cell r="J5189">
            <v>10.6</v>
          </cell>
          <cell r="N5189" t="e">
            <v>#DIV/0!</v>
          </cell>
        </row>
        <row r="5190">
          <cell r="E5190" t="str">
            <v>HGC-Lib-2456980</v>
          </cell>
          <cell r="F5190" t="str">
            <v>NGS0324037-9</v>
          </cell>
          <cell r="G5190">
            <v>3</v>
          </cell>
          <cell r="H5190" t="str">
            <v>mRNA文库</v>
          </cell>
          <cell r="I5190" t="str">
            <v>TY</v>
          </cell>
          <cell r="J5190">
            <v>8.86</v>
          </cell>
          <cell r="N5190" t="e">
            <v>#DIV/0!</v>
          </cell>
        </row>
        <row r="5191">
          <cell r="E5191" t="str">
            <v>HGC-Lib-2456981</v>
          </cell>
          <cell r="F5191" t="str">
            <v>NGS0324037-10</v>
          </cell>
          <cell r="G5191">
            <v>3</v>
          </cell>
          <cell r="H5191" t="str">
            <v>mRNA文库</v>
          </cell>
          <cell r="I5191" t="str">
            <v>TY</v>
          </cell>
          <cell r="J5191">
            <v>12.4</v>
          </cell>
          <cell r="N5191" t="e">
            <v>#DIV/0!</v>
          </cell>
        </row>
        <row r="5192">
          <cell r="E5192" t="str">
            <v>HGC-Lib-2456982</v>
          </cell>
          <cell r="F5192" t="str">
            <v>NGS0324037-11</v>
          </cell>
          <cell r="G5192">
            <v>3</v>
          </cell>
          <cell r="H5192" t="str">
            <v>mRNA文库</v>
          </cell>
          <cell r="I5192" t="str">
            <v>TY</v>
          </cell>
          <cell r="J5192">
            <v>2.64</v>
          </cell>
          <cell r="N5192" t="e">
            <v>#DIV/0!</v>
          </cell>
        </row>
        <row r="5193">
          <cell r="E5193" t="str">
            <v>HGC-Lib-2456983</v>
          </cell>
          <cell r="F5193" t="str">
            <v>NGS0324037-12</v>
          </cell>
          <cell r="G5193">
            <v>6</v>
          </cell>
          <cell r="H5193" t="str">
            <v>mRNA文库</v>
          </cell>
          <cell r="I5193" t="str">
            <v>TY</v>
          </cell>
          <cell r="J5193">
            <v>5.96</v>
          </cell>
          <cell r="N5193" t="e">
            <v>#DIV/0!</v>
          </cell>
        </row>
        <row r="5194">
          <cell r="E5194" t="str">
            <v>HGC-Lib-2456984</v>
          </cell>
          <cell r="F5194" t="str">
            <v>NGS0324037-13</v>
          </cell>
          <cell r="G5194">
            <v>2</v>
          </cell>
          <cell r="H5194" t="str">
            <v>mRNA文库</v>
          </cell>
          <cell r="I5194" t="str">
            <v>TY</v>
          </cell>
          <cell r="J5194">
            <v>17.3</v>
          </cell>
          <cell r="N5194" t="e">
            <v>#DIV/0!</v>
          </cell>
        </row>
        <row r="5195">
          <cell r="E5195" t="str">
            <v>HGC-Lib-2456985</v>
          </cell>
          <cell r="F5195" t="str">
            <v>NGS0324037-14</v>
          </cell>
          <cell r="G5195">
            <v>3</v>
          </cell>
          <cell r="H5195" t="str">
            <v>mRNA文库</v>
          </cell>
          <cell r="I5195" t="str">
            <v>TY</v>
          </cell>
          <cell r="J5195">
            <v>18.8</v>
          </cell>
          <cell r="N5195" t="e">
            <v>#DIV/0!</v>
          </cell>
        </row>
        <row r="5196">
          <cell r="E5196" t="str">
            <v>HGC-Lib-2456986</v>
          </cell>
          <cell r="F5196" t="str">
            <v>NGS0324037-15</v>
          </cell>
          <cell r="G5196">
            <v>6</v>
          </cell>
          <cell r="H5196" t="str">
            <v>mRNA文库</v>
          </cell>
          <cell r="I5196" t="str">
            <v>TY</v>
          </cell>
          <cell r="J5196">
            <v>10.8</v>
          </cell>
          <cell r="N5196" t="e">
            <v>#DIV/0!</v>
          </cell>
        </row>
        <row r="5197">
          <cell r="E5197" t="str">
            <v>HGC-Lib-2456987</v>
          </cell>
          <cell r="F5197" t="str">
            <v>NGS0324037-16</v>
          </cell>
          <cell r="G5197">
            <v>3</v>
          </cell>
          <cell r="H5197" t="str">
            <v>mRNA文库</v>
          </cell>
          <cell r="I5197" t="str">
            <v>TY</v>
          </cell>
          <cell r="J5197">
            <v>7.54</v>
          </cell>
          <cell r="N5197" t="e">
            <v>#DIV/0!</v>
          </cell>
        </row>
        <row r="5198">
          <cell r="E5198" t="str">
            <v>HGC-Lib-2456988</v>
          </cell>
          <cell r="F5198" t="str">
            <v>NGS0324037-17</v>
          </cell>
          <cell r="G5198">
            <v>3</v>
          </cell>
          <cell r="H5198" t="str">
            <v>mRNA文库</v>
          </cell>
          <cell r="I5198" t="str">
            <v>TY</v>
          </cell>
          <cell r="J5198">
            <v>16.2</v>
          </cell>
          <cell r="N5198" t="e">
            <v>#DIV/0!</v>
          </cell>
        </row>
        <row r="5199">
          <cell r="E5199" t="str">
            <v>HGC-Lib-2456989</v>
          </cell>
          <cell r="F5199" t="str">
            <v>NGS0324037-18</v>
          </cell>
          <cell r="G5199">
            <v>3</v>
          </cell>
          <cell r="H5199" t="str">
            <v>mRNA文库</v>
          </cell>
          <cell r="I5199" t="str">
            <v>TY</v>
          </cell>
          <cell r="J5199">
            <v>10.3</v>
          </cell>
          <cell r="N5199" t="e">
            <v>#DIV/0!</v>
          </cell>
        </row>
        <row r="5200">
          <cell r="E5200" t="str">
            <v>HGC-Lib-2456990</v>
          </cell>
          <cell r="F5200" t="str">
            <v>NGS0324037-19</v>
          </cell>
          <cell r="G5200">
            <v>3</v>
          </cell>
          <cell r="H5200" t="str">
            <v>mRNA文库</v>
          </cell>
          <cell r="I5200" t="str">
            <v>TY</v>
          </cell>
          <cell r="J5200">
            <v>9.24</v>
          </cell>
          <cell r="N5200" t="e">
            <v>#DIV/0!</v>
          </cell>
        </row>
        <row r="5201">
          <cell r="E5201" t="str">
            <v>HGC-Lib-2456991</v>
          </cell>
          <cell r="F5201" t="str">
            <v>NGS0324037-21</v>
          </cell>
          <cell r="G5201">
            <v>6</v>
          </cell>
          <cell r="H5201" t="str">
            <v>mRNA文库</v>
          </cell>
          <cell r="I5201" t="str">
            <v>TY</v>
          </cell>
          <cell r="J5201">
            <v>5.86</v>
          </cell>
          <cell r="N5201" t="e">
            <v>#DIV/0!</v>
          </cell>
        </row>
        <row r="5202">
          <cell r="E5202" t="str">
            <v>HGC-Lib-2456992</v>
          </cell>
          <cell r="F5202" t="str">
            <v>NGS0324037-22</v>
          </cell>
          <cell r="G5202">
            <v>4</v>
          </cell>
          <cell r="H5202" t="str">
            <v>mRNA文库</v>
          </cell>
          <cell r="I5202" t="str">
            <v>TY</v>
          </cell>
          <cell r="J5202">
            <v>9</v>
          </cell>
          <cell r="N5202" t="e">
            <v>#DIV/0!</v>
          </cell>
        </row>
        <row r="5203">
          <cell r="E5203" t="str">
            <v>HGC-Lib-2456993</v>
          </cell>
          <cell r="F5203" t="str">
            <v>NGS0324037-23</v>
          </cell>
          <cell r="G5203">
            <v>3</v>
          </cell>
          <cell r="H5203" t="str">
            <v>mRNA文库</v>
          </cell>
          <cell r="I5203" t="str">
            <v>TY</v>
          </cell>
          <cell r="J5203">
            <v>8.6999999999999993</v>
          </cell>
          <cell r="N5203" t="e">
            <v>#DIV/0!</v>
          </cell>
        </row>
        <row r="5204">
          <cell r="E5204" t="str">
            <v>HGC-Lib-2456994</v>
          </cell>
          <cell r="F5204" t="str">
            <v>NGS0324037-24</v>
          </cell>
          <cell r="G5204">
            <v>3</v>
          </cell>
          <cell r="H5204" t="str">
            <v>mRNA文库</v>
          </cell>
          <cell r="I5204" t="str">
            <v>TY</v>
          </cell>
          <cell r="J5204">
            <v>15.2</v>
          </cell>
          <cell r="N5204" t="e">
            <v>#DIV/0!</v>
          </cell>
        </row>
        <row r="5205">
          <cell r="E5205" t="str">
            <v>HGC-Lib-2456995</v>
          </cell>
          <cell r="F5205" t="str">
            <v>NGS0324037-25</v>
          </cell>
          <cell r="G5205">
            <v>3</v>
          </cell>
          <cell r="H5205" t="str">
            <v>mRNA文库</v>
          </cell>
          <cell r="I5205" t="str">
            <v>TY</v>
          </cell>
          <cell r="J5205">
            <v>26</v>
          </cell>
          <cell r="N5205" t="e">
            <v>#DIV/0!</v>
          </cell>
        </row>
        <row r="5206">
          <cell r="E5206" t="str">
            <v>HGC-Lib-2456996</v>
          </cell>
          <cell r="F5206" t="str">
            <v>NGS0324037-26</v>
          </cell>
          <cell r="G5206">
            <v>3</v>
          </cell>
          <cell r="H5206" t="str">
            <v>mRNA文库</v>
          </cell>
          <cell r="I5206" t="str">
            <v>TY</v>
          </cell>
          <cell r="J5206">
            <v>29.4</v>
          </cell>
          <cell r="N5206" t="e">
            <v>#DIV/0!</v>
          </cell>
        </row>
        <row r="5207">
          <cell r="E5207" t="str">
            <v>HGC-Lib-2456997</v>
          </cell>
          <cell r="F5207" t="str">
            <v>NGS0324037-27</v>
          </cell>
          <cell r="G5207">
            <v>3</v>
          </cell>
          <cell r="H5207" t="str">
            <v>mRNA文库</v>
          </cell>
          <cell r="I5207" t="str">
            <v>TY</v>
          </cell>
          <cell r="J5207">
            <v>27.4</v>
          </cell>
          <cell r="N5207" t="e">
            <v>#DIV/0!</v>
          </cell>
        </row>
        <row r="5208">
          <cell r="E5208" t="str">
            <v>HGC-Lib-2456998</v>
          </cell>
          <cell r="F5208" t="str">
            <v>NGS0324037-28</v>
          </cell>
          <cell r="G5208">
            <v>7</v>
          </cell>
          <cell r="H5208" t="str">
            <v>mRNA文库</v>
          </cell>
          <cell r="I5208" t="str">
            <v>TY</v>
          </cell>
          <cell r="J5208">
            <v>7.68</v>
          </cell>
          <cell r="N5208" t="e">
            <v>#DIV/0!</v>
          </cell>
        </row>
        <row r="5209">
          <cell r="E5209" t="str">
            <v>HGC-Lib-2456999</v>
          </cell>
          <cell r="F5209" t="str">
            <v>NGS0324037-29</v>
          </cell>
          <cell r="G5209">
            <v>2</v>
          </cell>
          <cell r="H5209" t="str">
            <v>mRNA文库</v>
          </cell>
          <cell r="I5209" t="str">
            <v>TY</v>
          </cell>
          <cell r="J5209">
            <v>7.86</v>
          </cell>
          <cell r="N5209" t="e">
            <v>#DIV/0!</v>
          </cell>
        </row>
        <row r="5210">
          <cell r="E5210" t="str">
            <v>HGC-Lib-2457000</v>
          </cell>
          <cell r="F5210" t="str">
            <v>NGS0324038-1</v>
          </cell>
          <cell r="G5210">
            <v>6</v>
          </cell>
          <cell r="H5210" t="str">
            <v>mRNA文库</v>
          </cell>
          <cell r="I5210" t="str">
            <v>TY</v>
          </cell>
          <cell r="J5210">
            <v>62.4</v>
          </cell>
          <cell r="N5210" t="e">
            <v>#DIV/0!</v>
          </cell>
        </row>
        <row r="5211">
          <cell r="E5211" t="str">
            <v>HGC-Lib-2457001</v>
          </cell>
          <cell r="F5211" t="str">
            <v>NGS0324038-2</v>
          </cell>
          <cell r="G5211">
            <v>6</v>
          </cell>
          <cell r="H5211" t="str">
            <v>mRNA文库</v>
          </cell>
          <cell r="I5211" t="str">
            <v>TY</v>
          </cell>
          <cell r="J5211">
            <v>25.6</v>
          </cell>
          <cell r="N5211" t="e">
            <v>#DIV/0!</v>
          </cell>
        </row>
        <row r="5212">
          <cell r="E5212" t="str">
            <v>HGC-Lib-2457002</v>
          </cell>
          <cell r="F5212" t="str">
            <v>NGS0324038-3</v>
          </cell>
          <cell r="G5212">
            <v>6</v>
          </cell>
          <cell r="H5212" t="str">
            <v>mRNA文库</v>
          </cell>
          <cell r="I5212" t="str">
            <v>TY</v>
          </cell>
          <cell r="J5212">
            <v>27.8</v>
          </cell>
          <cell r="N5212" t="e">
            <v>#DIV/0!</v>
          </cell>
        </row>
        <row r="5213">
          <cell r="E5213" t="str">
            <v>HGC-Lib-2457003</v>
          </cell>
          <cell r="F5213" t="str">
            <v>NGS0324038-4</v>
          </cell>
          <cell r="G5213">
            <v>6</v>
          </cell>
          <cell r="H5213" t="str">
            <v>mRNA文库</v>
          </cell>
          <cell r="I5213" t="str">
            <v>TY</v>
          </cell>
          <cell r="J5213">
            <v>27.8</v>
          </cell>
          <cell r="N5213" t="e">
            <v>#DIV/0!</v>
          </cell>
        </row>
        <row r="5214">
          <cell r="E5214" t="str">
            <v>HGC-Lib-2457004</v>
          </cell>
          <cell r="F5214" t="str">
            <v>NGS0324038-5</v>
          </cell>
          <cell r="G5214">
            <v>6</v>
          </cell>
          <cell r="H5214" t="str">
            <v>mRNA文库</v>
          </cell>
          <cell r="I5214" t="str">
            <v>TY</v>
          </cell>
          <cell r="J5214">
            <v>57.4</v>
          </cell>
          <cell r="N5214" t="e">
            <v>#DIV/0!</v>
          </cell>
        </row>
        <row r="5215">
          <cell r="E5215" t="str">
            <v>HGC-Lib-2457005</v>
          </cell>
          <cell r="F5215" t="str">
            <v>NGS0324038-6</v>
          </cell>
          <cell r="G5215">
            <v>6</v>
          </cell>
          <cell r="H5215" t="str">
            <v>mRNA文库</v>
          </cell>
          <cell r="I5215" t="str">
            <v>TY</v>
          </cell>
          <cell r="J5215">
            <v>64.400000000000006</v>
          </cell>
          <cell r="N5215" t="e">
            <v>#DIV/0!</v>
          </cell>
        </row>
        <row r="5216">
          <cell r="E5216" t="str">
            <v>HGC-Lib-2457006</v>
          </cell>
          <cell r="F5216" t="str">
            <v>NGS0324038-7</v>
          </cell>
          <cell r="G5216">
            <v>6</v>
          </cell>
          <cell r="H5216" t="str">
            <v>mRNA文库</v>
          </cell>
          <cell r="I5216" t="str">
            <v>TY</v>
          </cell>
          <cell r="J5216">
            <v>49</v>
          </cell>
          <cell r="N5216" t="e">
            <v>#DIV/0!</v>
          </cell>
        </row>
        <row r="5217">
          <cell r="E5217" t="str">
            <v>HGC-Lib-2457007</v>
          </cell>
          <cell r="F5217" t="str">
            <v>NGS0324038-8</v>
          </cell>
          <cell r="G5217">
            <v>6</v>
          </cell>
          <cell r="H5217" t="str">
            <v>mRNA文库</v>
          </cell>
          <cell r="I5217" t="str">
            <v>TY</v>
          </cell>
          <cell r="J5217">
            <v>71.599999999999994</v>
          </cell>
          <cell r="N5217" t="e">
            <v>#DIV/0!</v>
          </cell>
        </row>
        <row r="5218">
          <cell r="E5218" t="str">
            <v>HGC-Lib-2457008</v>
          </cell>
          <cell r="F5218" t="str">
            <v>NGS0324038-9</v>
          </cell>
          <cell r="G5218">
            <v>6</v>
          </cell>
          <cell r="H5218" t="str">
            <v>mRNA文库</v>
          </cell>
          <cell r="I5218" t="str">
            <v>TY</v>
          </cell>
          <cell r="J5218">
            <v>41.2</v>
          </cell>
          <cell r="N5218" t="e">
            <v>#DIV/0!</v>
          </cell>
        </row>
        <row r="5219">
          <cell r="E5219" t="str">
            <v>HGC-Lib-2457009</v>
          </cell>
          <cell r="F5219" t="str">
            <v>NGS0324038-10</v>
          </cell>
          <cell r="G5219">
            <v>6</v>
          </cell>
          <cell r="H5219" t="str">
            <v>mRNA文库</v>
          </cell>
          <cell r="I5219" t="str">
            <v>TY</v>
          </cell>
          <cell r="J5219">
            <v>41</v>
          </cell>
          <cell r="N5219" t="e">
            <v>#DIV/0!</v>
          </cell>
        </row>
        <row r="5220">
          <cell r="E5220" t="str">
            <v>HGC-Lib-2457010</v>
          </cell>
          <cell r="F5220" t="str">
            <v>NGS0324038-11</v>
          </cell>
          <cell r="G5220">
            <v>6</v>
          </cell>
          <cell r="H5220" t="str">
            <v>mRNA文库</v>
          </cell>
          <cell r="I5220" t="str">
            <v>TY</v>
          </cell>
          <cell r="J5220">
            <v>42.8</v>
          </cell>
          <cell r="N5220" t="e">
            <v>#DIV/0!</v>
          </cell>
        </row>
        <row r="5221">
          <cell r="E5221" t="str">
            <v>HGC-Lib-2457011</v>
          </cell>
          <cell r="F5221" t="str">
            <v>NGS0324038-12</v>
          </cell>
          <cell r="G5221">
            <v>6</v>
          </cell>
          <cell r="H5221" t="str">
            <v>mRNA文库</v>
          </cell>
          <cell r="I5221" t="str">
            <v>TY</v>
          </cell>
          <cell r="J5221">
            <v>17.3</v>
          </cell>
          <cell r="N5221" t="e">
            <v>#DIV/0!</v>
          </cell>
        </row>
        <row r="5222">
          <cell r="E5222" t="str">
            <v>HGC-Lib-2457012</v>
          </cell>
          <cell r="F5222" t="str">
            <v>LC240629086</v>
          </cell>
          <cell r="G5222">
            <v>100</v>
          </cell>
          <cell r="H5222" t="str">
            <v>singleron-3'转录组文库</v>
          </cell>
          <cell r="I5222" t="str">
            <v>TY</v>
          </cell>
          <cell r="J5222">
            <v>19.5</v>
          </cell>
          <cell r="N5222" t="e">
            <v>#DIV/0!</v>
          </cell>
        </row>
        <row r="5223">
          <cell r="E5223" t="str">
            <v>HGC-Lib-2457013</v>
          </cell>
          <cell r="F5223" t="str">
            <v>LFTC240713034</v>
          </cell>
          <cell r="G5223">
            <v>110</v>
          </cell>
          <cell r="H5223" t="str">
            <v>singleron-3'全长转录组文库</v>
          </cell>
          <cell r="I5223" t="str">
            <v>TY</v>
          </cell>
          <cell r="J5223">
            <v>20.6</v>
          </cell>
          <cell r="N5223" t="e">
            <v>#DIV/0!</v>
          </cell>
        </row>
        <row r="5224">
          <cell r="E5224" t="str">
            <v>HGC-Lib-2457014</v>
          </cell>
          <cell r="F5224" t="str">
            <v>LC240713030</v>
          </cell>
          <cell r="G5224">
            <v>150</v>
          </cell>
          <cell r="H5224" t="str">
            <v>singleron-3'转录组文库</v>
          </cell>
          <cell r="I5224" t="str">
            <v>TY</v>
          </cell>
          <cell r="J5224">
            <v>15.7</v>
          </cell>
          <cell r="N5224" t="e">
            <v>#DIV/0!</v>
          </cell>
        </row>
        <row r="5225">
          <cell r="E5225" t="str">
            <v>HGC-Lib-2457015</v>
          </cell>
          <cell r="F5225" t="str">
            <v>R240718001</v>
          </cell>
          <cell r="G5225">
            <v>5</v>
          </cell>
          <cell r="H5225" t="str">
            <v>singleron-3'转录组文库</v>
          </cell>
          <cell r="I5225" t="str">
            <v>TY</v>
          </cell>
          <cell r="J5225">
            <v>8.3000000000000007</v>
          </cell>
          <cell r="N5225" t="e">
            <v>#DIV/0!</v>
          </cell>
        </row>
        <row r="5226">
          <cell r="E5226" t="str">
            <v>HGC-Lib-2457016</v>
          </cell>
          <cell r="F5226" t="str">
            <v>R240718002</v>
          </cell>
          <cell r="G5226">
            <v>5</v>
          </cell>
          <cell r="H5226" t="str">
            <v>singleron-3'转录组文库</v>
          </cell>
          <cell r="I5226" t="str">
            <v>TY</v>
          </cell>
          <cell r="J5226">
            <v>6.56</v>
          </cell>
          <cell r="N5226" t="e">
            <v>#DIV/0!</v>
          </cell>
        </row>
        <row r="5227">
          <cell r="E5227" t="str">
            <v>HGC-Lib-2457017</v>
          </cell>
          <cell r="F5227" t="str">
            <v>R240718003</v>
          </cell>
          <cell r="G5227">
            <v>5</v>
          </cell>
          <cell r="H5227" t="str">
            <v>singleron-3'转录组文库</v>
          </cell>
          <cell r="I5227" t="str">
            <v>TY</v>
          </cell>
          <cell r="J5227">
            <v>5.84</v>
          </cell>
          <cell r="N5227" t="e">
            <v>#DIV/0!</v>
          </cell>
        </row>
        <row r="5228">
          <cell r="E5228" t="str">
            <v>HGC-Lib-2457018</v>
          </cell>
          <cell r="F5228" t="str">
            <v>R240718004</v>
          </cell>
          <cell r="G5228">
            <v>5</v>
          </cell>
          <cell r="H5228" t="str">
            <v>singleron-3'转录组文库</v>
          </cell>
          <cell r="I5228" t="str">
            <v>TY</v>
          </cell>
          <cell r="J5228">
            <v>6.36</v>
          </cell>
          <cell r="N5228" t="e">
            <v>#DIV/0!</v>
          </cell>
        </row>
        <row r="5229">
          <cell r="E5229" t="str">
            <v>HGC-Lib-2457019</v>
          </cell>
          <cell r="F5229" t="str">
            <v>R240718005</v>
          </cell>
          <cell r="G5229">
            <v>5</v>
          </cell>
          <cell r="H5229" t="str">
            <v>singleron-3'转录组文库</v>
          </cell>
          <cell r="I5229" t="str">
            <v>TY</v>
          </cell>
          <cell r="J5229">
            <v>6.38</v>
          </cell>
          <cell r="N5229" t="e">
            <v>#DIV/0!</v>
          </cell>
        </row>
        <row r="5230">
          <cell r="E5230" t="str">
            <v>HGC-Lib-2457020</v>
          </cell>
          <cell r="F5230" t="str">
            <v>R240718010</v>
          </cell>
          <cell r="G5230">
            <v>5</v>
          </cell>
          <cell r="H5230" t="str">
            <v>单细胞转录组文库</v>
          </cell>
          <cell r="I5230" t="str">
            <v>TY</v>
          </cell>
          <cell r="J5230">
            <v>6.24</v>
          </cell>
          <cell r="N5230" t="e">
            <v>#DIV/0!</v>
          </cell>
        </row>
        <row r="5231">
          <cell r="E5231" t="str">
            <v>HGC-Lib-2457021</v>
          </cell>
          <cell r="F5231" t="str">
            <v>R240718011</v>
          </cell>
          <cell r="G5231">
            <v>5</v>
          </cell>
          <cell r="H5231" t="str">
            <v>单细胞转录组文库</v>
          </cell>
          <cell r="I5231" t="str">
            <v>WWH</v>
          </cell>
          <cell r="J5231">
            <v>5.44</v>
          </cell>
          <cell r="N5231" t="e">
            <v>#DIV/0!</v>
          </cell>
        </row>
        <row r="5232">
          <cell r="E5232" t="str">
            <v>HGC-Lib-2457022</v>
          </cell>
          <cell r="F5232" t="str">
            <v>R240718012</v>
          </cell>
          <cell r="G5232">
            <v>5</v>
          </cell>
          <cell r="H5232" t="str">
            <v>其他碱基不平衡文库</v>
          </cell>
          <cell r="I5232" t="str">
            <v>WWH</v>
          </cell>
          <cell r="J5232">
            <v>28.4</v>
          </cell>
          <cell r="N5232" t="e">
            <v>#DIV/0!</v>
          </cell>
        </row>
        <row r="5233">
          <cell r="E5233" t="str">
            <v>HGC-Lib-2457023</v>
          </cell>
          <cell r="F5233" t="str">
            <v>R240718013</v>
          </cell>
          <cell r="G5233">
            <v>5</v>
          </cell>
          <cell r="H5233" t="str">
            <v>其他碱基不平衡文库</v>
          </cell>
          <cell r="I5233" t="str">
            <v>WWH</v>
          </cell>
          <cell r="J5233">
            <v>23.2</v>
          </cell>
          <cell r="N5233" t="e">
            <v>#DIV/0!</v>
          </cell>
        </row>
        <row r="5234">
          <cell r="E5234" t="str">
            <v>HGC-Lib-2457032</v>
          </cell>
          <cell r="F5234" t="str">
            <v>N_B_N4612-2D-Poly-AC843-2zhuan</v>
          </cell>
          <cell r="G5234">
            <v>6</v>
          </cell>
          <cell r="H5234" t="str">
            <v>N_B_N4612-2D-Poly-AC843-2zhuan</v>
          </cell>
          <cell r="I5234" t="str">
            <v>WWH</v>
          </cell>
          <cell r="J5234">
            <v>44.8</v>
          </cell>
          <cell r="N5234" t="e">
            <v>#DIV/0!</v>
          </cell>
        </row>
        <row r="5235">
          <cell r="E5235" t="str">
            <v>HGC-Lib-2457033</v>
          </cell>
          <cell r="F5235" t="str">
            <v>N_B_N4612-2E-Poly-AC282-3zhuan</v>
          </cell>
          <cell r="G5235">
            <v>6</v>
          </cell>
          <cell r="H5235" t="str">
            <v>N_B_N4612-2E-Poly-AC282-3zhuan</v>
          </cell>
          <cell r="I5235" t="str">
            <v>WWH</v>
          </cell>
          <cell r="J5235">
            <v>42</v>
          </cell>
          <cell r="N5235" t="e">
            <v>#DIV/0!</v>
          </cell>
        </row>
        <row r="5236">
          <cell r="E5236" t="str">
            <v>HGC-Lib-2457034</v>
          </cell>
          <cell r="F5236" t="str">
            <v>N_B_N4612-2F-Poly-AC843-1zhuan</v>
          </cell>
          <cell r="G5236">
            <v>6</v>
          </cell>
          <cell r="H5236" t="str">
            <v>N_B_N4612-2F-Poly-AC843-1zhuan</v>
          </cell>
          <cell r="I5236" t="str">
            <v>WWH</v>
          </cell>
          <cell r="J5236">
            <v>50.2</v>
          </cell>
          <cell r="N5236" t="e">
            <v>#DIV/0!</v>
          </cell>
        </row>
        <row r="5237">
          <cell r="E5237" t="str">
            <v>HGC-Lib-2457035</v>
          </cell>
          <cell r="F5237" t="str">
            <v>N_B_N4612-2G-Poly-AC282-2zhuan</v>
          </cell>
          <cell r="G5237">
            <v>6</v>
          </cell>
          <cell r="H5237" t="str">
            <v>N_B_N4612-2G-Poly-AC282-2zhuan</v>
          </cell>
          <cell r="I5237" t="str">
            <v>WWH</v>
          </cell>
          <cell r="J5237">
            <v>41.4</v>
          </cell>
          <cell r="N5237" t="e">
            <v>#DIV/0!</v>
          </cell>
        </row>
        <row r="5238">
          <cell r="E5238" t="str">
            <v>HGC-Lib-2457036</v>
          </cell>
          <cell r="F5238" t="str">
            <v>N_B_N4612-2H-Poly-AC282-1zhuan</v>
          </cell>
          <cell r="G5238">
            <v>6</v>
          </cell>
          <cell r="H5238" t="str">
            <v>N_B_N4612-2H-Poly-AC282-1zhuan</v>
          </cell>
          <cell r="I5238" t="str">
            <v>WWH</v>
          </cell>
          <cell r="J5238">
            <v>38.4</v>
          </cell>
          <cell r="N5238" t="e">
            <v>#DIV/0!</v>
          </cell>
        </row>
        <row r="5239">
          <cell r="E5239" t="str">
            <v>HGC-Lib-2457037</v>
          </cell>
          <cell r="F5239" t="str">
            <v>N_B_N4612-2K-Poly-AC95zhuan</v>
          </cell>
          <cell r="G5239">
            <v>6</v>
          </cell>
          <cell r="H5239" t="str">
            <v>N_B_N4612-2K-Poly-AC95zhuan</v>
          </cell>
          <cell r="I5239" t="str">
            <v>WWH</v>
          </cell>
          <cell r="J5239">
            <v>47.6</v>
          </cell>
          <cell r="N5239" t="e">
            <v>#DIV/0!</v>
          </cell>
        </row>
        <row r="5240">
          <cell r="E5240" t="str">
            <v>HGC-Lib-2457038</v>
          </cell>
          <cell r="F5240" t="str">
            <v>N_B_N4612-2M-Poly-ACP94zhuan</v>
          </cell>
          <cell r="G5240">
            <v>6</v>
          </cell>
          <cell r="H5240" t="str">
            <v>N_B_N4612-2M-Poly-ACP94zhuan</v>
          </cell>
          <cell r="I5240" t="str">
            <v>WWH</v>
          </cell>
          <cell r="J5240">
            <v>48.6</v>
          </cell>
          <cell r="N5240" t="e">
            <v>#DIV/0!</v>
          </cell>
        </row>
        <row r="5241">
          <cell r="E5241" t="str">
            <v>HGC-Lib-2457039</v>
          </cell>
          <cell r="F5241" t="str">
            <v>N_B_N4612-2N-Poly-ACP100-1zhuan</v>
          </cell>
          <cell r="G5241">
            <v>6</v>
          </cell>
          <cell r="H5241" t="str">
            <v>N_B_N4612-2N-Poly-ACP100-1zhuan</v>
          </cell>
          <cell r="I5241" t="str">
            <v>WWH</v>
          </cell>
          <cell r="J5241">
            <v>33.799999999999997</v>
          </cell>
          <cell r="N5241" t="e">
            <v>#DIV/0!</v>
          </cell>
        </row>
        <row r="5242">
          <cell r="E5242" t="str">
            <v>HGC-Lib-2457040</v>
          </cell>
          <cell r="F5242" t="str">
            <v>N_B_N4612-2P-Poly-ACP100-2zhuan</v>
          </cell>
          <cell r="G5242">
            <v>6</v>
          </cell>
          <cell r="H5242" t="str">
            <v>N_B_N4612-2P-Poly-ACP100-2zhuan</v>
          </cell>
          <cell r="I5242" t="str">
            <v>WWH</v>
          </cell>
          <cell r="J5242">
            <v>8.6999999999999993</v>
          </cell>
          <cell r="N5242" t="e">
            <v>#DIV/0!</v>
          </cell>
        </row>
        <row r="5243">
          <cell r="E5243" t="str">
            <v>HGC-Lib-2457041</v>
          </cell>
          <cell r="F5243" t="str">
            <v>N_B_N4612-2R-Poly-ACP94zhuan</v>
          </cell>
          <cell r="G5243">
            <v>6</v>
          </cell>
          <cell r="H5243" t="str">
            <v>N_B_N4612-2R-Poly-ACP94zhuan</v>
          </cell>
          <cell r="I5243" t="str">
            <v>WWH</v>
          </cell>
          <cell r="J5243">
            <v>41</v>
          </cell>
          <cell r="N5243" t="e">
            <v>#DIV/0!</v>
          </cell>
        </row>
        <row r="5244">
          <cell r="E5244" t="str">
            <v>HGC-Lib-2457042</v>
          </cell>
          <cell r="F5244" t="str">
            <v>N_B_N4612-2S-Poly-ACP7-2zhuan</v>
          </cell>
          <cell r="G5244">
            <v>6</v>
          </cell>
          <cell r="H5244" t="str">
            <v>N_B_N4612-2S-Poly-ACP7-2zhuan</v>
          </cell>
          <cell r="I5244" t="str">
            <v>WWH</v>
          </cell>
          <cell r="J5244">
            <v>33.6</v>
          </cell>
          <cell r="N5244" t="e">
            <v>#DIV/0!</v>
          </cell>
        </row>
        <row r="5245">
          <cell r="E5245" t="str">
            <v>HGC-Lib-2457043</v>
          </cell>
          <cell r="F5245" t="str">
            <v>N_B_N4612-2T-Poly-ACP71zhuan</v>
          </cell>
          <cell r="G5245">
            <v>6</v>
          </cell>
          <cell r="H5245" t="str">
            <v>N_B_N4612-2T-Poly-ACP71zhuan</v>
          </cell>
          <cell r="I5245" t="str">
            <v>WWH</v>
          </cell>
          <cell r="J5245">
            <v>17.399999999999999</v>
          </cell>
          <cell r="N5245" t="e">
            <v>#DIV/0!</v>
          </cell>
        </row>
        <row r="5246">
          <cell r="E5246" t="str">
            <v>HGC-Lib-2457044</v>
          </cell>
          <cell r="F5246" t="str">
            <v>N_B_N4612-2U-Poly-ACP6-1zhuan</v>
          </cell>
          <cell r="G5246">
            <v>6</v>
          </cell>
          <cell r="H5246" t="str">
            <v>N_B_N4612-2U-Poly-ACP6-1zhuan</v>
          </cell>
          <cell r="I5246" t="str">
            <v>WWH</v>
          </cell>
          <cell r="J5246">
            <v>62.4</v>
          </cell>
          <cell r="N5246" t="e">
            <v>#DIV/0!</v>
          </cell>
        </row>
        <row r="5247">
          <cell r="E5247" t="str">
            <v>HGC-Lib-2457045</v>
          </cell>
          <cell r="F5247" t="str">
            <v>N_B_N4612-2Z-Poly-ATP383-1zhuan</v>
          </cell>
          <cell r="G5247">
            <v>6</v>
          </cell>
          <cell r="H5247" t="str">
            <v>N_B_N4612-2Z-Poly-ATP383-1zhuan</v>
          </cell>
          <cell r="I5247" t="str">
            <v>XCL</v>
          </cell>
          <cell r="J5247">
            <v>46.2</v>
          </cell>
          <cell r="N5247" t="e">
            <v>#DIV/0!</v>
          </cell>
        </row>
        <row r="5248">
          <cell r="E5248" t="str">
            <v>HGC-Lib-2457046</v>
          </cell>
          <cell r="F5248" t="str">
            <v>N_B_N4612-30-Poly-ATP93-2zhuan</v>
          </cell>
          <cell r="G5248">
            <v>6</v>
          </cell>
          <cell r="H5248" t="str">
            <v>N_B_N4612-30-Poly-ATP93-2zhuan</v>
          </cell>
          <cell r="I5248" t="str">
            <v>XCL</v>
          </cell>
          <cell r="J5248">
            <v>5.0599999999999996</v>
          </cell>
          <cell r="N5248" t="e">
            <v>#DIV/0!</v>
          </cell>
        </row>
        <row r="5249">
          <cell r="E5249" t="str">
            <v>HGC-Lib-2457047</v>
          </cell>
          <cell r="F5249" t="str">
            <v>N_B_N4612-31-Poly-ATP383-2zhuan</v>
          </cell>
          <cell r="G5249">
            <v>6</v>
          </cell>
          <cell r="H5249" t="str">
            <v>N_B_N4612-31-Poly-ATP383-2zhuan</v>
          </cell>
          <cell r="I5249" t="str">
            <v>XCL</v>
          </cell>
          <cell r="J5249">
            <v>45</v>
          </cell>
          <cell r="N5249" t="e">
            <v>#DIV/0!</v>
          </cell>
        </row>
        <row r="5250">
          <cell r="E5250" t="str">
            <v>HGC-Lib-2457048</v>
          </cell>
          <cell r="F5250" t="str">
            <v>N_B_N4612-32-Poly-ATP93-1zhuan</v>
          </cell>
          <cell r="G5250">
            <v>6</v>
          </cell>
          <cell r="H5250" t="str">
            <v>N_B_N4612-32-Poly-ATP93-1zhuan</v>
          </cell>
          <cell r="I5250" t="str">
            <v>XCL</v>
          </cell>
          <cell r="J5250">
            <v>56.4</v>
          </cell>
          <cell r="N5250" t="e">
            <v>#DIV/0!</v>
          </cell>
        </row>
        <row r="5251">
          <cell r="E5251" t="str">
            <v>HGC-Lib-2457049</v>
          </cell>
          <cell r="F5251" t="str">
            <v>N_B_N4612-3B-Poly-AXP11-1</v>
          </cell>
          <cell r="G5251">
            <v>6</v>
          </cell>
          <cell r="H5251" t="str">
            <v>N_B_N4612-3B-Poly-AXP11-1</v>
          </cell>
          <cell r="I5251" t="str">
            <v>XCL</v>
          </cell>
          <cell r="J5251">
            <v>22.4</v>
          </cell>
          <cell r="N5251" t="e">
            <v>#DIV/0!</v>
          </cell>
        </row>
        <row r="5252">
          <cell r="E5252" t="str">
            <v>HGC-Lib-2457050</v>
          </cell>
          <cell r="F5252" t="str">
            <v>N_B_N4627-2G-Poly-ANC395_1</v>
          </cell>
          <cell r="G5252">
            <v>6</v>
          </cell>
          <cell r="H5252" t="str">
            <v>N_B_N4627-2G-Poly-ANC395_1</v>
          </cell>
          <cell r="I5252" t="str">
            <v>XCL</v>
          </cell>
          <cell r="J5252">
            <v>57</v>
          </cell>
          <cell r="N5252" t="e">
            <v>#DIV/0!</v>
          </cell>
        </row>
        <row r="5253">
          <cell r="E5253" t="str">
            <v>HGC-Lib-2457051</v>
          </cell>
          <cell r="F5253" t="str">
            <v>N_B_N4627-2H-Poly-ANC395_2</v>
          </cell>
          <cell r="G5253">
            <v>6</v>
          </cell>
          <cell r="H5253" t="str">
            <v>N_B_N4627-2H-Poly-ANC395_2</v>
          </cell>
          <cell r="I5253" t="str">
            <v>XCL</v>
          </cell>
          <cell r="J5253">
            <v>16.3</v>
          </cell>
          <cell r="N5253" t="e">
            <v>#DIV/0!</v>
          </cell>
        </row>
        <row r="5254">
          <cell r="E5254" t="str">
            <v>HGC-Lib-2457052</v>
          </cell>
          <cell r="F5254" t="str">
            <v>N_B_N4627-2J-Poly-ANC297_1</v>
          </cell>
          <cell r="G5254">
            <v>6</v>
          </cell>
          <cell r="H5254" t="str">
            <v>N_B_N4627-2J-Poly-ANC297_1</v>
          </cell>
          <cell r="I5254" t="str">
            <v>XCL</v>
          </cell>
          <cell r="J5254">
            <v>59</v>
          </cell>
          <cell r="N5254" t="e">
            <v>#DIV/0!</v>
          </cell>
        </row>
        <row r="5255">
          <cell r="E5255" t="str">
            <v>HGC-Lib-2457053</v>
          </cell>
          <cell r="F5255" t="str">
            <v>N_B_N4627-2K-Poly-ANC297_2</v>
          </cell>
          <cell r="G5255">
            <v>6</v>
          </cell>
          <cell r="H5255" t="str">
            <v>N_B_N4627-2K-Poly-ANC297_2</v>
          </cell>
          <cell r="I5255" t="str">
            <v>XCL</v>
          </cell>
          <cell r="J5255">
            <v>56.2</v>
          </cell>
          <cell r="N5255" t="e">
            <v>#DIV/0!</v>
          </cell>
        </row>
        <row r="5256">
          <cell r="E5256" t="str">
            <v>HGC-Lib-2457054</v>
          </cell>
          <cell r="F5256" t="str">
            <v>N_B_N4627-2M-Poly-ANC420_1</v>
          </cell>
          <cell r="G5256">
            <v>6</v>
          </cell>
          <cell r="H5256" t="str">
            <v>N_B_N4627-2M-Poly-ANC420_1</v>
          </cell>
          <cell r="I5256" t="str">
            <v>XCL</v>
          </cell>
          <cell r="J5256">
            <v>38</v>
          </cell>
          <cell r="N5256" t="e">
            <v>#DIV/0!</v>
          </cell>
        </row>
        <row r="5257">
          <cell r="E5257" t="str">
            <v>HGC-Lib-2457055</v>
          </cell>
          <cell r="F5257" t="str">
            <v>N_B_N4627-2N-Poly-ANC420_2</v>
          </cell>
          <cell r="G5257">
            <v>6</v>
          </cell>
          <cell r="H5257" t="str">
            <v>N_B_N4627-2N-Poly-ANC420_2</v>
          </cell>
          <cell r="I5257" t="str">
            <v>XCL</v>
          </cell>
          <cell r="J5257">
            <v>15.3</v>
          </cell>
          <cell r="N5257" t="e">
            <v>#DIV/0!</v>
          </cell>
        </row>
        <row r="5258">
          <cell r="E5258" t="str">
            <v>HGC-Lib-2457056</v>
          </cell>
          <cell r="F5258" t="str">
            <v>N_B_N4627-2P-Poly-ANC398_1</v>
          </cell>
          <cell r="G5258">
            <v>6</v>
          </cell>
          <cell r="H5258" t="str">
            <v>N_B_N4627-2P-Poly-ANC398_1</v>
          </cell>
          <cell r="I5258" t="str">
            <v>XCL</v>
          </cell>
          <cell r="J5258">
            <v>33.6</v>
          </cell>
          <cell r="N5258" t="e">
            <v>#DIV/0!</v>
          </cell>
        </row>
        <row r="5259">
          <cell r="E5259" t="str">
            <v>HGC-Lib-2457057</v>
          </cell>
          <cell r="F5259" t="str">
            <v>N_B_N4627-2Q-Poly-ANC398_2</v>
          </cell>
          <cell r="G5259">
            <v>6</v>
          </cell>
          <cell r="H5259" t="str">
            <v>N_B_N4627-2Q-Poly-ANC398_2</v>
          </cell>
          <cell r="I5259" t="str">
            <v>XCL</v>
          </cell>
          <cell r="J5259">
            <v>10.1</v>
          </cell>
          <cell r="N5259" t="e">
            <v>#DIV/0!</v>
          </cell>
        </row>
        <row r="5260">
          <cell r="E5260" t="str">
            <v>HGC-Lib-2457058</v>
          </cell>
          <cell r="F5260" t="str">
            <v>N_B_N4627-2R-Poly-ANC419</v>
          </cell>
          <cell r="G5260">
            <v>6</v>
          </cell>
          <cell r="H5260" t="str">
            <v>N_B_N4627-2R-Poly-ANC419</v>
          </cell>
          <cell r="I5260" t="str">
            <v>XCL</v>
          </cell>
          <cell r="J5260">
            <v>58.4</v>
          </cell>
          <cell r="N5260" t="e">
            <v>#DIV/0!</v>
          </cell>
        </row>
        <row r="5261">
          <cell r="E5261" t="str">
            <v>HGC-Lib-2457059</v>
          </cell>
          <cell r="F5261" t="str">
            <v>N_B_N4627-2S-Poly-AP298</v>
          </cell>
          <cell r="G5261">
            <v>6</v>
          </cell>
          <cell r="H5261" t="str">
            <v>N_B_N4627-2S-Poly-AP298</v>
          </cell>
          <cell r="I5261" t="str">
            <v>XCL</v>
          </cell>
          <cell r="J5261">
            <v>65.599999999999994</v>
          </cell>
          <cell r="N5261" t="e">
            <v>#DIV/0!</v>
          </cell>
        </row>
        <row r="5262">
          <cell r="E5262" t="str">
            <v>HGC-Lib-2457060</v>
          </cell>
          <cell r="F5262" t="str">
            <v>N_B_N4627-2T-Poly-AP298_1</v>
          </cell>
          <cell r="G5262">
            <v>6</v>
          </cell>
          <cell r="H5262" t="str">
            <v>N_B_N4627-2T-Poly-AP298_1</v>
          </cell>
          <cell r="I5262" t="str">
            <v>XCL</v>
          </cell>
          <cell r="J5262">
            <v>52</v>
          </cell>
          <cell r="N5262" t="e">
            <v>#DIV/0!</v>
          </cell>
        </row>
        <row r="5263">
          <cell r="E5263" t="str">
            <v>HGC-Lib-2457061</v>
          </cell>
          <cell r="F5263" t="str">
            <v>N_B_N4627-2U-Poly-AP295</v>
          </cell>
          <cell r="G5263">
            <v>6</v>
          </cell>
          <cell r="H5263" t="str">
            <v>N_B_N4627-2U-Poly-AP295</v>
          </cell>
          <cell r="I5263" t="str">
            <v>XCL</v>
          </cell>
          <cell r="J5263">
            <v>54.2</v>
          </cell>
          <cell r="N5263" t="e">
            <v>#DIV/0!</v>
          </cell>
        </row>
        <row r="5264">
          <cell r="E5264" t="str">
            <v>HGC-Lib-2457062</v>
          </cell>
          <cell r="F5264" t="str">
            <v>N_B_N4627-2V-Poly-AP295_1</v>
          </cell>
          <cell r="G5264">
            <v>6</v>
          </cell>
          <cell r="H5264" t="str">
            <v>N_B_N4627-2V-Poly-AP295_1</v>
          </cell>
          <cell r="I5264" t="str">
            <v>XCL</v>
          </cell>
          <cell r="J5264">
            <v>24.2</v>
          </cell>
          <cell r="N5264" t="e">
            <v>#DIV/0!</v>
          </cell>
        </row>
        <row r="5265">
          <cell r="E5265" t="str">
            <v>HGC-Lib-2457063</v>
          </cell>
          <cell r="F5265" t="str">
            <v>N_B_N4627-2W-Poly-AP296</v>
          </cell>
          <cell r="G5265">
            <v>6</v>
          </cell>
          <cell r="H5265" t="str">
            <v>N_B_N4627-2W-Poly-AP296</v>
          </cell>
          <cell r="I5265" t="str">
            <v>XCL</v>
          </cell>
          <cell r="J5265">
            <v>71.599999999999994</v>
          </cell>
          <cell r="N5265" t="e">
            <v>#DIV/0!</v>
          </cell>
        </row>
        <row r="5266">
          <cell r="E5266" t="str">
            <v>HGC-Lib-2457064</v>
          </cell>
          <cell r="F5266" t="str">
            <v>N_B_N4627-2X-Poly-AP296_1</v>
          </cell>
          <cell r="G5266">
            <v>6</v>
          </cell>
          <cell r="H5266" t="str">
            <v>N_B_N4627-2X-Poly-AP296_1</v>
          </cell>
          <cell r="I5266" t="str">
            <v>XCL</v>
          </cell>
          <cell r="J5266">
            <v>57.6</v>
          </cell>
          <cell r="N5266" t="e">
            <v>#DIV/0!</v>
          </cell>
        </row>
        <row r="5267">
          <cell r="E5267" t="str">
            <v>HGC-Lib-2457065</v>
          </cell>
          <cell r="F5267" t="str">
            <v>N_B_N4627-2Y-Poly-ATC419</v>
          </cell>
          <cell r="G5267">
            <v>6</v>
          </cell>
          <cell r="H5267" t="str">
            <v>N_B_N4627-2Y-Poly-ATC419</v>
          </cell>
          <cell r="I5267" t="str">
            <v>XCL</v>
          </cell>
          <cell r="J5267">
            <v>69.2</v>
          </cell>
          <cell r="N5267" t="e">
            <v>#DIV/0!</v>
          </cell>
        </row>
        <row r="5268">
          <cell r="E5268" t="str">
            <v>HGC-Lib-2457066</v>
          </cell>
          <cell r="F5268" t="str">
            <v>N_B_N4627-2Z-Poly-ATC14</v>
          </cell>
          <cell r="G5268">
            <v>6</v>
          </cell>
          <cell r="H5268" t="str">
            <v>N_B_N4627-2Z-Poly-ATC14</v>
          </cell>
          <cell r="I5268" t="str">
            <v>XCL</v>
          </cell>
          <cell r="J5268">
            <v>71</v>
          </cell>
          <cell r="N5268" t="e">
            <v>#DIV/0!</v>
          </cell>
        </row>
        <row r="5269">
          <cell r="E5269" t="str">
            <v>HGC-Lib-2457067</v>
          </cell>
          <cell r="F5269" t="str">
            <v>N_B_N4627-30-Poly-AT377</v>
          </cell>
          <cell r="G5269">
            <v>6</v>
          </cell>
          <cell r="H5269" t="str">
            <v>N_B_N4627-30-Poly-AT377</v>
          </cell>
          <cell r="I5269" t="str">
            <v>XCL</v>
          </cell>
          <cell r="J5269">
            <v>51.4</v>
          </cell>
          <cell r="N5269" t="e">
            <v>#DIV/0!</v>
          </cell>
        </row>
        <row r="5270">
          <cell r="E5270" t="str">
            <v>HGC-Lib-2457068</v>
          </cell>
          <cell r="F5270" t="str">
            <v>N_B_N4627-31-Poly-ATC420</v>
          </cell>
          <cell r="G5270">
            <v>6</v>
          </cell>
          <cell r="H5270" t="str">
            <v>N_B_N4627-31-Poly-ATC420</v>
          </cell>
          <cell r="I5270" t="str">
            <v>XCL</v>
          </cell>
          <cell r="J5270">
            <v>62.4</v>
          </cell>
          <cell r="N5270" t="e">
            <v>#DIV/0!</v>
          </cell>
        </row>
        <row r="5271">
          <cell r="E5271" t="str">
            <v>HGC-Lib-2457069</v>
          </cell>
          <cell r="F5271" t="str">
            <v>N_B_N4627-32-Poly-ATP383</v>
          </cell>
          <cell r="G5271">
            <v>6</v>
          </cell>
          <cell r="H5271" t="str">
            <v>N_B_N4627-32-Poly-ATP383</v>
          </cell>
          <cell r="I5271" t="str">
            <v>XCL</v>
          </cell>
          <cell r="J5271">
            <v>61.8</v>
          </cell>
          <cell r="N5271" t="e">
            <v>#DIV/0!</v>
          </cell>
        </row>
        <row r="5272">
          <cell r="E5272" t="str">
            <v>HGC-Lib-2457070</v>
          </cell>
          <cell r="F5272" t="str">
            <v>N_B_N4627-33-Poly-ATP93</v>
          </cell>
          <cell r="G5272">
            <v>6</v>
          </cell>
          <cell r="H5272" t="str">
            <v>N_B_N4627-33-Poly-ATP93</v>
          </cell>
          <cell r="I5272" t="str">
            <v>XCL</v>
          </cell>
          <cell r="J5272">
            <v>18.5</v>
          </cell>
          <cell r="N5272" t="e">
            <v>#DIV/0!</v>
          </cell>
        </row>
        <row r="5273">
          <cell r="E5273" t="str">
            <v>HGC-Lib-2457071</v>
          </cell>
          <cell r="F5273" t="str">
            <v>N_B_N4627-34-Poly-ATP93_1</v>
          </cell>
          <cell r="G5273">
            <v>6</v>
          </cell>
          <cell r="H5273" t="str">
            <v>N_B_N4627-34-Poly-ATP93_1</v>
          </cell>
          <cell r="I5273" t="str">
            <v>XCL</v>
          </cell>
          <cell r="J5273">
            <v>57.6</v>
          </cell>
          <cell r="N5273" t="e">
            <v>#DIV/0!</v>
          </cell>
        </row>
        <row r="5274">
          <cell r="E5274" t="str">
            <v>HGC-Lib-2457072</v>
          </cell>
          <cell r="F5274" t="str">
            <v>N_B_N4627-35-Poly-ATP11</v>
          </cell>
          <cell r="G5274">
            <v>6</v>
          </cell>
          <cell r="H5274" t="str">
            <v>N_B_N4627-35-Poly-ATP11</v>
          </cell>
          <cell r="I5274" t="str">
            <v>XCL</v>
          </cell>
          <cell r="J5274">
            <v>12.2</v>
          </cell>
          <cell r="N5274" t="e">
            <v>#DIV/0!</v>
          </cell>
        </row>
        <row r="5275">
          <cell r="E5275" t="str">
            <v>HGC-Lib-2457073</v>
          </cell>
          <cell r="F5275" t="str">
            <v>N_B_N4627-3C-Poly-AXP98_1</v>
          </cell>
          <cell r="G5275">
            <v>6</v>
          </cell>
          <cell r="H5275" t="str">
            <v>N_B_N4627-3C-Poly-AXP98_1</v>
          </cell>
          <cell r="I5275" t="str">
            <v>XCL</v>
          </cell>
          <cell r="J5275">
            <v>17.100000000000001</v>
          </cell>
          <cell r="N5275" t="e">
            <v>#DIV/0!</v>
          </cell>
        </row>
        <row r="5276">
          <cell r="E5276" t="str">
            <v>HGC-Lib-2457074</v>
          </cell>
          <cell r="F5276" t="str">
            <v>N_B_N4627-3D-Poly-AXP98_2</v>
          </cell>
          <cell r="G5276">
            <v>6</v>
          </cell>
          <cell r="H5276" t="str">
            <v>N_B_N4627-3D-Poly-AXP98_2</v>
          </cell>
          <cell r="I5276" t="str">
            <v>XCL</v>
          </cell>
          <cell r="J5276">
            <v>64.8</v>
          </cell>
          <cell r="N5276" t="e">
            <v>#DIV/0!</v>
          </cell>
        </row>
        <row r="5277">
          <cell r="E5277" t="str">
            <v>HGC-Lib-2457075</v>
          </cell>
          <cell r="F5277" t="str">
            <v>N_B_N4627-3E-Poly-AXP98</v>
          </cell>
          <cell r="G5277">
            <v>6</v>
          </cell>
          <cell r="H5277" t="str">
            <v>N_B_N4627-3E-Poly-AXP98</v>
          </cell>
          <cell r="I5277" t="str">
            <v>XCL</v>
          </cell>
          <cell r="J5277">
            <v>46.6</v>
          </cell>
          <cell r="N5277" t="e">
            <v>#DIV/0!</v>
          </cell>
        </row>
        <row r="5278">
          <cell r="E5278" t="str">
            <v>HGC-Lib-2457076</v>
          </cell>
          <cell r="F5278" t="str">
            <v>N_B_N4627-3F-Poly-AXP99</v>
          </cell>
          <cell r="G5278">
            <v>6</v>
          </cell>
          <cell r="H5278" t="str">
            <v>N_B_N4627-3F-Poly-AXP99</v>
          </cell>
          <cell r="I5278" t="str">
            <v>XCL</v>
          </cell>
          <cell r="J5278">
            <v>38.200000000000003</v>
          </cell>
          <cell r="N5278" t="e">
            <v>#DIV/0!</v>
          </cell>
        </row>
        <row r="5279">
          <cell r="E5279" t="str">
            <v>HGC-Lib-2457077</v>
          </cell>
          <cell r="F5279" t="str">
            <v>N_B_N4627-3G-Poly-AXP11_2</v>
          </cell>
          <cell r="G5279">
            <v>6</v>
          </cell>
          <cell r="H5279" t="str">
            <v>N_B_N4627-3G-Poly-AXP11_2</v>
          </cell>
          <cell r="I5279" t="str">
            <v>XCL</v>
          </cell>
          <cell r="J5279">
            <v>74.2</v>
          </cell>
          <cell r="N5279" t="e">
            <v>#DIV/0!</v>
          </cell>
        </row>
        <row r="5280">
          <cell r="E5280" t="str">
            <v>HGC-Lib-2457078</v>
          </cell>
          <cell r="F5280" t="str">
            <v>N_B_N4627-3H-Poly-AXP382_2</v>
          </cell>
          <cell r="G5280">
            <v>6</v>
          </cell>
          <cell r="H5280" t="str">
            <v>N_B_N4627-3H-Poly-AXP382_2</v>
          </cell>
          <cell r="I5280" t="str">
            <v>XCL</v>
          </cell>
          <cell r="J5280">
            <v>9.5399999999999991</v>
          </cell>
          <cell r="N5280" t="e">
            <v>#DIV/0!</v>
          </cell>
        </row>
        <row r="5281">
          <cell r="E5281" t="str">
            <v>HGC-Lib-2457079</v>
          </cell>
          <cell r="F5281" t="str">
            <v>N_B_N4719-2F-Poly-ATC491-2</v>
          </cell>
          <cell r="G5281">
            <v>6</v>
          </cell>
          <cell r="H5281" t="str">
            <v>N_B_N4719-2F-Poly-ATC491-2</v>
          </cell>
          <cell r="I5281" t="str">
            <v>XCL</v>
          </cell>
          <cell r="J5281">
            <v>60.8</v>
          </cell>
          <cell r="N5281" t="e">
            <v>#DIV/0!</v>
          </cell>
        </row>
        <row r="5282">
          <cell r="E5282" t="str">
            <v>HGC-Lib-2457080</v>
          </cell>
          <cell r="F5282" t="str">
            <v>N_B_N4719-2G-Poly-ATC14-2</v>
          </cell>
          <cell r="G5282">
            <v>6</v>
          </cell>
          <cell r="H5282" t="str">
            <v>N_B_N4719-2G-Poly-ATC14-2</v>
          </cell>
          <cell r="I5282" t="str">
            <v>XCL</v>
          </cell>
          <cell r="J5282">
            <v>45.8</v>
          </cell>
          <cell r="N5282" t="e">
            <v>#DIV/0!</v>
          </cell>
        </row>
        <row r="5283">
          <cell r="E5283" t="str">
            <v>HGC-Lib-2457081</v>
          </cell>
          <cell r="F5283" t="str">
            <v>N_B_N4708-1V-Poly-AXkongdai-1</v>
          </cell>
          <cell r="G5283">
            <v>6</v>
          </cell>
          <cell r="H5283" t="str">
            <v>N_B_N4708-1V-Poly-AXkongdai-1</v>
          </cell>
          <cell r="I5283" t="str">
            <v>XCL</v>
          </cell>
          <cell r="J5283">
            <v>70</v>
          </cell>
          <cell r="N5283" t="e">
            <v>#DIV/0!</v>
          </cell>
        </row>
        <row r="5284">
          <cell r="E5284" t="str">
            <v>HGC-Lib-2457082</v>
          </cell>
          <cell r="F5284" t="str">
            <v>N_B_N4708-1W-Poly-AX284-1</v>
          </cell>
          <cell r="G5284">
            <v>6</v>
          </cell>
          <cell r="H5284" t="str">
            <v>N_B_N4708-1W-Poly-AX284-1</v>
          </cell>
          <cell r="I5284" t="str">
            <v>XCL</v>
          </cell>
          <cell r="J5284">
            <v>66.8</v>
          </cell>
          <cell r="N5284" t="e">
            <v>#DIV/0!</v>
          </cell>
        </row>
        <row r="5285">
          <cell r="E5285" t="str">
            <v>HGC-Lib-2457083</v>
          </cell>
          <cell r="F5285" t="str">
            <v>N_B_N4708-1X-Poly-AX86-1</v>
          </cell>
          <cell r="G5285">
            <v>6</v>
          </cell>
          <cell r="H5285" t="str">
            <v>N_B_N4708-1X-Poly-AX86-1</v>
          </cell>
          <cell r="I5285" t="str">
            <v>XCL</v>
          </cell>
          <cell r="J5285">
            <v>65.8</v>
          </cell>
          <cell r="N5285" t="e">
            <v>#DIV/0!</v>
          </cell>
        </row>
        <row r="5286">
          <cell r="E5286" t="str">
            <v>HGC-Lib-2457084</v>
          </cell>
          <cell r="F5286" t="str">
            <v>N_B_N4708-1Y-Poly-A77X1-1</v>
          </cell>
          <cell r="G5286">
            <v>6</v>
          </cell>
          <cell r="H5286" t="str">
            <v>N_B_N4708-1Y-Poly-A77X1-1</v>
          </cell>
          <cell r="I5286" t="str">
            <v>XCL</v>
          </cell>
          <cell r="J5286">
            <v>78.599999999999994</v>
          </cell>
          <cell r="N5286" t="e">
            <v>#DIV/0!</v>
          </cell>
        </row>
        <row r="5287">
          <cell r="E5287" t="str">
            <v>HGC-Lib-2457085</v>
          </cell>
          <cell r="F5287" t="str">
            <v>N_B_N4708-1Z-Poly-A36X1-1</v>
          </cell>
          <cell r="G5287">
            <v>6</v>
          </cell>
          <cell r="H5287" t="str">
            <v>N_B_N4708-1Z-Poly-A36X1-1</v>
          </cell>
          <cell r="I5287" t="str">
            <v>XCL</v>
          </cell>
          <cell r="J5287">
            <v>55.2</v>
          </cell>
          <cell r="N5287" t="e">
            <v>#DIV/0!</v>
          </cell>
        </row>
        <row r="5288">
          <cell r="E5288" t="str">
            <v>HGC-Lib-2457086</v>
          </cell>
          <cell r="F5288" t="str">
            <v>N_B_N4708-23-Poly-A43X1-1</v>
          </cell>
          <cell r="G5288">
            <v>6</v>
          </cell>
          <cell r="H5288" t="str">
            <v>N_B_N4708-23-Poly-A43X1-1</v>
          </cell>
          <cell r="I5288" t="str">
            <v>XCL</v>
          </cell>
          <cell r="J5288">
            <v>74.8</v>
          </cell>
          <cell r="N5288" t="e">
            <v>#DIV/0!</v>
          </cell>
        </row>
        <row r="5289">
          <cell r="E5289" t="str">
            <v>HGC-Lib-2457087</v>
          </cell>
          <cell r="F5289" t="str">
            <v>N_B_N4717-1Q-Poly-AXkongdai-2</v>
          </cell>
          <cell r="G5289">
            <v>6</v>
          </cell>
          <cell r="H5289" t="str">
            <v>N_B_N4717-1Q-Poly-AXkongdai-2</v>
          </cell>
          <cell r="I5289" t="str">
            <v>XCL</v>
          </cell>
          <cell r="J5289">
            <v>58</v>
          </cell>
          <cell r="N5289" t="e">
            <v>#DIV/0!</v>
          </cell>
        </row>
        <row r="5290">
          <cell r="E5290" t="str">
            <v>HGC-Lib-2457088</v>
          </cell>
          <cell r="F5290" t="str">
            <v>N_B_N4717-1R-Poly-AX284-2</v>
          </cell>
          <cell r="G5290">
            <v>6</v>
          </cell>
          <cell r="H5290" t="str">
            <v>N_B_N4717-1R-Poly-AX284-2</v>
          </cell>
          <cell r="I5290" t="str">
            <v>XCL</v>
          </cell>
          <cell r="J5290">
            <v>64.400000000000006</v>
          </cell>
          <cell r="N5290" t="e">
            <v>#DIV/0!</v>
          </cell>
        </row>
        <row r="5291">
          <cell r="E5291" t="str">
            <v>HGC-Lib-2457089</v>
          </cell>
          <cell r="F5291" t="str">
            <v>N_B_N4717-1S-Poly-AX86-2</v>
          </cell>
          <cell r="G5291">
            <v>6</v>
          </cell>
          <cell r="H5291" t="str">
            <v>N_B_N4717-1S-Poly-AX86-2</v>
          </cell>
          <cell r="I5291" t="str">
            <v>XCL</v>
          </cell>
          <cell r="J5291">
            <v>11.5</v>
          </cell>
          <cell r="N5291" t="e">
            <v>#DIV/0!</v>
          </cell>
        </row>
        <row r="5292">
          <cell r="E5292" t="str">
            <v>HGC-Lib-2457090</v>
          </cell>
          <cell r="F5292" t="str">
            <v>N_B_N4717-1T-Poly-A77X1-2</v>
          </cell>
          <cell r="G5292">
            <v>6</v>
          </cell>
          <cell r="H5292" t="str">
            <v>N_B_N4717-1T-Poly-A77X1-2</v>
          </cell>
          <cell r="I5292" t="str">
            <v>XCL</v>
          </cell>
          <cell r="J5292">
            <v>75</v>
          </cell>
          <cell r="N5292" t="e">
            <v>#DIV/0!</v>
          </cell>
        </row>
        <row r="5293">
          <cell r="E5293" t="str">
            <v>HGC-Lib-2457091</v>
          </cell>
          <cell r="F5293" t="str">
            <v>N_B_N4717-1U-Poly-A37X1-2</v>
          </cell>
          <cell r="G5293">
            <v>6</v>
          </cell>
          <cell r="H5293" t="str">
            <v>N_B_N4717-1U-Poly-A37X1-2</v>
          </cell>
          <cell r="I5293" t="str">
            <v>XCL</v>
          </cell>
          <cell r="J5293">
            <v>52.4</v>
          </cell>
          <cell r="N5293" t="e">
            <v>#DIV/0!</v>
          </cell>
        </row>
        <row r="5294">
          <cell r="E5294" t="str">
            <v>HGC-Lib-2457092</v>
          </cell>
          <cell r="F5294" t="str">
            <v>N_B_N4717-1V-Poly-A43X1-2</v>
          </cell>
          <cell r="G5294">
            <v>6</v>
          </cell>
          <cell r="H5294" t="str">
            <v>N_B_N4717-1V-Poly-A43X1-2</v>
          </cell>
          <cell r="I5294" t="str">
            <v>XCL</v>
          </cell>
          <cell r="J5294">
            <v>69.8</v>
          </cell>
          <cell r="N5294" t="e">
            <v>#DIV/0!</v>
          </cell>
        </row>
        <row r="5295">
          <cell r="E5295" t="str">
            <v>HGC-2457093</v>
          </cell>
          <cell r="F5295" t="str">
            <v>T-12</v>
          </cell>
          <cell r="G5295">
            <v>100</v>
          </cell>
          <cell r="H5295" t="str">
            <v>HGC20231114011-0005</v>
          </cell>
          <cell r="I5295" t="str">
            <v>WWH</v>
          </cell>
          <cell r="J5295">
            <v>40.4</v>
          </cell>
          <cell r="K5295">
            <v>504</v>
          </cell>
          <cell r="N5295">
            <v>123.321123321123</v>
          </cell>
        </row>
        <row r="5296">
          <cell r="E5296" t="str">
            <v>HGC-Lib-2457094</v>
          </cell>
          <cell r="F5296" t="str">
            <v>B9-iHBMSC</v>
          </cell>
          <cell r="G5296">
            <v>6</v>
          </cell>
          <cell r="H5296" t="str">
            <v>mRNA文库</v>
          </cell>
          <cell r="I5296" t="str">
            <v>WWH</v>
          </cell>
          <cell r="J5296">
            <v>3.24</v>
          </cell>
          <cell r="K5296">
            <v>440</v>
          </cell>
          <cell r="N5296">
            <v>11.3286713286713</v>
          </cell>
        </row>
        <row r="5297">
          <cell r="E5297" t="str">
            <v>HGC-Lib-2457095</v>
          </cell>
          <cell r="F5297" t="str">
            <v>RFP-iHBMSC</v>
          </cell>
          <cell r="G5297">
            <v>6</v>
          </cell>
          <cell r="H5297" t="str">
            <v>mRNA文库</v>
          </cell>
          <cell r="I5297" t="str">
            <v>WWH</v>
          </cell>
          <cell r="J5297">
            <v>2.62</v>
          </cell>
          <cell r="K5297">
            <v>448</v>
          </cell>
          <cell r="N5297">
            <v>8.9972527472527499</v>
          </cell>
        </row>
        <row r="5298">
          <cell r="E5298" t="str">
            <v>HGC-Lib-2457096</v>
          </cell>
          <cell r="F5298" t="str">
            <v>YH-V2</v>
          </cell>
          <cell r="G5298">
            <v>6</v>
          </cell>
          <cell r="H5298" t="str">
            <v>mRNA文库</v>
          </cell>
          <cell r="I5298" t="str">
            <v>WWH</v>
          </cell>
          <cell r="J5298">
            <v>3.9</v>
          </cell>
          <cell r="K5298">
            <v>433</v>
          </cell>
          <cell r="N5298">
            <v>13.856812933025401</v>
          </cell>
        </row>
        <row r="5299">
          <cell r="E5299" t="str">
            <v>HGC-POOL-2457104</v>
          </cell>
          <cell r="F5299" t="str">
            <v>DZY-240717-ILR3</v>
          </cell>
          <cell r="G5299">
            <v>27</v>
          </cell>
          <cell r="H5299" t="str">
            <v>Chip-Seq</v>
          </cell>
          <cell r="I5299" t="str">
            <v>WWH</v>
          </cell>
          <cell r="J5299">
            <v>22.2</v>
          </cell>
          <cell r="K5299">
            <v>385</v>
          </cell>
          <cell r="N5299">
            <v>88.711288711288702</v>
          </cell>
        </row>
        <row r="5300">
          <cell r="E5300" t="str">
            <v>HGC-POOL-2457105</v>
          </cell>
          <cell r="F5300" t="str">
            <v>DZY-240717-2VSF</v>
          </cell>
          <cell r="G5300">
            <v>27</v>
          </cell>
          <cell r="H5300" t="str">
            <v>Chip-Seq</v>
          </cell>
          <cell r="I5300" t="str">
            <v>WWH</v>
          </cell>
          <cell r="J5300">
            <v>7.74</v>
          </cell>
          <cell r="K5300">
            <v>427</v>
          </cell>
          <cell r="N5300">
            <v>27.8868672311295</v>
          </cell>
        </row>
        <row r="5301">
          <cell r="E5301" t="str">
            <v>HGC-POOL-2457106</v>
          </cell>
          <cell r="F5301" t="str">
            <v>DZY-240717-WRKY51</v>
          </cell>
          <cell r="G5301">
            <v>27</v>
          </cell>
          <cell r="H5301" t="str">
            <v>Chip-Seq</v>
          </cell>
          <cell r="I5301" t="str">
            <v>WWH</v>
          </cell>
          <cell r="J5301">
            <v>18.100000000000001</v>
          </cell>
          <cell r="K5301">
            <v>393</v>
          </cell>
          <cell r="N5301">
            <v>70.855353298101406</v>
          </cell>
        </row>
        <row r="5302">
          <cell r="E5302" t="str">
            <v>HGC-POOL-2457107</v>
          </cell>
          <cell r="F5302" t="str">
            <v>DZY-240717-HsfC2a</v>
          </cell>
          <cell r="G5302">
            <v>27</v>
          </cell>
          <cell r="H5302" t="str">
            <v>Chip-Seq</v>
          </cell>
          <cell r="I5302" t="str">
            <v>WWH</v>
          </cell>
          <cell r="J5302">
            <v>8.6199999999999992</v>
          </cell>
          <cell r="K5302">
            <v>428</v>
          </cell>
          <cell r="N5302">
            <v>30.984902947519799</v>
          </cell>
        </row>
        <row r="5303">
          <cell r="E5303" t="str">
            <v>HGC-POOL-2457108</v>
          </cell>
          <cell r="F5303" t="str">
            <v>DZY-240717-HsfC2b</v>
          </cell>
          <cell r="G5303">
            <v>18</v>
          </cell>
          <cell r="H5303" t="str">
            <v>Chip-Seq</v>
          </cell>
          <cell r="I5303" t="str">
            <v>WWH</v>
          </cell>
          <cell r="J5303">
            <v>3.8</v>
          </cell>
          <cell r="K5303">
            <v>466</v>
          </cell>
          <cell r="N5303">
            <v>12.5453945196434</v>
          </cell>
        </row>
        <row r="5304">
          <cell r="E5304" t="str">
            <v>HGC-POOL-2457109</v>
          </cell>
          <cell r="F5304" t="str">
            <v>T814+T820pooling1</v>
          </cell>
          <cell r="G5304">
            <v>30</v>
          </cell>
          <cell r="H5304" t="str">
            <v>mRNA文库</v>
          </cell>
          <cell r="I5304" t="str">
            <v>WWH</v>
          </cell>
          <cell r="J5304">
            <v>0.67</v>
          </cell>
          <cell r="N5304" t="e">
            <v>#DIV/0!</v>
          </cell>
        </row>
        <row r="5305">
          <cell r="E5305" t="str">
            <v>HGC-POOL-2457110</v>
          </cell>
          <cell r="F5305" t="str">
            <v>T814+T820pooling2</v>
          </cell>
          <cell r="G5305">
            <v>36</v>
          </cell>
          <cell r="H5305" t="str">
            <v>mRNA文库</v>
          </cell>
          <cell r="I5305" t="str">
            <v>WWH</v>
          </cell>
          <cell r="J5305">
            <v>0.58799999999999997</v>
          </cell>
          <cell r="N5305" t="e">
            <v>#DIV/0!</v>
          </cell>
        </row>
        <row r="5306">
          <cell r="E5306" t="str">
            <v>HGC-POOL-2457111</v>
          </cell>
          <cell r="F5306" t="str">
            <v>T814+T820pooling3</v>
          </cell>
          <cell r="G5306">
            <v>36</v>
          </cell>
          <cell r="H5306" t="str">
            <v>mRNA文库</v>
          </cell>
          <cell r="I5306" t="str">
            <v>WWH</v>
          </cell>
          <cell r="J5306">
            <v>2.9</v>
          </cell>
          <cell r="K5306">
            <v>499</v>
          </cell>
          <cell r="N5306">
            <v>8.9409588407584408</v>
          </cell>
        </row>
        <row r="5307">
          <cell r="E5307" t="str">
            <v>HGC-Lib-2457112</v>
          </cell>
          <cell r="F5307" t="str">
            <v>T844-1</v>
          </cell>
          <cell r="G5307">
            <v>6</v>
          </cell>
          <cell r="H5307" t="str">
            <v>mRNA文库</v>
          </cell>
          <cell r="I5307" t="str">
            <v>WWH</v>
          </cell>
          <cell r="J5307">
            <v>16.600000000000001</v>
          </cell>
          <cell r="N5307" t="e">
            <v>#DIV/0!</v>
          </cell>
        </row>
        <row r="5308">
          <cell r="E5308" t="str">
            <v>HGC-Lib-2457113</v>
          </cell>
          <cell r="F5308" t="str">
            <v>T844-2</v>
          </cell>
          <cell r="G5308">
            <v>6</v>
          </cell>
          <cell r="H5308" t="str">
            <v>mRNA文库</v>
          </cell>
          <cell r="I5308" t="str">
            <v>WWH</v>
          </cell>
          <cell r="J5308">
            <v>7.54</v>
          </cell>
          <cell r="N5308" t="e">
            <v>#DIV/0!</v>
          </cell>
        </row>
        <row r="5309">
          <cell r="E5309" t="str">
            <v>HGC-Lib-2457114</v>
          </cell>
          <cell r="F5309" t="str">
            <v>T844-3</v>
          </cell>
          <cell r="G5309">
            <v>6</v>
          </cell>
          <cell r="H5309" t="str">
            <v>mRNA文库</v>
          </cell>
          <cell r="I5309" t="str">
            <v>WWH</v>
          </cell>
          <cell r="J5309">
            <v>10.9</v>
          </cell>
          <cell r="N5309" t="e">
            <v>#DIV/0!</v>
          </cell>
        </row>
        <row r="5310">
          <cell r="E5310" t="str">
            <v>HGC-Lib-2457115</v>
          </cell>
          <cell r="F5310" t="str">
            <v>T844-4</v>
          </cell>
          <cell r="G5310">
            <v>6</v>
          </cell>
          <cell r="H5310" t="str">
            <v>mRNA文库</v>
          </cell>
          <cell r="I5310" t="str">
            <v>WWH</v>
          </cell>
          <cell r="J5310">
            <v>9.4</v>
          </cell>
          <cell r="N5310" t="e">
            <v>#DIV/0!</v>
          </cell>
        </row>
        <row r="5311">
          <cell r="E5311" t="str">
            <v>HGC-Lib-2457116</v>
          </cell>
          <cell r="F5311" t="str">
            <v>T844-5</v>
          </cell>
          <cell r="G5311">
            <v>6</v>
          </cell>
          <cell r="H5311" t="str">
            <v>mRNA文库</v>
          </cell>
          <cell r="I5311" t="str">
            <v>WWH</v>
          </cell>
          <cell r="J5311">
            <v>11.1</v>
          </cell>
          <cell r="N5311" t="e">
            <v>#DIV/0!</v>
          </cell>
        </row>
        <row r="5312">
          <cell r="E5312" t="str">
            <v>HGC-Lib-2457117</v>
          </cell>
          <cell r="F5312" t="str">
            <v>T844-6</v>
          </cell>
          <cell r="G5312">
            <v>6</v>
          </cell>
          <cell r="H5312" t="str">
            <v>mRNA文库</v>
          </cell>
          <cell r="I5312" t="str">
            <v>WWH</v>
          </cell>
          <cell r="J5312">
            <v>8.9600000000000009</v>
          </cell>
          <cell r="N5312" t="e">
            <v>#DIV/0!</v>
          </cell>
        </row>
        <row r="5313">
          <cell r="E5313" t="str">
            <v>HGC-Lib-2457118</v>
          </cell>
          <cell r="F5313" t="str">
            <v>T844-7</v>
          </cell>
          <cell r="G5313">
            <v>6</v>
          </cell>
          <cell r="H5313" t="str">
            <v>mRNA文库</v>
          </cell>
          <cell r="I5313" t="str">
            <v>WWH</v>
          </cell>
          <cell r="J5313">
            <v>14.1</v>
          </cell>
          <cell r="N5313" t="e">
            <v>#DIV/0!</v>
          </cell>
        </row>
        <row r="5314">
          <cell r="E5314" t="str">
            <v>HGC-Lib-2457119</v>
          </cell>
          <cell r="F5314" t="str">
            <v>T844-8</v>
          </cell>
          <cell r="G5314">
            <v>6</v>
          </cell>
          <cell r="H5314" t="str">
            <v>mRNA文库</v>
          </cell>
          <cell r="I5314" t="str">
            <v>WWH</v>
          </cell>
          <cell r="J5314">
            <v>11.8</v>
          </cell>
          <cell r="N5314" t="e">
            <v>#DIV/0!</v>
          </cell>
        </row>
        <row r="5315">
          <cell r="E5315" t="str">
            <v>HGC-Lib-2457120</v>
          </cell>
          <cell r="F5315" t="str">
            <v>LO2-SMC1-1</v>
          </cell>
          <cell r="G5315">
            <v>10</v>
          </cell>
          <cell r="H5315" t="str">
            <v>cut&amp;tag文库</v>
          </cell>
          <cell r="I5315" t="str">
            <v>WWH</v>
          </cell>
          <cell r="J5315">
            <v>20.399999999999999</v>
          </cell>
          <cell r="K5315">
            <v>399</v>
          </cell>
          <cell r="N5315">
            <v>78.658183921341802</v>
          </cell>
        </row>
        <row r="5316">
          <cell r="E5316" t="str">
            <v>HGC-Lib-2457121</v>
          </cell>
          <cell r="F5316" t="str">
            <v>LO2-SMC1-2</v>
          </cell>
          <cell r="G5316">
            <v>10</v>
          </cell>
          <cell r="H5316" t="str">
            <v>cut&amp;tag文库</v>
          </cell>
          <cell r="I5316" t="str">
            <v>WWH</v>
          </cell>
          <cell r="J5316">
            <v>18.399999999999999</v>
          </cell>
          <cell r="K5316">
            <v>398</v>
          </cell>
          <cell r="N5316">
            <v>71.124855044453</v>
          </cell>
        </row>
        <row r="5317">
          <cell r="E5317" t="str">
            <v>HGC-Lib-2457122</v>
          </cell>
          <cell r="F5317" t="str">
            <v>LO2-SMC3-1</v>
          </cell>
          <cell r="G5317">
            <v>10</v>
          </cell>
          <cell r="H5317" t="str">
            <v>cut&amp;tag文库</v>
          </cell>
          <cell r="I5317" t="str">
            <v>WWH</v>
          </cell>
          <cell r="J5317">
            <v>22</v>
          </cell>
          <cell r="K5317">
            <v>348</v>
          </cell>
          <cell r="N5317">
            <v>97.259062776304205</v>
          </cell>
        </row>
        <row r="5318">
          <cell r="E5318" t="str">
            <v>HGC-Lib-2457123</v>
          </cell>
          <cell r="F5318" t="str">
            <v>LO2-SMC3-2</v>
          </cell>
          <cell r="G5318">
            <v>10</v>
          </cell>
          <cell r="H5318" t="str">
            <v>cut&amp;tag文库</v>
          </cell>
          <cell r="I5318" t="str">
            <v>WWH</v>
          </cell>
          <cell r="J5318">
            <v>31</v>
          </cell>
          <cell r="K5318">
            <v>347</v>
          </cell>
          <cell r="N5318">
            <v>137.44180891155</v>
          </cell>
        </row>
        <row r="5319">
          <cell r="E5319" t="str">
            <v>HGC-Lib-2457124</v>
          </cell>
          <cell r="F5319" t="str">
            <v>LO2-CTCF-1</v>
          </cell>
          <cell r="G5319">
            <v>10</v>
          </cell>
          <cell r="H5319" t="str">
            <v>cut&amp;tag文库</v>
          </cell>
          <cell r="I5319" t="str">
            <v>WWH</v>
          </cell>
          <cell r="J5319">
            <v>0.57399999999999995</v>
          </cell>
          <cell r="K5319">
            <v>471</v>
          </cell>
          <cell r="N5319">
            <v>1.87489792585334</v>
          </cell>
        </row>
        <row r="5320">
          <cell r="E5320" t="str">
            <v>HGC-Lib-2457125</v>
          </cell>
          <cell r="F5320" t="str">
            <v>LO2-CTCF-2</v>
          </cell>
          <cell r="G5320">
            <v>10</v>
          </cell>
          <cell r="H5320" t="str">
            <v>cut&amp;tag文库</v>
          </cell>
          <cell r="I5320" t="str">
            <v>WWH</v>
          </cell>
          <cell r="J5320">
            <v>0.63</v>
          </cell>
          <cell r="K5320">
            <v>466</v>
          </cell>
          <cell r="N5320">
            <v>2.07989435457247</v>
          </cell>
        </row>
        <row r="5321">
          <cell r="E5321" t="str">
            <v>HGC-Lib-2457126</v>
          </cell>
          <cell r="F5321" t="str">
            <v>LO2-H3K27ac-1</v>
          </cell>
          <cell r="G5321">
            <v>10</v>
          </cell>
          <cell r="H5321" t="str">
            <v>cut&amp;tag文库</v>
          </cell>
          <cell r="I5321" t="str">
            <v>WWH</v>
          </cell>
          <cell r="J5321">
            <v>11.6</v>
          </cell>
          <cell r="K5321">
            <v>428</v>
          </cell>
          <cell r="N5321">
            <v>41.696621135873499</v>
          </cell>
        </row>
        <row r="5322">
          <cell r="E5322" t="str">
            <v>HGC-Lib-2457127</v>
          </cell>
          <cell r="F5322" t="str">
            <v>LO2-H3K27ac-2</v>
          </cell>
          <cell r="G5322">
            <v>10</v>
          </cell>
          <cell r="H5322" t="str">
            <v>cut&amp;tag文库</v>
          </cell>
          <cell r="I5322" t="str">
            <v>WWH</v>
          </cell>
          <cell r="J5322">
            <v>7.48</v>
          </cell>
          <cell r="K5322">
            <v>431</v>
          </cell>
          <cell r="N5322">
            <v>26.6999821524184</v>
          </cell>
        </row>
        <row r="5323">
          <cell r="E5323" t="str">
            <v>HGC-Lib-2457128</v>
          </cell>
          <cell r="F5323" t="str">
            <v>HepG2-SMC1-1</v>
          </cell>
          <cell r="G5323">
            <v>10</v>
          </cell>
          <cell r="H5323" t="str">
            <v>cut&amp;tag文库</v>
          </cell>
          <cell r="I5323" t="str">
            <v>WWH</v>
          </cell>
          <cell r="J5323">
            <v>30.8</v>
          </cell>
          <cell r="K5323">
            <v>348</v>
          </cell>
          <cell r="N5323">
            <v>136.16268788682601</v>
          </cell>
        </row>
        <row r="5324">
          <cell r="E5324" t="str">
            <v>HGC-Lib-2457129</v>
          </cell>
          <cell r="F5324" t="str">
            <v>HepG2-SMC1-2</v>
          </cell>
          <cell r="G5324">
            <v>10</v>
          </cell>
          <cell r="H5324" t="str">
            <v>cut&amp;tag文库</v>
          </cell>
          <cell r="I5324" t="str">
            <v>WWH</v>
          </cell>
          <cell r="J5324">
            <v>38.4</v>
          </cell>
          <cell r="K5324">
            <v>339</v>
          </cell>
          <cell r="N5324">
            <v>174.26820966643999</v>
          </cell>
        </row>
        <row r="5325">
          <cell r="E5325" t="str">
            <v>HGC-Lib-2457130</v>
          </cell>
          <cell r="F5325" t="str">
            <v>XL-478</v>
          </cell>
          <cell r="G5325">
            <v>3</v>
          </cell>
          <cell r="H5325" t="str">
            <v>宏基因组文库</v>
          </cell>
          <cell r="I5325" t="str">
            <v>WWH</v>
          </cell>
          <cell r="J5325">
            <v>22.2</v>
          </cell>
          <cell r="K5325">
            <v>299</v>
          </cell>
          <cell r="N5325">
            <v>114.22691021353199</v>
          </cell>
        </row>
        <row r="5326">
          <cell r="E5326" t="str">
            <v>HGC-POOL-2457131</v>
          </cell>
          <cell r="F5326" t="str">
            <v>XL-479</v>
          </cell>
          <cell r="G5326">
            <v>6</v>
          </cell>
          <cell r="H5326" t="str">
            <v>宏基因组文库</v>
          </cell>
          <cell r="I5326" t="str">
            <v>WWH</v>
          </cell>
          <cell r="J5326">
            <v>2.78</v>
          </cell>
          <cell r="K5326">
            <v>328</v>
          </cell>
          <cell r="N5326">
            <v>13.039399624765499</v>
          </cell>
        </row>
        <row r="5327">
          <cell r="E5327" t="str">
            <v>HGC-POOL-2457132</v>
          </cell>
          <cell r="F5327" t="str">
            <v>YX20240717_1</v>
          </cell>
          <cell r="G5327">
            <v>6</v>
          </cell>
          <cell r="H5327" t="str">
            <v>mRNA文库</v>
          </cell>
          <cell r="I5327" t="str">
            <v>XCL</v>
          </cell>
          <cell r="J5327">
            <v>22.2</v>
          </cell>
          <cell r="K5327">
            <v>383</v>
          </cell>
          <cell r="N5327">
            <v>89.174533038762803</v>
          </cell>
        </row>
        <row r="5328">
          <cell r="E5328" t="str">
            <v>HGC-POOL-2457133</v>
          </cell>
          <cell r="F5328" t="str">
            <v>YX20240717_2</v>
          </cell>
          <cell r="G5328">
            <v>150</v>
          </cell>
          <cell r="H5328" t="str">
            <v>全基因组文库</v>
          </cell>
          <cell r="I5328" t="str">
            <v>XCL</v>
          </cell>
          <cell r="J5328">
            <v>22</v>
          </cell>
          <cell r="K5328">
            <v>362</v>
          </cell>
          <cell r="N5328">
            <v>93.497662558436005</v>
          </cell>
        </row>
        <row r="5329">
          <cell r="E5329" t="str">
            <v>HGC-POOL-2457134</v>
          </cell>
          <cell r="F5329" t="str">
            <v>YX20240717_3</v>
          </cell>
          <cell r="G5329">
            <v>54</v>
          </cell>
          <cell r="H5329" t="str">
            <v>mRNA文库</v>
          </cell>
          <cell r="I5329" t="str">
            <v>XCL</v>
          </cell>
          <cell r="J5329">
            <v>0.12</v>
          </cell>
          <cell r="K5329">
            <v>386</v>
          </cell>
          <cell r="N5329">
            <v>0.478278198485452</v>
          </cell>
        </row>
        <row r="5330">
          <cell r="E5330" t="str">
            <v>HGC-POOL-2457135</v>
          </cell>
          <cell r="F5330" t="str">
            <v>YX20240717_5</v>
          </cell>
          <cell r="G5330">
            <v>140</v>
          </cell>
          <cell r="H5330" t="str">
            <v>mRNA文库</v>
          </cell>
          <cell r="I5330" t="str">
            <v>XCL</v>
          </cell>
          <cell r="J5330">
            <v>4.5199999999999996</v>
          </cell>
          <cell r="K5330">
            <v>354</v>
          </cell>
          <cell r="N5330">
            <v>19.643633202955201</v>
          </cell>
        </row>
        <row r="5331">
          <cell r="E5331" t="str">
            <v>HGC-POOL-2457136</v>
          </cell>
          <cell r="F5331" t="str">
            <v>YX20240719_3</v>
          </cell>
          <cell r="G5331">
            <v>120</v>
          </cell>
          <cell r="H5331" t="str">
            <v>mRNA文库</v>
          </cell>
          <cell r="I5331" t="str">
            <v>XCL</v>
          </cell>
          <cell r="J5331">
            <v>10.199999999999999</v>
          </cell>
          <cell r="K5331">
            <v>376</v>
          </cell>
          <cell r="N5331">
            <v>41.734860883797097</v>
          </cell>
        </row>
        <row r="5332">
          <cell r="E5332" t="str">
            <v>HGC-POOL-2457137</v>
          </cell>
          <cell r="F5332" t="str">
            <v>YX20240717_4</v>
          </cell>
          <cell r="G5332">
            <v>1000</v>
          </cell>
          <cell r="H5332" t="str">
            <v>全基因组文库+mRNA文库</v>
          </cell>
          <cell r="I5332" t="str">
            <v>XCL</v>
          </cell>
          <cell r="J5332">
            <v>27.8</v>
          </cell>
          <cell r="K5332">
            <v>391</v>
          </cell>
          <cell r="N5332">
            <v>109.384221916191</v>
          </cell>
        </row>
        <row r="5333">
          <cell r="E5333" t="str">
            <v>HGC-Lib-2457138</v>
          </cell>
          <cell r="F5333" t="str">
            <v>22756-SYZ1</v>
          </cell>
          <cell r="G5333">
            <v>3</v>
          </cell>
          <cell r="H5333" t="str">
            <v>DAP-seq文库</v>
          </cell>
          <cell r="I5333" t="str">
            <v>XCL</v>
          </cell>
          <cell r="J5333">
            <v>38.799999999999997</v>
          </cell>
          <cell r="K5333">
            <v>360</v>
          </cell>
          <cell r="N5333">
            <v>165.81196581196599</v>
          </cell>
        </row>
        <row r="5334">
          <cell r="E5334" t="str">
            <v>HGC-Lib-2457139</v>
          </cell>
          <cell r="F5334" t="str">
            <v>22756-SYZ2</v>
          </cell>
          <cell r="G5334">
            <v>3</v>
          </cell>
          <cell r="H5334" t="str">
            <v>DAP-seq文库</v>
          </cell>
          <cell r="I5334" t="str">
            <v>XCL</v>
          </cell>
          <cell r="J5334">
            <v>33.200000000000003</v>
          </cell>
          <cell r="K5334">
            <v>352</v>
          </cell>
          <cell r="N5334">
            <v>145.10489510489501</v>
          </cell>
        </row>
        <row r="5335">
          <cell r="E5335" t="str">
            <v>HGC-Lib-2457140</v>
          </cell>
          <cell r="F5335" t="str">
            <v>22756-DZZ</v>
          </cell>
          <cell r="G5335">
            <v>2</v>
          </cell>
          <cell r="H5335" t="str">
            <v>DAP-seq文库</v>
          </cell>
          <cell r="I5335" t="str">
            <v>XCL</v>
          </cell>
          <cell r="J5335">
            <v>41.8</v>
          </cell>
          <cell r="K5335">
            <v>440</v>
          </cell>
          <cell r="N5335">
            <v>146.15384615384599</v>
          </cell>
        </row>
        <row r="5336">
          <cell r="E5336" t="str">
            <v>HGC-Lib-2457141</v>
          </cell>
          <cell r="F5336" t="str">
            <v>22650-SYZ1</v>
          </cell>
          <cell r="G5336">
            <v>3</v>
          </cell>
          <cell r="H5336" t="str">
            <v>DAP-seq文库</v>
          </cell>
          <cell r="I5336" t="str">
            <v>XCL</v>
          </cell>
          <cell r="J5336">
            <v>44.2</v>
          </cell>
          <cell r="K5336">
            <v>416</v>
          </cell>
          <cell r="N5336">
            <v>163.461538461538</v>
          </cell>
        </row>
        <row r="5337">
          <cell r="E5337" t="str">
            <v>HGC-Lib-2457142</v>
          </cell>
          <cell r="F5337" t="str">
            <v>22650-SYZ2</v>
          </cell>
          <cell r="G5337">
            <v>3</v>
          </cell>
          <cell r="H5337" t="str">
            <v>DAP-seq文库</v>
          </cell>
          <cell r="I5337" t="str">
            <v>XCL</v>
          </cell>
          <cell r="J5337">
            <v>46.8</v>
          </cell>
          <cell r="K5337">
            <v>443</v>
          </cell>
          <cell r="N5337">
            <v>162.52821670428901</v>
          </cell>
        </row>
        <row r="5338">
          <cell r="E5338" t="str">
            <v>HGC-Lib-2457143</v>
          </cell>
          <cell r="F5338" t="str">
            <v>22650-DZZ</v>
          </cell>
          <cell r="G5338">
            <v>2</v>
          </cell>
          <cell r="H5338" t="str">
            <v>DAP-seq文库</v>
          </cell>
          <cell r="I5338" t="str">
            <v>XCL</v>
          </cell>
          <cell r="J5338">
            <v>26.2</v>
          </cell>
          <cell r="K5338">
            <v>462</v>
          </cell>
          <cell r="N5338">
            <v>87.246087246087299</v>
          </cell>
        </row>
        <row r="5339">
          <cell r="E5339" t="str">
            <v>HGC-Lib-2457165</v>
          </cell>
          <cell r="F5339" t="str">
            <v>LC240712127</v>
          </cell>
          <cell r="G5339">
            <v>90</v>
          </cell>
          <cell r="H5339" t="str">
            <v>singleron-3'转录组文库</v>
          </cell>
          <cell r="I5339" t="str">
            <v>XCL</v>
          </cell>
          <cell r="J5339">
            <v>11.9</v>
          </cell>
          <cell r="N5339" t="e">
            <v>#DIV/0!</v>
          </cell>
        </row>
        <row r="5340">
          <cell r="E5340" t="str">
            <v>HGC-Lib-2457166</v>
          </cell>
          <cell r="F5340" t="str">
            <v>LC240713043</v>
          </cell>
          <cell r="G5340">
            <v>100</v>
          </cell>
          <cell r="H5340" t="str">
            <v>singleron-3'转录组文库</v>
          </cell>
          <cell r="I5340" t="str">
            <v>XCL</v>
          </cell>
          <cell r="J5340">
            <v>13.7</v>
          </cell>
          <cell r="N5340" t="e">
            <v>#DIV/0!</v>
          </cell>
        </row>
        <row r="5341">
          <cell r="E5341" t="str">
            <v>HGC-Lib-2457167</v>
          </cell>
          <cell r="F5341" t="str">
            <v>LC240713046</v>
          </cell>
          <cell r="G5341">
            <v>100</v>
          </cell>
          <cell r="H5341" t="str">
            <v>singleron-3'转录组文库</v>
          </cell>
          <cell r="I5341" t="str">
            <v>XCL</v>
          </cell>
          <cell r="J5341">
            <v>19.100000000000001</v>
          </cell>
          <cell r="N5341" t="e">
            <v>#DIV/0!</v>
          </cell>
        </row>
        <row r="5342">
          <cell r="E5342" t="str">
            <v>HGC-Lib-2457168</v>
          </cell>
          <cell r="F5342" t="str">
            <v>LHC240713021</v>
          </cell>
          <cell r="G5342">
            <v>200</v>
          </cell>
          <cell r="H5342" t="str">
            <v>singleron-3'转录组文库</v>
          </cell>
          <cell r="I5342" t="str">
            <v>XCL</v>
          </cell>
          <cell r="J5342">
            <v>12.3</v>
          </cell>
          <cell r="N5342" t="e">
            <v>#DIV/0!</v>
          </cell>
        </row>
        <row r="5343">
          <cell r="E5343" t="str">
            <v>HGC-Lib-2457169</v>
          </cell>
          <cell r="F5343" t="str">
            <v>LA240713022</v>
          </cell>
          <cell r="G5343">
            <v>100</v>
          </cell>
          <cell r="H5343" t="str">
            <v>singleron-3'转录组文库</v>
          </cell>
          <cell r="I5343" t="str">
            <v>XCL</v>
          </cell>
          <cell r="J5343">
            <v>12.7</v>
          </cell>
          <cell r="N5343" t="e">
            <v>#DIV/0!</v>
          </cell>
        </row>
        <row r="5344">
          <cell r="E5344" t="str">
            <v>HGC-Lib-2457170</v>
          </cell>
          <cell r="F5344" t="str">
            <v>LC240713044</v>
          </cell>
          <cell r="G5344">
            <v>100</v>
          </cell>
          <cell r="H5344" t="str">
            <v>singleron-3'转录组文库</v>
          </cell>
          <cell r="I5344" t="str">
            <v>XCL</v>
          </cell>
          <cell r="J5344">
            <v>14</v>
          </cell>
          <cell r="N5344" t="e">
            <v>#DIV/0!</v>
          </cell>
        </row>
        <row r="5345">
          <cell r="E5345" t="str">
            <v>HGC-Lib-2457171</v>
          </cell>
          <cell r="F5345" t="str">
            <v>LC240713058</v>
          </cell>
          <cell r="G5345">
            <v>90</v>
          </cell>
          <cell r="H5345" t="str">
            <v>singleron-3'转录组文库</v>
          </cell>
          <cell r="I5345" t="str">
            <v>XCL</v>
          </cell>
          <cell r="J5345">
            <v>14.4</v>
          </cell>
          <cell r="N5345" t="e">
            <v>#DIV/0!</v>
          </cell>
        </row>
        <row r="5346">
          <cell r="E5346" t="str">
            <v>HGC-Lib-2457172</v>
          </cell>
          <cell r="F5346" t="str">
            <v>LC240713066</v>
          </cell>
          <cell r="G5346">
            <v>100</v>
          </cell>
          <cell r="H5346" t="str">
            <v>singleron-3'转录组文库</v>
          </cell>
          <cell r="I5346" t="str">
            <v>XCL</v>
          </cell>
          <cell r="J5346">
            <v>13.2</v>
          </cell>
          <cell r="N5346" t="e">
            <v>#DIV/0!</v>
          </cell>
        </row>
        <row r="5347">
          <cell r="E5347" t="str">
            <v>HGC-Lib-2457173</v>
          </cell>
          <cell r="F5347" t="str">
            <v>LA240712085X1</v>
          </cell>
          <cell r="G5347">
            <v>30</v>
          </cell>
          <cell r="H5347" t="str">
            <v>singleron-3'转录组文库</v>
          </cell>
          <cell r="I5347" t="str">
            <v>XCL</v>
          </cell>
          <cell r="J5347">
            <v>10.1</v>
          </cell>
          <cell r="N5347" t="e">
            <v>#DIV/0!</v>
          </cell>
        </row>
        <row r="5348">
          <cell r="E5348" t="str">
            <v>HGC-Lib-2457174</v>
          </cell>
          <cell r="F5348" t="str">
            <v>LA240712085X2</v>
          </cell>
          <cell r="G5348">
            <v>30</v>
          </cell>
          <cell r="H5348" t="str">
            <v>singleron-3'转录组文库</v>
          </cell>
          <cell r="I5348" t="str">
            <v>XCL</v>
          </cell>
          <cell r="J5348">
            <v>10.4</v>
          </cell>
          <cell r="N5348" t="e">
            <v>#DIV/0!</v>
          </cell>
        </row>
        <row r="5349">
          <cell r="E5349" t="str">
            <v>HGC-Lib-2457175</v>
          </cell>
          <cell r="F5349" t="str">
            <v>LA240712086X1</v>
          </cell>
          <cell r="G5349">
            <v>30</v>
          </cell>
          <cell r="H5349" t="str">
            <v>singleron-3'转录组文库</v>
          </cell>
          <cell r="I5349" t="str">
            <v>XCL</v>
          </cell>
          <cell r="J5349">
            <v>11.3</v>
          </cell>
          <cell r="N5349" t="e">
            <v>#DIV/0!</v>
          </cell>
        </row>
        <row r="5350">
          <cell r="E5350" t="str">
            <v>HGC-Lib-2457176</v>
          </cell>
          <cell r="F5350" t="str">
            <v>LA240712086X2</v>
          </cell>
          <cell r="G5350">
            <v>30</v>
          </cell>
          <cell r="H5350" t="str">
            <v>singleron-3'转录组文库</v>
          </cell>
          <cell r="I5350" t="str">
            <v>XCL</v>
          </cell>
          <cell r="J5350">
            <v>13.1</v>
          </cell>
          <cell r="N5350" t="e">
            <v>#DIV/0!</v>
          </cell>
        </row>
        <row r="5351">
          <cell r="E5351" t="str">
            <v>HGC-Lib-2457177</v>
          </cell>
          <cell r="F5351" t="str">
            <v>LC240714022</v>
          </cell>
          <cell r="G5351">
            <v>90</v>
          </cell>
          <cell r="H5351" t="str">
            <v>singleron-3'转录组文库</v>
          </cell>
          <cell r="I5351" t="str">
            <v>XCL</v>
          </cell>
          <cell r="J5351">
            <v>12.8</v>
          </cell>
          <cell r="N5351" t="e">
            <v>#DIV/0!</v>
          </cell>
        </row>
        <row r="5352">
          <cell r="E5352" t="str">
            <v>HGC-Lib-2457178</v>
          </cell>
          <cell r="F5352" t="str">
            <v>LC240714023</v>
          </cell>
          <cell r="G5352">
            <v>90</v>
          </cell>
          <cell r="H5352" t="str">
            <v>singleron-3'转录组文库</v>
          </cell>
          <cell r="I5352" t="str">
            <v>XCL</v>
          </cell>
          <cell r="J5352">
            <v>9.16</v>
          </cell>
          <cell r="N5352" t="e">
            <v>#DIV/0!</v>
          </cell>
        </row>
        <row r="5353">
          <cell r="E5353" t="str">
            <v>HGC-Lib-2457179</v>
          </cell>
          <cell r="F5353" t="str">
            <v>LA240713057X2</v>
          </cell>
          <cell r="G5353">
            <v>90</v>
          </cell>
          <cell r="H5353" t="str">
            <v>singleron-3'转录组文库</v>
          </cell>
          <cell r="I5353" t="str">
            <v>XCL</v>
          </cell>
          <cell r="J5353">
            <v>14.3</v>
          </cell>
          <cell r="N5353" t="e">
            <v>#DIV/0!</v>
          </cell>
        </row>
        <row r="5354">
          <cell r="E5354" t="str">
            <v>HGC-Lib-2457180</v>
          </cell>
          <cell r="F5354" t="str">
            <v>LA240714015</v>
          </cell>
          <cell r="G5354">
            <v>90</v>
          </cell>
          <cell r="H5354" t="str">
            <v>singleron-3'转录组文库</v>
          </cell>
          <cell r="I5354" t="str">
            <v>XCL</v>
          </cell>
          <cell r="J5354">
            <v>22.4</v>
          </cell>
          <cell r="N5354" t="e">
            <v>#DIV/0!</v>
          </cell>
        </row>
        <row r="5355">
          <cell r="E5355" t="str">
            <v>HGC-Lib-2457181</v>
          </cell>
          <cell r="F5355" t="str">
            <v>LA240714016</v>
          </cell>
          <cell r="G5355">
            <v>90</v>
          </cell>
          <cell r="H5355" t="str">
            <v>singleron-3'转录组文库</v>
          </cell>
          <cell r="I5355" t="str">
            <v>XCL</v>
          </cell>
          <cell r="J5355">
            <v>17.399999999999999</v>
          </cell>
          <cell r="N5355" t="e">
            <v>#DIV/0!</v>
          </cell>
        </row>
        <row r="5356">
          <cell r="E5356" t="str">
            <v>HGC-Lib-2457182</v>
          </cell>
          <cell r="F5356" t="str">
            <v>LA240714017</v>
          </cell>
          <cell r="G5356">
            <v>90</v>
          </cell>
          <cell r="H5356" t="str">
            <v>singleron-3'转录组文库</v>
          </cell>
          <cell r="I5356" t="str">
            <v>XCL</v>
          </cell>
          <cell r="J5356">
            <v>16.100000000000001</v>
          </cell>
          <cell r="N5356" t="e">
            <v>#DIV/0!</v>
          </cell>
        </row>
        <row r="5357">
          <cell r="E5357" t="str">
            <v>HGC-Lib-2457183</v>
          </cell>
          <cell r="F5357" t="str">
            <v>ATACLC240718040</v>
          </cell>
          <cell r="G5357">
            <v>40</v>
          </cell>
          <cell r="H5357" t="str">
            <v>其他碱基不平衡文库</v>
          </cell>
          <cell r="I5357" t="str">
            <v>XCL</v>
          </cell>
          <cell r="J5357">
            <v>25.4</v>
          </cell>
          <cell r="N5357" t="e">
            <v>#DIV/0!</v>
          </cell>
        </row>
        <row r="5358">
          <cell r="E5358" t="str">
            <v>HGC-Lib-2457184</v>
          </cell>
          <cell r="F5358" t="str">
            <v>ATACLC240718041</v>
          </cell>
          <cell r="G5358">
            <v>40</v>
          </cell>
          <cell r="H5358" t="str">
            <v>其他碱基不平衡文库</v>
          </cell>
          <cell r="I5358" t="str">
            <v>XCL</v>
          </cell>
          <cell r="J5358">
            <v>18.5</v>
          </cell>
          <cell r="N5358" t="e">
            <v>#DIV/0!</v>
          </cell>
        </row>
        <row r="5359">
          <cell r="E5359" t="str">
            <v>HGC-Lib-2457185</v>
          </cell>
          <cell r="F5359" t="str">
            <v>LFTA240626032CK</v>
          </cell>
          <cell r="G5359">
            <v>100</v>
          </cell>
          <cell r="H5359" t="str">
            <v>singleron-3'全长转录组文库</v>
          </cell>
          <cell r="I5359" t="str">
            <v>XCL</v>
          </cell>
          <cell r="J5359">
            <v>16.5</v>
          </cell>
          <cell r="N5359" t="e">
            <v>#DIV/0!</v>
          </cell>
        </row>
        <row r="5360">
          <cell r="E5360" t="str">
            <v>HGC-Lib-2457186</v>
          </cell>
          <cell r="F5360" t="str">
            <v>LFTC240626033CK</v>
          </cell>
          <cell r="G5360">
            <v>100</v>
          </cell>
          <cell r="H5360" t="str">
            <v>singleron-3'全长转录组文库</v>
          </cell>
          <cell r="I5360" t="str">
            <v>XCL</v>
          </cell>
          <cell r="J5360">
            <v>30.4</v>
          </cell>
          <cell r="N5360" t="e">
            <v>#DIV/0!</v>
          </cell>
        </row>
        <row r="5361">
          <cell r="E5361" t="str">
            <v>HGC-Lib-2457187</v>
          </cell>
          <cell r="F5361" t="str">
            <v>LC240511017</v>
          </cell>
          <cell r="G5361">
            <v>100</v>
          </cell>
          <cell r="H5361" t="str">
            <v>singleron-3'转录组文库</v>
          </cell>
          <cell r="I5361" t="str">
            <v>XCL</v>
          </cell>
          <cell r="J5361">
            <v>28.8</v>
          </cell>
          <cell r="N5361" t="e">
            <v>#DIV/0!</v>
          </cell>
        </row>
        <row r="5362">
          <cell r="E5362" t="str">
            <v>HGC-POOL-2457188</v>
          </cell>
          <cell r="F5362" t="str">
            <v>PCRD-240719-002</v>
          </cell>
          <cell r="G5362">
            <v>20</v>
          </cell>
          <cell r="H5362" t="str">
            <v>singleron-3'转录组文库</v>
          </cell>
          <cell r="I5362" t="str">
            <v>XCL</v>
          </cell>
          <cell r="J5362">
            <v>19.3</v>
          </cell>
          <cell r="N5362" t="e">
            <v>#DIV/0!</v>
          </cell>
        </row>
        <row r="5363">
          <cell r="E5363" t="str">
            <v>HGC-Lib-2457189</v>
          </cell>
          <cell r="F5363" t="str">
            <v>R240719020</v>
          </cell>
          <cell r="G5363">
            <v>5</v>
          </cell>
          <cell r="H5363" t="str">
            <v>singleron-单细胞TCR文库</v>
          </cell>
          <cell r="I5363" t="str">
            <v>XCL</v>
          </cell>
          <cell r="J5363">
            <v>17.399999999999999</v>
          </cell>
          <cell r="N5363" t="e">
            <v>#DIV/0!</v>
          </cell>
        </row>
        <row r="5364">
          <cell r="E5364" t="str">
            <v>HGC-Lib-2457190</v>
          </cell>
          <cell r="F5364" t="str">
            <v>R240719010</v>
          </cell>
          <cell r="G5364">
            <v>10</v>
          </cell>
          <cell r="H5364" t="str">
            <v>singleron-3'转录组文库</v>
          </cell>
          <cell r="I5364" t="str">
            <v>XCL</v>
          </cell>
          <cell r="J5364">
            <v>14.1</v>
          </cell>
          <cell r="N5364" t="e">
            <v>#DIV/0!</v>
          </cell>
        </row>
        <row r="5365">
          <cell r="E5365" t="str">
            <v>HGC-Lib-2457191</v>
          </cell>
          <cell r="F5365" t="str">
            <v>R240719011</v>
          </cell>
          <cell r="G5365">
            <v>10</v>
          </cell>
          <cell r="H5365" t="str">
            <v>singleron-3'转录组文库</v>
          </cell>
          <cell r="I5365" t="str">
            <v>XCL</v>
          </cell>
          <cell r="J5365">
            <v>1.7</v>
          </cell>
          <cell r="N5365" t="e">
            <v>#DIV/0!</v>
          </cell>
        </row>
        <row r="5366">
          <cell r="E5366" t="str">
            <v>HGC-Lib-2457192</v>
          </cell>
          <cell r="F5366" t="str">
            <v>R240719012</v>
          </cell>
          <cell r="G5366">
            <v>10</v>
          </cell>
          <cell r="H5366" t="str">
            <v>singleron-3'转录组文库</v>
          </cell>
          <cell r="I5366" t="str">
            <v>XCL</v>
          </cell>
          <cell r="J5366">
            <v>25</v>
          </cell>
          <cell r="N5366" t="e">
            <v>#DIV/0!</v>
          </cell>
        </row>
        <row r="5367">
          <cell r="E5367" t="str">
            <v>HGC-Lib-2457193</v>
          </cell>
          <cell r="F5367" t="str">
            <v>R240719013</v>
          </cell>
          <cell r="G5367">
            <v>10</v>
          </cell>
          <cell r="H5367" t="str">
            <v>singleron-3'转录组文库</v>
          </cell>
          <cell r="I5367" t="str">
            <v>XCL</v>
          </cell>
          <cell r="J5367">
            <v>28.4</v>
          </cell>
          <cell r="N5367" t="e">
            <v>#DIV/0!</v>
          </cell>
        </row>
        <row r="5368">
          <cell r="E5368" t="str">
            <v>HGC-Lib-2457194</v>
          </cell>
          <cell r="F5368" t="str">
            <v>R240719014</v>
          </cell>
          <cell r="G5368">
            <v>10</v>
          </cell>
          <cell r="H5368" t="str">
            <v>singleron-3'转录组文库</v>
          </cell>
          <cell r="I5368" t="str">
            <v>XCL</v>
          </cell>
          <cell r="J5368">
            <v>11.1</v>
          </cell>
          <cell r="N5368" t="e">
            <v>#DIV/0!</v>
          </cell>
        </row>
        <row r="5369">
          <cell r="E5369" t="str">
            <v>HGC-Lib-2457195</v>
          </cell>
          <cell r="F5369" t="str">
            <v>R240719015</v>
          </cell>
          <cell r="G5369">
            <v>10</v>
          </cell>
          <cell r="H5369" t="str">
            <v>singleron-3'转录组文库</v>
          </cell>
          <cell r="I5369" t="str">
            <v>XCL</v>
          </cell>
          <cell r="J5369">
            <v>0.49399999999999999</v>
          </cell>
          <cell r="N5369" t="e">
            <v>#DIV/0!</v>
          </cell>
        </row>
        <row r="5370">
          <cell r="E5370" t="str">
            <v>HGC-Lib-2457196</v>
          </cell>
          <cell r="F5370" t="str">
            <v>R240719016</v>
          </cell>
          <cell r="G5370">
            <v>10</v>
          </cell>
          <cell r="H5370" t="str">
            <v>singleron-3'转录组文库</v>
          </cell>
          <cell r="I5370" t="str">
            <v>XCL</v>
          </cell>
          <cell r="J5370">
            <v>21</v>
          </cell>
          <cell r="N5370" t="e">
            <v>#DIV/0!</v>
          </cell>
        </row>
        <row r="5371">
          <cell r="E5371" t="str">
            <v>HGC-Lib-2457197</v>
          </cell>
          <cell r="F5371" t="str">
            <v>R240719017</v>
          </cell>
          <cell r="G5371">
            <v>10</v>
          </cell>
          <cell r="H5371" t="str">
            <v>singleron-3'转录组文库</v>
          </cell>
          <cell r="I5371" t="str">
            <v>XCL</v>
          </cell>
          <cell r="J5371">
            <v>26.2</v>
          </cell>
          <cell r="N5371" t="e">
            <v>#DIV/0!</v>
          </cell>
        </row>
        <row r="5372">
          <cell r="E5372" t="str">
            <v>HGC-Lib-2457198</v>
          </cell>
          <cell r="F5372" t="str">
            <v>NGS0224038-1</v>
          </cell>
          <cell r="G5372">
            <v>6</v>
          </cell>
          <cell r="H5372" t="str">
            <v>mRNA文库</v>
          </cell>
          <cell r="I5372" t="str">
            <v>HZK</v>
          </cell>
          <cell r="J5372">
            <v>43.2</v>
          </cell>
          <cell r="N5372" t="e">
            <v>#DIV/0!</v>
          </cell>
        </row>
        <row r="5373">
          <cell r="E5373" t="str">
            <v>HGC-Lib-2457199</v>
          </cell>
          <cell r="F5373" t="str">
            <v>NGS0224038-2</v>
          </cell>
          <cell r="G5373">
            <v>6</v>
          </cell>
          <cell r="H5373" t="str">
            <v>mRNA文库</v>
          </cell>
          <cell r="I5373" t="str">
            <v>HZK</v>
          </cell>
          <cell r="J5373">
            <v>10.9</v>
          </cell>
          <cell r="N5373" t="e">
            <v>#DIV/0!</v>
          </cell>
        </row>
        <row r="5374">
          <cell r="E5374" t="str">
            <v>HGC-Lib-2457200</v>
          </cell>
          <cell r="F5374" t="str">
            <v>NGS0224038-3</v>
          </cell>
          <cell r="G5374">
            <v>6</v>
          </cell>
          <cell r="H5374" t="str">
            <v>mRNA文库</v>
          </cell>
          <cell r="I5374" t="str">
            <v>HZK</v>
          </cell>
          <cell r="J5374">
            <v>39.4</v>
          </cell>
          <cell r="N5374" t="e">
            <v>#DIV/0!</v>
          </cell>
        </row>
        <row r="5375">
          <cell r="E5375" t="str">
            <v>HGC-Lib-2457201</v>
          </cell>
          <cell r="F5375" t="str">
            <v>NGS0224038-4</v>
          </cell>
          <cell r="G5375">
            <v>6</v>
          </cell>
          <cell r="H5375" t="str">
            <v>mRNA文库</v>
          </cell>
          <cell r="I5375" t="str">
            <v>HZK</v>
          </cell>
          <cell r="J5375">
            <v>57.6</v>
          </cell>
          <cell r="N5375" t="e">
            <v>#DIV/0!</v>
          </cell>
        </row>
        <row r="5376">
          <cell r="E5376" t="str">
            <v>HGC-Lib-2457202</v>
          </cell>
          <cell r="F5376" t="str">
            <v>NGS0224038-5</v>
          </cell>
          <cell r="G5376">
            <v>6</v>
          </cell>
          <cell r="H5376" t="str">
            <v>mRNA文库</v>
          </cell>
          <cell r="I5376" t="str">
            <v>HZK</v>
          </cell>
          <cell r="J5376">
            <v>49.6</v>
          </cell>
          <cell r="N5376" t="e">
            <v>#DIV/0!</v>
          </cell>
        </row>
        <row r="5377">
          <cell r="E5377" t="str">
            <v>HGC-Lib-2457203</v>
          </cell>
          <cell r="F5377" t="str">
            <v>NGS0224038-6</v>
          </cell>
          <cell r="G5377">
            <v>6</v>
          </cell>
          <cell r="H5377" t="str">
            <v>mRNA文库</v>
          </cell>
          <cell r="I5377" t="str">
            <v>HZK</v>
          </cell>
          <cell r="J5377">
            <v>66.8</v>
          </cell>
          <cell r="N5377" t="e">
            <v>#DIV/0!</v>
          </cell>
        </row>
        <row r="5378">
          <cell r="E5378" t="str">
            <v>HGC-Lib-2457204</v>
          </cell>
          <cell r="F5378" t="str">
            <v>NGS0224038-7</v>
          </cell>
          <cell r="G5378">
            <v>6</v>
          </cell>
          <cell r="H5378" t="str">
            <v>mRNA文库</v>
          </cell>
          <cell r="I5378" t="str">
            <v>HZK</v>
          </cell>
          <cell r="J5378">
            <v>55.2</v>
          </cell>
          <cell r="N5378" t="e">
            <v>#DIV/0!</v>
          </cell>
        </row>
        <row r="5379">
          <cell r="E5379" t="str">
            <v>HGC-Lib-2457205</v>
          </cell>
          <cell r="F5379" t="str">
            <v>NGS0224038-8</v>
          </cell>
          <cell r="G5379">
            <v>6</v>
          </cell>
          <cell r="H5379" t="str">
            <v>mRNA文库</v>
          </cell>
          <cell r="I5379" t="str">
            <v>HZK</v>
          </cell>
          <cell r="J5379">
            <v>78.599999999999994</v>
          </cell>
          <cell r="N5379" t="e">
            <v>#DIV/0!</v>
          </cell>
        </row>
        <row r="5380">
          <cell r="E5380" t="str">
            <v>HGC-Lib-2457206</v>
          </cell>
          <cell r="F5380" t="str">
            <v>NGS0224038-9</v>
          </cell>
          <cell r="G5380">
            <v>6</v>
          </cell>
          <cell r="H5380" t="str">
            <v>mRNA文库</v>
          </cell>
          <cell r="I5380" t="str">
            <v>HZK</v>
          </cell>
          <cell r="J5380">
            <v>38.4</v>
          </cell>
          <cell r="N5380" t="e">
            <v>#DIV/0!</v>
          </cell>
        </row>
        <row r="5381">
          <cell r="E5381" t="str">
            <v>HGC-Lib-2457207</v>
          </cell>
          <cell r="F5381" t="str">
            <v>WG2429D6</v>
          </cell>
          <cell r="G5381">
            <v>15</v>
          </cell>
          <cell r="H5381" t="str">
            <v>全基因组文库</v>
          </cell>
          <cell r="I5381" t="str">
            <v>DY</v>
          </cell>
          <cell r="J5381">
            <v>2.88</v>
          </cell>
          <cell r="K5381">
            <v>507</v>
          </cell>
          <cell r="L5381" t="str">
            <v>GZQ</v>
          </cell>
          <cell r="N5381">
            <v>8.7391898042785598</v>
          </cell>
        </row>
        <row r="5382">
          <cell r="E5382" t="str">
            <v>HGC-POOL-2457208</v>
          </cell>
          <cell r="F5382" t="str">
            <v>WG2430/31D</v>
          </cell>
          <cell r="G5382">
            <v>15</v>
          </cell>
          <cell r="H5382" t="str">
            <v>全基因组文库</v>
          </cell>
          <cell r="I5382" t="str">
            <v>DY</v>
          </cell>
          <cell r="J5382">
            <v>2.88</v>
          </cell>
          <cell r="K5382">
            <v>511</v>
          </cell>
          <cell r="L5382" t="str">
            <v>GZQ</v>
          </cell>
          <cell r="N5382">
            <v>8.6707812735209995</v>
          </cell>
        </row>
        <row r="5383">
          <cell r="E5383" t="str">
            <v>HGC-POOL-2457209</v>
          </cell>
          <cell r="F5383" t="str">
            <v>WG2431R</v>
          </cell>
          <cell r="G5383">
            <v>15</v>
          </cell>
          <cell r="H5383" t="str">
            <v>全基因组文库</v>
          </cell>
          <cell r="I5383" t="str">
            <v>DY</v>
          </cell>
          <cell r="J5383">
            <v>5.5</v>
          </cell>
          <cell r="K5383">
            <v>361</v>
          </cell>
          <cell r="L5383" t="str">
            <v>GZQ</v>
          </cell>
          <cell r="N5383">
            <v>23.439164713402899</v>
          </cell>
        </row>
        <row r="5384">
          <cell r="E5384" t="str">
            <v>HGC-POOL-2457210</v>
          </cell>
          <cell r="F5384" t="str">
            <v>WG2432D</v>
          </cell>
          <cell r="G5384">
            <v>15</v>
          </cell>
          <cell r="H5384" t="str">
            <v>全基因组文库</v>
          </cell>
          <cell r="I5384" t="str">
            <v>DY</v>
          </cell>
          <cell r="J5384">
            <v>3.92</v>
          </cell>
          <cell r="K5384">
            <v>475</v>
          </cell>
          <cell r="L5384" t="str">
            <v>GZQ</v>
          </cell>
          <cell r="N5384">
            <v>12.6963562753036</v>
          </cell>
        </row>
        <row r="5385">
          <cell r="E5385" t="str">
            <v>HGC-POOL-2457211</v>
          </cell>
          <cell r="F5385" t="str">
            <v>WG2433D</v>
          </cell>
          <cell r="G5385">
            <v>15</v>
          </cell>
          <cell r="H5385" t="str">
            <v>全基因组文库</v>
          </cell>
          <cell r="I5385" t="str">
            <v>GZQ</v>
          </cell>
          <cell r="J5385">
            <v>3.04</v>
          </cell>
          <cell r="K5385">
            <v>488</v>
          </cell>
          <cell r="L5385" t="str">
            <v>GZQ</v>
          </cell>
          <cell r="N5385">
            <v>9.5838587641866297</v>
          </cell>
        </row>
        <row r="5386">
          <cell r="E5386" t="str">
            <v>HGC-POOL-2457212</v>
          </cell>
          <cell r="F5386" t="str">
            <v>WG2433R</v>
          </cell>
          <cell r="G5386">
            <v>15</v>
          </cell>
          <cell r="H5386" t="str">
            <v>全基因组文库</v>
          </cell>
          <cell r="I5386" t="str">
            <v>GZQ</v>
          </cell>
          <cell r="J5386">
            <v>0.84199999999999997</v>
          </cell>
          <cell r="K5386">
            <v>419</v>
          </cell>
          <cell r="L5386" t="str">
            <v>GZQ</v>
          </cell>
          <cell r="N5386">
            <v>3.0916100605838102</v>
          </cell>
        </row>
        <row r="5387">
          <cell r="E5387" t="str">
            <v>HGC-POOL-2457213</v>
          </cell>
          <cell r="F5387" t="str">
            <v>WG2434/35D</v>
          </cell>
          <cell r="G5387">
            <v>15</v>
          </cell>
          <cell r="H5387" t="str">
            <v>全基因组文库</v>
          </cell>
          <cell r="I5387" t="str">
            <v>GZQ</v>
          </cell>
          <cell r="J5387">
            <v>1.07</v>
          </cell>
          <cell r="K5387">
            <v>463</v>
          </cell>
          <cell r="L5387" t="str">
            <v>GZQ</v>
          </cell>
          <cell r="N5387">
            <v>3.5554078750623002</v>
          </cell>
        </row>
        <row r="5388">
          <cell r="E5388" t="str">
            <v>HGC-POOL-2457214</v>
          </cell>
          <cell r="F5388" t="str">
            <v>WG2435R</v>
          </cell>
          <cell r="G5388">
            <v>15</v>
          </cell>
          <cell r="H5388" t="str">
            <v>全基因组文库</v>
          </cell>
          <cell r="I5388" t="str">
            <v>GZQ</v>
          </cell>
          <cell r="J5388">
            <v>1.84</v>
          </cell>
          <cell r="K5388">
            <v>426</v>
          </cell>
          <cell r="L5388" t="str">
            <v>GZQ</v>
          </cell>
          <cell r="N5388">
            <v>6.6449981942939704</v>
          </cell>
        </row>
        <row r="5389">
          <cell r="E5389" t="str">
            <v>HGC-POOL-2457215</v>
          </cell>
          <cell r="F5389" t="str">
            <v>WG2437D</v>
          </cell>
          <cell r="G5389">
            <v>15</v>
          </cell>
          <cell r="H5389" t="str">
            <v>全基因组文库</v>
          </cell>
          <cell r="I5389" t="str">
            <v>GZQ</v>
          </cell>
          <cell r="J5389">
            <v>1.38</v>
          </cell>
          <cell r="K5389">
            <v>524</v>
          </cell>
          <cell r="L5389" t="str">
            <v>GZQ</v>
          </cell>
          <cell r="N5389">
            <v>4.0516735173223699</v>
          </cell>
        </row>
        <row r="5390">
          <cell r="E5390" t="str">
            <v>HGC-POOL-2457216</v>
          </cell>
          <cell r="F5390" t="str">
            <v>WG2437R</v>
          </cell>
          <cell r="G5390">
            <v>15</v>
          </cell>
          <cell r="H5390" t="str">
            <v>全基因组文库</v>
          </cell>
          <cell r="I5390" t="str">
            <v>GZQ</v>
          </cell>
          <cell r="J5390">
            <v>1.27</v>
          </cell>
          <cell r="K5390">
            <v>441</v>
          </cell>
          <cell r="L5390" t="str">
            <v>GZQ</v>
          </cell>
          <cell r="N5390">
            <v>4.4304901447758596</v>
          </cell>
        </row>
        <row r="5391">
          <cell r="E5391" t="str">
            <v>HGC-POOL-2457217</v>
          </cell>
          <cell r="F5391" t="str">
            <v>A240719-1</v>
          </cell>
          <cell r="G5391">
            <v>30</v>
          </cell>
          <cell r="H5391" t="str">
            <v>PCR产物文库</v>
          </cell>
          <cell r="I5391" t="str">
            <v>GZQ</v>
          </cell>
          <cell r="J5391">
            <v>7.2</v>
          </cell>
          <cell r="K5391">
            <v>332</v>
          </cell>
          <cell r="L5391" t="str">
            <v>GZQ</v>
          </cell>
          <cell r="N5391">
            <v>33.364226135310503</v>
          </cell>
        </row>
        <row r="5392">
          <cell r="E5392" t="str">
            <v>HGC-Lib-2457218</v>
          </cell>
          <cell r="F5392" t="str">
            <v>A240719-2</v>
          </cell>
          <cell r="G5392">
            <v>1</v>
          </cell>
          <cell r="H5392" t="str">
            <v>PCR产物文库</v>
          </cell>
          <cell r="I5392" t="str">
            <v>GZQ</v>
          </cell>
          <cell r="J5392">
            <v>38.6</v>
          </cell>
          <cell r="K5392">
            <v>183</v>
          </cell>
          <cell r="L5392" t="str">
            <v>YHT</v>
          </cell>
          <cell r="N5392">
            <v>324.506094997898</v>
          </cell>
        </row>
        <row r="5393">
          <cell r="E5393" t="str">
            <v>HGC-Lib-2457219</v>
          </cell>
          <cell r="F5393" t="str">
            <v>FWSC20240319-Y-7237</v>
          </cell>
          <cell r="G5393">
            <v>20</v>
          </cell>
          <cell r="H5393" t="str">
            <v>寻因FFPE</v>
          </cell>
          <cell r="I5393" t="str">
            <v>GZQ</v>
          </cell>
          <cell r="J5393">
            <v>19.3</v>
          </cell>
          <cell r="K5393">
            <v>318</v>
          </cell>
          <cell r="L5393" t="str">
            <v>YHT</v>
          </cell>
          <cell r="N5393">
            <v>93.3720367682632</v>
          </cell>
        </row>
        <row r="5394">
          <cell r="E5394" t="str">
            <v>HGC-Lib-2457220</v>
          </cell>
          <cell r="F5394" t="str">
            <v>FWSC20240319-Y-1905</v>
          </cell>
          <cell r="G5394">
            <v>20</v>
          </cell>
          <cell r="H5394" t="str">
            <v>寻因FFPE</v>
          </cell>
          <cell r="I5394" t="str">
            <v>GZQ</v>
          </cell>
          <cell r="J5394">
            <v>68.2</v>
          </cell>
          <cell r="K5394">
            <v>331</v>
          </cell>
          <cell r="L5394" t="str">
            <v>YHT</v>
          </cell>
          <cell r="N5394">
            <v>316.988147803858</v>
          </cell>
        </row>
        <row r="5395">
          <cell r="E5395" t="str">
            <v>HGC-Lib-2457221</v>
          </cell>
          <cell r="F5395" t="str">
            <v>FWSC20240362-02-PRI-P</v>
          </cell>
          <cell r="G5395">
            <v>100</v>
          </cell>
          <cell r="H5395" t="str">
            <v>10× 3'单细胞</v>
          </cell>
          <cell r="I5395" t="str">
            <v>GZQ</v>
          </cell>
          <cell r="J5395">
            <v>9.44</v>
          </cell>
          <cell r="K5395">
            <v>490</v>
          </cell>
          <cell r="L5395" t="str">
            <v>YHT</v>
          </cell>
          <cell r="N5395">
            <v>29.638932496075402</v>
          </cell>
        </row>
        <row r="5396">
          <cell r="E5396" t="str">
            <v>HGC-Lib-2457222</v>
          </cell>
          <cell r="F5396" t="str">
            <v>FWSC20240362-02-PRI-T</v>
          </cell>
          <cell r="G5396">
            <v>100</v>
          </cell>
          <cell r="H5396" t="str">
            <v>10× 3'单细胞</v>
          </cell>
          <cell r="I5396" t="str">
            <v>GZQ</v>
          </cell>
          <cell r="J5396">
            <v>19.600000000000001</v>
          </cell>
          <cell r="K5396">
            <v>504</v>
          </cell>
          <cell r="L5396" t="str">
            <v>YHT</v>
          </cell>
          <cell r="N5396">
            <v>59.829059829059801</v>
          </cell>
        </row>
        <row r="5397">
          <cell r="E5397" t="str">
            <v>HGC-Lib-2457223</v>
          </cell>
          <cell r="F5397" t="str">
            <v>FW2024-092-07-ZLY0717</v>
          </cell>
          <cell r="G5397">
            <v>100</v>
          </cell>
          <cell r="H5397" t="str">
            <v>10× 3'单细胞</v>
          </cell>
          <cell r="I5397" t="str">
            <v>XCL</v>
          </cell>
          <cell r="J5397">
            <v>14</v>
          </cell>
          <cell r="K5397">
            <v>497</v>
          </cell>
          <cell r="L5397" t="str">
            <v>YHT</v>
          </cell>
          <cell r="N5397">
            <v>43.336944745395499</v>
          </cell>
        </row>
        <row r="5398">
          <cell r="E5398" t="str">
            <v>HGC-Lib-2457224</v>
          </cell>
          <cell r="F5398" t="str">
            <v>FW2024-225-14-shangsuzhen0718-G</v>
          </cell>
          <cell r="G5398">
            <v>100</v>
          </cell>
          <cell r="H5398" t="str">
            <v>10× 3'单细胞</v>
          </cell>
          <cell r="I5398" t="str">
            <v>XCL</v>
          </cell>
          <cell r="J5398">
            <v>15.7</v>
          </cell>
          <cell r="K5398">
            <v>496</v>
          </cell>
          <cell r="L5398" t="str">
            <v>YHT</v>
          </cell>
          <cell r="N5398">
            <v>48.697270471464002</v>
          </cell>
        </row>
        <row r="5399">
          <cell r="E5399" t="str">
            <v>HGC-Lib-2457225</v>
          </cell>
          <cell r="F5399" t="str">
            <v>FW2024-225-14-shangsuzhen0718-W</v>
          </cell>
          <cell r="G5399">
            <v>100</v>
          </cell>
          <cell r="H5399" t="str">
            <v>10× 3'单细胞</v>
          </cell>
          <cell r="I5399" t="str">
            <v>XCL</v>
          </cell>
          <cell r="J5399">
            <v>17.399999999999999</v>
          </cell>
          <cell r="K5399">
            <v>500</v>
          </cell>
          <cell r="L5399" t="str">
            <v>YHT</v>
          </cell>
          <cell r="N5399">
            <v>53.538461538461497</v>
          </cell>
        </row>
        <row r="5400">
          <cell r="E5400" t="str">
            <v>HGC-Lib-2457226</v>
          </cell>
          <cell r="F5400" t="str">
            <v>CRLM-T-10X</v>
          </cell>
          <cell r="G5400">
            <v>50</v>
          </cell>
          <cell r="H5400" t="str">
            <v>10× 3'单细胞</v>
          </cell>
          <cell r="I5400" t="str">
            <v>XCL</v>
          </cell>
          <cell r="J5400">
            <v>21.2</v>
          </cell>
          <cell r="K5400">
            <v>522</v>
          </cell>
          <cell r="L5400" t="str">
            <v>YHT</v>
          </cell>
          <cell r="N5400">
            <v>62.481579722958998</v>
          </cell>
        </row>
        <row r="5401">
          <cell r="E5401" t="str">
            <v>HGC-Lib-2457227</v>
          </cell>
          <cell r="F5401" t="str">
            <v>CRLM-T-XY</v>
          </cell>
          <cell r="G5401">
            <v>50</v>
          </cell>
          <cell r="H5401" t="str">
            <v>10× 3'单细胞</v>
          </cell>
          <cell r="I5401" t="str">
            <v>XCL</v>
          </cell>
          <cell r="J5401">
            <v>31.8</v>
          </cell>
          <cell r="K5401">
            <v>543</v>
          </cell>
          <cell r="L5401" t="str">
            <v>YHT</v>
          </cell>
          <cell r="N5401">
            <v>90.097747556311106</v>
          </cell>
        </row>
        <row r="5402">
          <cell r="E5402" t="str">
            <v>HGC-POOL-2457228</v>
          </cell>
          <cell r="F5402" t="str">
            <v>ZLZ-HT240719F</v>
          </cell>
          <cell r="G5402">
            <v>59</v>
          </cell>
          <cell r="H5402" t="str">
            <v>mRNA文库</v>
          </cell>
          <cell r="I5402" t="str">
            <v>XCL</v>
          </cell>
          <cell r="J5402">
            <v>20</v>
          </cell>
          <cell r="K5402">
            <v>458</v>
          </cell>
          <cell r="L5402" t="str">
            <v>YHT</v>
          </cell>
          <cell r="N5402">
            <v>67.181726570372902</v>
          </cell>
        </row>
        <row r="5403">
          <cell r="E5403" t="str">
            <v>HGC-POOL-2457229</v>
          </cell>
          <cell r="F5403" t="str">
            <v>ZLZ-HT240719H</v>
          </cell>
          <cell r="G5403">
            <v>145</v>
          </cell>
          <cell r="H5403" t="str">
            <v>mRNA文库</v>
          </cell>
          <cell r="I5403" t="str">
            <v>XCL</v>
          </cell>
          <cell r="J5403">
            <v>17.5</v>
          </cell>
          <cell r="K5403">
            <v>458</v>
          </cell>
          <cell r="L5403" t="str">
            <v>YHT</v>
          </cell>
          <cell r="N5403">
            <v>58.784010749076302</v>
          </cell>
        </row>
        <row r="5404">
          <cell r="E5404" t="str">
            <v>HGC-POOL-2457230</v>
          </cell>
          <cell r="F5404" t="str">
            <v>ZLZ-HT240719I</v>
          </cell>
          <cell r="G5404">
            <v>86</v>
          </cell>
          <cell r="H5404" t="str">
            <v>mRNA文库</v>
          </cell>
          <cell r="I5404" t="str">
            <v>DY</v>
          </cell>
          <cell r="J5404">
            <v>19.399999999999999</v>
          </cell>
          <cell r="K5404">
            <v>460</v>
          </cell>
          <cell r="L5404" t="str">
            <v>YHT</v>
          </cell>
          <cell r="N5404">
            <v>64.882943143812696</v>
          </cell>
        </row>
        <row r="5405">
          <cell r="E5405" t="str">
            <v>HGC-Lib-2457231</v>
          </cell>
          <cell r="F5405" t="str">
            <v>HitomXNN391</v>
          </cell>
          <cell r="G5405">
            <v>2</v>
          </cell>
          <cell r="H5405" t="str">
            <v>PCR片段文库</v>
          </cell>
          <cell r="I5405" t="str">
            <v>GZQ</v>
          </cell>
          <cell r="J5405">
            <v>35</v>
          </cell>
          <cell r="K5405">
            <v>485</v>
          </cell>
          <cell r="L5405" t="str">
            <v>YHT</v>
          </cell>
          <cell r="N5405">
            <v>111.022997620936</v>
          </cell>
        </row>
        <row r="5406">
          <cell r="E5406" t="str">
            <v>HGC-Lib-2457232</v>
          </cell>
          <cell r="F5406" t="str">
            <v>HitomXNN392</v>
          </cell>
          <cell r="G5406">
            <v>2</v>
          </cell>
          <cell r="H5406" t="str">
            <v>PCR片段文库</v>
          </cell>
          <cell r="I5406" t="str">
            <v>GZQ</v>
          </cell>
          <cell r="J5406">
            <v>32.6</v>
          </cell>
          <cell r="K5406">
            <v>608</v>
          </cell>
          <cell r="L5406" t="str">
            <v>YHT</v>
          </cell>
          <cell r="N5406">
            <v>82.489878542510098</v>
          </cell>
        </row>
        <row r="5407">
          <cell r="E5407" t="str">
            <v>HGC-Lib-2457233</v>
          </cell>
          <cell r="F5407">
            <v>1</v>
          </cell>
          <cell r="G5407">
            <v>2</v>
          </cell>
          <cell r="H5407" t="str">
            <v>small RNA文库</v>
          </cell>
          <cell r="I5407" t="str">
            <v>GZQ</v>
          </cell>
          <cell r="J5407">
            <v>2.42</v>
          </cell>
          <cell r="K5407">
            <v>255</v>
          </cell>
          <cell r="L5407" t="str">
            <v>GZQ</v>
          </cell>
          <cell r="N5407">
            <v>14.600301659125201</v>
          </cell>
        </row>
        <row r="5408">
          <cell r="E5408" t="str">
            <v>HGC-Lib-2457234</v>
          </cell>
          <cell r="F5408">
            <v>2</v>
          </cell>
          <cell r="G5408">
            <v>2</v>
          </cell>
          <cell r="H5408" t="str">
            <v>small RNA文库</v>
          </cell>
          <cell r="I5408" t="str">
            <v>GZQ</v>
          </cell>
          <cell r="J5408">
            <v>2.04</v>
          </cell>
          <cell r="K5408">
            <v>278</v>
          </cell>
          <cell r="L5408" t="str">
            <v>GZQ</v>
          </cell>
          <cell r="N5408">
            <v>11.289429994465999</v>
          </cell>
        </row>
        <row r="5409">
          <cell r="E5409" t="str">
            <v>HGC-Lib-2457235</v>
          </cell>
          <cell r="F5409">
            <v>3</v>
          </cell>
          <cell r="G5409">
            <v>2</v>
          </cell>
          <cell r="H5409" t="str">
            <v>small RNA文库</v>
          </cell>
          <cell r="I5409" t="str">
            <v>GZQ</v>
          </cell>
          <cell r="J5409">
            <v>5.9</v>
          </cell>
          <cell r="K5409">
            <v>204</v>
          </cell>
          <cell r="L5409" t="str">
            <v>GZQ</v>
          </cell>
          <cell r="N5409">
            <v>44.494720965309199</v>
          </cell>
        </row>
        <row r="5410">
          <cell r="E5410" t="str">
            <v>HGC-Lib-2457236</v>
          </cell>
          <cell r="F5410">
            <v>4</v>
          </cell>
          <cell r="G5410">
            <v>2</v>
          </cell>
          <cell r="H5410" t="str">
            <v>small RNA文库</v>
          </cell>
          <cell r="I5410" t="str">
            <v>GZQ</v>
          </cell>
          <cell r="J5410">
            <v>1.7</v>
          </cell>
          <cell r="K5410">
            <v>285</v>
          </cell>
          <cell r="L5410" t="str">
            <v>GZQ</v>
          </cell>
          <cell r="N5410">
            <v>9.1767881241565394</v>
          </cell>
        </row>
        <row r="5411">
          <cell r="E5411" t="str">
            <v>HGC-Lib-2457237</v>
          </cell>
          <cell r="F5411">
            <v>5</v>
          </cell>
          <cell r="G5411">
            <v>2</v>
          </cell>
          <cell r="H5411" t="str">
            <v>small RNA文库</v>
          </cell>
          <cell r="I5411" t="str">
            <v>GZQ</v>
          </cell>
          <cell r="J5411">
            <v>1.67</v>
          </cell>
          <cell r="K5411">
            <v>272</v>
          </cell>
          <cell r="L5411" t="str">
            <v>GZQ</v>
          </cell>
          <cell r="N5411">
            <v>9.44570135746606</v>
          </cell>
        </row>
        <row r="5412">
          <cell r="E5412" t="str">
            <v>HGC-Lib-2457238</v>
          </cell>
          <cell r="F5412">
            <v>6</v>
          </cell>
          <cell r="G5412">
            <v>2</v>
          </cell>
          <cell r="H5412" t="str">
            <v>small RNA文库</v>
          </cell>
          <cell r="I5412" t="str">
            <v>GZQ</v>
          </cell>
          <cell r="J5412">
            <v>10.6</v>
          </cell>
          <cell r="K5412">
            <v>207</v>
          </cell>
          <cell r="L5412" t="str">
            <v>GZQ</v>
          </cell>
          <cell r="N5412">
            <v>78.781122259383096</v>
          </cell>
        </row>
        <row r="5413">
          <cell r="E5413" t="str">
            <v>HGC-Lib-2457239</v>
          </cell>
          <cell r="F5413">
            <v>7</v>
          </cell>
          <cell r="G5413">
            <v>2</v>
          </cell>
          <cell r="H5413" t="str">
            <v>small RNA文库</v>
          </cell>
          <cell r="I5413" t="str">
            <v>GZQ</v>
          </cell>
          <cell r="J5413">
            <v>4.9400000000000004</v>
          </cell>
          <cell r="K5413">
            <v>274</v>
          </cell>
          <cell r="L5413" t="str">
            <v>GZQ</v>
          </cell>
          <cell r="N5413">
            <v>27.737226277372301</v>
          </cell>
        </row>
        <row r="5414">
          <cell r="E5414" t="str">
            <v>HGC-Lib-2457240</v>
          </cell>
          <cell r="F5414">
            <v>8</v>
          </cell>
          <cell r="G5414">
            <v>2</v>
          </cell>
          <cell r="H5414" t="str">
            <v>small RNA文库</v>
          </cell>
          <cell r="I5414" t="str">
            <v>GZQ</v>
          </cell>
          <cell r="J5414">
            <v>1.49</v>
          </cell>
          <cell r="K5414">
            <v>320</v>
          </cell>
          <cell r="L5414" t="str">
            <v>GZQ</v>
          </cell>
          <cell r="N5414">
            <v>7.1634615384615401</v>
          </cell>
        </row>
        <row r="5415">
          <cell r="E5415" t="str">
            <v>HGC-Lib-2457241</v>
          </cell>
          <cell r="F5415">
            <v>9</v>
          </cell>
          <cell r="G5415">
            <v>2</v>
          </cell>
          <cell r="H5415" t="str">
            <v>small RNA文库</v>
          </cell>
          <cell r="I5415" t="str">
            <v>GZQ</v>
          </cell>
          <cell r="J5415">
            <v>3.84</v>
          </cell>
          <cell r="K5415">
            <v>259</v>
          </cell>
          <cell r="L5415" t="str">
            <v>GZQ</v>
          </cell>
          <cell r="N5415">
            <v>22.809622809622802</v>
          </cell>
        </row>
        <row r="5416">
          <cell r="E5416" t="str">
            <v>HGC-Lib-2457248</v>
          </cell>
          <cell r="F5416" t="str">
            <v>hitomcll311</v>
          </cell>
          <cell r="G5416">
            <v>2</v>
          </cell>
          <cell r="H5416" t="str">
            <v>PCR片段文库</v>
          </cell>
          <cell r="I5416" t="str">
            <v>DY</v>
          </cell>
          <cell r="J5416">
            <v>85.2</v>
          </cell>
          <cell r="K5416">
            <v>360</v>
          </cell>
          <cell r="L5416" t="str">
            <v>YHT</v>
          </cell>
          <cell r="N5416">
            <v>364.10256410256397</v>
          </cell>
        </row>
        <row r="5417">
          <cell r="E5417" t="str">
            <v>HGC-Lib-2457249</v>
          </cell>
          <cell r="F5417" t="str">
            <v>hitomcll312</v>
          </cell>
          <cell r="G5417">
            <v>2</v>
          </cell>
          <cell r="H5417" t="str">
            <v>PCR片段文库</v>
          </cell>
          <cell r="I5417" t="str">
            <v>DY</v>
          </cell>
          <cell r="J5417">
            <v>102</v>
          </cell>
          <cell r="K5417">
            <v>383</v>
          </cell>
          <cell r="L5417" t="str">
            <v>YHT</v>
          </cell>
          <cell r="N5417">
            <v>409.72082747539702</v>
          </cell>
        </row>
        <row r="5418">
          <cell r="E5418" t="str">
            <v>HGC-Lib-2457250</v>
          </cell>
          <cell r="F5418" t="str">
            <v>hitomcll313</v>
          </cell>
          <cell r="G5418">
            <v>2</v>
          </cell>
          <cell r="H5418" t="str">
            <v>PCR片段文库</v>
          </cell>
          <cell r="I5418" t="str">
            <v>DY</v>
          </cell>
          <cell r="J5418">
            <v>112</v>
          </cell>
          <cell r="K5418">
            <v>396</v>
          </cell>
          <cell r="L5418" t="str">
            <v>YHT</v>
          </cell>
          <cell r="N5418">
            <v>435.12043512043499</v>
          </cell>
        </row>
        <row r="5419">
          <cell r="E5419" t="str">
            <v>HGC-Lib-2457251</v>
          </cell>
          <cell r="F5419" t="str">
            <v>hitomcll314</v>
          </cell>
          <cell r="G5419">
            <v>2</v>
          </cell>
          <cell r="H5419" t="str">
            <v>PCR片段文库</v>
          </cell>
          <cell r="I5419" t="str">
            <v>DY</v>
          </cell>
          <cell r="J5419">
            <v>66.2</v>
          </cell>
          <cell r="K5419">
            <v>406</v>
          </cell>
          <cell r="L5419" t="str">
            <v>YHT</v>
          </cell>
          <cell r="N5419">
            <v>250.85259568018199</v>
          </cell>
        </row>
        <row r="5420">
          <cell r="E5420" t="str">
            <v>HGC-Lib-2457252</v>
          </cell>
          <cell r="F5420" t="str">
            <v>hitomcll315</v>
          </cell>
          <cell r="G5420">
            <v>2</v>
          </cell>
          <cell r="H5420" t="str">
            <v>PCR片段文库</v>
          </cell>
          <cell r="I5420" t="str">
            <v>DY</v>
          </cell>
          <cell r="J5420">
            <v>65.8</v>
          </cell>
          <cell r="K5420">
            <v>398</v>
          </cell>
          <cell r="L5420" t="str">
            <v>YHT</v>
          </cell>
          <cell r="N5420">
            <v>254.348666408968</v>
          </cell>
        </row>
        <row r="5421">
          <cell r="E5421" t="str">
            <v>HGC-Lib-2457253</v>
          </cell>
          <cell r="F5421" t="str">
            <v>hitomcll316</v>
          </cell>
          <cell r="G5421">
            <v>2</v>
          </cell>
          <cell r="H5421" t="str">
            <v>PCR片段文库</v>
          </cell>
          <cell r="I5421" t="str">
            <v>DY</v>
          </cell>
          <cell r="J5421">
            <v>60.6</v>
          </cell>
          <cell r="K5421">
            <v>403</v>
          </cell>
          <cell r="L5421" t="str">
            <v>YHT</v>
          </cell>
          <cell r="N5421">
            <v>231.34185913342199</v>
          </cell>
        </row>
        <row r="5422">
          <cell r="E5422" t="str">
            <v>HGC-Lib-2457254</v>
          </cell>
          <cell r="F5422" t="str">
            <v>hitomcll317</v>
          </cell>
          <cell r="G5422">
            <v>2</v>
          </cell>
          <cell r="H5422" t="str">
            <v>PCR片段文库</v>
          </cell>
          <cell r="I5422" t="str">
            <v>DY</v>
          </cell>
          <cell r="J5422">
            <v>90.6</v>
          </cell>
          <cell r="K5422">
            <v>378</v>
          </cell>
          <cell r="L5422" t="str">
            <v>YHT</v>
          </cell>
          <cell r="N5422">
            <v>368.74236874236902</v>
          </cell>
        </row>
        <row r="5423">
          <cell r="E5423" t="str">
            <v>HGC-Lib-2457255</v>
          </cell>
          <cell r="F5423" t="str">
            <v>hitomcll318</v>
          </cell>
          <cell r="G5423">
            <v>2</v>
          </cell>
          <cell r="H5423" t="str">
            <v>PCR片段文库</v>
          </cell>
          <cell r="I5423" t="str">
            <v>DY</v>
          </cell>
          <cell r="J5423">
            <v>82</v>
          </cell>
          <cell r="K5423">
            <v>363</v>
          </cell>
          <cell r="L5423" t="str">
            <v>YHT</v>
          </cell>
          <cell r="N5423">
            <v>347.53125662216598</v>
          </cell>
        </row>
        <row r="5424">
          <cell r="E5424" t="str">
            <v>HGC-Lib-2457256</v>
          </cell>
          <cell r="F5424" t="str">
            <v>hitomcll319</v>
          </cell>
          <cell r="G5424">
            <v>2</v>
          </cell>
          <cell r="H5424" t="str">
            <v>PCR片段文库</v>
          </cell>
          <cell r="I5424" t="str">
            <v>DY</v>
          </cell>
          <cell r="J5424">
            <v>48.2</v>
          </cell>
          <cell r="K5424">
            <v>398</v>
          </cell>
          <cell r="L5424" t="str">
            <v>YHT</v>
          </cell>
          <cell r="N5424">
            <v>186.316196366448</v>
          </cell>
        </row>
        <row r="5425">
          <cell r="E5425" t="str">
            <v>HGC-Lib-2457257</v>
          </cell>
          <cell r="F5425" t="str">
            <v>hitomcll320</v>
          </cell>
          <cell r="G5425">
            <v>2</v>
          </cell>
          <cell r="H5425" t="str">
            <v>PCR片段文库</v>
          </cell>
          <cell r="I5425" t="str">
            <v>DY</v>
          </cell>
          <cell r="J5425">
            <v>45.4</v>
          </cell>
          <cell r="K5425">
            <v>409</v>
          </cell>
          <cell r="L5425" t="str">
            <v>YHT</v>
          </cell>
          <cell r="N5425">
            <v>170.77299228888501</v>
          </cell>
        </row>
        <row r="5426">
          <cell r="E5426" t="str">
            <v>HGC-Lib-2457258</v>
          </cell>
          <cell r="F5426" t="str">
            <v>hitomcll321</v>
          </cell>
          <cell r="G5426">
            <v>2</v>
          </cell>
          <cell r="H5426" t="str">
            <v>PCR片段文库</v>
          </cell>
          <cell r="I5426" t="str">
            <v>DY</v>
          </cell>
          <cell r="J5426">
            <v>75.8</v>
          </cell>
          <cell r="K5426">
            <v>408</v>
          </cell>
          <cell r="L5426" t="str">
            <v>YHT</v>
          </cell>
          <cell r="N5426">
            <v>285.82202111613901</v>
          </cell>
        </row>
        <row r="5427">
          <cell r="E5427" t="str">
            <v>HGC-Lib-2457259</v>
          </cell>
          <cell r="F5427" t="str">
            <v>hitomcll322</v>
          </cell>
          <cell r="G5427">
            <v>2</v>
          </cell>
          <cell r="H5427" t="str">
            <v>PCR片段文库</v>
          </cell>
          <cell r="I5427" t="str">
            <v>DY</v>
          </cell>
          <cell r="J5427">
            <v>108</v>
          </cell>
          <cell r="K5427">
            <v>416</v>
          </cell>
          <cell r="L5427" t="str">
            <v>YHT</v>
          </cell>
          <cell r="N5427">
            <v>399.40828402366901</v>
          </cell>
        </row>
        <row r="5428">
          <cell r="E5428" t="str">
            <v>HGC-Lib-2457260</v>
          </cell>
          <cell r="F5428" t="str">
            <v>hitomcll323</v>
          </cell>
          <cell r="G5428">
            <v>2</v>
          </cell>
          <cell r="H5428" t="str">
            <v>PCR片段文库</v>
          </cell>
          <cell r="I5428" t="str">
            <v>DY</v>
          </cell>
          <cell r="J5428">
            <v>24.4</v>
          </cell>
          <cell r="K5428">
            <v>441</v>
          </cell>
          <cell r="L5428" t="str">
            <v>YHT</v>
          </cell>
          <cell r="N5428">
            <v>85.121227978370797</v>
          </cell>
        </row>
        <row r="5429">
          <cell r="E5429" t="str">
            <v>HGC-Lib-2457261</v>
          </cell>
          <cell r="F5429" t="str">
            <v>hitomcll324</v>
          </cell>
          <cell r="G5429">
            <v>2</v>
          </cell>
          <cell r="H5429" t="str">
            <v>PCR片段文库</v>
          </cell>
          <cell r="I5429" t="str">
            <v>DY</v>
          </cell>
          <cell r="J5429">
            <v>29</v>
          </cell>
          <cell r="K5429">
            <v>375</v>
          </cell>
          <cell r="L5429" t="str">
            <v>YHT</v>
          </cell>
          <cell r="N5429">
            <v>118.97435897435901</v>
          </cell>
        </row>
        <row r="5430">
          <cell r="E5430" t="str">
            <v>HGC-Lib-2457262</v>
          </cell>
          <cell r="F5430" t="str">
            <v>hitomcll325</v>
          </cell>
          <cell r="G5430">
            <v>2</v>
          </cell>
          <cell r="H5430" t="str">
            <v>PCR片段文库</v>
          </cell>
          <cell r="I5430" t="str">
            <v>DY</v>
          </cell>
          <cell r="J5430">
            <v>29</v>
          </cell>
          <cell r="K5430">
            <v>395</v>
          </cell>
          <cell r="L5430" t="str">
            <v>YHT</v>
          </cell>
          <cell r="N5430">
            <v>112.950340798442</v>
          </cell>
        </row>
        <row r="5431">
          <cell r="E5431" t="str">
            <v>HGC-Lib-2457263</v>
          </cell>
          <cell r="F5431" t="str">
            <v>hitomcll326</v>
          </cell>
          <cell r="G5431">
            <v>2</v>
          </cell>
          <cell r="H5431" t="str">
            <v>PCR片段文库</v>
          </cell>
          <cell r="I5431" t="str">
            <v>DY</v>
          </cell>
          <cell r="J5431">
            <v>43</v>
          </cell>
          <cell r="K5431">
            <v>420</v>
          </cell>
          <cell r="L5431" t="str">
            <v>YHT</v>
          </cell>
          <cell r="N5431">
            <v>157.50915750915701</v>
          </cell>
        </row>
        <row r="5432">
          <cell r="E5432" t="str">
            <v>HGC-Lib-2457264</v>
          </cell>
          <cell r="F5432" t="str">
            <v>hitomcll327</v>
          </cell>
          <cell r="G5432">
            <v>2</v>
          </cell>
          <cell r="H5432" t="str">
            <v>PCR片段文库</v>
          </cell>
          <cell r="I5432" t="str">
            <v>DY</v>
          </cell>
          <cell r="J5432">
            <v>104</v>
          </cell>
          <cell r="K5432">
            <v>405</v>
          </cell>
          <cell r="L5432" t="str">
            <v>YHT</v>
          </cell>
          <cell r="N5432">
            <v>395.061728395062</v>
          </cell>
        </row>
        <row r="5433">
          <cell r="E5433" t="str">
            <v>HGC-Lib-2457265</v>
          </cell>
          <cell r="F5433" t="str">
            <v>hitomcll328</v>
          </cell>
          <cell r="G5433">
            <v>2</v>
          </cell>
          <cell r="H5433" t="str">
            <v>PCR片段文库</v>
          </cell>
          <cell r="I5433" t="str">
            <v>DY</v>
          </cell>
          <cell r="J5433">
            <v>104</v>
          </cell>
          <cell r="K5433">
            <v>365</v>
          </cell>
          <cell r="L5433" t="str">
            <v>YHT</v>
          </cell>
          <cell r="N5433">
            <v>438.35616438356197</v>
          </cell>
        </row>
        <row r="5434">
          <cell r="E5434" t="str">
            <v>HGC-Lib-2457266</v>
          </cell>
          <cell r="F5434" t="str">
            <v>hitomcll329</v>
          </cell>
          <cell r="G5434">
            <v>2</v>
          </cell>
          <cell r="H5434" t="str">
            <v>PCR片段文库</v>
          </cell>
          <cell r="I5434" t="str">
            <v>DY</v>
          </cell>
          <cell r="J5434">
            <v>51</v>
          </cell>
          <cell r="K5434">
            <v>398</v>
          </cell>
          <cell r="L5434" t="str">
            <v>YHT</v>
          </cell>
          <cell r="N5434">
            <v>197.13954387321201</v>
          </cell>
        </row>
        <row r="5435">
          <cell r="E5435" t="str">
            <v>HGC-Lib-2457267</v>
          </cell>
          <cell r="F5435" t="str">
            <v>hitomcll330</v>
          </cell>
          <cell r="G5435">
            <v>2</v>
          </cell>
          <cell r="H5435" t="str">
            <v>PCR片段文库</v>
          </cell>
          <cell r="I5435" t="str">
            <v>DY</v>
          </cell>
          <cell r="J5435">
            <v>35</v>
          </cell>
          <cell r="K5435">
            <v>460</v>
          </cell>
          <cell r="L5435" t="str">
            <v>YHT</v>
          </cell>
          <cell r="N5435">
            <v>117.056856187291</v>
          </cell>
        </row>
        <row r="5436">
          <cell r="E5436" t="str">
            <v>HGC-Lib-2457270</v>
          </cell>
          <cell r="F5436" t="str">
            <v>1 HCHE165_H3.3_rep2</v>
          </cell>
          <cell r="G5436">
            <v>10</v>
          </cell>
          <cell r="H5436" t="str">
            <v>cut&amp;tag文库</v>
          </cell>
          <cell r="I5436" t="str">
            <v>XCL</v>
          </cell>
          <cell r="J5436">
            <v>19.3</v>
          </cell>
          <cell r="K5436">
            <v>325</v>
          </cell>
          <cell r="L5436" t="str">
            <v>YHT</v>
          </cell>
          <cell r="N5436">
            <v>91.360946745562103</v>
          </cell>
        </row>
        <row r="5437">
          <cell r="E5437" t="str">
            <v>HGC-Lib-2457271</v>
          </cell>
          <cell r="F5437" t="str">
            <v>2 HE165_H3.3_rep2</v>
          </cell>
          <cell r="G5437">
            <v>10</v>
          </cell>
          <cell r="H5437" t="str">
            <v>cut&amp;tag文库</v>
          </cell>
          <cell r="I5437" t="str">
            <v>XCL</v>
          </cell>
          <cell r="J5437">
            <v>12.1</v>
          </cell>
          <cell r="K5437">
            <v>324</v>
          </cell>
          <cell r="L5437" t="str">
            <v>YHT</v>
          </cell>
          <cell r="N5437">
            <v>57.454890788224098</v>
          </cell>
        </row>
        <row r="5438">
          <cell r="E5438" t="str">
            <v>HGC-Lib-2457272</v>
          </cell>
          <cell r="F5438" t="str">
            <v>3 HCHE165_SAN3_rep3</v>
          </cell>
          <cell r="G5438">
            <v>10</v>
          </cell>
          <cell r="H5438" t="str">
            <v>mRNA文库</v>
          </cell>
          <cell r="I5438" t="str">
            <v>XCL</v>
          </cell>
          <cell r="J5438">
            <v>39</v>
          </cell>
          <cell r="K5438">
            <v>290</v>
          </cell>
          <cell r="L5438" t="str">
            <v>YHT</v>
          </cell>
          <cell r="N5438">
            <v>206.89655172413799</v>
          </cell>
        </row>
        <row r="5439">
          <cell r="E5439" t="str">
            <v>HGC-Lib-2457273</v>
          </cell>
          <cell r="F5439" t="str">
            <v>4 HE165_SAN3_rep3</v>
          </cell>
          <cell r="G5439">
            <v>10</v>
          </cell>
          <cell r="H5439" t="str">
            <v>mRNA文库</v>
          </cell>
          <cell r="I5439" t="str">
            <v>XCL</v>
          </cell>
          <cell r="J5439">
            <v>61.6</v>
          </cell>
          <cell r="K5439">
            <v>373</v>
          </cell>
          <cell r="L5439" t="str">
            <v>YHT</v>
          </cell>
          <cell r="N5439">
            <v>254.073004743246</v>
          </cell>
        </row>
        <row r="5440">
          <cell r="E5440" t="str">
            <v>HGC-Lib-2457274</v>
          </cell>
          <cell r="F5440" t="str">
            <v>CH-1</v>
          </cell>
          <cell r="G5440">
            <v>5</v>
          </cell>
          <cell r="H5440" t="str">
            <v>PCR产物文库</v>
          </cell>
          <cell r="I5440" t="str">
            <v>GZQ</v>
          </cell>
          <cell r="J5440">
            <v>36.6</v>
          </cell>
          <cell r="K5440">
            <v>424</v>
          </cell>
          <cell r="L5440" t="str">
            <v>YHT</v>
          </cell>
          <cell r="N5440">
            <v>132.801161103048</v>
          </cell>
        </row>
        <row r="5441">
          <cell r="E5441" t="str">
            <v>HGC-Lib-2457275</v>
          </cell>
          <cell r="F5441" t="str">
            <v>NL-2</v>
          </cell>
          <cell r="G5441">
            <v>5</v>
          </cell>
          <cell r="H5441" t="str">
            <v>PCR产物文库</v>
          </cell>
          <cell r="I5441" t="str">
            <v>GZQ</v>
          </cell>
          <cell r="J5441">
            <v>41.8</v>
          </cell>
          <cell r="K5441">
            <v>441</v>
          </cell>
          <cell r="L5441" t="str">
            <v>YHT</v>
          </cell>
          <cell r="N5441">
            <v>145.822431536717</v>
          </cell>
        </row>
        <row r="5442">
          <cell r="E5442" t="str">
            <v>HGC-Lib-2457276</v>
          </cell>
          <cell r="F5442" t="str">
            <v>5Z-2</v>
          </cell>
          <cell r="G5442">
            <v>5</v>
          </cell>
          <cell r="H5442" t="str">
            <v>PCR产物文库</v>
          </cell>
          <cell r="I5442" t="str">
            <v>GZQ</v>
          </cell>
          <cell r="J5442">
            <v>42.8</v>
          </cell>
          <cell r="K5442">
            <v>435</v>
          </cell>
          <cell r="L5442" t="str">
            <v>YHT</v>
          </cell>
          <cell r="N5442">
            <v>151.370468611848</v>
          </cell>
        </row>
        <row r="5443">
          <cell r="E5443" t="str">
            <v>HGC-Lib-2457277</v>
          </cell>
          <cell r="F5443" t="str">
            <v>5Z-3</v>
          </cell>
          <cell r="G5443">
            <v>5</v>
          </cell>
          <cell r="H5443" t="str">
            <v>PCR产物文库</v>
          </cell>
          <cell r="I5443" t="str">
            <v>GZQ</v>
          </cell>
          <cell r="J5443">
            <v>50.8</v>
          </cell>
          <cell r="K5443">
            <v>435</v>
          </cell>
          <cell r="L5443" t="str">
            <v>YHT</v>
          </cell>
          <cell r="N5443">
            <v>179.66401414677301</v>
          </cell>
        </row>
        <row r="5444">
          <cell r="E5444" t="str">
            <v>HGC-Lib-2457278</v>
          </cell>
          <cell r="F5444" t="str">
            <v>T850-1</v>
          </cell>
          <cell r="G5444">
            <v>6</v>
          </cell>
          <cell r="H5444" t="str">
            <v>mRNA文库</v>
          </cell>
          <cell r="I5444" t="str">
            <v>ZZ</v>
          </cell>
          <cell r="J5444">
            <v>48.6</v>
          </cell>
          <cell r="N5444" t="e">
            <v>#DIV/0!</v>
          </cell>
        </row>
        <row r="5445">
          <cell r="E5445" t="str">
            <v>HGC-Lib-2457279</v>
          </cell>
          <cell r="F5445" t="str">
            <v>T850-2</v>
          </cell>
          <cell r="G5445">
            <v>6</v>
          </cell>
          <cell r="H5445" t="str">
            <v>mRNA文库</v>
          </cell>
          <cell r="I5445" t="str">
            <v>ZZ</v>
          </cell>
          <cell r="J5445">
            <v>53.6</v>
          </cell>
          <cell r="N5445" t="e">
            <v>#DIV/0!</v>
          </cell>
        </row>
        <row r="5446">
          <cell r="E5446" t="str">
            <v>HGC-Lib-2457280</v>
          </cell>
          <cell r="F5446" t="str">
            <v>T850-3</v>
          </cell>
          <cell r="G5446">
            <v>6</v>
          </cell>
          <cell r="H5446" t="str">
            <v>mRNA文库</v>
          </cell>
          <cell r="I5446" t="str">
            <v>ZZ</v>
          </cell>
          <cell r="J5446">
            <v>53</v>
          </cell>
          <cell r="N5446" t="e">
            <v>#DIV/0!</v>
          </cell>
        </row>
        <row r="5447">
          <cell r="E5447" t="str">
            <v>HGC-Lib-2457281</v>
          </cell>
          <cell r="F5447" t="str">
            <v>T850-4</v>
          </cell>
          <cell r="G5447">
            <v>6</v>
          </cell>
          <cell r="H5447" t="str">
            <v>mRNA文库</v>
          </cell>
          <cell r="I5447" t="str">
            <v>ZZ</v>
          </cell>
          <cell r="J5447">
            <v>38.6</v>
          </cell>
          <cell r="N5447" t="e">
            <v>#DIV/0!</v>
          </cell>
        </row>
        <row r="5448">
          <cell r="E5448" t="str">
            <v>HGC-Lib-2457282</v>
          </cell>
          <cell r="F5448" t="str">
            <v>T850-5</v>
          </cell>
          <cell r="G5448">
            <v>6</v>
          </cell>
          <cell r="H5448" t="str">
            <v>mRNA文库</v>
          </cell>
          <cell r="I5448" t="str">
            <v>ZZ</v>
          </cell>
          <cell r="J5448">
            <v>40.4</v>
          </cell>
          <cell r="N5448" t="e">
            <v>#DIV/0!</v>
          </cell>
        </row>
        <row r="5449">
          <cell r="E5449" t="str">
            <v>HGC-Lib-2457283</v>
          </cell>
          <cell r="F5449" t="str">
            <v>T850-6</v>
          </cell>
          <cell r="G5449">
            <v>6</v>
          </cell>
          <cell r="H5449" t="str">
            <v>mRNA文库</v>
          </cell>
          <cell r="I5449" t="str">
            <v>ZZ</v>
          </cell>
          <cell r="J5449">
            <v>24.4</v>
          </cell>
          <cell r="N5449" t="e">
            <v>#DIV/0!</v>
          </cell>
        </row>
        <row r="5450">
          <cell r="E5450" t="str">
            <v>HGC-Lib-2457284</v>
          </cell>
          <cell r="F5450" t="str">
            <v>T847-1</v>
          </cell>
          <cell r="G5450">
            <v>6</v>
          </cell>
          <cell r="H5450" t="str">
            <v>mRNA文库</v>
          </cell>
          <cell r="I5450" t="str">
            <v>ZZ</v>
          </cell>
          <cell r="J5450">
            <v>25.6</v>
          </cell>
          <cell r="N5450" t="e">
            <v>#DIV/0!</v>
          </cell>
        </row>
        <row r="5451">
          <cell r="E5451" t="str">
            <v>HGC-Lib-2457285</v>
          </cell>
          <cell r="F5451" t="str">
            <v>T847-2</v>
          </cell>
          <cell r="G5451">
            <v>6</v>
          </cell>
          <cell r="H5451" t="str">
            <v>mRNA文库</v>
          </cell>
          <cell r="I5451" t="str">
            <v>ZZ</v>
          </cell>
          <cell r="J5451">
            <v>45.4</v>
          </cell>
          <cell r="N5451" t="e">
            <v>#DIV/0!</v>
          </cell>
        </row>
        <row r="5452">
          <cell r="E5452" t="str">
            <v>HGC-Lib-2457286</v>
          </cell>
          <cell r="F5452" t="str">
            <v>T847-3</v>
          </cell>
          <cell r="G5452">
            <v>6</v>
          </cell>
          <cell r="H5452" t="str">
            <v>mRNA文库</v>
          </cell>
          <cell r="I5452" t="str">
            <v>ZZ</v>
          </cell>
          <cell r="J5452">
            <v>28</v>
          </cell>
          <cell r="N5452" t="e">
            <v>#DIV/0!</v>
          </cell>
        </row>
        <row r="5453">
          <cell r="E5453" t="str">
            <v>HGC-Lib-2457287</v>
          </cell>
          <cell r="F5453" t="str">
            <v>T847-4</v>
          </cell>
          <cell r="G5453">
            <v>6</v>
          </cell>
          <cell r="H5453" t="str">
            <v>mRNA文库</v>
          </cell>
          <cell r="I5453" t="str">
            <v>ZZ</v>
          </cell>
          <cell r="J5453">
            <v>31.6</v>
          </cell>
          <cell r="N5453" t="e">
            <v>#DIV/0!</v>
          </cell>
        </row>
        <row r="5454">
          <cell r="E5454" t="str">
            <v>HGC-Lib-2457288</v>
          </cell>
          <cell r="F5454" t="str">
            <v>T847-5</v>
          </cell>
          <cell r="G5454">
            <v>6</v>
          </cell>
          <cell r="H5454" t="str">
            <v>mRNA文库</v>
          </cell>
          <cell r="I5454" t="str">
            <v>ZZ</v>
          </cell>
          <cell r="J5454">
            <v>41.4</v>
          </cell>
          <cell r="N5454" t="e">
            <v>#DIV/0!</v>
          </cell>
        </row>
        <row r="5455">
          <cell r="E5455" t="str">
            <v>HGC-Lib-2457289</v>
          </cell>
          <cell r="F5455" t="str">
            <v>T847-6</v>
          </cell>
          <cell r="G5455">
            <v>6</v>
          </cell>
          <cell r="H5455" t="str">
            <v>mRNA文库</v>
          </cell>
          <cell r="I5455" t="str">
            <v>ZZ</v>
          </cell>
          <cell r="J5455">
            <v>22.2</v>
          </cell>
          <cell r="N5455" t="e">
            <v>#DIV/0!</v>
          </cell>
        </row>
        <row r="5456">
          <cell r="E5456" t="str">
            <v>HGC-Lib-2457290</v>
          </cell>
          <cell r="F5456" t="str">
            <v>T847-7</v>
          </cell>
          <cell r="G5456">
            <v>6</v>
          </cell>
          <cell r="H5456" t="str">
            <v>mRNA文库</v>
          </cell>
          <cell r="I5456" t="str">
            <v>ZZ</v>
          </cell>
          <cell r="J5456">
            <v>13.3</v>
          </cell>
          <cell r="N5456" t="e">
            <v>#DIV/0!</v>
          </cell>
        </row>
        <row r="5457">
          <cell r="E5457" t="str">
            <v>HGC-Lib-2457291</v>
          </cell>
          <cell r="F5457" t="str">
            <v>T847-8</v>
          </cell>
          <cell r="G5457">
            <v>6</v>
          </cell>
          <cell r="H5457" t="str">
            <v>mRNA文库</v>
          </cell>
          <cell r="I5457" t="str">
            <v>ZZ</v>
          </cell>
          <cell r="J5457">
            <v>18.399999999999999</v>
          </cell>
          <cell r="N5457" t="e">
            <v>#DIV/0!</v>
          </cell>
        </row>
        <row r="5458">
          <cell r="E5458" t="str">
            <v>HGC-Lib-2457292</v>
          </cell>
          <cell r="F5458" t="str">
            <v>T847-9</v>
          </cell>
          <cell r="G5458">
            <v>6</v>
          </cell>
          <cell r="H5458" t="str">
            <v>mRNA文库</v>
          </cell>
          <cell r="I5458" t="str">
            <v>ZZ</v>
          </cell>
          <cell r="J5458">
            <v>21.2</v>
          </cell>
          <cell r="N5458" t="e">
            <v>#DIV/0!</v>
          </cell>
        </row>
        <row r="5459">
          <cell r="E5459" t="str">
            <v>HGC-Lib-2457293</v>
          </cell>
          <cell r="F5459" t="str">
            <v>T847-10</v>
          </cell>
          <cell r="G5459">
            <v>6</v>
          </cell>
          <cell r="H5459" t="str">
            <v>mRNA文库</v>
          </cell>
          <cell r="I5459" t="str">
            <v>ZZ</v>
          </cell>
          <cell r="J5459">
            <v>16.2</v>
          </cell>
          <cell r="N5459" t="e">
            <v>#DIV/0!</v>
          </cell>
        </row>
        <row r="5460">
          <cell r="E5460" t="str">
            <v>HGC-Lib-2457294</v>
          </cell>
          <cell r="F5460" t="str">
            <v>T847-11</v>
          </cell>
          <cell r="G5460">
            <v>6</v>
          </cell>
          <cell r="H5460" t="str">
            <v>mRNA文库</v>
          </cell>
          <cell r="I5460" t="str">
            <v>ZZ</v>
          </cell>
          <cell r="J5460">
            <v>30</v>
          </cell>
          <cell r="N5460" t="e">
            <v>#DIV/0!</v>
          </cell>
        </row>
        <row r="5461">
          <cell r="E5461" t="str">
            <v>HGC-Lib-2457295</v>
          </cell>
          <cell r="F5461" t="str">
            <v>T847-12</v>
          </cell>
          <cell r="G5461">
            <v>6</v>
          </cell>
          <cell r="H5461" t="str">
            <v>mRNA文库</v>
          </cell>
          <cell r="I5461" t="str">
            <v>ZZ</v>
          </cell>
          <cell r="J5461">
            <v>31.6</v>
          </cell>
          <cell r="N5461" t="e">
            <v>#DIV/0!</v>
          </cell>
        </row>
        <row r="5462">
          <cell r="E5462" t="str">
            <v>HGC-Lib-2457296</v>
          </cell>
          <cell r="F5462" t="str">
            <v>T847-13</v>
          </cell>
          <cell r="G5462">
            <v>6</v>
          </cell>
          <cell r="H5462" t="str">
            <v>mRNA文库</v>
          </cell>
          <cell r="I5462" t="str">
            <v>ZZ</v>
          </cell>
          <cell r="J5462">
            <v>38</v>
          </cell>
          <cell r="N5462" t="e">
            <v>#DIV/0!</v>
          </cell>
        </row>
        <row r="5463">
          <cell r="E5463" t="str">
            <v>HGC-Lib-2457297</v>
          </cell>
          <cell r="F5463" t="str">
            <v>T847-14</v>
          </cell>
          <cell r="G5463">
            <v>6</v>
          </cell>
          <cell r="H5463" t="str">
            <v>mRNA文库</v>
          </cell>
          <cell r="I5463" t="str">
            <v>ZZ</v>
          </cell>
          <cell r="J5463">
            <v>53.2</v>
          </cell>
          <cell r="N5463" t="e">
            <v>#DIV/0!</v>
          </cell>
        </row>
        <row r="5464">
          <cell r="E5464" t="str">
            <v>HGC-Lib-2457298</v>
          </cell>
          <cell r="F5464" t="str">
            <v>T847-15</v>
          </cell>
          <cell r="G5464">
            <v>6</v>
          </cell>
          <cell r="H5464" t="str">
            <v>mRNA文库</v>
          </cell>
          <cell r="I5464" t="str">
            <v>ZZ</v>
          </cell>
          <cell r="J5464">
            <v>47.6</v>
          </cell>
          <cell r="N5464" t="e">
            <v>#DIV/0!</v>
          </cell>
        </row>
        <row r="5465">
          <cell r="E5465" t="str">
            <v>HGC-Lib-2457299</v>
          </cell>
          <cell r="F5465" t="str">
            <v>T847-16</v>
          </cell>
          <cell r="G5465">
            <v>6</v>
          </cell>
          <cell r="H5465" t="str">
            <v>mRNA文库</v>
          </cell>
          <cell r="I5465" t="str">
            <v>ZZ</v>
          </cell>
          <cell r="J5465">
            <v>28.8</v>
          </cell>
          <cell r="N5465" t="e">
            <v>#DIV/0!</v>
          </cell>
        </row>
        <row r="5466">
          <cell r="E5466" t="str">
            <v>HGC-Lib-2457300</v>
          </cell>
          <cell r="F5466" t="str">
            <v>T847-17</v>
          </cell>
          <cell r="G5466">
            <v>6</v>
          </cell>
          <cell r="H5466" t="str">
            <v>mRNA文库</v>
          </cell>
          <cell r="I5466" t="str">
            <v>ZZ</v>
          </cell>
          <cell r="J5466">
            <v>39.4</v>
          </cell>
          <cell r="N5466" t="e">
            <v>#DIV/0!</v>
          </cell>
        </row>
        <row r="5467">
          <cell r="E5467" t="str">
            <v>HGC-Lib-2457301</v>
          </cell>
          <cell r="F5467" t="str">
            <v>T847-18</v>
          </cell>
          <cell r="G5467">
            <v>6</v>
          </cell>
          <cell r="H5467" t="str">
            <v>mRNA文库</v>
          </cell>
          <cell r="I5467" t="str">
            <v>ZZ</v>
          </cell>
          <cell r="J5467">
            <v>39</v>
          </cell>
          <cell r="N5467" t="e">
            <v>#DIV/0!</v>
          </cell>
        </row>
        <row r="5468">
          <cell r="E5468" t="str">
            <v>HGC-Lib-2457302</v>
          </cell>
          <cell r="F5468" t="str">
            <v>T847-19</v>
          </cell>
          <cell r="G5468">
            <v>6</v>
          </cell>
          <cell r="H5468" t="str">
            <v>mRNA文库</v>
          </cell>
          <cell r="I5468" t="str">
            <v>ZZ</v>
          </cell>
          <cell r="J5468">
            <v>21.6</v>
          </cell>
          <cell r="N5468" t="e">
            <v>#DIV/0!</v>
          </cell>
        </row>
        <row r="5469">
          <cell r="E5469" t="str">
            <v>HGC-Lib-2457303</v>
          </cell>
          <cell r="F5469" t="str">
            <v>T847-20</v>
          </cell>
          <cell r="G5469">
            <v>6</v>
          </cell>
          <cell r="H5469" t="str">
            <v>mRNA文库</v>
          </cell>
          <cell r="I5469" t="str">
            <v>ZZ</v>
          </cell>
          <cell r="J5469">
            <v>20.2</v>
          </cell>
          <cell r="N5469" t="e">
            <v>#DIV/0!</v>
          </cell>
        </row>
        <row r="5470">
          <cell r="E5470" t="str">
            <v>HGC-Lib-2457304</v>
          </cell>
          <cell r="F5470" t="str">
            <v>T847-21</v>
          </cell>
          <cell r="G5470">
            <v>6</v>
          </cell>
          <cell r="H5470" t="str">
            <v>mRNA文库</v>
          </cell>
          <cell r="I5470" t="str">
            <v>ZZ</v>
          </cell>
          <cell r="J5470">
            <v>20.2</v>
          </cell>
          <cell r="N5470" t="e">
            <v>#DIV/0!</v>
          </cell>
        </row>
        <row r="5471">
          <cell r="E5471" t="str">
            <v>HGC-Lib-2457305</v>
          </cell>
          <cell r="F5471" t="str">
            <v>T847-22</v>
          </cell>
          <cell r="G5471">
            <v>6</v>
          </cell>
          <cell r="H5471" t="str">
            <v>mRNA文库</v>
          </cell>
          <cell r="I5471" t="str">
            <v>ZZ</v>
          </cell>
          <cell r="J5471">
            <v>23.8</v>
          </cell>
          <cell r="N5471" t="e">
            <v>#DIV/0!</v>
          </cell>
        </row>
        <row r="5472">
          <cell r="E5472" t="str">
            <v>HGC-Lib-2457306</v>
          </cell>
          <cell r="F5472" t="str">
            <v>T847-23</v>
          </cell>
          <cell r="G5472">
            <v>6</v>
          </cell>
          <cell r="H5472" t="str">
            <v>mRNA文库</v>
          </cell>
          <cell r="I5472" t="str">
            <v>ZZ</v>
          </cell>
          <cell r="J5472">
            <v>37.799999999999997</v>
          </cell>
          <cell r="N5472" t="e">
            <v>#DIV/0!</v>
          </cell>
        </row>
        <row r="5473">
          <cell r="E5473" t="str">
            <v>HGC-Lib-2457307</v>
          </cell>
          <cell r="F5473" t="str">
            <v>T847-24</v>
          </cell>
          <cell r="G5473">
            <v>6</v>
          </cell>
          <cell r="H5473" t="str">
            <v>mRNA文库</v>
          </cell>
          <cell r="I5473" t="str">
            <v>ZZ</v>
          </cell>
          <cell r="J5473">
            <v>25.8</v>
          </cell>
          <cell r="N5473" t="e">
            <v>#DIV/0!</v>
          </cell>
        </row>
        <row r="5474">
          <cell r="E5474" t="str">
            <v>HGC-Lib-2457308</v>
          </cell>
          <cell r="F5474" t="str">
            <v>T847-25</v>
          </cell>
          <cell r="G5474">
            <v>6</v>
          </cell>
          <cell r="H5474" t="str">
            <v>mRNA文库</v>
          </cell>
          <cell r="I5474" t="str">
            <v>ZZ</v>
          </cell>
          <cell r="J5474">
            <v>23.8</v>
          </cell>
          <cell r="N5474" t="e">
            <v>#DIV/0!</v>
          </cell>
        </row>
        <row r="5475">
          <cell r="E5475" t="str">
            <v>HGC-Lib-2457309</v>
          </cell>
          <cell r="F5475" t="str">
            <v>T847-26</v>
          </cell>
          <cell r="G5475">
            <v>6</v>
          </cell>
          <cell r="H5475" t="str">
            <v>mRNA文库</v>
          </cell>
          <cell r="I5475" t="str">
            <v>ZZ</v>
          </cell>
          <cell r="J5475">
            <v>20</v>
          </cell>
          <cell r="N5475" t="e">
            <v>#DIV/0!</v>
          </cell>
        </row>
        <row r="5476">
          <cell r="E5476" t="str">
            <v>HGC-Lib-2457310</v>
          </cell>
          <cell r="F5476" t="str">
            <v>T847-27</v>
          </cell>
          <cell r="G5476">
            <v>6</v>
          </cell>
          <cell r="H5476" t="str">
            <v>mRNA文库</v>
          </cell>
          <cell r="I5476" t="str">
            <v>ZZ</v>
          </cell>
          <cell r="J5476">
            <v>28.4</v>
          </cell>
          <cell r="N5476" t="e">
            <v>#DIV/0!</v>
          </cell>
        </row>
        <row r="5477">
          <cell r="E5477" t="str">
            <v>HGC-Lib-2457311</v>
          </cell>
          <cell r="F5477" t="str">
            <v>T847-28</v>
          </cell>
          <cell r="G5477">
            <v>6</v>
          </cell>
          <cell r="H5477" t="str">
            <v>mRNA文库</v>
          </cell>
          <cell r="I5477" t="str">
            <v>ZZ</v>
          </cell>
          <cell r="J5477">
            <v>49.4</v>
          </cell>
          <cell r="N5477" t="e">
            <v>#DIV/0!</v>
          </cell>
        </row>
        <row r="5478">
          <cell r="E5478" t="str">
            <v>HGC-Lib-2457312</v>
          </cell>
          <cell r="F5478" t="str">
            <v>T847-29</v>
          </cell>
          <cell r="G5478">
            <v>6</v>
          </cell>
          <cell r="H5478" t="str">
            <v>mRNA文库</v>
          </cell>
          <cell r="I5478" t="str">
            <v>ZZ</v>
          </cell>
          <cell r="J5478">
            <v>55</v>
          </cell>
          <cell r="N5478" t="e">
            <v>#DIV/0!</v>
          </cell>
        </row>
        <row r="5479">
          <cell r="E5479" t="str">
            <v>HGC-Lib-2457313</v>
          </cell>
          <cell r="F5479" t="str">
            <v>T847-30</v>
          </cell>
          <cell r="G5479">
            <v>6</v>
          </cell>
          <cell r="H5479" t="str">
            <v>mRNA文库</v>
          </cell>
          <cell r="I5479" t="str">
            <v>ZZ</v>
          </cell>
          <cell r="J5479">
            <v>37.4</v>
          </cell>
          <cell r="N5479" t="e">
            <v>#DIV/0!</v>
          </cell>
        </row>
        <row r="5480">
          <cell r="E5480" t="str">
            <v>HGC-Lib-2457314</v>
          </cell>
          <cell r="F5480" t="str">
            <v>T847-31</v>
          </cell>
          <cell r="G5480">
            <v>6</v>
          </cell>
          <cell r="H5480" t="str">
            <v>mRNA文库</v>
          </cell>
          <cell r="I5480" t="str">
            <v>ZZ</v>
          </cell>
          <cell r="J5480">
            <v>31</v>
          </cell>
          <cell r="N5480" t="e">
            <v>#DIV/0!</v>
          </cell>
        </row>
        <row r="5481">
          <cell r="E5481" t="str">
            <v>HGC-Lib-2457315</v>
          </cell>
          <cell r="F5481" t="str">
            <v>T847-32</v>
          </cell>
          <cell r="G5481">
            <v>6</v>
          </cell>
          <cell r="H5481" t="str">
            <v>mRNA文库</v>
          </cell>
          <cell r="I5481" t="str">
            <v>ZZ</v>
          </cell>
          <cell r="J5481">
            <v>27.6</v>
          </cell>
          <cell r="N5481" t="e">
            <v>#DIV/0!</v>
          </cell>
        </row>
        <row r="5482">
          <cell r="E5482" t="str">
            <v>HGC-Lib-2457316</v>
          </cell>
          <cell r="F5482" t="str">
            <v>T847-33</v>
          </cell>
          <cell r="G5482">
            <v>6</v>
          </cell>
          <cell r="H5482" t="str">
            <v>mRNA文库</v>
          </cell>
          <cell r="I5482" t="str">
            <v>ZZ</v>
          </cell>
          <cell r="J5482">
            <v>33.200000000000003</v>
          </cell>
          <cell r="N5482" t="e">
            <v>#DIV/0!</v>
          </cell>
        </row>
        <row r="5483">
          <cell r="E5483" t="str">
            <v>HGC-Lib-2457317</v>
          </cell>
          <cell r="F5483" t="str">
            <v>T847-34</v>
          </cell>
          <cell r="G5483">
            <v>6</v>
          </cell>
          <cell r="H5483" t="str">
            <v>mRNA文库</v>
          </cell>
          <cell r="I5483" t="str">
            <v>ZZ</v>
          </cell>
          <cell r="J5483">
            <v>25.2</v>
          </cell>
          <cell r="N5483" t="e">
            <v>#DIV/0!</v>
          </cell>
        </row>
        <row r="5484">
          <cell r="E5484" t="str">
            <v>HGC-Lib-2457318</v>
          </cell>
          <cell r="F5484" t="str">
            <v>T847-35</v>
          </cell>
          <cell r="G5484">
            <v>6</v>
          </cell>
          <cell r="H5484" t="str">
            <v>mRNA文库</v>
          </cell>
          <cell r="I5484" t="str">
            <v>ZZ</v>
          </cell>
          <cell r="J5484">
            <v>20.399999999999999</v>
          </cell>
          <cell r="N5484" t="e">
            <v>#DIV/0!</v>
          </cell>
        </row>
        <row r="5485">
          <cell r="E5485" t="str">
            <v>HGC-Lib-2457319</v>
          </cell>
          <cell r="F5485" t="str">
            <v>T847-36</v>
          </cell>
          <cell r="G5485">
            <v>6</v>
          </cell>
          <cell r="H5485" t="str">
            <v>mRNA文库</v>
          </cell>
          <cell r="I5485" t="str">
            <v>ZZ</v>
          </cell>
          <cell r="J5485">
            <v>16.600000000000001</v>
          </cell>
          <cell r="N5485" t="e">
            <v>#DIV/0!</v>
          </cell>
        </row>
        <row r="5486">
          <cell r="E5486" t="str">
            <v>HGC-Lib-2457320</v>
          </cell>
          <cell r="F5486" t="str">
            <v>T810-2</v>
          </cell>
          <cell r="G5486">
            <v>6</v>
          </cell>
          <cell r="H5486" t="str">
            <v>mRNA文库</v>
          </cell>
          <cell r="I5486" t="str">
            <v>ZZ</v>
          </cell>
          <cell r="J5486">
            <v>14.6</v>
          </cell>
          <cell r="N5486" t="e">
            <v>#DIV/0!</v>
          </cell>
        </row>
        <row r="5487">
          <cell r="E5487" t="str">
            <v>HGC-Lib-2457321</v>
          </cell>
          <cell r="F5487" t="str">
            <v>T810-3</v>
          </cell>
          <cell r="G5487">
            <v>6</v>
          </cell>
          <cell r="H5487" t="str">
            <v>mRNA文库</v>
          </cell>
          <cell r="I5487" t="str">
            <v>ZZ</v>
          </cell>
          <cell r="J5487">
            <v>10.3</v>
          </cell>
          <cell r="N5487" t="e">
            <v>#DIV/0!</v>
          </cell>
        </row>
        <row r="5488">
          <cell r="E5488" t="str">
            <v>HGC-Lib-2457322</v>
          </cell>
          <cell r="F5488" t="str">
            <v>T810-4</v>
          </cell>
          <cell r="G5488">
            <v>6</v>
          </cell>
          <cell r="H5488" t="str">
            <v>mRNA文库</v>
          </cell>
          <cell r="I5488" t="str">
            <v>ZZ</v>
          </cell>
          <cell r="J5488">
            <v>20.2</v>
          </cell>
          <cell r="N5488" t="e">
            <v>#DIV/0!</v>
          </cell>
        </row>
        <row r="5489">
          <cell r="E5489" t="str">
            <v>HGC-Lib-2457323</v>
          </cell>
          <cell r="F5489" t="str">
            <v>T810-5</v>
          </cell>
          <cell r="G5489">
            <v>6</v>
          </cell>
          <cell r="H5489" t="str">
            <v>mRNA文库</v>
          </cell>
          <cell r="I5489" t="str">
            <v>ZZ</v>
          </cell>
          <cell r="J5489">
            <v>12.9</v>
          </cell>
          <cell r="N5489" t="e">
            <v>#DIV/0!</v>
          </cell>
        </row>
        <row r="5490">
          <cell r="E5490" t="str">
            <v>HGC-Lib-2457324</v>
          </cell>
          <cell r="F5490" t="str">
            <v>T810-6</v>
          </cell>
          <cell r="G5490">
            <v>6</v>
          </cell>
          <cell r="H5490" t="str">
            <v>mRNA文库</v>
          </cell>
          <cell r="I5490" t="str">
            <v>ZZ</v>
          </cell>
          <cell r="J5490" t="str">
            <v>/</v>
          </cell>
          <cell r="N5490" t="e">
            <v>#VALUE!</v>
          </cell>
        </row>
        <row r="5491">
          <cell r="E5491" t="str">
            <v>HGC-Lib-2457325</v>
          </cell>
          <cell r="F5491" t="str">
            <v>T810-7</v>
          </cell>
          <cell r="G5491">
            <v>6</v>
          </cell>
          <cell r="H5491" t="str">
            <v>mRNA文库</v>
          </cell>
          <cell r="I5491" t="str">
            <v>ZZ</v>
          </cell>
          <cell r="J5491">
            <v>5.66</v>
          </cell>
          <cell r="N5491" t="e">
            <v>#DIV/0!</v>
          </cell>
        </row>
        <row r="5492">
          <cell r="E5492" t="str">
            <v>HGC-Lib-2457326</v>
          </cell>
          <cell r="F5492" t="str">
            <v>T810-8</v>
          </cell>
          <cell r="G5492">
            <v>6</v>
          </cell>
          <cell r="H5492" t="str">
            <v>mRNA文库</v>
          </cell>
          <cell r="I5492" t="str">
            <v>DY</v>
          </cell>
          <cell r="J5492">
            <v>8.48</v>
          </cell>
          <cell r="N5492" t="e">
            <v>#DIV/0!</v>
          </cell>
        </row>
        <row r="5493">
          <cell r="E5493" t="str">
            <v>HGC-Lib-2457327</v>
          </cell>
          <cell r="F5493" t="str">
            <v>T810-9</v>
          </cell>
          <cell r="G5493">
            <v>6</v>
          </cell>
          <cell r="H5493" t="str">
            <v>mRNA文库</v>
          </cell>
          <cell r="I5493" t="str">
            <v>DY</v>
          </cell>
          <cell r="J5493">
            <v>5.78</v>
          </cell>
          <cell r="N5493" t="e">
            <v>#DIV/0!</v>
          </cell>
        </row>
        <row r="5494">
          <cell r="E5494" t="str">
            <v>HGC-Lib-2457328</v>
          </cell>
          <cell r="F5494" t="str">
            <v>T810-10</v>
          </cell>
          <cell r="G5494">
            <v>6</v>
          </cell>
          <cell r="H5494" t="str">
            <v>mRNA文库</v>
          </cell>
          <cell r="I5494" t="str">
            <v>DY</v>
          </cell>
          <cell r="J5494">
            <v>4.92</v>
          </cell>
          <cell r="N5494" t="e">
            <v>#DIV/0!</v>
          </cell>
        </row>
        <row r="5495">
          <cell r="E5495" t="str">
            <v>HGC-Lib-2457329</v>
          </cell>
          <cell r="F5495" t="str">
            <v>T810-11</v>
          </cell>
          <cell r="G5495">
            <v>6</v>
          </cell>
          <cell r="H5495" t="str">
            <v>mRNA文库</v>
          </cell>
          <cell r="I5495" t="str">
            <v>DY</v>
          </cell>
          <cell r="J5495">
            <v>19.2</v>
          </cell>
          <cell r="N5495" t="e">
            <v>#DIV/0!</v>
          </cell>
        </row>
        <row r="5496">
          <cell r="E5496" t="str">
            <v>HGC-Lib-2457330</v>
          </cell>
          <cell r="F5496" t="str">
            <v>T810-12</v>
          </cell>
          <cell r="G5496">
            <v>6</v>
          </cell>
          <cell r="H5496" t="str">
            <v>mRNA文库</v>
          </cell>
          <cell r="I5496" t="str">
            <v>DY</v>
          </cell>
          <cell r="J5496">
            <v>11.9</v>
          </cell>
          <cell r="N5496" t="e">
            <v>#DIV/0!</v>
          </cell>
        </row>
        <row r="5497">
          <cell r="E5497" t="str">
            <v>HGC-Lib-2457331</v>
          </cell>
          <cell r="F5497" t="str">
            <v>T810-19</v>
          </cell>
          <cell r="G5497">
            <v>6</v>
          </cell>
          <cell r="H5497" t="str">
            <v>mRNA文库</v>
          </cell>
          <cell r="I5497" t="str">
            <v>DY</v>
          </cell>
          <cell r="J5497">
            <v>11.4</v>
          </cell>
          <cell r="N5497" t="e">
            <v>#DIV/0!</v>
          </cell>
        </row>
        <row r="5498">
          <cell r="E5498" t="str">
            <v>HGC-Lib-2457332</v>
          </cell>
          <cell r="F5498" t="str">
            <v>T810-20</v>
          </cell>
          <cell r="G5498">
            <v>6</v>
          </cell>
          <cell r="H5498" t="str">
            <v>mRNA文库</v>
          </cell>
          <cell r="I5498" t="str">
            <v>DY</v>
          </cell>
          <cell r="J5498">
            <v>9.76</v>
          </cell>
          <cell r="N5498" t="e">
            <v>#DIV/0!</v>
          </cell>
        </row>
        <row r="5499">
          <cell r="E5499" t="str">
            <v>HGC-Lib-2457333</v>
          </cell>
          <cell r="F5499" t="str">
            <v>T810-21</v>
          </cell>
          <cell r="G5499">
            <v>6</v>
          </cell>
          <cell r="H5499" t="str">
            <v>mRNA文库</v>
          </cell>
          <cell r="I5499" t="str">
            <v>DY</v>
          </cell>
          <cell r="J5499">
            <v>16.5</v>
          </cell>
          <cell r="N5499" t="e">
            <v>#DIV/0!</v>
          </cell>
        </row>
        <row r="5500">
          <cell r="E5500" t="str">
            <v>HGC-Lib-2457334</v>
          </cell>
          <cell r="F5500" t="str">
            <v>T810-22</v>
          </cell>
          <cell r="G5500">
            <v>6</v>
          </cell>
          <cell r="H5500" t="str">
            <v>mRNA文库</v>
          </cell>
          <cell r="I5500" t="str">
            <v>DY</v>
          </cell>
          <cell r="J5500">
            <v>31.2</v>
          </cell>
          <cell r="N5500" t="e">
            <v>#DIV/0!</v>
          </cell>
        </row>
        <row r="5501">
          <cell r="E5501" t="str">
            <v>HGC-Lib-2457335</v>
          </cell>
          <cell r="F5501" t="str">
            <v>T810-23</v>
          </cell>
          <cell r="G5501">
            <v>6</v>
          </cell>
          <cell r="H5501" t="str">
            <v>mRNA文库</v>
          </cell>
          <cell r="I5501" t="str">
            <v>DY</v>
          </cell>
          <cell r="J5501">
            <v>24.4</v>
          </cell>
          <cell r="N5501" t="e">
            <v>#DIV/0!</v>
          </cell>
        </row>
        <row r="5502">
          <cell r="E5502" t="str">
            <v>HGC-Lib-2457336</v>
          </cell>
          <cell r="F5502" t="str">
            <v>T810-24</v>
          </cell>
          <cell r="G5502">
            <v>6</v>
          </cell>
          <cell r="H5502" t="str">
            <v>mRNA文库</v>
          </cell>
          <cell r="I5502" t="str">
            <v>DY</v>
          </cell>
          <cell r="J5502">
            <v>18.399999999999999</v>
          </cell>
          <cell r="N5502" t="e">
            <v>#DIV/0!</v>
          </cell>
        </row>
        <row r="5503">
          <cell r="E5503" t="str">
            <v>HGC-Lib-2457337</v>
          </cell>
          <cell r="F5503" t="str">
            <v>T810-25</v>
          </cell>
          <cell r="G5503">
            <v>6</v>
          </cell>
          <cell r="H5503" t="str">
            <v>mRNA文库</v>
          </cell>
          <cell r="I5503" t="str">
            <v>DY</v>
          </cell>
          <cell r="J5503">
            <v>16.5</v>
          </cell>
          <cell r="N5503" t="e">
            <v>#DIV/0!</v>
          </cell>
        </row>
        <row r="5504">
          <cell r="E5504" t="str">
            <v>HGC-Lib-2457338</v>
          </cell>
          <cell r="F5504" t="str">
            <v>T810-26</v>
          </cell>
          <cell r="G5504">
            <v>6</v>
          </cell>
          <cell r="H5504" t="str">
            <v>mRNA文库</v>
          </cell>
          <cell r="I5504" t="str">
            <v>DY</v>
          </cell>
          <cell r="J5504">
            <v>18.600000000000001</v>
          </cell>
          <cell r="N5504" t="e">
            <v>#DIV/0!</v>
          </cell>
        </row>
        <row r="5505">
          <cell r="E5505" t="str">
            <v>HGC-Lib-2457339</v>
          </cell>
          <cell r="F5505" t="str">
            <v>T810-27</v>
          </cell>
          <cell r="G5505">
            <v>6</v>
          </cell>
          <cell r="H5505" t="str">
            <v>mRNA文库</v>
          </cell>
          <cell r="I5505" t="str">
            <v>DY</v>
          </cell>
          <cell r="J5505">
            <v>15.9</v>
          </cell>
          <cell r="N5505" t="e">
            <v>#DIV/0!</v>
          </cell>
        </row>
        <row r="5506">
          <cell r="E5506" t="str">
            <v>HGC-Lib-2457340</v>
          </cell>
          <cell r="F5506" t="str">
            <v>T810-28</v>
          </cell>
          <cell r="G5506">
            <v>6</v>
          </cell>
          <cell r="H5506" t="str">
            <v>mRNA文库</v>
          </cell>
          <cell r="I5506" t="str">
            <v>DY</v>
          </cell>
          <cell r="J5506">
            <v>15.7</v>
          </cell>
          <cell r="N5506" t="e">
            <v>#DIV/0!</v>
          </cell>
        </row>
        <row r="5507">
          <cell r="E5507" t="str">
            <v>HGC-Lib-2457341</v>
          </cell>
          <cell r="F5507" t="str">
            <v>T810-29</v>
          </cell>
          <cell r="G5507">
            <v>6</v>
          </cell>
          <cell r="H5507" t="str">
            <v>mRNA文库</v>
          </cell>
          <cell r="I5507" t="str">
            <v>DY</v>
          </cell>
          <cell r="J5507">
            <v>9.32</v>
          </cell>
          <cell r="N5507" t="e">
            <v>#DIV/0!</v>
          </cell>
        </row>
        <row r="5508">
          <cell r="E5508" t="str">
            <v>HGC-Lib-2457342</v>
          </cell>
          <cell r="F5508" t="str">
            <v>T810-30</v>
          </cell>
          <cell r="G5508">
            <v>6</v>
          </cell>
          <cell r="H5508" t="str">
            <v>mRNA文库</v>
          </cell>
          <cell r="I5508" t="str">
            <v>DY</v>
          </cell>
          <cell r="J5508">
            <v>18.8</v>
          </cell>
          <cell r="N5508" t="e">
            <v>#DIV/0!</v>
          </cell>
        </row>
        <row r="5509">
          <cell r="E5509" t="str">
            <v>HGC-Lib-2457343</v>
          </cell>
          <cell r="F5509" t="str">
            <v>T810-31</v>
          </cell>
          <cell r="G5509">
            <v>6</v>
          </cell>
          <cell r="H5509" t="str">
            <v>mRNA文库</v>
          </cell>
          <cell r="I5509" t="str">
            <v>DY</v>
          </cell>
          <cell r="J5509">
            <v>5.08</v>
          </cell>
          <cell r="N5509" t="e">
            <v>#DIV/0!</v>
          </cell>
        </row>
        <row r="5510">
          <cell r="E5510" t="str">
            <v>HGC-Lib-2457344</v>
          </cell>
          <cell r="F5510" t="str">
            <v>T810-32</v>
          </cell>
          <cell r="G5510">
            <v>6</v>
          </cell>
          <cell r="H5510" t="str">
            <v>mRNA文库</v>
          </cell>
          <cell r="I5510" t="str">
            <v>DY</v>
          </cell>
          <cell r="J5510">
            <v>21.2</v>
          </cell>
          <cell r="N5510" t="e">
            <v>#DIV/0!</v>
          </cell>
        </row>
        <row r="5511">
          <cell r="E5511" t="str">
            <v>HGC-Lib-2457345</v>
          </cell>
          <cell r="F5511" t="str">
            <v>T810-33</v>
          </cell>
          <cell r="G5511">
            <v>6</v>
          </cell>
          <cell r="H5511" t="str">
            <v>mRNA文库</v>
          </cell>
          <cell r="I5511" t="str">
            <v>DY</v>
          </cell>
          <cell r="J5511">
            <v>12.8</v>
          </cell>
          <cell r="N5511" t="e">
            <v>#DIV/0!</v>
          </cell>
        </row>
        <row r="5512">
          <cell r="E5512" t="str">
            <v>HGC-Lib-2457346</v>
          </cell>
          <cell r="F5512" t="str">
            <v>T810-34</v>
          </cell>
          <cell r="G5512">
            <v>6</v>
          </cell>
          <cell r="H5512" t="str">
            <v>mRNA文库</v>
          </cell>
          <cell r="I5512" t="str">
            <v>DY</v>
          </cell>
          <cell r="J5512">
            <v>8.8000000000000007</v>
          </cell>
          <cell r="N5512" t="e">
            <v>#DIV/0!</v>
          </cell>
        </row>
        <row r="5513">
          <cell r="E5513" t="str">
            <v>HGC-Lib-2457347</v>
          </cell>
          <cell r="F5513" t="str">
            <v>T810-35</v>
          </cell>
          <cell r="G5513">
            <v>6</v>
          </cell>
          <cell r="H5513" t="str">
            <v>mRNA文库</v>
          </cell>
          <cell r="I5513" t="str">
            <v>DY</v>
          </cell>
          <cell r="J5513">
            <v>14.8</v>
          </cell>
          <cell r="N5513" t="e">
            <v>#DIV/0!</v>
          </cell>
        </row>
        <row r="5514">
          <cell r="E5514" t="str">
            <v>HGC-Lib-2457348</v>
          </cell>
          <cell r="F5514" t="str">
            <v>T810-36</v>
          </cell>
          <cell r="G5514">
            <v>6</v>
          </cell>
          <cell r="H5514" t="str">
            <v>mRNA文库</v>
          </cell>
          <cell r="I5514" t="str">
            <v>DY</v>
          </cell>
          <cell r="J5514">
            <v>12.5</v>
          </cell>
          <cell r="N5514" t="e">
            <v>#DIV/0!</v>
          </cell>
        </row>
        <row r="5515">
          <cell r="E5515" t="str">
            <v>HGC-Lib-2457349</v>
          </cell>
          <cell r="F5515" t="str">
            <v>LC19-1</v>
          </cell>
          <cell r="G5515">
            <v>10</v>
          </cell>
          <cell r="H5515" t="str">
            <v>cut&amp;tag文库</v>
          </cell>
          <cell r="I5515" t="str">
            <v>HZK</v>
          </cell>
          <cell r="J5515">
            <v>14.1</v>
          </cell>
          <cell r="K5515">
            <v>460</v>
          </cell>
          <cell r="L5515" t="str">
            <v>YHT</v>
          </cell>
          <cell r="N5515">
            <v>47.157190635451499</v>
          </cell>
        </row>
        <row r="5516">
          <cell r="E5516" t="str">
            <v>HGC-Lib-2457350</v>
          </cell>
          <cell r="F5516" t="str">
            <v>LC19-2</v>
          </cell>
          <cell r="G5516">
            <v>10</v>
          </cell>
          <cell r="H5516" t="str">
            <v>cut&amp;tag文库</v>
          </cell>
          <cell r="I5516" t="str">
            <v>HZK</v>
          </cell>
          <cell r="J5516">
            <v>11.1</v>
          </cell>
          <cell r="K5516">
            <v>456</v>
          </cell>
          <cell r="L5516" t="str">
            <v>YHT</v>
          </cell>
          <cell r="N5516">
            <v>37.449392712550598</v>
          </cell>
        </row>
        <row r="5517">
          <cell r="E5517" t="str">
            <v>HGC-Lib-2457351</v>
          </cell>
          <cell r="F5517" t="str">
            <v>LC19-3</v>
          </cell>
          <cell r="G5517">
            <v>10</v>
          </cell>
          <cell r="H5517" t="str">
            <v>cut&amp;tag文库</v>
          </cell>
          <cell r="I5517" t="str">
            <v>HZK</v>
          </cell>
          <cell r="J5517">
            <v>7.24</v>
          </cell>
          <cell r="K5517">
            <v>456</v>
          </cell>
          <cell r="L5517" t="str">
            <v>GZQ</v>
          </cell>
          <cell r="N5517">
            <v>24.426450742240199</v>
          </cell>
        </row>
        <row r="5518">
          <cell r="E5518" t="str">
            <v>HGC-Lib-2457352</v>
          </cell>
          <cell r="F5518" t="str">
            <v>LC19-4</v>
          </cell>
          <cell r="G5518">
            <v>10</v>
          </cell>
          <cell r="H5518" t="str">
            <v>cut&amp;tag文库</v>
          </cell>
          <cell r="I5518" t="str">
            <v>HZK</v>
          </cell>
          <cell r="J5518">
            <v>9.24</v>
          </cell>
          <cell r="K5518">
            <v>461</v>
          </cell>
          <cell r="L5518" t="str">
            <v>GZQ</v>
          </cell>
          <cell r="N5518">
            <v>30.835975304521899</v>
          </cell>
        </row>
        <row r="5519">
          <cell r="E5519" t="str">
            <v>HGC-Lib-2457353</v>
          </cell>
          <cell r="F5519" t="str">
            <v>LC20-1</v>
          </cell>
          <cell r="G5519">
            <v>15</v>
          </cell>
          <cell r="H5519" t="str">
            <v>ATAC-Seq文库</v>
          </cell>
          <cell r="I5519" t="str">
            <v>HZK</v>
          </cell>
          <cell r="J5519">
            <v>0.76200000000000001</v>
          </cell>
          <cell r="K5519">
            <v>344</v>
          </cell>
          <cell r="L5519" t="str">
            <v>GZQ</v>
          </cell>
          <cell r="N5519">
            <v>3.4078711985688699</v>
          </cell>
        </row>
        <row r="5520">
          <cell r="E5520" t="str">
            <v>HGC-Lib-2457354</v>
          </cell>
          <cell r="F5520" t="str">
            <v>LC20-2</v>
          </cell>
          <cell r="G5520">
            <v>15</v>
          </cell>
          <cell r="H5520" t="str">
            <v>ATAC-Seq文库</v>
          </cell>
          <cell r="I5520" t="str">
            <v>HZK</v>
          </cell>
          <cell r="J5520">
            <v>0.34799999999999998</v>
          </cell>
          <cell r="K5520">
            <v>404</v>
          </cell>
          <cell r="L5520" t="str">
            <v>GZQ</v>
          </cell>
          <cell r="N5520">
            <v>1.32520944402133</v>
          </cell>
        </row>
        <row r="5521">
          <cell r="E5521" t="str">
            <v>HGC-Lib-2457355</v>
          </cell>
          <cell r="F5521" t="str">
            <v>LC20-3</v>
          </cell>
          <cell r="G5521">
            <v>15</v>
          </cell>
          <cell r="H5521" t="str">
            <v>ATAC-Seq文库</v>
          </cell>
          <cell r="I5521" t="str">
            <v>HZK</v>
          </cell>
          <cell r="J5521">
            <v>0.32</v>
          </cell>
          <cell r="K5521">
            <v>383</v>
          </cell>
          <cell r="L5521" t="str">
            <v>GZQ</v>
          </cell>
          <cell r="N5521">
            <v>1.28539867443262</v>
          </cell>
        </row>
        <row r="5522">
          <cell r="E5522" t="str">
            <v>HGC-Lib-2457356</v>
          </cell>
          <cell r="F5522" t="str">
            <v>LC20-4</v>
          </cell>
          <cell r="G5522">
            <v>15</v>
          </cell>
          <cell r="H5522" t="str">
            <v>ATAC-Seq文库</v>
          </cell>
          <cell r="I5522" t="str">
            <v>HZK</v>
          </cell>
          <cell r="J5522">
            <v>0.34599999999999997</v>
          </cell>
          <cell r="K5522">
            <v>370</v>
          </cell>
          <cell r="L5522" t="str">
            <v>GZQ</v>
          </cell>
          <cell r="N5522">
            <v>1.4386694386694401</v>
          </cell>
        </row>
        <row r="5523">
          <cell r="E5523" t="str">
            <v>HGC-Lib-2457357</v>
          </cell>
          <cell r="F5523" t="str">
            <v>LC20-5</v>
          </cell>
          <cell r="G5523">
            <v>15</v>
          </cell>
          <cell r="H5523" t="str">
            <v>ATAC-Seq文库</v>
          </cell>
          <cell r="I5523" t="str">
            <v>HZK</v>
          </cell>
          <cell r="J5523">
            <v>0.32600000000000001</v>
          </cell>
          <cell r="K5523">
            <v>367</v>
          </cell>
          <cell r="L5523" t="str">
            <v>GZQ</v>
          </cell>
          <cell r="N5523">
            <v>1.3665898134562999</v>
          </cell>
        </row>
        <row r="5524">
          <cell r="E5524" t="str">
            <v>HGC-Lib-2457358</v>
          </cell>
          <cell r="F5524" t="str">
            <v>LC20-6</v>
          </cell>
          <cell r="G5524">
            <v>15</v>
          </cell>
          <cell r="H5524" t="str">
            <v>ATAC-Seq文库</v>
          </cell>
          <cell r="I5524" t="str">
            <v>HZK</v>
          </cell>
          <cell r="J5524">
            <v>5.36</v>
          </cell>
          <cell r="K5524">
            <v>382</v>
          </cell>
          <cell r="L5524" t="str">
            <v>GZQ</v>
          </cell>
          <cell r="N5524">
            <v>21.586790173177601</v>
          </cell>
        </row>
        <row r="5525">
          <cell r="E5525" t="str">
            <v>HGC-Lib-2457359</v>
          </cell>
          <cell r="F5525" t="str">
            <v>LC18-1</v>
          </cell>
          <cell r="G5525">
            <v>10</v>
          </cell>
          <cell r="H5525" t="str">
            <v>mRNA文库</v>
          </cell>
          <cell r="I5525" t="str">
            <v>HZK</v>
          </cell>
          <cell r="J5525">
            <v>72.8</v>
          </cell>
          <cell r="K5525">
            <v>347</v>
          </cell>
          <cell r="L5525" t="str">
            <v>YHT</v>
          </cell>
          <cell r="N5525">
            <v>322.76657060518698</v>
          </cell>
        </row>
        <row r="5526">
          <cell r="E5526" t="str">
            <v>HGC-Lib-2457360</v>
          </cell>
          <cell r="F5526" t="str">
            <v>LC18-2</v>
          </cell>
          <cell r="G5526">
            <v>10</v>
          </cell>
          <cell r="H5526" t="str">
            <v>mRNA文库</v>
          </cell>
          <cell r="I5526" t="str">
            <v>HZK</v>
          </cell>
          <cell r="J5526">
            <v>66.400000000000006</v>
          </cell>
          <cell r="K5526">
            <v>332</v>
          </cell>
          <cell r="L5526" t="str">
            <v>YHT</v>
          </cell>
          <cell r="N5526">
            <v>307.69230769230802</v>
          </cell>
        </row>
        <row r="5527">
          <cell r="E5527" t="str">
            <v>HGC-Lib-2457361</v>
          </cell>
          <cell r="F5527" t="str">
            <v>LC18-3</v>
          </cell>
          <cell r="G5527">
            <v>10</v>
          </cell>
          <cell r="H5527" t="str">
            <v>mRNA文库</v>
          </cell>
          <cell r="I5527" t="str">
            <v>HZK</v>
          </cell>
          <cell r="J5527">
            <v>78.599999999999994</v>
          </cell>
          <cell r="K5527">
            <v>318</v>
          </cell>
          <cell r="L5527" t="str">
            <v>YHT</v>
          </cell>
          <cell r="N5527">
            <v>380.26124818577603</v>
          </cell>
        </row>
        <row r="5528">
          <cell r="E5528" t="str">
            <v>HGC-Lib-2457362</v>
          </cell>
          <cell r="F5528" t="str">
            <v>LC18-4</v>
          </cell>
          <cell r="G5528">
            <v>10</v>
          </cell>
          <cell r="H5528" t="str">
            <v>mRNA文库</v>
          </cell>
          <cell r="I5528" t="str">
            <v>HZK</v>
          </cell>
          <cell r="J5528">
            <v>22.6</v>
          </cell>
          <cell r="K5528">
            <v>344</v>
          </cell>
          <cell r="L5528" t="str">
            <v>YHT</v>
          </cell>
          <cell r="N5528">
            <v>101.073345259392</v>
          </cell>
        </row>
        <row r="5529">
          <cell r="E5529" t="str">
            <v>HGC-Lib-2457363</v>
          </cell>
          <cell r="F5529" t="str">
            <v>LC18-5</v>
          </cell>
          <cell r="G5529">
            <v>10</v>
          </cell>
          <cell r="H5529" t="str">
            <v>mRNA文库</v>
          </cell>
          <cell r="I5529" t="str">
            <v>HZK</v>
          </cell>
          <cell r="J5529">
            <v>65.8</v>
          </cell>
          <cell r="K5529">
            <v>338</v>
          </cell>
          <cell r="L5529" t="str">
            <v>YHT</v>
          </cell>
          <cell r="N5529">
            <v>299.49931725079699</v>
          </cell>
        </row>
        <row r="5530">
          <cell r="E5530" t="str">
            <v>HGC-Lib-2457364</v>
          </cell>
          <cell r="F5530" t="str">
            <v>LC18-6</v>
          </cell>
          <cell r="G5530">
            <v>10</v>
          </cell>
          <cell r="H5530" t="str">
            <v>mRNA文库</v>
          </cell>
          <cell r="I5530" t="str">
            <v>HZK</v>
          </cell>
          <cell r="J5530">
            <v>47.8</v>
          </cell>
          <cell r="K5530">
            <v>340</v>
          </cell>
          <cell r="L5530" t="str">
            <v>YHT</v>
          </cell>
          <cell r="N5530">
            <v>216.28959276018099</v>
          </cell>
        </row>
        <row r="5531">
          <cell r="E5531" t="str">
            <v>HGC-Lib-2457365</v>
          </cell>
          <cell r="F5531" t="str">
            <v>LC21-1</v>
          </cell>
          <cell r="G5531">
            <v>10</v>
          </cell>
          <cell r="H5531" t="str">
            <v>cut&amp;tag文库</v>
          </cell>
          <cell r="I5531" t="str">
            <v>HZK</v>
          </cell>
          <cell r="J5531">
            <v>31.8</v>
          </cell>
          <cell r="K5531">
            <v>435</v>
          </cell>
          <cell r="L5531" t="str">
            <v>YHT</v>
          </cell>
          <cell r="N5531">
            <v>112.466843501326</v>
          </cell>
        </row>
        <row r="5532">
          <cell r="E5532" t="str">
            <v>HGC-Lib-2457366</v>
          </cell>
          <cell r="F5532" t="str">
            <v>LC21-2</v>
          </cell>
          <cell r="G5532">
            <v>10</v>
          </cell>
          <cell r="H5532" t="str">
            <v>cut&amp;tag文库</v>
          </cell>
          <cell r="I5532" t="str">
            <v>HZK</v>
          </cell>
          <cell r="J5532">
            <v>31.6</v>
          </cell>
          <cell r="K5532">
            <v>435</v>
          </cell>
          <cell r="L5532" t="str">
            <v>YHT</v>
          </cell>
          <cell r="N5532">
            <v>111.75950486295299</v>
          </cell>
        </row>
        <row r="5533">
          <cell r="E5533" t="str">
            <v>HGC-Lib-2457367</v>
          </cell>
          <cell r="F5533" t="str">
            <v>LC21-3</v>
          </cell>
          <cell r="G5533">
            <v>10</v>
          </cell>
          <cell r="H5533" t="str">
            <v>cut&amp;tag文库</v>
          </cell>
          <cell r="I5533" t="str">
            <v>HZK</v>
          </cell>
          <cell r="J5533">
            <v>31.2</v>
          </cell>
          <cell r="K5533">
            <v>439</v>
          </cell>
          <cell r="L5533" t="str">
            <v>YHT</v>
          </cell>
          <cell r="N5533">
            <v>109.339407744875</v>
          </cell>
        </row>
        <row r="5534">
          <cell r="E5534" t="str">
            <v>HGC-Lib-2457368</v>
          </cell>
          <cell r="F5534" t="str">
            <v>LC21-4</v>
          </cell>
          <cell r="G5534">
            <v>10</v>
          </cell>
          <cell r="H5534" t="str">
            <v>cut&amp;tag文库</v>
          </cell>
          <cell r="I5534" t="str">
            <v>HZK</v>
          </cell>
          <cell r="J5534">
            <v>30.4</v>
          </cell>
          <cell r="K5534">
            <v>438</v>
          </cell>
          <cell r="L5534" t="str">
            <v>YHT</v>
          </cell>
          <cell r="N5534">
            <v>106.77906568317501</v>
          </cell>
        </row>
        <row r="5535">
          <cell r="E5535" t="str">
            <v>HGC-Lib-2457369</v>
          </cell>
          <cell r="F5535" t="str">
            <v>LC21-5</v>
          </cell>
          <cell r="G5535">
            <v>10</v>
          </cell>
          <cell r="H5535" t="str">
            <v>cut&amp;tag文库</v>
          </cell>
          <cell r="I5535" t="str">
            <v>HZK</v>
          </cell>
          <cell r="J5535">
            <v>27</v>
          </cell>
          <cell r="K5535">
            <v>423</v>
          </cell>
          <cell r="L5535" t="str">
            <v>YHT</v>
          </cell>
          <cell r="N5535">
            <v>98.199672667757795</v>
          </cell>
        </row>
        <row r="5536">
          <cell r="E5536" t="str">
            <v>HGC-Lib-2457370</v>
          </cell>
          <cell r="F5536" t="str">
            <v>LC21-6</v>
          </cell>
          <cell r="G5536">
            <v>10</v>
          </cell>
          <cell r="H5536" t="str">
            <v>cut&amp;tag文库</v>
          </cell>
          <cell r="I5536" t="str">
            <v>HZK</v>
          </cell>
          <cell r="J5536">
            <v>26.8</v>
          </cell>
          <cell r="K5536">
            <v>426</v>
          </cell>
          <cell r="L5536" t="str">
            <v>YHT</v>
          </cell>
          <cell r="N5536">
            <v>96.785843264716505</v>
          </cell>
        </row>
        <row r="5537">
          <cell r="E5537" t="str">
            <v>HGC-Lib-2457371</v>
          </cell>
          <cell r="F5537" t="str">
            <v>LC21-7</v>
          </cell>
          <cell r="G5537">
            <v>10</v>
          </cell>
          <cell r="H5537" t="str">
            <v>cut&amp;tag文库</v>
          </cell>
          <cell r="I5537" t="str">
            <v>HZK</v>
          </cell>
          <cell r="J5537">
            <v>29.6</v>
          </cell>
          <cell r="K5537">
            <v>431</v>
          </cell>
          <cell r="L5537" t="str">
            <v>YHT</v>
          </cell>
          <cell r="N5537">
            <v>105.657683383901</v>
          </cell>
        </row>
        <row r="5538">
          <cell r="E5538" t="str">
            <v>HGC-Lib-2457372</v>
          </cell>
          <cell r="F5538" t="str">
            <v>LC21-8</v>
          </cell>
          <cell r="G5538">
            <v>10</v>
          </cell>
          <cell r="H5538" t="str">
            <v>cut&amp;tag文库</v>
          </cell>
          <cell r="I5538" t="str">
            <v>HZK</v>
          </cell>
          <cell r="J5538">
            <v>29.6</v>
          </cell>
          <cell r="K5538">
            <v>426</v>
          </cell>
          <cell r="L5538" t="str">
            <v>YHT</v>
          </cell>
          <cell r="N5538">
            <v>106.897797038642</v>
          </cell>
        </row>
        <row r="5539">
          <cell r="E5539" t="str">
            <v>HGC-Lib-2457373</v>
          </cell>
          <cell r="F5539" t="str">
            <v>LC240716044</v>
          </cell>
          <cell r="G5539">
            <v>90</v>
          </cell>
          <cell r="H5539" t="str">
            <v>singleron-3'转录组文库</v>
          </cell>
          <cell r="I5539" t="str">
            <v>XCL</v>
          </cell>
          <cell r="J5539">
            <v>11.2</v>
          </cell>
          <cell r="N5539" t="e">
            <v>#DIV/0!</v>
          </cell>
        </row>
        <row r="5540">
          <cell r="E5540" t="str">
            <v>HGC-Lib-2457374</v>
          </cell>
          <cell r="F5540" t="str">
            <v>LC240716045</v>
          </cell>
          <cell r="G5540">
            <v>90</v>
          </cell>
          <cell r="H5540" t="str">
            <v>singleron-3'转录组文库</v>
          </cell>
          <cell r="I5540" t="str">
            <v>XCL</v>
          </cell>
          <cell r="J5540">
            <v>14.2</v>
          </cell>
          <cell r="N5540" t="e">
            <v>#DIV/0!</v>
          </cell>
        </row>
        <row r="5541">
          <cell r="E5541" t="str">
            <v>HGC-Lib-2457375</v>
          </cell>
          <cell r="F5541" t="str">
            <v>LC240716046</v>
          </cell>
          <cell r="G5541">
            <v>90</v>
          </cell>
          <cell r="H5541" t="str">
            <v>singleron-3'转录组文库</v>
          </cell>
          <cell r="I5541" t="str">
            <v>XCL</v>
          </cell>
          <cell r="J5541">
            <v>13.7</v>
          </cell>
          <cell r="N5541" t="e">
            <v>#DIV/0!</v>
          </cell>
        </row>
        <row r="5542">
          <cell r="E5542" t="str">
            <v>HGC-Lib-2457376</v>
          </cell>
          <cell r="F5542" t="str">
            <v>LC240716047</v>
          </cell>
          <cell r="G5542">
            <v>90</v>
          </cell>
          <cell r="H5542" t="str">
            <v>singleron-3'转录组文库</v>
          </cell>
          <cell r="I5542" t="str">
            <v>XCL</v>
          </cell>
          <cell r="J5542">
            <v>14.4</v>
          </cell>
          <cell r="N5542" t="e">
            <v>#DIV/0!</v>
          </cell>
        </row>
        <row r="5543">
          <cell r="E5543" t="str">
            <v>HGC-Lib-2457377</v>
          </cell>
          <cell r="F5543" t="str">
            <v>LC240716048</v>
          </cell>
          <cell r="G5543">
            <v>90</v>
          </cell>
          <cell r="H5543" t="str">
            <v>singleron-3'转录组文库</v>
          </cell>
          <cell r="I5543" t="str">
            <v>XCL</v>
          </cell>
          <cell r="J5543">
            <v>14.1</v>
          </cell>
          <cell r="N5543" t="e">
            <v>#DIV/0!</v>
          </cell>
        </row>
        <row r="5544">
          <cell r="E5544" t="str">
            <v>HGC-Lib-2457378</v>
          </cell>
          <cell r="F5544" t="str">
            <v>LC240716049</v>
          </cell>
          <cell r="G5544">
            <v>90</v>
          </cell>
          <cell r="H5544" t="str">
            <v>singleron-3'转录组文库</v>
          </cell>
          <cell r="I5544" t="str">
            <v>XCL</v>
          </cell>
          <cell r="J5544">
            <v>17.100000000000001</v>
          </cell>
          <cell r="N5544" t="e">
            <v>#DIV/0!</v>
          </cell>
        </row>
        <row r="5545">
          <cell r="E5545" t="str">
            <v>HGC-Lib-2457379</v>
          </cell>
          <cell r="F5545" t="str">
            <v>LC240716003</v>
          </cell>
          <cell r="G5545">
            <v>120</v>
          </cell>
          <cell r="H5545" t="str">
            <v>singleron-3'转录组文库</v>
          </cell>
          <cell r="I5545" t="str">
            <v>XCL</v>
          </cell>
          <cell r="J5545">
            <v>22.2</v>
          </cell>
          <cell r="N5545" t="e">
            <v>#DIV/0!</v>
          </cell>
        </row>
        <row r="5546">
          <cell r="E5546" t="str">
            <v>HGC-Lib-2457380</v>
          </cell>
          <cell r="F5546" t="str">
            <v>LC240716004</v>
          </cell>
          <cell r="G5546">
            <v>120</v>
          </cell>
          <cell r="H5546" t="str">
            <v>singleron-3'转录组文库</v>
          </cell>
          <cell r="I5546" t="str">
            <v>XCL</v>
          </cell>
          <cell r="J5546">
            <v>22.8</v>
          </cell>
          <cell r="N5546" t="e">
            <v>#DIV/0!</v>
          </cell>
        </row>
        <row r="5547">
          <cell r="E5547" t="str">
            <v>HGC-Lib-2457381</v>
          </cell>
          <cell r="F5547" t="str">
            <v>LC240716005</v>
          </cell>
          <cell r="G5547">
            <v>120</v>
          </cell>
          <cell r="H5547" t="str">
            <v>singleron-3'转录组文库</v>
          </cell>
          <cell r="I5547" t="str">
            <v>XCL</v>
          </cell>
          <cell r="J5547">
            <v>19.2</v>
          </cell>
          <cell r="N5547" t="e">
            <v>#DIV/0!</v>
          </cell>
        </row>
        <row r="5548">
          <cell r="E5548" t="str">
            <v>HGC-Lib-2457382</v>
          </cell>
          <cell r="F5548" t="str">
            <v>LC240716006</v>
          </cell>
          <cell r="G5548">
            <v>120</v>
          </cell>
          <cell r="H5548" t="str">
            <v>singleron-3'转录组文库</v>
          </cell>
          <cell r="I5548" t="str">
            <v>XCL</v>
          </cell>
          <cell r="J5548">
            <v>17.399999999999999</v>
          </cell>
          <cell r="N5548" t="e">
            <v>#DIV/0!</v>
          </cell>
        </row>
        <row r="5549">
          <cell r="E5549" t="str">
            <v>HGC-Lib-2457383</v>
          </cell>
          <cell r="F5549" t="str">
            <v>LC240716007</v>
          </cell>
          <cell r="G5549">
            <v>120</v>
          </cell>
          <cell r="H5549" t="str">
            <v>singleron-3'转录组文库</v>
          </cell>
          <cell r="I5549" t="str">
            <v>XCL</v>
          </cell>
          <cell r="J5549">
            <v>18.600000000000001</v>
          </cell>
          <cell r="N5549" t="e">
            <v>#DIV/0!</v>
          </cell>
        </row>
        <row r="5550">
          <cell r="E5550" t="str">
            <v>HGC-Lib-2457384</v>
          </cell>
          <cell r="F5550" t="str">
            <v>LC240716008</v>
          </cell>
          <cell r="G5550">
            <v>120</v>
          </cell>
          <cell r="H5550" t="str">
            <v>singleron-3'转录组文库</v>
          </cell>
          <cell r="I5550" t="str">
            <v>XCL</v>
          </cell>
          <cell r="J5550">
            <v>17.5</v>
          </cell>
          <cell r="N5550" t="e">
            <v>#DIV/0!</v>
          </cell>
        </row>
        <row r="5551">
          <cell r="E5551" t="str">
            <v>HGC-Lib-2457385</v>
          </cell>
          <cell r="F5551" t="str">
            <v>LPMFTBC240716057X2</v>
          </cell>
          <cell r="G5551">
            <v>90</v>
          </cell>
          <cell r="H5551" t="str">
            <v>singleron-3'转录组文库</v>
          </cell>
          <cell r="I5551" t="str">
            <v>XCL</v>
          </cell>
          <cell r="J5551">
            <v>15.1</v>
          </cell>
          <cell r="N5551" t="e">
            <v>#DIV/0!</v>
          </cell>
        </row>
        <row r="5552">
          <cell r="E5552" t="str">
            <v>HGC-Lib-2457386</v>
          </cell>
          <cell r="F5552" t="str">
            <v>LPMFTBC240716059X2</v>
          </cell>
          <cell r="G5552">
            <v>90</v>
          </cell>
          <cell r="H5552" t="str">
            <v>singleron-3'转录组文库</v>
          </cell>
          <cell r="I5552" t="str">
            <v>XCL</v>
          </cell>
          <cell r="J5552">
            <v>13.6</v>
          </cell>
          <cell r="N5552" t="e">
            <v>#DIV/0!</v>
          </cell>
        </row>
        <row r="5553">
          <cell r="E5553" t="str">
            <v>HGC-Lib-2457387</v>
          </cell>
          <cell r="F5553" t="str">
            <v>LPMFTBC240716060X2</v>
          </cell>
          <cell r="G5553">
            <v>90</v>
          </cell>
          <cell r="H5553" t="str">
            <v>singleron-3'转录组文库</v>
          </cell>
          <cell r="I5553" t="str">
            <v>XCL</v>
          </cell>
          <cell r="J5553">
            <v>14.1</v>
          </cell>
          <cell r="N5553" t="e">
            <v>#DIV/0!</v>
          </cell>
        </row>
        <row r="5554">
          <cell r="E5554" t="str">
            <v>HGC-Lib-2457388</v>
          </cell>
          <cell r="F5554" t="str">
            <v>LC240716112</v>
          </cell>
          <cell r="G5554">
            <v>100</v>
          </cell>
          <cell r="H5554" t="str">
            <v>singleron-3'转录组文库</v>
          </cell>
          <cell r="I5554" t="str">
            <v>XCL</v>
          </cell>
          <cell r="J5554">
            <v>8.0399999999999991</v>
          </cell>
          <cell r="N5554" t="e">
            <v>#DIV/0!</v>
          </cell>
        </row>
        <row r="5555">
          <cell r="E5555" t="str">
            <v>HGC-Lib-2457389</v>
          </cell>
          <cell r="F5555" t="str">
            <v>LC240716113X2</v>
          </cell>
          <cell r="G5555">
            <v>100</v>
          </cell>
          <cell r="H5555" t="str">
            <v>singleron-3'转录组文库</v>
          </cell>
          <cell r="I5555" t="str">
            <v>XCL</v>
          </cell>
          <cell r="J5555">
            <v>15.5</v>
          </cell>
          <cell r="N5555" t="e">
            <v>#DIV/0!</v>
          </cell>
        </row>
        <row r="5556">
          <cell r="E5556" t="str">
            <v>HGC-Lib-2457390</v>
          </cell>
          <cell r="F5556" t="str">
            <v>LC240716093</v>
          </cell>
          <cell r="G5556">
            <v>90</v>
          </cell>
          <cell r="H5556" t="str">
            <v>singleron-3'转录组文库</v>
          </cell>
          <cell r="I5556" t="str">
            <v>XCL</v>
          </cell>
          <cell r="J5556">
            <v>7.42</v>
          </cell>
          <cell r="N5556" t="e">
            <v>#DIV/0!</v>
          </cell>
        </row>
        <row r="5557">
          <cell r="E5557" t="str">
            <v>HGC-Lib-2457391</v>
          </cell>
          <cell r="F5557" t="str">
            <v>LC240716094</v>
          </cell>
          <cell r="G5557">
            <v>90</v>
          </cell>
          <cell r="H5557" t="str">
            <v>singleron-3'转录组文库</v>
          </cell>
          <cell r="I5557" t="str">
            <v>XCL</v>
          </cell>
          <cell r="J5557">
            <v>9.6999999999999993</v>
          </cell>
          <cell r="N5557" t="e">
            <v>#DIV/0!</v>
          </cell>
        </row>
        <row r="5558">
          <cell r="E5558" t="str">
            <v>HGC-Lib-2457392</v>
          </cell>
          <cell r="F5558" t="str">
            <v>LC240620072CT</v>
          </cell>
          <cell r="G5558">
            <v>30</v>
          </cell>
          <cell r="H5558" t="str">
            <v>singleron-3'转录组文库</v>
          </cell>
          <cell r="I5558" t="str">
            <v>XCL</v>
          </cell>
          <cell r="J5558">
            <v>24.8</v>
          </cell>
          <cell r="N5558" t="e">
            <v>#DIV/0!</v>
          </cell>
        </row>
        <row r="5559">
          <cell r="E5559" t="str">
            <v>HGC-Lib-2457393</v>
          </cell>
          <cell r="F5559" t="str">
            <v>LFTC240709003X1</v>
          </cell>
          <cell r="G5559">
            <v>100</v>
          </cell>
          <cell r="H5559" t="str">
            <v>singleron-3'全长转录组文库</v>
          </cell>
          <cell r="I5559" t="str">
            <v>XCL</v>
          </cell>
          <cell r="J5559">
            <v>18.8</v>
          </cell>
          <cell r="N5559" t="e">
            <v>#DIV/0!</v>
          </cell>
        </row>
        <row r="5560">
          <cell r="E5560" t="str">
            <v>HGC-Lib-2457394</v>
          </cell>
          <cell r="F5560" t="str">
            <v>LFTC240709004</v>
          </cell>
          <cell r="G5560">
            <v>100</v>
          </cell>
          <cell r="H5560" t="str">
            <v>singleron-3'全长转录组文库</v>
          </cell>
          <cell r="I5560" t="str">
            <v>XCL</v>
          </cell>
          <cell r="J5560">
            <v>18.399999999999999</v>
          </cell>
          <cell r="N5560" t="e">
            <v>#DIV/0!</v>
          </cell>
        </row>
        <row r="5561">
          <cell r="E5561" t="str">
            <v>HGC-Lib-2457395</v>
          </cell>
          <cell r="F5561" t="str">
            <v>LFTC240709001</v>
          </cell>
          <cell r="G5561">
            <v>100</v>
          </cell>
          <cell r="H5561" t="str">
            <v>singleron-3'全长转录组文库</v>
          </cell>
          <cell r="I5561" t="str">
            <v>XCL</v>
          </cell>
          <cell r="J5561">
            <v>40.4</v>
          </cell>
          <cell r="N5561" t="e">
            <v>#DIV/0!</v>
          </cell>
        </row>
        <row r="5562">
          <cell r="E5562" t="str">
            <v>HGC-Lib-2457396</v>
          </cell>
          <cell r="F5562" t="str">
            <v>PMLPMFTBC240716057X2</v>
          </cell>
          <cell r="G5562">
            <v>12</v>
          </cell>
          <cell r="H5562" t="str">
            <v>其他碱基不平衡文库</v>
          </cell>
          <cell r="I5562" t="str">
            <v>XCL</v>
          </cell>
          <cell r="J5562">
            <v>60.6</v>
          </cell>
          <cell r="N5562" t="e">
            <v>#DIV/0!</v>
          </cell>
        </row>
        <row r="5563">
          <cell r="E5563" t="str">
            <v>HGC-Lib-2457397</v>
          </cell>
          <cell r="F5563" t="str">
            <v>PMLPMFTBC240716059X2</v>
          </cell>
          <cell r="G5563">
            <v>12</v>
          </cell>
          <cell r="H5563" t="str">
            <v>其他碱基不平衡文库</v>
          </cell>
          <cell r="I5563" t="str">
            <v>XCL</v>
          </cell>
          <cell r="J5563">
            <v>33.799999999999997</v>
          </cell>
          <cell r="N5563" t="e">
            <v>#DIV/0!</v>
          </cell>
        </row>
        <row r="5564">
          <cell r="E5564" t="str">
            <v>HGC-Lib-2457398</v>
          </cell>
          <cell r="F5564" t="str">
            <v>PMLPMFTBC240716060X2</v>
          </cell>
          <cell r="G5564">
            <v>12</v>
          </cell>
          <cell r="H5564" t="str">
            <v>其他碱基不平衡文库</v>
          </cell>
          <cell r="I5564" t="str">
            <v>XCL</v>
          </cell>
          <cell r="J5564">
            <v>45.8</v>
          </cell>
          <cell r="N5564" t="e">
            <v>#DIV/0!</v>
          </cell>
        </row>
        <row r="5565">
          <cell r="E5565" t="str">
            <v>HGC-Lib-2457399</v>
          </cell>
          <cell r="F5565" t="str">
            <v>PROLPROC240714024</v>
          </cell>
          <cell r="G5565">
            <v>30</v>
          </cell>
          <cell r="H5565" t="str">
            <v>其他碱基不平衡文库</v>
          </cell>
          <cell r="I5565" t="str">
            <v>XCL</v>
          </cell>
          <cell r="J5565">
            <v>50.8</v>
          </cell>
          <cell r="N5565" t="e">
            <v>#DIV/0!</v>
          </cell>
        </row>
        <row r="5566">
          <cell r="E5566" t="str">
            <v>HGC-Lib-2457400</v>
          </cell>
          <cell r="F5566" t="str">
            <v>LHC240713033</v>
          </cell>
          <cell r="G5566">
            <v>30</v>
          </cell>
          <cell r="H5566" t="str">
            <v>singleron-3'转录组文库</v>
          </cell>
          <cell r="I5566" t="str">
            <v>XCL</v>
          </cell>
          <cell r="J5566">
            <v>15.7</v>
          </cell>
          <cell r="N5566" t="e">
            <v>#DIV/0!</v>
          </cell>
        </row>
        <row r="5567">
          <cell r="E5567" t="str">
            <v>HGC-Lib-2457401</v>
          </cell>
          <cell r="F5567" t="str">
            <v>LC240713028X1</v>
          </cell>
          <cell r="G5567">
            <v>10</v>
          </cell>
          <cell r="H5567" t="str">
            <v>singleron-3'转录组文库</v>
          </cell>
          <cell r="I5567" t="str">
            <v>XCL</v>
          </cell>
          <cell r="J5567">
            <v>10.6</v>
          </cell>
          <cell r="N5567" t="e">
            <v>#DIV/0!</v>
          </cell>
        </row>
        <row r="5568">
          <cell r="E5568" t="str">
            <v>HGC-Lib-2457402</v>
          </cell>
          <cell r="F5568" t="str">
            <v>LC240713028X2</v>
          </cell>
          <cell r="G5568">
            <v>10</v>
          </cell>
          <cell r="H5568" t="str">
            <v>singleron-3'转录组文库</v>
          </cell>
          <cell r="I5568" t="str">
            <v>XCL</v>
          </cell>
          <cell r="J5568">
            <v>13.7</v>
          </cell>
          <cell r="N5568" t="e">
            <v>#DIV/0!</v>
          </cell>
        </row>
        <row r="5569">
          <cell r="E5569" t="str">
            <v>HGC-POOL-2457403</v>
          </cell>
          <cell r="F5569" t="str">
            <v>L240712119XA</v>
          </cell>
          <cell r="G5569">
            <v>70</v>
          </cell>
          <cell r="H5569" t="str">
            <v>10X ATAC文库</v>
          </cell>
          <cell r="I5569" t="str">
            <v>XCL</v>
          </cell>
          <cell r="J5569">
            <v>28.8</v>
          </cell>
          <cell r="N5569" t="e">
            <v>#DIV/0!</v>
          </cell>
        </row>
        <row r="5570">
          <cell r="E5570" t="str">
            <v>HGC-Lib-2457404</v>
          </cell>
          <cell r="F5570" t="str">
            <v>LPROC240714024</v>
          </cell>
          <cell r="G5570">
            <v>100</v>
          </cell>
          <cell r="H5570" t="str">
            <v>singleron-3'转录组文库</v>
          </cell>
          <cell r="I5570" t="str">
            <v>XCL</v>
          </cell>
          <cell r="J5570">
            <v>9.1999999999999993</v>
          </cell>
          <cell r="N5570" t="e">
            <v>#DIV/0!</v>
          </cell>
        </row>
        <row r="5571">
          <cell r="E5571" t="str">
            <v>HGC-Lib-2457405</v>
          </cell>
          <cell r="F5571" t="str">
            <v>DYNOLC240714029</v>
          </cell>
          <cell r="G5571">
            <v>100</v>
          </cell>
          <cell r="H5571" t="str">
            <v>singleron-3'转录组文库</v>
          </cell>
          <cell r="I5571" t="str">
            <v>XCL</v>
          </cell>
          <cell r="J5571">
            <v>19.399999999999999</v>
          </cell>
          <cell r="N5571" t="e">
            <v>#DIV/0!</v>
          </cell>
        </row>
        <row r="5572">
          <cell r="E5572" t="str">
            <v>HGC-Lib-2457406</v>
          </cell>
          <cell r="F5572" t="str">
            <v>DYNOLC240714030</v>
          </cell>
          <cell r="G5572">
            <v>100</v>
          </cell>
          <cell r="H5572" t="str">
            <v>singleron-3'转录组文库</v>
          </cell>
          <cell r="I5572" t="str">
            <v>XCL</v>
          </cell>
          <cell r="J5572">
            <v>12.6</v>
          </cell>
          <cell r="N5572" t="e">
            <v>#DIV/0!</v>
          </cell>
        </row>
        <row r="5573">
          <cell r="E5573" t="str">
            <v>HGC-Lib-2457407</v>
          </cell>
          <cell r="F5573" t="str">
            <v>LFTBHC240714005</v>
          </cell>
          <cell r="G5573">
            <v>200</v>
          </cell>
          <cell r="H5573" t="str">
            <v>singleron-3'全长转录组文库</v>
          </cell>
          <cell r="I5573" t="str">
            <v>XCL</v>
          </cell>
          <cell r="J5573">
            <v>16.100000000000001</v>
          </cell>
          <cell r="N5573" t="e">
            <v>#DIV/0!</v>
          </cell>
        </row>
        <row r="5574">
          <cell r="E5574" t="str">
            <v>HGC-Lib-2457408</v>
          </cell>
          <cell r="F5574" t="str">
            <v>LTA240714021</v>
          </cell>
          <cell r="G5574">
            <v>90</v>
          </cell>
          <cell r="H5574" t="str">
            <v>singleron-3'转录组文库</v>
          </cell>
          <cell r="I5574" t="str">
            <v>XCL</v>
          </cell>
          <cell r="J5574">
            <v>15.9</v>
          </cell>
          <cell r="N5574" t="e">
            <v>#DIV/0!</v>
          </cell>
        </row>
        <row r="5575">
          <cell r="E5575" t="str">
            <v>HGC-Lib-2457409</v>
          </cell>
          <cell r="F5575" t="str">
            <v>LC240713012</v>
          </cell>
          <cell r="G5575">
            <v>100</v>
          </cell>
          <cell r="H5575" t="str">
            <v>singleron-3'转录组文库</v>
          </cell>
          <cell r="I5575" t="str">
            <v>XCL</v>
          </cell>
          <cell r="J5575">
            <v>12.9</v>
          </cell>
          <cell r="N5575" t="e">
            <v>#DIV/0!</v>
          </cell>
        </row>
        <row r="5576">
          <cell r="E5576" t="str">
            <v>HGC-Lib-2457097</v>
          </cell>
          <cell r="F5576" t="str">
            <v>T1</v>
          </cell>
          <cell r="G5576">
            <v>6</v>
          </cell>
          <cell r="H5576" t="str">
            <v>mRNA文库</v>
          </cell>
          <cell r="I5576" t="str">
            <v>YHT</v>
          </cell>
          <cell r="J5576">
            <v>1.74</v>
          </cell>
          <cell r="K5576">
            <v>496</v>
          </cell>
          <cell r="L5576" t="str">
            <v>YHT</v>
          </cell>
          <cell r="N5576">
            <v>5.3970223325062001</v>
          </cell>
        </row>
        <row r="5577">
          <cell r="E5577" t="str">
            <v>HGC-Lib-2457098</v>
          </cell>
          <cell r="F5577" t="str">
            <v>T2</v>
          </cell>
          <cell r="G5577">
            <v>6</v>
          </cell>
          <cell r="H5577" t="str">
            <v>mRNA文库</v>
          </cell>
          <cell r="I5577" t="str">
            <v>YHT</v>
          </cell>
          <cell r="J5577">
            <v>4.92</v>
          </cell>
          <cell r="K5577">
            <v>311</v>
          </cell>
          <cell r="L5577" t="str">
            <v>YHT</v>
          </cell>
          <cell r="N5577">
            <v>24.338362602028202</v>
          </cell>
        </row>
        <row r="5578">
          <cell r="E5578" t="str">
            <v>HGC-Lib-2457099</v>
          </cell>
          <cell r="F5578" t="str">
            <v>阳性cfRNA</v>
          </cell>
          <cell r="G5578">
            <v>15</v>
          </cell>
          <cell r="H5578" t="str">
            <v>small RNA文库</v>
          </cell>
          <cell r="I5578" t="str">
            <v>YHT</v>
          </cell>
          <cell r="J5578">
            <v>75.2</v>
          </cell>
          <cell r="K5578">
            <v>414</v>
          </cell>
          <cell r="L5578" t="str">
            <v>YHT</v>
          </cell>
          <cell r="N5578">
            <v>279.45001858045299</v>
          </cell>
        </row>
        <row r="5579">
          <cell r="E5579" t="str">
            <v>HGC-Lib-2457100</v>
          </cell>
          <cell r="F5579" t="str">
            <v>1女cfRNA</v>
          </cell>
          <cell r="G5579">
            <v>15</v>
          </cell>
          <cell r="H5579" t="str">
            <v>small RNA文库</v>
          </cell>
          <cell r="I5579" t="str">
            <v>YHT</v>
          </cell>
          <cell r="J5579">
            <v>11.4</v>
          </cell>
          <cell r="K5579">
            <v>474</v>
          </cell>
          <cell r="L5579" t="str">
            <v>YHT</v>
          </cell>
          <cell r="N5579">
            <v>37.000973709834497</v>
          </cell>
        </row>
        <row r="5580">
          <cell r="E5580" t="str">
            <v>HGC-Lib-2457101</v>
          </cell>
          <cell r="F5580" t="str">
            <v>2父cfRNA</v>
          </cell>
          <cell r="G5580">
            <v>15</v>
          </cell>
          <cell r="H5580" t="str">
            <v>small RNA文库</v>
          </cell>
          <cell r="I5580" t="str">
            <v>YHT</v>
          </cell>
          <cell r="J5580">
            <v>25.2</v>
          </cell>
          <cell r="K5580">
            <v>442</v>
          </cell>
          <cell r="L5580" t="str">
            <v>YHT</v>
          </cell>
          <cell r="N5580">
            <v>87.713191785589999</v>
          </cell>
        </row>
        <row r="5581">
          <cell r="E5581" t="str">
            <v>HGC-Lib-2457102</v>
          </cell>
          <cell r="F5581" t="str">
            <v>4V</v>
          </cell>
          <cell r="G5581">
            <v>90</v>
          </cell>
          <cell r="H5581" t="str">
            <v>甲基化文库</v>
          </cell>
          <cell r="I5581" t="str">
            <v>YHT</v>
          </cell>
          <cell r="J5581">
            <v>88.8</v>
          </cell>
          <cell r="K5581">
            <v>394</v>
          </cell>
          <cell r="L5581" t="str">
            <v>YHT</v>
          </cell>
          <cell r="N5581">
            <v>346.73955486138198</v>
          </cell>
        </row>
        <row r="5582">
          <cell r="E5582" t="str">
            <v>HGC-Lib-2457103</v>
          </cell>
          <cell r="F5582" t="str">
            <v>4Y</v>
          </cell>
          <cell r="G5582">
            <v>90</v>
          </cell>
          <cell r="H5582" t="str">
            <v>甲基化文库</v>
          </cell>
          <cell r="I5582" t="str">
            <v>YHT</v>
          </cell>
          <cell r="J5582">
            <v>72.8</v>
          </cell>
          <cell r="K5582">
            <v>444</v>
          </cell>
          <cell r="L5582" t="str">
            <v>YHT</v>
          </cell>
          <cell r="N5582">
            <v>252.25225225225199</v>
          </cell>
        </row>
        <row r="5583">
          <cell r="E5583" t="str">
            <v>HGC-Lib-2457268</v>
          </cell>
          <cell r="F5583" t="str">
            <v>Cl13_GPX4_KD_D14_RNA_1</v>
          </cell>
          <cell r="G5583">
            <v>8</v>
          </cell>
          <cell r="H5583" t="str">
            <v>RNA-seq文库</v>
          </cell>
          <cell r="I5583" t="str">
            <v>YHT</v>
          </cell>
          <cell r="J5583">
            <v>27</v>
          </cell>
          <cell r="K5583">
            <v>381</v>
          </cell>
          <cell r="L5583" t="str">
            <v>YHT</v>
          </cell>
          <cell r="N5583">
            <v>109.024833434282</v>
          </cell>
        </row>
        <row r="5584">
          <cell r="E5584" t="str">
            <v>HGC-Lib-2457269</v>
          </cell>
          <cell r="F5584" t="str">
            <v>Cl13_GPX4_KDV_D14_RNA_1</v>
          </cell>
          <cell r="G5584">
            <v>8</v>
          </cell>
          <cell r="H5584" t="str">
            <v>RNA-seq文库</v>
          </cell>
          <cell r="I5584" t="str">
            <v>YHT</v>
          </cell>
          <cell r="J5584">
            <v>33.799999999999997</v>
          </cell>
          <cell r="K5584">
            <v>359</v>
          </cell>
          <cell r="L5584" t="str">
            <v>YHT</v>
          </cell>
          <cell r="N5584">
            <v>144.84679665738199</v>
          </cell>
        </row>
        <row r="5585">
          <cell r="E5585" t="str">
            <v>HGC-Lib-2457410</v>
          </cell>
          <cell r="F5585" t="str">
            <v>wt-36h</v>
          </cell>
          <cell r="G5585">
            <v>6</v>
          </cell>
          <cell r="H5585" t="str">
            <v>mRNA文库</v>
          </cell>
          <cell r="I5585" t="str">
            <v>YHT</v>
          </cell>
          <cell r="J5585">
            <v>32.6</v>
          </cell>
          <cell r="K5585">
            <v>324</v>
          </cell>
          <cell r="L5585" t="str">
            <v>YHT</v>
          </cell>
          <cell r="N5585">
            <v>154.79582146248799</v>
          </cell>
        </row>
        <row r="5586">
          <cell r="E5586" t="str">
            <v>HGC-Lib-2457411</v>
          </cell>
          <cell r="F5586" t="str">
            <v>dcas-36h</v>
          </cell>
          <cell r="G5586">
            <v>6</v>
          </cell>
          <cell r="H5586" t="str">
            <v>mRNA文库</v>
          </cell>
          <cell r="I5586" t="str">
            <v>YHT</v>
          </cell>
          <cell r="J5586">
            <v>32.799999999999997</v>
          </cell>
          <cell r="K5586">
            <v>330</v>
          </cell>
          <cell r="L5586" t="str">
            <v>YHT</v>
          </cell>
          <cell r="N5586">
            <v>152.913752913753</v>
          </cell>
        </row>
        <row r="5587">
          <cell r="E5587" t="str">
            <v>HGC-Lib-2457412</v>
          </cell>
          <cell r="F5587" t="str">
            <v>wt-48h</v>
          </cell>
          <cell r="G5587">
            <v>6</v>
          </cell>
          <cell r="H5587" t="str">
            <v>mRNA文库</v>
          </cell>
          <cell r="I5587" t="str">
            <v>YHT</v>
          </cell>
          <cell r="J5587">
            <v>33.200000000000003</v>
          </cell>
          <cell r="K5587">
            <v>338</v>
          </cell>
          <cell r="L5587" t="str">
            <v>YHT</v>
          </cell>
          <cell r="N5587">
            <v>151.115157032317</v>
          </cell>
        </row>
        <row r="5588">
          <cell r="E5588" t="str">
            <v>HGC-Lib-2457413</v>
          </cell>
          <cell r="F5588" t="str">
            <v>dcas-48h</v>
          </cell>
          <cell r="G5588">
            <v>6</v>
          </cell>
          <cell r="H5588" t="str">
            <v>mRNA文库</v>
          </cell>
          <cell r="I5588" t="str">
            <v>YHT</v>
          </cell>
          <cell r="J5588">
            <v>29.8</v>
          </cell>
          <cell r="K5588">
            <v>349</v>
          </cell>
          <cell r="L5588" t="str">
            <v>YHT</v>
          </cell>
          <cell r="N5588">
            <v>131.364337668063</v>
          </cell>
        </row>
        <row r="5589">
          <cell r="E5589" t="str">
            <v>HGC-Lib-2457414</v>
          </cell>
          <cell r="F5589" t="str">
            <v>wt-60h</v>
          </cell>
          <cell r="G5589">
            <v>6</v>
          </cell>
          <cell r="H5589" t="str">
            <v>mRNA文库</v>
          </cell>
          <cell r="I5589" t="str">
            <v>YHT</v>
          </cell>
          <cell r="J5589">
            <v>23.2</v>
          </cell>
          <cell r="K5589">
            <v>322</v>
          </cell>
          <cell r="L5589" t="str">
            <v>YHT</v>
          </cell>
          <cell r="N5589">
            <v>110.845676063067</v>
          </cell>
        </row>
        <row r="5590">
          <cell r="E5590" t="str">
            <v>HGC-Lib-2457415</v>
          </cell>
          <cell r="F5590" t="str">
            <v>dcas-60h</v>
          </cell>
          <cell r="G5590">
            <v>6</v>
          </cell>
          <cell r="H5590" t="str">
            <v>mRNA文库</v>
          </cell>
          <cell r="I5590" t="str">
            <v>YHT</v>
          </cell>
          <cell r="J5590">
            <v>26</v>
          </cell>
          <cell r="K5590">
            <v>380</v>
          </cell>
          <cell r="L5590" t="str">
            <v>YHT</v>
          </cell>
          <cell r="N5590">
            <v>105.26315789473701</v>
          </cell>
        </row>
        <row r="5591">
          <cell r="E5591" t="str">
            <v>HGC-Lib-2457416</v>
          </cell>
          <cell r="F5591" t="str">
            <v>wt-72h</v>
          </cell>
          <cell r="G5591">
            <v>6</v>
          </cell>
          <cell r="H5591" t="str">
            <v>mRNA文库</v>
          </cell>
          <cell r="I5591" t="str">
            <v>YHT</v>
          </cell>
          <cell r="J5591">
            <v>25.8</v>
          </cell>
          <cell r="K5591">
            <v>361</v>
          </cell>
          <cell r="L5591" t="str">
            <v>YHT</v>
          </cell>
          <cell r="N5591">
            <v>109.950990837417</v>
          </cell>
        </row>
        <row r="5592">
          <cell r="E5592" t="str">
            <v>HGC-Lib-2457417</v>
          </cell>
          <cell r="F5592" t="str">
            <v>dcas-72h</v>
          </cell>
          <cell r="G5592">
            <v>6</v>
          </cell>
          <cell r="H5592" t="str">
            <v>mRNA文库</v>
          </cell>
          <cell r="I5592" t="str">
            <v>YHT</v>
          </cell>
          <cell r="J5592">
            <v>28.2</v>
          </cell>
          <cell r="K5592">
            <v>340</v>
          </cell>
          <cell r="L5592" t="str">
            <v>YHT</v>
          </cell>
          <cell r="N5592">
            <v>127.601809954751</v>
          </cell>
        </row>
        <row r="5593">
          <cell r="E5593" t="str">
            <v>HGC-POOL-2457418</v>
          </cell>
          <cell r="F5593" t="str">
            <v>g1 arrest 240716</v>
          </cell>
          <cell r="G5593">
            <v>12</v>
          </cell>
          <cell r="H5593" t="str">
            <v>PCR产物文库</v>
          </cell>
          <cell r="I5593" t="str">
            <v>YHT</v>
          </cell>
          <cell r="J5593">
            <v>3.14</v>
          </cell>
          <cell r="K5593">
            <v>625</v>
          </cell>
          <cell r="L5593" t="str">
            <v>YHT</v>
          </cell>
          <cell r="N5593">
            <v>7.72923076923077</v>
          </cell>
        </row>
        <row r="5594">
          <cell r="E5594" t="str">
            <v>HGC-POOL-2457419</v>
          </cell>
          <cell r="F5594" t="str">
            <v>g2 arrest 240717</v>
          </cell>
          <cell r="G5594">
            <v>8</v>
          </cell>
          <cell r="H5594" t="str">
            <v>PCR产物文库</v>
          </cell>
          <cell r="I5594" t="str">
            <v>YHT</v>
          </cell>
          <cell r="J5594">
            <v>0.69599999999999995</v>
          </cell>
          <cell r="K5594">
            <v>609</v>
          </cell>
          <cell r="L5594" t="str">
            <v>YHT</v>
          </cell>
          <cell r="N5594">
            <v>1.75824175824176</v>
          </cell>
        </row>
        <row r="5595">
          <cell r="E5595" t="str">
            <v>HGC-Lib-2457420</v>
          </cell>
          <cell r="F5595" t="str">
            <v>F64</v>
          </cell>
          <cell r="G5595">
            <v>4</v>
          </cell>
          <cell r="H5595" t="str">
            <v>PCR产物文库</v>
          </cell>
          <cell r="I5595" t="str">
            <v>YHT</v>
          </cell>
          <cell r="J5595">
            <v>20.399999999999999</v>
          </cell>
          <cell r="K5595">
            <v>292</v>
          </cell>
          <cell r="L5595" t="str">
            <v>YHT</v>
          </cell>
          <cell r="N5595">
            <v>107.481559536354</v>
          </cell>
        </row>
        <row r="5596">
          <cell r="E5596" t="str">
            <v>HGC-Lib-2457421</v>
          </cell>
          <cell r="F5596" t="str">
            <v>F65</v>
          </cell>
          <cell r="G5596">
            <v>4</v>
          </cell>
          <cell r="H5596" t="str">
            <v>PCR产物文库</v>
          </cell>
          <cell r="I5596" t="str">
            <v>YHT</v>
          </cell>
          <cell r="J5596">
            <v>20.8</v>
          </cell>
          <cell r="K5596">
            <v>299</v>
          </cell>
          <cell r="L5596" t="str">
            <v>YHT</v>
          </cell>
          <cell r="N5596">
            <v>107.023411371237</v>
          </cell>
        </row>
        <row r="5597">
          <cell r="E5597" t="str">
            <v>HGC-Lib-2457422</v>
          </cell>
          <cell r="F5597" t="str">
            <v>F66</v>
          </cell>
          <cell r="G5597">
            <v>1</v>
          </cell>
          <cell r="H5597" t="str">
            <v>PCR产物文库</v>
          </cell>
          <cell r="I5597" t="str">
            <v>YHT</v>
          </cell>
          <cell r="J5597">
            <v>15.3</v>
          </cell>
          <cell r="K5597">
            <v>294</v>
          </cell>
          <cell r="L5597" t="str">
            <v>YHT</v>
          </cell>
          <cell r="N5597">
            <v>80.062794348508604</v>
          </cell>
        </row>
        <row r="5598">
          <cell r="E5598" t="str">
            <v>HGC-Lib-2457423</v>
          </cell>
          <cell r="F5598" t="str">
            <v>F67</v>
          </cell>
          <cell r="G5598">
            <v>1</v>
          </cell>
          <cell r="H5598" t="str">
            <v>PCR产物文库</v>
          </cell>
          <cell r="I5598" t="str">
            <v>YHT</v>
          </cell>
          <cell r="J5598">
            <v>18.600000000000001</v>
          </cell>
          <cell r="K5598">
            <v>290</v>
          </cell>
          <cell r="L5598" t="str">
            <v>YHT</v>
          </cell>
          <cell r="N5598">
            <v>98.673740053050395</v>
          </cell>
        </row>
        <row r="5599">
          <cell r="E5599" t="str">
            <v>HGC-Lib-2457424</v>
          </cell>
          <cell r="F5599" t="str">
            <v>F77</v>
          </cell>
          <cell r="G5599">
            <v>4</v>
          </cell>
          <cell r="H5599" t="str">
            <v>PCR产物文库</v>
          </cell>
          <cell r="I5599" t="str">
            <v>YHT</v>
          </cell>
          <cell r="J5599">
            <v>17.3</v>
          </cell>
          <cell r="K5599">
            <v>319</v>
          </cell>
          <cell r="L5599" t="str">
            <v>YHT</v>
          </cell>
          <cell r="N5599">
            <v>83.433807571738598</v>
          </cell>
        </row>
        <row r="5600">
          <cell r="E5600" t="str">
            <v>HGC-Lib-2457425</v>
          </cell>
          <cell r="F5600" t="str">
            <v>F78</v>
          </cell>
          <cell r="G5600">
            <v>4</v>
          </cell>
          <cell r="H5600" t="str">
            <v>PCR产物文库</v>
          </cell>
          <cell r="I5600" t="str">
            <v>YHT</v>
          </cell>
          <cell r="J5600">
            <v>20.8</v>
          </cell>
          <cell r="K5600">
            <v>288</v>
          </cell>
          <cell r="L5600" t="str">
            <v>YHT</v>
          </cell>
          <cell r="N5600">
            <v>111.111111111111</v>
          </cell>
        </row>
        <row r="5601">
          <cell r="E5601" t="str">
            <v>HGC-Lib-2457426</v>
          </cell>
          <cell r="F5601" t="str">
            <v>F79</v>
          </cell>
          <cell r="G5601">
            <v>1</v>
          </cell>
          <cell r="H5601" t="str">
            <v>PCR产物文库</v>
          </cell>
          <cell r="I5601" t="str">
            <v>YHT</v>
          </cell>
          <cell r="J5601">
            <v>18.8</v>
          </cell>
          <cell r="K5601">
            <v>279</v>
          </cell>
          <cell r="L5601" t="str">
            <v>YHT</v>
          </cell>
          <cell r="N5601">
            <v>103.66694237662</v>
          </cell>
        </row>
        <row r="5602">
          <cell r="E5602" t="str">
            <v>HGC-Lib-2457427</v>
          </cell>
          <cell r="F5602" t="str">
            <v>F80</v>
          </cell>
          <cell r="G5602">
            <v>1</v>
          </cell>
          <cell r="H5602" t="str">
            <v>PCR产物文库</v>
          </cell>
          <cell r="I5602" t="str">
            <v>YHT</v>
          </cell>
          <cell r="J5602">
            <v>6.04</v>
          </cell>
          <cell r="K5602">
            <v>332</v>
          </cell>
          <cell r="L5602" t="str">
            <v>YHT</v>
          </cell>
          <cell r="N5602">
            <v>27.988878591288199</v>
          </cell>
        </row>
        <row r="5603">
          <cell r="E5603" t="str">
            <v>HGC-Lib-2457428</v>
          </cell>
          <cell r="F5603" t="str">
            <v>F93</v>
          </cell>
          <cell r="G5603">
            <v>1</v>
          </cell>
          <cell r="H5603" t="str">
            <v>PCR产物文库</v>
          </cell>
          <cell r="I5603" t="str">
            <v>YHT</v>
          </cell>
          <cell r="J5603">
            <v>31</v>
          </cell>
          <cell r="K5603">
            <v>255</v>
          </cell>
          <cell r="L5603" t="str">
            <v>YHT</v>
          </cell>
          <cell r="N5603">
            <v>187.02865761689301</v>
          </cell>
        </row>
        <row r="5604">
          <cell r="E5604" t="str">
            <v>HGC-Lib-2457429</v>
          </cell>
          <cell r="F5604" t="str">
            <v>F94</v>
          </cell>
          <cell r="G5604">
            <v>1</v>
          </cell>
          <cell r="H5604" t="str">
            <v>PCR产物文库</v>
          </cell>
          <cell r="I5604" t="str">
            <v>YHT</v>
          </cell>
          <cell r="J5604">
            <v>36.200000000000003</v>
          </cell>
          <cell r="K5604">
            <v>287</v>
          </cell>
          <cell r="L5604" t="str">
            <v>YHT</v>
          </cell>
          <cell r="N5604">
            <v>194.04985258643799</v>
          </cell>
        </row>
        <row r="5605">
          <cell r="E5605" t="str">
            <v>HGC-Lib-2457430</v>
          </cell>
          <cell r="F5605" t="str">
            <v>F95</v>
          </cell>
          <cell r="G5605">
            <v>1</v>
          </cell>
          <cell r="H5605" t="str">
            <v>PCR产物文库</v>
          </cell>
          <cell r="I5605" t="str">
            <v>YHT</v>
          </cell>
          <cell r="J5605">
            <v>21.8</v>
          </cell>
          <cell r="K5605">
            <v>259</v>
          </cell>
          <cell r="L5605" t="str">
            <v>YHT</v>
          </cell>
          <cell r="N5605">
            <v>129.49212949212901</v>
          </cell>
        </row>
        <row r="5606">
          <cell r="E5606" t="str">
            <v>HGC-Lib-2457431</v>
          </cell>
          <cell r="F5606" t="str">
            <v>F96</v>
          </cell>
          <cell r="G5606">
            <v>1</v>
          </cell>
          <cell r="H5606" t="str">
            <v>PCR产物文库</v>
          </cell>
          <cell r="I5606" t="str">
            <v>YHT</v>
          </cell>
          <cell r="J5606">
            <v>28.2</v>
          </cell>
          <cell r="K5606">
            <v>269</v>
          </cell>
          <cell r="L5606" t="str">
            <v>YHT</v>
          </cell>
          <cell r="N5606">
            <v>161.281098084072</v>
          </cell>
        </row>
        <row r="5607">
          <cell r="E5607" t="str">
            <v>HGC-Lib-2457432</v>
          </cell>
          <cell r="F5607" t="str">
            <v>G3</v>
          </cell>
          <cell r="G5607">
            <v>1</v>
          </cell>
          <cell r="H5607" t="str">
            <v>PCR产物文库</v>
          </cell>
          <cell r="I5607" t="str">
            <v>YHT</v>
          </cell>
          <cell r="J5607">
            <v>18.5</v>
          </cell>
          <cell r="K5607">
            <v>269</v>
          </cell>
          <cell r="L5607" t="str">
            <v>YHT</v>
          </cell>
          <cell r="N5607">
            <v>105.80497569345199</v>
          </cell>
        </row>
        <row r="5608">
          <cell r="E5608" t="str">
            <v>HGC-Lib-2457433</v>
          </cell>
          <cell r="F5608" t="str">
            <v>G4</v>
          </cell>
          <cell r="G5608">
            <v>1</v>
          </cell>
          <cell r="H5608" t="str">
            <v>PCR产物文库</v>
          </cell>
          <cell r="I5608" t="str">
            <v>YHT</v>
          </cell>
          <cell r="J5608">
            <v>22</v>
          </cell>
          <cell r="K5608">
            <v>257</v>
          </cell>
          <cell r="L5608" t="str">
            <v>YHT</v>
          </cell>
          <cell r="N5608">
            <v>131.69709667764101</v>
          </cell>
        </row>
        <row r="5609">
          <cell r="E5609" t="str">
            <v>HGC-Lib-2457434</v>
          </cell>
          <cell r="F5609" t="str">
            <v>G5</v>
          </cell>
          <cell r="G5609">
            <v>4</v>
          </cell>
          <cell r="H5609" t="str">
            <v>PCR产物文库</v>
          </cell>
          <cell r="I5609" t="str">
            <v>YHT</v>
          </cell>
          <cell r="J5609">
            <v>26.6</v>
          </cell>
          <cell r="K5609">
            <v>334</v>
          </cell>
          <cell r="L5609" t="str">
            <v>YHT</v>
          </cell>
          <cell r="N5609">
            <v>122.52418240442201</v>
          </cell>
        </row>
        <row r="5610">
          <cell r="E5610" t="str">
            <v>HGC-Lib-2457435</v>
          </cell>
          <cell r="F5610" t="str">
            <v>G6</v>
          </cell>
          <cell r="G5610">
            <v>4</v>
          </cell>
          <cell r="H5610" t="str">
            <v>PCR产物文库</v>
          </cell>
          <cell r="I5610" t="str">
            <v>YHT</v>
          </cell>
          <cell r="J5610">
            <v>21.2</v>
          </cell>
          <cell r="K5610">
            <v>258</v>
          </cell>
          <cell r="L5610" t="str">
            <v>YHT</v>
          </cell>
          <cell r="N5610">
            <v>126.416219439475</v>
          </cell>
        </row>
        <row r="5611">
          <cell r="E5611" t="str">
            <v>HGC-Lib-2457436</v>
          </cell>
          <cell r="F5611" t="str">
            <v>G7</v>
          </cell>
          <cell r="G5611">
            <v>4</v>
          </cell>
          <cell r="H5611" t="str">
            <v>PCR产物文库</v>
          </cell>
          <cell r="I5611" t="str">
            <v>YHT</v>
          </cell>
          <cell r="J5611">
            <v>18.899999999999999</v>
          </cell>
          <cell r="K5611">
            <v>255</v>
          </cell>
          <cell r="L5611" t="str">
            <v>YHT</v>
          </cell>
          <cell r="N5611">
            <v>114.027149321267</v>
          </cell>
        </row>
        <row r="5612">
          <cell r="E5612" t="str">
            <v>HGC-Lib-2457437</v>
          </cell>
          <cell r="F5612" t="str">
            <v>G8</v>
          </cell>
          <cell r="G5612">
            <v>4</v>
          </cell>
          <cell r="H5612" t="str">
            <v>PCR产物文库</v>
          </cell>
          <cell r="I5612" t="str">
            <v>YHT</v>
          </cell>
          <cell r="J5612">
            <v>22.6</v>
          </cell>
          <cell r="K5612">
            <v>273</v>
          </cell>
          <cell r="L5612" t="str">
            <v>YHT</v>
          </cell>
          <cell r="N5612">
            <v>127.359819667512</v>
          </cell>
        </row>
        <row r="5613">
          <cell r="E5613" t="str">
            <v>HGC-Lib-2457438</v>
          </cell>
          <cell r="F5613" t="str">
            <v>G19</v>
          </cell>
          <cell r="G5613">
            <v>1</v>
          </cell>
          <cell r="H5613" t="str">
            <v>PCR产物文库</v>
          </cell>
          <cell r="I5613" t="str">
            <v>YHT</v>
          </cell>
          <cell r="J5613">
            <v>26.4</v>
          </cell>
          <cell r="K5613">
            <v>255</v>
          </cell>
          <cell r="L5613" t="str">
            <v>YHT</v>
          </cell>
          <cell r="N5613">
            <v>159.276018099548</v>
          </cell>
        </row>
        <row r="5614">
          <cell r="E5614" t="str">
            <v>HGC-Lib-2457439</v>
          </cell>
          <cell r="F5614" t="str">
            <v>G20</v>
          </cell>
          <cell r="G5614">
            <v>1</v>
          </cell>
          <cell r="H5614" t="str">
            <v>PCR产物文库</v>
          </cell>
          <cell r="I5614" t="str">
            <v>YHT</v>
          </cell>
          <cell r="J5614">
            <v>38.200000000000003</v>
          </cell>
          <cell r="K5614">
            <v>253</v>
          </cell>
          <cell r="L5614" t="str">
            <v>YHT</v>
          </cell>
          <cell r="N5614">
            <v>232.28944968075399</v>
          </cell>
        </row>
        <row r="5615">
          <cell r="E5615" t="str">
            <v>HGC-Lib-2457440</v>
          </cell>
          <cell r="F5615" t="str">
            <v>H3</v>
          </cell>
          <cell r="G5615">
            <v>1</v>
          </cell>
          <cell r="H5615" t="str">
            <v>PCR产物文库</v>
          </cell>
          <cell r="I5615" t="str">
            <v>YHT</v>
          </cell>
          <cell r="J5615">
            <v>18.399999999999999</v>
          </cell>
          <cell r="K5615">
            <v>248</v>
          </cell>
          <cell r="L5615" t="str">
            <v>YHT</v>
          </cell>
          <cell r="N5615">
            <v>114.143920595533</v>
          </cell>
        </row>
        <row r="5616">
          <cell r="E5616" t="str">
            <v>HGC-Lib-2457441</v>
          </cell>
          <cell r="F5616" t="str">
            <v>H4</v>
          </cell>
          <cell r="G5616">
            <v>1</v>
          </cell>
          <cell r="H5616" t="str">
            <v>PCR产物文库</v>
          </cell>
          <cell r="I5616" t="str">
            <v>YHT</v>
          </cell>
          <cell r="J5616">
            <v>14.9</v>
          </cell>
          <cell r="K5616">
            <v>243</v>
          </cell>
          <cell r="L5616" t="str">
            <v>YHT</v>
          </cell>
          <cell r="N5616">
            <v>94.333649889205404</v>
          </cell>
        </row>
        <row r="5617">
          <cell r="E5617" t="str">
            <v>HGC-Lib-2457442</v>
          </cell>
          <cell r="F5617" t="str">
            <v>H5</v>
          </cell>
          <cell r="G5617">
            <v>1</v>
          </cell>
          <cell r="H5617" t="str">
            <v>PCR产物文库</v>
          </cell>
          <cell r="I5617" t="str">
            <v>YHT</v>
          </cell>
          <cell r="J5617">
            <v>19.600000000000001</v>
          </cell>
          <cell r="K5617">
            <v>247</v>
          </cell>
          <cell r="L5617" t="str">
            <v>YHT</v>
          </cell>
          <cell r="N5617">
            <v>122.080348800997</v>
          </cell>
        </row>
        <row r="5618">
          <cell r="E5618" t="str">
            <v>HGC-Lib-2457443</v>
          </cell>
          <cell r="F5618" t="str">
            <v>H6</v>
          </cell>
          <cell r="G5618">
            <v>1</v>
          </cell>
          <cell r="H5618" t="str">
            <v>PCR产物文库</v>
          </cell>
          <cell r="I5618" t="str">
            <v>YHT</v>
          </cell>
          <cell r="J5618">
            <v>20.2</v>
          </cell>
          <cell r="K5618">
            <v>242</v>
          </cell>
          <cell r="L5618" t="str">
            <v>YHT</v>
          </cell>
          <cell r="N5618">
            <v>128.41703750794699</v>
          </cell>
        </row>
        <row r="5619">
          <cell r="E5619" t="str">
            <v>HGC-Lib-2457444</v>
          </cell>
          <cell r="F5619" t="str">
            <v>H7</v>
          </cell>
          <cell r="G5619">
            <v>4</v>
          </cell>
          <cell r="H5619" t="str">
            <v>PCR产物文库</v>
          </cell>
          <cell r="I5619" t="str">
            <v>YHT</v>
          </cell>
          <cell r="J5619">
            <v>22.6</v>
          </cell>
          <cell r="K5619">
            <v>289</v>
          </cell>
          <cell r="L5619" t="str">
            <v>YHT</v>
          </cell>
          <cell r="N5619">
            <v>120.308756986958</v>
          </cell>
        </row>
        <row r="5620">
          <cell r="E5620" t="str">
            <v>HGC-Lib-2457445</v>
          </cell>
          <cell r="F5620" t="str">
            <v>H8</v>
          </cell>
          <cell r="G5620">
            <v>4</v>
          </cell>
          <cell r="H5620" t="str">
            <v>PCR产物文库</v>
          </cell>
          <cell r="I5620" t="str">
            <v>YHT</v>
          </cell>
          <cell r="J5620">
            <v>25.8</v>
          </cell>
          <cell r="K5620">
            <v>304</v>
          </cell>
          <cell r="L5620" t="str">
            <v>YHT</v>
          </cell>
          <cell r="N5620">
            <v>130.56680161943299</v>
          </cell>
        </row>
        <row r="5621">
          <cell r="E5621" t="str">
            <v>HGC-Lib-2457446</v>
          </cell>
          <cell r="F5621" t="str">
            <v>H9</v>
          </cell>
          <cell r="G5621">
            <v>4</v>
          </cell>
          <cell r="H5621" t="str">
            <v>PCR产物文库</v>
          </cell>
          <cell r="I5621" t="str">
            <v>YHT</v>
          </cell>
          <cell r="J5621">
            <v>17.7</v>
          </cell>
          <cell r="K5621">
            <v>275</v>
          </cell>
          <cell r="L5621" t="str">
            <v>YHT</v>
          </cell>
          <cell r="N5621">
            <v>99.020979020978999</v>
          </cell>
        </row>
        <row r="5622">
          <cell r="E5622" t="str">
            <v>HGC-Lib-2457447</v>
          </cell>
          <cell r="F5622" t="str">
            <v>H10</v>
          </cell>
          <cell r="G5622">
            <v>4</v>
          </cell>
          <cell r="H5622" t="str">
            <v>PCR产物文库</v>
          </cell>
          <cell r="I5622" t="str">
            <v>YHT</v>
          </cell>
          <cell r="J5622">
            <v>20.399999999999999</v>
          </cell>
          <cell r="K5622">
            <v>264</v>
          </cell>
          <cell r="L5622" t="str">
            <v>YHT</v>
          </cell>
          <cell r="N5622">
            <v>118.88111888111899</v>
          </cell>
        </row>
        <row r="5623">
          <cell r="E5623" t="str">
            <v>HGC-Lib-2457448</v>
          </cell>
          <cell r="F5623" t="str">
            <v>H21</v>
          </cell>
          <cell r="G5623">
            <v>1</v>
          </cell>
          <cell r="H5623" t="str">
            <v>PCR产物文库</v>
          </cell>
          <cell r="I5623" t="str">
            <v>YHT</v>
          </cell>
          <cell r="J5623">
            <v>22</v>
          </cell>
          <cell r="K5623">
            <v>245</v>
          </cell>
          <cell r="L5623" t="str">
            <v>YHT</v>
          </cell>
          <cell r="N5623">
            <v>138.14756671899499</v>
          </cell>
        </row>
        <row r="5624">
          <cell r="E5624" t="str">
            <v>HGC-Lib-2457449</v>
          </cell>
          <cell r="F5624" t="str">
            <v>H22</v>
          </cell>
          <cell r="G5624">
            <v>1</v>
          </cell>
          <cell r="H5624" t="str">
            <v>PCR产物文库</v>
          </cell>
          <cell r="I5624" t="str">
            <v>YHT</v>
          </cell>
          <cell r="J5624">
            <v>21.8</v>
          </cell>
          <cell r="K5624">
            <v>244</v>
          </cell>
          <cell r="L5624" t="str">
            <v>YHT</v>
          </cell>
          <cell r="N5624">
            <v>137.45271122320301</v>
          </cell>
        </row>
        <row r="5625">
          <cell r="E5625" t="str">
            <v>HGC-Lib-2457450</v>
          </cell>
          <cell r="F5625" t="str">
            <v>H23</v>
          </cell>
          <cell r="G5625">
            <v>1</v>
          </cell>
          <cell r="H5625" t="str">
            <v>PCR产物文库</v>
          </cell>
          <cell r="I5625" t="str">
            <v>YHT</v>
          </cell>
          <cell r="J5625">
            <v>18.600000000000001</v>
          </cell>
          <cell r="K5625">
            <v>246</v>
          </cell>
          <cell r="L5625" t="str">
            <v>YHT</v>
          </cell>
          <cell r="N5625">
            <v>116.322701688555</v>
          </cell>
        </row>
        <row r="5626">
          <cell r="E5626" t="str">
            <v>HGC-Lib-2457451</v>
          </cell>
          <cell r="F5626" t="str">
            <v>H24</v>
          </cell>
          <cell r="G5626">
            <v>1</v>
          </cell>
          <cell r="H5626" t="str">
            <v>PCR产物文库</v>
          </cell>
          <cell r="I5626" t="str">
            <v>YHT</v>
          </cell>
          <cell r="J5626">
            <v>35.200000000000003</v>
          </cell>
          <cell r="K5626">
            <v>238</v>
          </cell>
          <cell r="L5626" t="str">
            <v>YHT</v>
          </cell>
          <cell r="N5626">
            <v>227.53716871363901</v>
          </cell>
        </row>
        <row r="5627">
          <cell r="E5627" t="str">
            <v>HGC-Lib-2457452</v>
          </cell>
          <cell r="F5627" t="str">
            <v>H25</v>
          </cell>
          <cell r="G5627">
            <v>4</v>
          </cell>
          <cell r="H5627" t="str">
            <v>PCR产物文库</v>
          </cell>
          <cell r="I5627" t="str">
            <v>YHT</v>
          </cell>
          <cell r="J5627">
            <v>20.6</v>
          </cell>
          <cell r="K5627">
            <v>283</v>
          </cell>
          <cell r="L5627" t="str">
            <v>YHT</v>
          </cell>
          <cell r="N5627">
            <v>111.986952976352</v>
          </cell>
        </row>
        <row r="5628">
          <cell r="E5628" t="str">
            <v>HGC-Lib-2457453</v>
          </cell>
          <cell r="F5628" t="str">
            <v>H26</v>
          </cell>
          <cell r="G5628">
            <v>4</v>
          </cell>
          <cell r="H5628" t="str">
            <v>PCR产物文库</v>
          </cell>
          <cell r="I5628" t="str">
            <v>YHT</v>
          </cell>
          <cell r="J5628">
            <v>38.799999999999997</v>
          </cell>
          <cell r="K5628">
            <v>303</v>
          </cell>
          <cell r="L5628" t="str">
            <v>YHT</v>
          </cell>
          <cell r="N5628">
            <v>197.00431581619699</v>
          </cell>
        </row>
        <row r="5629">
          <cell r="E5629" t="str">
            <v>HGC-Lib-2457454</v>
          </cell>
          <cell r="F5629" t="str">
            <v>H27</v>
          </cell>
          <cell r="G5629">
            <v>4</v>
          </cell>
          <cell r="H5629" t="str">
            <v>PCR产物文库</v>
          </cell>
          <cell r="I5629" t="str">
            <v>YHT</v>
          </cell>
          <cell r="J5629">
            <v>28.2</v>
          </cell>
          <cell r="K5629">
            <v>273</v>
          </cell>
          <cell r="L5629" t="str">
            <v>YHT</v>
          </cell>
          <cell r="N5629">
            <v>158.91800507185101</v>
          </cell>
        </row>
        <row r="5630">
          <cell r="E5630" t="str">
            <v>HGC-Lib-2457455</v>
          </cell>
          <cell r="F5630" t="str">
            <v>H28</v>
          </cell>
          <cell r="G5630">
            <v>4</v>
          </cell>
          <cell r="H5630" t="str">
            <v>PCR产物文库</v>
          </cell>
          <cell r="I5630" t="str">
            <v>YHT</v>
          </cell>
          <cell r="J5630">
            <v>32</v>
          </cell>
          <cell r="K5630">
            <v>264</v>
          </cell>
          <cell r="L5630" t="str">
            <v>YHT</v>
          </cell>
          <cell r="N5630">
            <v>186.48018648018601</v>
          </cell>
        </row>
        <row r="5631">
          <cell r="E5631" t="str">
            <v>HGC-Lib-2457456</v>
          </cell>
          <cell r="F5631" t="str">
            <v>N702-pH5.2-550pg</v>
          </cell>
          <cell r="G5631">
            <v>15</v>
          </cell>
          <cell r="H5631" t="str">
            <v>mRNA文库</v>
          </cell>
          <cell r="I5631" t="str">
            <v>YHT</v>
          </cell>
          <cell r="J5631">
            <v>1.34</v>
          </cell>
          <cell r="K5631">
            <v>670</v>
          </cell>
          <cell r="L5631" t="str">
            <v>XCL</v>
          </cell>
          <cell r="N5631">
            <v>3.0769230769230802</v>
          </cell>
        </row>
        <row r="5632">
          <cell r="E5632" t="str">
            <v>HGC-Lib-2457457</v>
          </cell>
          <cell r="F5632" t="str">
            <v>N703-pH7.4-550pg</v>
          </cell>
          <cell r="G5632">
            <v>15</v>
          </cell>
          <cell r="H5632" t="str">
            <v>mRNA文库</v>
          </cell>
          <cell r="I5632" t="str">
            <v>YHT</v>
          </cell>
          <cell r="J5632">
            <v>0.83</v>
          </cell>
          <cell r="K5632">
            <v>687</v>
          </cell>
          <cell r="L5632" t="str">
            <v>XCL</v>
          </cell>
          <cell r="N5632">
            <v>1.8586944351136501</v>
          </cell>
        </row>
        <row r="5633">
          <cell r="E5633" t="str">
            <v>HGC-Lib-2457458</v>
          </cell>
          <cell r="F5633" t="str">
            <v>N704-pH5.2-500pg</v>
          </cell>
          <cell r="G5633">
            <v>10</v>
          </cell>
          <cell r="H5633" t="str">
            <v>mRNA文库</v>
          </cell>
          <cell r="I5633" t="str">
            <v>YHT</v>
          </cell>
          <cell r="J5633">
            <v>0.65</v>
          </cell>
          <cell r="K5633">
            <v>643</v>
          </cell>
          <cell r="L5633" t="str">
            <v>XCL</v>
          </cell>
          <cell r="N5633">
            <v>1.5552099533437</v>
          </cell>
        </row>
        <row r="5634">
          <cell r="E5634" t="str">
            <v>HGC-Lib-2457459</v>
          </cell>
          <cell r="F5634" t="str">
            <v>N705-pH7.4-500pg</v>
          </cell>
          <cell r="G5634">
            <v>10</v>
          </cell>
          <cell r="H5634" t="str">
            <v>mRNA文库</v>
          </cell>
          <cell r="I5634" t="str">
            <v>YHT</v>
          </cell>
          <cell r="J5634">
            <v>0.55200000000000005</v>
          </cell>
          <cell r="K5634">
            <v>663</v>
          </cell>
          <cell r="L5634" t="str">
            <v>XCL</v>
          </cell>
          <cell r="N5634">
            <v>1.28089105464671</v>
          </cell>
        </row>
        <row r="5635">
          <cell r="E5635" t="str">
            <v>HGC-Lib-2457460</v>
          </cell>
          <cell r="F5635" t="str">
            <v>pbs-1</v>
          </cell>
          <cell r="G5635">
            <v>6</v>
          </cell>
          <cell r="H5635" t="str">
            <v>mRNA文库</v>
          </cell>
          <cell r="I5635" t="str">
            <v>YHT</v>
          </cell>
          <cell r="J5635">
            <v>37</v>
          </cell>
          <cell r="K5635">
            <v>367</v>
          </cell>
          <cell r="L5635" t="str">
            <v>YHT</v>
          </cell>
          <cell r="N5635">
            <v>155.10375183399699</v>
          </cell>
        </row>
        <row r="5636">
          <cell r="E5636" t="str">
            <v>HGC-Lib-2457461</v>
          </cell>
          <cell r="F5636" t="str">
            <v>pbs-2</v>
          </cell>
          <cell r="G5636">
            <v>6</v>
          </cell>
          <cell r="H5636" t="str">
            <v>mRNA文库</v>
          </cell>
          <cell r="I5636" t="str">
            <v>YHT</v>
          </cell>
          <cell r="J5636">
            <v>21</v>
          </cell>
          <cell r="K5636">
            <v>357</v>
          </cell>
          <cell r="L5636" t="str">
            <v>YHT</v>
          </cell>
          <cell r="N5636">
            <v>90.497737556561106</v>
          </cell>
        </row>
        <row r="5637">
          <cell r="E5637" t="str">
            <v>HGC-Lib-2457462</v>
          </cell>
          <cell r="F5637" t="str">
            <v>pff-2h-2</v>
          </cell>
          <cell r="G5637">
            <v>6</v>
          </cell>
          <cell r="H5637" t="str">
            <v>mRNA文库</v>
          </cell>
          <cell r="I5637" t="str">
            <v>YHT</v>
          </cell>
          <cell r="J5637">
            <v>33.200000000000003</v>
          </cell>
          <cell r="K5637">
            <v>418</v>
          </cell>
          <cell r="L5637" t="str">
            <v>YHT</v>
          </cell>
          <cell r="N5637">
            <v>122.193595877806</v>
          </cell>
        </row>
        <row r="5638">
          <cell r="E5638" t="str">
            <v>HGC-Lib-2457463</v>
          </cell>
          <cell r="F5638" t="str">
            <v>pff-4h-1</v>
          </cell>
          <cell r="G5638">
            <v>6</v>
          </cell>
          <cell r="H5638" t="str">
            <v>mRNA文库</v>
          </cell>
          <cell r="I5638" t="str">
            <v>YHT</v>
          </cell>
          <cell r="J5638">
            <v>29.4</v>
          </cell>
          <cell r="K5638">
            <v>404</v>
          </cell>
          <cell r="L5638" t="str">
            <v>YHT</v>
          </cell>
          <cell r="N5638">
            <v>111.957349581112</v>
          </cell>
        </row>
        <row r="5639">
          <cell r="E5639" t="str">
            <v>HGC-Lib-2457464</v>
          </cell>
          <cell r="F5639" t="str">
            <v>pff-4h-2</v>
          </cell>
          <cell r="G5639">
            <v>6</v>
          </cell>
          <cell r="H5639" t="str">
            <v>mRNA文库</v>
          </cell>
          <cell r="I5639" t="str">
            <v>YHT</v>
          </cell>
          <cell r="J5639">
            <v>23.6</v>
          </cell>
          <cell r="K5639">
            <v>364</v>
          </cell>
          <cell r="L5639" t="str">
            <v>YHT</v>
          </cell>
          <cell r="N5639">
            <v>99.746407438715096</v>
          </cell>
        </row>
        <row r="5640">
          <cell r="E5640" t="str">
            <v>HGC-Lib-2457465</v>
          </cell>
          <cell r="F5640" t="str">
            <v>Tilapia_Liver</v>
          </cell>
          <cell r="G5640">
            <v>10</v>
          </cell>
          <cell r="H5640" t="str">
            <v>ATAC-Seq文库</v>
          </cell>
          <cell r="I5640" t="str">
            <v>YHT</v>
          </cell>
          <cell r="J5640">
            <v>5.42</v>
          </cell>
          <cell r="K5640">
            <v>303</v>
          </cell>
          <cell r="L5640" t="str">
            <v>YHT</v>
          </cell>
          <cell r="N5640">
            <v>27.519675044427501</v>
          </cell>
        </row>
        <row r="5641">
          <cell r="E5641" t="str">
            <v>HGC-Lib-2457466</v>
          </cell>
          <cell r="F5641" t="str">
            <v>LI1</v>
          </cell>
          <cell r="G5641">
            <v>10</v>
          </cell>
          <cell r="H5641" t="str">
            <v>ATAC-Seq文库</v>
          </cell>
          <cell r="I5641" t="str">
            <v>YHT</v>
          </cell>
          <cell r="J5641">
            <v>8.82</v>
          </cell>
          <cell r="K5641">
            <v>261</v>
          </cell>
          <cell r="L5641" t="str">
            <v>YHT</v>
          </cell>
          <cell r="N5641">
            <v>51.989389920424401</v>
          </cell>
        </row>
        <row r="5642">
          <cell r="E5642" t="str">
            <v>HGC-Lib-2457467</v>
          </cell>
          <cell r="F5642" t="str">
            <v>GC1</v>
          </cell>
          <cell r="G5642">
            <v>10</v>
          </cell>
          <cell r="H5642" t="str">
            <v>ATAC-Seq文库</v>
          </cell>
          <cell r="I5642" t="str">
            <v>YHT</v>
          </cell>
          <cell r="J5642">
            <v>3.36</v>
          </cell>
          <cell r="K5642">
            <v>261</v>
          </cell>
          <cell r="L5642" t="str">
            <v>YHT</v>
          </cell>
          <cell r="N5642">
            <v>19.805481874447398</v>
          </cell>
        </row>
        <row r="5643">
          <cell r="E5643" t="str">
            <v>HGC-Lib-2457468</v>
          </cell>
          <cell r="F5643" t="str">
            <v>GC2</v>
          </cell>
          <cell r="G5643">
            <v>10</v>
          </cell>
          <cell r="H5643" t="str">
            <v>ATAC-Seq文库</v>
          </cell>
          <cell r="I5643" t="str">
            <v>YHT</v>
          </cell>
          <cell r="J5643">
            <v>3.78</v>
          </cell>
          <cell r="K5643">
            <v>264</v>
          </cell>
          <cell r="L5643" t="str">
            <v>YHT</v>
          </cell>
          <cell r="N5643">
            <v>22.027972027972002</v>
          </cell>
        </row>
        <row r="5644">
          <cell r="E5644" t="str">
            <v>HGC-Lib-2457492</v>
          </cell>
          <cell r="F5644" t="str">
            <v>RX-0712-KY</v>
          </cell>
          <cell r="G5644">
            <v>10</v>
          </cell>
          <cell r="H5644" t="str">
            <v>宏基因组文库</v>
          </cell>
          <cell r="I5644" t="str">
            <v>YHT</v>
          </cell>
          <cell r="J5644">
            <v>23.3</v>
          </cell>
          <cell r="K5644">
            <v>268</v>
          </cell>
          <cell r="L5644" t="str">
            <v>YHT</v>
          </cell>
          <cell r="N5644">
            <v>133.75430539609599</v>
          </cell>
        </row>
        <row r="5645">
          <cell r="E5645" t="str">
            <v>HGC-Lib-2457153</v>
          </cell>
          <cell r="F5645" t="str">
            <v>7-57</v>
          </cell>
          <cell r="G5645">
            <v>3</v>
          </cell>
          <cell r="H5645" t="str">
            <v>PCR产物文库</v>
          </cell>
          <cell r="I5645" t="str">
            <v>HZK</v>
          </cell>
          <cell r="J5645">
            <v>2.74</v>
          </cell>
          <cell r="K5645">
            <v>353</v>
          </cell>
          <cell r="N5645">
            <v>11.9415994770102</v>
          </cell>
        </row>
        <row r="5646">
          <cell r="E5646" t="str">
            <v>HGC-Lib-2457154</v>
          </cell>
          <cell r="F5646" t="str">
            <v>7-58</v>
          </cell>
          <cell r="G5646">
            <v>3</v>
          </cell>
          <cell r="H5646" t="str">
            <v>PCR产物文库</v>
          </cell>
          <cell r="I5646" t="str">
            <v>HZK</v>
          </cell>
          <cell r="J5646">
            <v>3.26</v>
          </cell>
          <cell r="K5646">
            <v>381</v>
          </cell>
          <cell r="N5646">
            <v>13.1637391479911</v>
          </cell>
        </row>
        <row r="5647">
          <cell r="E5647" t="str">
            <v>HGC-Lib-2457155</v>
          </cell>
          <cell r="F5647" t="str">
            <v>7-59</v>
          </cell>
          <cell r="G5647">
            <v>3</v>
          </cell>
          <cell r="H5647" t="str">
            <v>PCR产物文库</v>
          </cell>
          <cell r="I5647" t="str">
            <v>HZK</v>
          </cell>
          <cell r="J5647">
            <v>5.0199999999999996</v>
          </cell>
          <cell r="K5647">
            <v>732</v>
          </cell>
          <cell r="N5647">
            <v>10.550651534258099</v>
          </cell>
        </row>
        <row r="5648">
          <cell r="E5648" t="str">
            <v>HGC-Lib-2457156</v>
          </cell>
          <cell r="F5648" t="str">
            <v>25-57</v>
          </cell>
          <cell r="G5648">
            <v>3</v>
          </cell>
          <cell r="H5648" t="str">
            <v>PCR产物文库</v>
          </cell>
          <cell r="I5648" t="str">
            <v>HZK</v>
          </cell>
          <cell r="J5648">
            <v>3.48</v>
          </cell>
          <cell r="K5648">
            <v>493</v>
          </cell>
          <cell r="N5648">
            <v>10.859728506787301</v>
          </cell>
        </row>
        <row r="5649">
          <cell r="E5649" t="str">
            <v>HGC-Lib-2457157</v>
          </cell>
          <cell r="F5649" t="str">
            <v>25-58</v>
          </cell>
          <cell r="G5649">
            <v>3</v>
          </cell>
          <cell r="H5649" t="str">
            <v>PCR产物文库</v>
          </cell>
          <cell r="I5649" t="str">
            <v>HZK</v>
          </cell>
          <cell r="J5649">
            <v>2.86</v>
          </cell>
          <cell r="K5649">
            <v>431</v>
          </cell>
          <cell r="N5649">
            <v>10.2088167053364</v>
          </cell>
        </row>
        <row r="5650">
          <cell r="E5650" t="str">
            <v>HGC-Lib-2457158</v>
          </cell>
          <cell r="F5650" t="str">
            <v>25-59</v>
          </cell>
          <cell r="G5650">
            <v>3</v>
          </cell>
          <cell r="H5650" t="str">
            <v>PCR产物文库</v>
          </cell>
          <cell r="I5650" t="str">
            <v>HZK</v>
          </cell>
          <cell r="J5650">
            <v>3</v>
          </cell>
          <cell r="K5650">
            <v>363</v>
          </cell>
          <cell r="N5650">
            <v>12.714558169103601</v>
          </cell>
        </row>
        <row r="5651">
          <cell r="E5651" t="str">
            <v>HGC-Lib-2457159</v>
          </cell>
          <cell r="F5651" t="str">
            <v>10-31</v>
          </cell>
          <cell r="G5651">
            <v>3</v>
          </cell>
          <cell r="H5651" t="str">
            <v>PCR产物文库</v>
          </cell>
          <cell r="I5651" t="str">
            <v>HZK</v>
          </cell>
          <cell r="J5651">
            <v>4.2</v>
          </cell>
          <cell r="K5651">
            <v>373</v>
          </cell>
          <cell r="N5651">
            <v>17.323159414312201</v>
          </cell>
        </row>
        <row r="5652">
          <cell r="E5652" t="str">
            <v>HGC-Lib-2457160</v>
          </cell>
          <cell r="F5652" t="str">
            <v>10-32</v>
          </cell>
          <cell r="G5652">
            <v>3</v>
          </cell>
          <cell r="H5652" t="str">
            <v>PCR产物文库</v>
          </cell>
          <cell r="I5652" t="str">
            <v>HZK</v>
          </cell>
          <cell r="J5652">
            <v>7.48</v>
          </cell>
          <cell r="K5652">
            <v>480</v>
          </cell>
          <cell r="N5652">
            <v>23.974358974358999</v>
          </cell>
        </row>
        <row r="5653">
          <cell r="E5653" t="str">
            <v>HGC-Lib-2457161</v>
          </cell>
          <cell r="F5653" t="str">
            <v>10-33</v>
          </cell>
          <cell r="G5653">
            <v>3</v>
          </cell>
          <cell r="H5653" t="str">
            <v>PCR产物文库</v>
          </cell>
          <cell r="I5653" t="str">
            <v>HZK</v>
          </cell>
          <cell r="J5653">
            <v>4.34</v>
          </cell>
          <cell r="K5653">
            <v>418</v>
          </cell>
          <cell r="N5653">
            <v>15.9735001840265</v>
          </cell>
        </row>
        <row r="5654">
          <cell r="E5654" t="str">
            <v>HGC-Lib-2457162</v>
          </cell>
          <cell r="F5654" t="str">
            <v>12-31</v>
          </cell>
          <cell r="G5654">
            <v>3</v>
          </cell>
          <cell r="H5654" t="str">
            <v>PCR产物文库</v>
          </cell>
          <cell r="I5654" t="str">
            <v>HZK</v>
          </cell>
          <cell r="J5654">
            <v>5.5</v>
          </cell>
          <cell r="K5654">
            <v>589</v>
          </cell>
          <cell r="N5654">
            <v>14.3659396630534</v>
          </cell>
        </row>
        <row r="5655">
          <cell r="E5655" t="str">
            <v>HGC-Lib-2457163</v>
          </cell>
          <cell r="F5655" t="str">
            <v>12-32</v>
          </cell>
          <cell r="G5655">
            <v>3</v>
          </cell>
          <cell r="H5655" t="str">
            <v>PCR产物文库</v>
          </cell>
          <cell r="I5655" t="str">
            <v>HZK</v>
          </cell>
          <cell r="J5655">
            <v>3.34</v>
          </cell>
          <cell r="K5655">
            <v>379</v>
          </cell>
          <cell r="N5655">
            <v>13.5579460117719</v>
          </cell>
        </row>
        <row r="5656">
          <cell r="E5656" t="str">
            <v>HGC-Lib-2457164</v>
          </cell>
          <cell r="F5656" t="str">
            <v>12-33</v>
          </cell>
          <cell r="G5656">
            <v>3</v>
          </cell>
          <cell r="H5656" t="str">
            <v>PCR产物文库</v>
          </cell>
          <cell r="I5656" t="str">
            <v>HZK</v>
          </cell>
          <cell r="J5656">
            <v>6.62</v>
          </cell>
          <cell r="K5656">
            <v>573</v>
          </cell>
          <cell r="N5656">
            <v>17.774197878909899</v>
          </cell>
        </row>
        <row r="5657">
          <cell r="E5657" t="str">
            <v>HGC-Lib-2457486</v>
          </cell>
          <cell r="F5657" t="str">
            <v>L240612137</v>
          </cell>
          <cell r="G5657">
            <v>75</v>
          </cell>
          <cell r="H5657" t="str">
            <v>10X空转文库</v>
          </cell>
          <cell r="I5657" t="str">
            <v>HZK</v>
          </cell>
          <cell r="J5657">
            <v>24.6</v>
          </cell>
          <cell r="N5657" t="e">
            <v>#DIV/0!</v>
          </cell>
        </row>
        <row r="5658">
          <cell r="E5658" t="str">
            <v>HGC-Lib-2457487</v>
          </cell>
          <cell r="F5658" t="str">
            <v>L240612138</v>
          </cell>
          <cell r="G5658">
            <v>75</v>
          </cell>
          <cell r="H5658" t="str">
            <v>10X空转文库</v>
          </cell>
          <cell r="I5658" t="str">
            <v>HZK</v>
          </cell>
          <cell r="J5658">
            <v>28.4</v>
          </cell>
          <cell r="N5658" t="e">
            <v>#DIV/0!</v>
          </cell>
        </row>
        <row r="5659">
          <cell r="E5659" t="str">
            <v>HGC-POOL-2457488</v>
          </cell>
          <cell r="F5659" t="str">
            <v>2024-0718-L1</v>
          </cell>
          <cell r="G5659">
            <v>24</v>
          </cell>
          <cell r="H5659" t="str">
            <v>PCR产物文库</v>
          </cell>
          <cell r="I5659" t="str">
            <v>HZK</v>
          </cell>
          <cell r="J5659">
            <v>59.2</v>
          </cell>
          <cell r="K5659">
            <v>500</v>
          </cell>
          <cell r="N5659">
            <v>182.15384615384599</v>
          </cell>
        </row>
        <row r="5660">
          <cell r="E5660" t="str">
            <v>HGC-POOL-2457489</v>
          </cell>
          <cell r="F5660" t="str">
            <v>2024-0718-L2</v>
          </cell>
          <cell r="G5660">
            <v>24</v>
          </cell>
          <cell r="H5660" t="str">
            <v>PCR产物文库</v>
          </cell>
          <cell r="I5660" t="str">
            <v>HZK</v>
          </cell>
          <cell r="J5660">
            <v>40</v>
          </cell>
          <cell r="K5660">
            <v>464</v>
          </cell>
          <cell r="N5660">
            <v>132.62599469496001</v>
          </cell>
        </row>
        <row r="5661">
          <cell r="E5661" t="str">
            <v>HGC-POOL-2457490</v>
          </cell>
          <cell r="F5661" t="str">
            <v>2024-0718-L3</v>
          </cell>
          <cell r="G5661">
            <v>24</v>
          </cell>
          <cell r="H5661" t="str">
            <v>PCR产物文库</v>
          </cell>
          <cell r="I5661" t="str">
            <v>HZK</v>
          </cell>
          <cell r="J5661">
            <v>31.2</v>
          </cell>
          <cell r="K5661">
            <v>501</v>
          </cell>
          <cell r="N5661">
            <v>95.808383233532894</v>
          </cell>
        </row>
        <row r="5662">
          <cell r="E5662" t="str">
            <v>HGC-POOL-2457491</v>
          </cell>
          <cell r="F5662" t="str">
            <v>2024-0718-L4</v>
          </cell>
          <cell r="G5662">
            <v>24</v>
          </cell>
          <cell r="H5662" t="str">
            <v>PCR产物文库</v>
          </cell>
          <cell r="I5662" t="str">
            <v>HZK</v>
          </cell>
          <cell r="J5662">
            <v>42.6</v>
          </cell>
          <cell r="K5662">
            <v>485</v>
          </cell>
          <cell r="N5662">
            <v>135.13084853290999</v>
          </cell>
        </row>
        <row r="5663">
          <cell r="E5663" t="str">
            <v>HGC-Lib-2457500</v>
          </cell>
          <cell r="F5663" t="str">
            <v>y0719-R1</v>
          </cell>
          <cell r="G5663">
            <v>2</v>
          </cell>
          <cell r="H5663" t="str">
            <v>多重PCR产物文库</v>
          </cell>
          <cell r="I5663" t="str">
            <v>HZK</v>
          </cell>
          <cell r="J5663">
            <v>29</v>
          </cell>
          <cell r="K5663">
            <v>481</v>
          </cell>
          <cell r="N5663">
            <v>92.755477370861996</v>
          </cell>
        </row>
        <row r="5664">
          <cell r="E5664" t="str">
            <v>HGC-Lib-2457501</v>
          </cell>
          <cell r="F5664" t="str">
            <v>y0719-R2</v>
          </cell>
          <cell r="G5664">
            <v>2</v>
          </cell>
          <cell r="H5664" t="str">
            <v>多重PCR产物文库</v>
          </cell>
          <cell r="I5664" t="str">
            <v>HZK</v>
          </cell>
          <cell r="J5664">
            <v>48.6</v>
          </cell>
          <cell r="K5664">
            <v>502</v>
          </cell>
          <cell r="N5664">
            <v>148.94269077536001</v>
          </cell>
        </row>
        <row r="5665">
          <cell r="E5665" t="str">
            <v>HGC-Lib-2457502</v>
          </cell>
          <cell r="F5665" t="str">
            <v>y0719-R3</v>
          </cell>
          <cell r="G5665">
            <v>2</v>
          </cell>
          <cell r="H5665" t="str">
            <v>多重PCR产物文库</v>
          </cell>
          <cell r="I5665" t="str">
            <v>HZK</v>
          </cell>
          <cell r="J5665">
            <v>52.8</v>
          </cell>
          <cell r="K5665">
            <v>605</v>
          </cell>
          <cell r="N5665">
            <v>134.26573426573401</v>
          </cell>
        </row>
        <row r="5666">
          <cell r="E5666" t="str">
            <v>HGC-Lib-2457503</v>
          </cell>
          <cell r="F5666" t="str">
            <v>y0719-R4</v>
          </cell>
          <cell r="G5666">
            <v>2</v>
          </cell>
          <cell r="H5666" t="str">
            <v>多重PCR产物文库</v>
          </cell>
          <cell r="I5666" t="str">
            <v>HZK</v>
          </cell>
          <cell r="J5666">
            <v>44.4</v>
          </cell>
          <cell r="K5666">
            <v>505</v>
          </cell>
          <cell r="N5666">
            <v>135.262757044935</v>
          </cell>
        </row>
        <row r="5667">
          <cell r="E5667" t="str">
            <v>HGC-Lib-2457504</v>
          </cell>
          <cell r="F5667" t="str">
            <v>y0719-R5</v>
          </cell>
          <cell r="G5667">
            <v>2</v>
          </cell>
          <cell r="H5667" t="str">
            <v>多重PCR产物文库</v>
          </cell>
          <cell r="I5667" t="str">
            <v>HZK</v>
          </cell>
          <cell r="J5667">
            <v>53.8</v>
          </cell>
          <cell r="K5667">
            <v>488</v>
          </cell>
          <cell r="N5667">
            <v>169.609079445145</v>
          </cell>
        </row>
        <row r="5668">
          <cell r="E5668" t="str">
            <v>HGC-Lib-2457664</v>
          </cell>
          <cell r="F5668" t="str">
            <v>WK0721-1</v>
          </cell>
          <cell r="G5668">
            <v>20</v>
          </cell>
          <cell r="H5668" t="str">
            <v>WES/panel捕获文库</v>
          </cell>
          <cell r="I5668" t="str">
            <v>HZK</v>
          </cell>
          <cell r="J5668">
            <v>1.41</v>
          </cell>
          <cell r="K5668">
            <v>426</v>
          </cell>
          <cell r="N5668">
            <v>5.0920910075839698</v>
          </cell>
        </row>
        <row r="5669">
          <cell r="E5669" t="str">
            <v>HGC-Lib-2457757</v>
          </cell>
          <cell r="F5669" t="str">
            <v>ATAC-V-240719</v>
          </cell>
          <cell r="G5669">
            <v>10</v>
          </cell>
          <cell r="H5669" t="str">
            <v>10× 3'单细胞</v>
          </cell>
          <cell r="I5669" t="str">
            <v>HZK</v>
          </cell>
          <cell r="J5669">
            <v>33.200000000000003</v>
          </cell>
          <cell r="K5669">
            <v>415</v>
          </cell>
          <cell r="N5669">
            <v>123.07692307692299</v>
          </cell>
        </row>
        <row r="5670">
          <cell r="E5670" t="str">
            <v>HGC-Lib-2457758</v>
          </cell>
          <cell r="F5670" t="str">
            <v>ATAC-A-240719</v>
          </cell>
          <cell r="G5670">
            <v>10</v>
          </cell>
          <cell r="H5670" t="str">
            <v>10× 3'单细胞</v>
          </cell>
          <cell r="I5670" t="str">
            <v>HZK</v>
          </cell>
          <cell r="J5670">
            <v>5.76</v>
          </cell>
          <cell r="K5670">
            <v>384</v>
          </cell>
          <cell r="N5670">
            <v>23.076923076923102</v>
          </cell>
        </row>
        <row r="5671">
          <cell r="E5671" t="str">
            <v>HGC-POOL-2457759</v>
          </cell>
          <cell r="F5671" t="str">
            <v>ABA-36h</v>
          </cell>
          <cell r="G5671">
            <v>45</v>
          </cell>
          <cell r="H5671" t="str">
            <v>mRNA文库</v>
          </cell>
          <cell r="I5671" t="str">
            <v>HZK</v>
          </cell>
          <cell r="J5671">
            <v>8.7799999999999994</v>
          </cell>
          <cell r="K5671">
            <v>298</v>
          </cell>
          <cell r="N5671">
            <v>45.327826535880199</v>
          </cell>
        </row>
        <row r="5672">
          <cell r="E5672" t="str">
            <v>HGC-POOL-2457760</v>
          </cell>
          <cell r="F5672" t="str">
            <v>LQT_cut_tag_240719</v>
          </cell>
          <cell r="G5672">
            <v>40</v>
          </cell>
          <cell r="H5672" t="str">
            <v>cut&amp;tag文库</v>
          </cell>
          <cell r="I5672" t="str">
            <v>HZK</v>
          </cell>
          <cell r="J5672">
            <v>22.8</v>
          </cell>
          <cell r="K5672">
            <v>440</v>
          </cell>
          <cell r="N5672">
            <v>79.720279720279706</v>
          </cell>
        </row>
        <row r="5673">
          <cell r="E5673" t="str">
            <v>HGC-Lib-2457770</v>
          </cell>
          <cell r="F5673">
            <v>1</v>
          </cell>
          <cell r="G5673">
            <v>6</v>
          </cell>
          <cell r="H5673" t="str">
            <v>cut&amp;tag文库</v>
          </cell>
          <cell r="I5673" t="str">
            <v>HZK</v>
          </cell>
          <cell r="J5673">
            <v>0.876</v>
          </cell>
          <cell r="K5673">
            <v>372</v>
          </cell>
          <cell r="N5673">
            <v>3.6228287841191098</v>
          </cell>
        </row>
        <row r="5674">
          <cell r="E5674" t="str">
            <v>HGC-Lib-2457771</v>
          </cell>
          <cell r="F5674">
            <v>2</v>
          </cell>
          <cell r="G5674">
            <v>6</v>
          </cell>
          <cell r="H5674" t="str">
            <v>cut&amp;tag文库</v>
          </cell>
          <cell r="I5674" t="str">
            <v>HZK</v>
          </cell>
          <cell r="J5674">
            <v>0.89800000000000002</v>
          </cell>
          <cell r="K5674">
            <v>399</v>
          </cell>
          <cell r="N5674">
            <v>3.4625024098708299</v>
          </cell>
        </row>
        <row r="5675">
          <cell r="E5675" t="str">
            <v>HGC-Lib-2457780</v>
          </cell>
          <cell r="F5675" t="str">
            <v>MDA-MB-231</v>
          </cell>
          <cell r="G5675">
            <v>1</v>
          </cell>
          <cell r="H5675" t="str">
            <v>PCR产物文库</v>
          </cell>
          <cell r="I5675" t="str">
            <v>HZK</v>
          </cell>
          <cell r="J5675">
            <v>10.8</v>
          </cell>
          <cell r="K5675">
            <v>272</v>
          </cell>
          <cell r="N5675">
            <v>61.085972850678701</v>
          </cell>
        </row>
        <row r="5676">
          <cell r="E5676" t="str">
            <v>HGC-Lib-2457781</v>
          </cell>
          <cell r="F5676" t="str">
            <v>4T1</v>
          </cell>
          <cell r="G5676">
            <v>1</v>
          </cell>
          <cell r="H5676" t="str">
            <v>PCR产物文库</v>
          </cell>
          <cell r="I5676" t="str">
            <v>HZK</v>
          </cell>
          <cell r="J5676">
            <v>27.4</v>
          </cell>
          <cell r="K5676">
            <v>303</v>
          </cell>
          <cell r="N5676">
            <v>139.121604468139</v>
          </cell>
        </row>
        <row r="5677">
          <cell r="E5677" t="str">
            <v>HGC-Lib-2457786</v>
          </cell>
          <cell r="F5677" t="str">
            <v>LMPP6</v>
          </cell>
          <cell r="G5677">
            <v>6</v>
          </cell>
          <cell r="H5677" t="str">
            <v>mRNA文库</v>
          </cell>
          <cell r="I5677" t="str">
            <v>HZK</v>
          </cell>
          <cell r="J5677">
            <v>2.64</v>
          </cell>
          <cell r="K5677">
            <v>416</v>
          </cell>
          <cell r="N5677">
            <v>9.7633136094674597</v>
          </cell>
        </row>
        <row r="5678">
          <cell r="E5678" t="str">
            <v>HGC-Lib-2457787</v>
          </cell>
          <cell r="F5678" t="str">
            <v>LMPP11</v>
          </cell>
          <cell r="G5678">
            <v>6</v>
          </cell>
          <cell r="H5678" t="str">
            <v>mRNA文库</v>
          </cell>
          <cell r="I5678" t="str">
            <v>HZK</v>
          </cell>
          <cell r="J5678">
            <v>6.54</v>
          </cell>
          <cell r="K5678">
            <v>368</v>
          </cell>
          <cell r="N5678">
            <v>27.341137123745799</v>
          </cell>
        </row>
        <row r="5679">
          <cell r="E5679" t="str">
            <v>HGC-Lib-2457788</v>
          </cell>
          <cell r="F5679" t="str">
            <v>LMPP13</v>
          </cell>
          <cell r="G5679">
            <v>6</v>
          </cell>
          <cell r="H5679" t="str">
            <v>mRNA文库</v>
          </cell>
          <cell r="I5679" t="str">
            <v>HZK</v>
          </cell>
          <cell r="J5679">
            <v>10.7</v>
          </cell>
          <cell r="K5679">
            <v>372</v>
          </cell>
          <cell r="N5679">
            <v>44.251447477253897</v>
          </cell>
        </row>
        <row r="5680">
          <cell r="E5680" t="str">
            <v>HGC-Lib-2457789</v>
          </cell>
          <cell r="F5680" t="str">
            <v>CLP1</v>
          </cell>
          <cell r="G5680">
            <v>6</v>
          </cell>
          <cell r="H5680" t="str">
            <v>mRNA文库</v>
          </cell>
          <cell r="I5680" t="str">
            <v>HZK</v>
          </cell>
          <cell r="J5680">
            <v>23.8</v>
          </cell>
          <cell r="K5680">
            <v>356</v>
          </cell>
          <cell r="N5680">
            <v>102.852203975799</v>
          </cell>
        </row>
        <row r="5681">
          <cell r="E5681" t="str">
            <v>HGC-Lib-2457790</v>
          </cell>
          <cell r="F5681" t="str">
            <v>CLP5</v>
          </cell>
          <cell r="G5681">
            <v>6</v>
          </cell>
          <cell r="H5681" t="str">
            <v>mRNA文库</v>
          </cell>
          <cell r="I5681" t="str">
            <v>HZK</v>
          </cell>
          <cell r="J5681">
            <v>13.1</v>
          </cell>
          <cell r="K5681">
            <v>384</v>
          </cell>
          <cell r="N5681">
            <v>52.4839743589744</v>
          </cell>
        </row>
        <row r="5682">
          <cell r="E5682" t="str">
            <v>HGC-Lib-2457791</v>
          </cell>
          <cell r="F5682" t="str">
            <v>CLP6</v>
          </cell>
          <cell r="G5682">
            <v>6</v>
          </cell>
          <cell r="H5682" t="str">
            <v>mRNA文库</v>
          </cell>
          <cell r="I5682" t="str">
            <v>HZK</v>
          </cell>
          <cell r="J5682">
            <v>11.2</v>
          </cell>
          <cell r="K5682">
            <v>381</v>
          </cell>
          <cell r="N5682">
            <v>45.225116091257803</v>
          </cell>
        </row>
        <row r="5683">
          <cell r="E5683" t="str">
            <v>HGC-Lib-2457792</v>
          </cell>
          <cell r="F5683" t="str">
            <v>CLP11</v>
          </cell>
          <cell r="G5683">
            <v>6</v>
          </cell>
          <cell r="H5683" t="str">
            <v>mRNA文库</v>
          </cell>
          <cell r="I5683" t="str">
            <v>HZK</v>
          </cell>
          <cell r="J5683">
            <v>16.7</v>
          </cell>
          <cell r="N5683" t="e">
            <v>#DIV/0!</v>
          </cell>
        </row>
        <row r="5684">
          <cell r="E5684" t="str">
            <v>HGC-POOL-2457799</v>
          </cell>
          <cell r="F5684" t="str">
            <v>FAS07</v>
          </cell>
          <cell r="G5684">
            <v>90</v>
          </cell>
          <cell r="H5684" t="str">
            <v>10× 3'单细胞</v>
          </cell>
          <cell r="I5684" t="str">
            <v>HZK</v>
          </cell>
          <cell r="J5684">
            <v>2.06</v>
          </cell>
          <cell r="K5684">
            <v>388</v>
          </cell>
          <cell r="N5684">
            <v>8.1681205392545593</v>
          </cell>
        </row>
        <row r="5685">
          <cell r="E5685" t="str">
            <v>HGC-Lib-2457800</v>
          </cell>
          <cell r="F5685" t="str">
            <v>PMLPMFTBC240702027X1</v>
          </cell>
          <cell r="G5685">
            <v>12</v>
          </cell>
          <cell r="H5685" t="str">
            <v>其他碱基不平衡文库</v>
          </cell>
          <cell r="I5685" t="str">
            <v>HZK</v>
          </cell>
          <cell r="J5685">
            <v>34</v>
          </cell>
          <cell r="N5685" t="e">
            <v>#DIV/0!</v>
          </cell>
        </row>
        <row r="5686">
          <cell r="E5686" t="str">
            <v>HGC-Lib-2457801</v>
          </cell>
          <cell r="F5686" t="str">
            <v>PMLPMC240718005</v>
          </cell>
          <cell r="G5686">
            <v>12</v>
          </cell>
          <cell r="H5686" t="str">
            <v>其他碱基不平衡文库</v>
          </cell>
          <cell r="I5686" t="str">
            <v>HZK</v>
          </cell>
          <cell r="J5686">
            <v>7.26</v>
          </cell>
          <cell r="N5686" t="e">
            <v>#DIV/0!</v>
          </cell>
        </row>
        <row r="5687">
          <cell r="E5687" t="str">
            <v>HGC-Lib-2457802</v>
          </cell>
          <cell r="F5687" t="str">
            <v>LA240716050</v>
          </cell>
          <cell r="G5687">
            <v>30</v>
          </cell>
          <cell r="H5687" t="str">
            <v>singleron-3'转录组文库</v>
          </cell>
          <cell r="I5687" t="str">
            <v>HZK</v>
          </cell>
          <cell r="J5687">
            <v>16.100000000000001</v>
          </cell>
          <cell r="N5687" t="e">
            <v>#DIV/0!</v>
          </cell>
        </row>
        <row r="5688">
          <cell r="E5688" t="str">
            <v>HGC-Lib-2457803</v>
          </cell>
          <cell r="F5688" t="str">
            <v>LC240716043</v>
          </cell>
          <cell r="G5688">
            <v>30</v>
          </cell>
          <cell r="H5688" t="str">
            <v>singleron-3'转录组文库</v>
          </cell>
          <cell r="I5688" t="str">
            <v>HZK</v>
          </cell>
          <cell r="J5688">
            <v>17.8</v>
          </cell>
          <cell r="N5688" t="e">
            <v>#DIV/0!</v>
          </cell>
        </row>
        <row r="5689">
          <cell r="E5689" t="str">
            <v>HGC-Lib-2457804</v>
          </cell>
          <cell r="F5689" t="str">
            <v>LA240717013</v>
          </cell>
          <cell r="G5689">
            <v>120</v>
          </cell>
          <cell r="H5689" t="str">
            <v>singleron-3'转录组文库</v>
          </cell>
          <cell r="I5689" t="str">
            <v>HZK</v>
          </cell>
          <cell r="J5689">
            <v>16.899999999999999</v>
          </cell>
          <cell r="N5689" t="e">
            <v>#DIV/0!</v>
          </cell>
        </row>
        <row r="5690">
          <cell r="E5690" t="str">
            <v>HGC-Lib-2457805</v>
          </cell>
          <cell r="F5690" t="str">
            <v>LA240717014</v>
          </cell>
          <cell r="G5690">
            <v>120</v>
          </cell>
          <cell r="H5690" t="str">
            <v>singleron-3'转录组文库</v>
          </cell>
          <cell r="I5690" t="str">
            <v>HZK</v>
          </cell>
          <cell r="J5690">
            <v>22.6</v>
          </cell>
          <cell r="N5690" t="e">
            <v>#DIV/0!</v>
          </cell>
        </row>
        <row r="5691">
          <cell r="E5691" t="str">
            <v>HGC-Lib-2457806</v>
          </cell>
          <cell r="F5691" t="str">
            <v>LA240717015</v>
          </cell>
          <cell r="G5691">
            <v>120</v>
          </cell>
          <cell r="H5691" t="str">
            <v>singleron-3'转录组文库</v>
          </cell>
          <cell r="I5691" t="str">
            <v>HZK</v>
          </cell>
          <cell r="J5691">
            <v>19.7</v>
          </cell>
          <cell r="N5691" t="e">
            <v>#DIV/0!</v>
          </cell>
        </row>
        <row r="5692">
          <cell r="E5692" t="str">
            <v>HGC-Lib-2457807</v>
          </cell>
          <cell r="F5692" t="str">
            <v>LA240717016</v>
          </cell>
          <cell r="G5692">
            <v>120</v>
          </cell>
          <cell r="H5692" t="str">
            <v>singleron-3'转录组文库</v>
          </cell>
          <cell r="I5692" t="str">
            <v>HZK</v>
          </cell>
          <cell r="J5692">
            <v>16.2</v>
          </cell>
          <cell r="N5692" t="e">
            <v>#DIV/0!</v>
          </cell>
        </row>
        <row r="5693">
          <cell r="E5693" t="str">
            <v>HGC-Lib-2457808</v>
          </cell>
          <cell r="F5693" t="str">
            <v>LA240717017</v>
          </cell>
          <cell r="G5693">
            <v>120</v>
          </cell>
          <cell r="H5693" t="str">
            <v>singleron-3'转录组文库</v>
          </cell>
          <cell r="I5693" t="str">
            <v>DY</v>
          </cell>
          <cell r="J5693">
            <v>17.5</v>
          </cell>
          <cell r="N5693" t="e">
            <v>#DIV/0!</v>
          </cell>
        </row>
        <row r="5694">
          <cell r="E5694" t="str">
            <v>HGC-Lib-2457809</v>
          </cell>
          <cell r="F5694" t="str">
            <v>LA240717018</v>
          </cell>
          <cell r="G5694">
            <v>120</v>
          </cell>
          <cell r="H5694" t="str">
            <v>singleron-3'转录组文库</v>
          </cell>
          <cell r="I5694" t="str">
            <v>DY</v>
          </cell>
          <cell r="J5694">
            <v>15</v>
          </cell>
          <cell r="N5694" t="e">
            <v>#DIV/0!</v>
          </cell>
        </row>
        <row r="5695">
          <cell r="E5695" t="str">
            <v>HGC-Lib-2457810</v>
          </cell>
          <cell r="F5695" t="str">
            <v>LA240717035</v>
          </cell>
          <cell r="G5695">
            <v>120</v>
          </cell>
          <cell r="H5695" t="str">
            <v>singleron-3'转录组文库</v>
          </cell>
          <cell r="I5695" t="str">
            <v>DY</v>
          </cell>
          <cell r="J5695">
            <v>18.899999999999999</v>
          </cell>
          <cell r="N5695" t="e">
            <v>#DIV/0!</v>
          </cell>
        </row>
        <row r="5696">
          <cell r="E5696" t="str">
            <v>HGC-Lib-2457811</v>
          </cell>
          <cell r="F5696" t="str">
            <v>LA240717036</v>
          </cell>
          <cell r="G5696">
            <v>120</v>
          </cell>
          <cell r="H5696" t="str">
            <v>singleron-3'转录组文库</v>
          </cell>
          <cell r="I5696" t="str">
            <v>DY</v>
          </cell>
          <cell r="J5696">
            <v>18</v>
          </cell>
          <cell r="N5696" t="e">
            <v>#DIV/0!</v>
          </cell>
        </row>
        <row r="5697">
          <cell r="E5697" t="str">
            <v>HGC-Lib-2457812</v>
          </cell>
          <cell r="F5697" t="str">
            <v>LHC240718002</v>
          </cell>
          <cell r="G5697">
            <v>200</v>
          </cell>
          <cell r="H5697" t="str">
            <v>singleron-3'转录组文库</v>
          </cell>
          <cell r="I5697" t="str">
            <v>DY</v>
          </cell>
          <cell r="J5697">
            <v>21.8</v>
          </cell>
          <cell r="N5697" t="e">
            <v>#DIV/0!</v>
          </cell>
        </row>
        <row r="5698">
          <cell r="E5698" t="str">
            <v>HGC-Lib-2457813</v>
          </cell>
          <cell r="F5698" t="str">
            <v>LFTBA240718023</v>
          </cell>
          <cell r="G5698">
            <v>120</v>
          </cell>
          <cell r="H5698" t="str">
            <v>singleron-3'全长转录组文库</v>
          </cell>
          <cell r="I5698" t="str">
            <v>DY</v>
          </cell>
          <cell r="J5698">
            <v>16.399999999999999</v>
          </cell>
          <cell r="N5698" t="e">
            <v>#DIV/0!</v>
          </cell>
        </row>
        <row r="5699">
          <cell r="E5699" t="str">
            <v>HGC-Lib-2457814</v>
          </cell>
          <cell r="F5699" t="str">
            <v>LA240718006</v>
          </cell>
          <cell r="G5699">
            <v>120</v>
          </cell>
          <cell r="H5699" t="str">
            <v>singleron-3'转录组文库</v>
          </cell>
          <cell r="I5699" t="str">
            <v>DY</v>
          </cell>
          <cell r="J5699">
            <v>15.9</v>
          </cell>
          <cell r="N5699" t="e">
            <v>#DIV/0!</v>
          </cell>
        </row>
        <row r="5700">
          <cell r="E5700" t="str">
            <v>HGC-Lib-2457815</v>
          </cell>
          <cell r="F5700" t="str">
            <v>LA240718007</v>
          </cell>
          <cell r="G5700">
            <v>120</v>
          </cell>
          <cell r="H5700" t="str">
            <v>singleron-3'转录组文库</v>
          </cell>
          <cell r="I5700" t="str">
            <v>DY</v>
          </cell>
          <cell r="J5700">
            <v>18.600000000000001</v>
          </cell>
          <cell r="N5700" t="e">
            <v>#DIV/0!</v>
          </cell>
        </row>
        <row r="5701">
          <cell r="E5701" t="str">
            <v>HGC-Lib-2457816</v>
          </cell>
          <cell r="F5701" t="str">
            <v>LA240718008</v>
          </cell>
          <cell r="G5701">
            <v>120</v>
          </cell>
          <cell r="H5701" t="str">
            <v>singleron-3'转录组文库</v>
          </cell>
          <cell r="I5701" t="str">
            <v>DY</v>
          </cell>
          <cell r="J5701">
            <v>12.6</v>
          </cell>
          <cell r="N5701" t="e">
            <v>#DIV/0!</v>
          </cell>
        </row>
        <row r="5702">
          <cell r="E5702" t="str">
            <v>HGC-Lib-2457817</v>
          </cell>
          <cell r="F5702" t="str">
            <v>LPMC240718005</v>
          </cell>
          <cell r="G5702">
            <v>80</v>
          </cell>
          <cell r="H5702" t="str">
            <v>singleron-3'转录组文库</v>
          </cell>
          <cell r="I5702" t="str">
            <v>DY</v>
          </cell>
          <cell r="J5702">
            <v>24.4</v>
          </cell>
          <cell r="N5702" t="e">
            <v>#DIV/0!</v>
          </cell>
        </row>
        <row r="5703">
          <cell r="E5703" t="str">
            <v>HGC-Lib-2457818</v>
          </cell>
          <cell r="F5703" t="str">
            <v>LA240711048</v>
          </cell>
          <cell r="G5703">
            <v>100</v>
          </cell>
          <cell r="H5703" t="str">
            <v>singleron-3'转录组文库</v>
          </cell>
          <cell r="I5703" t="str">
            <v>DY</v>
          </cell>
          <cell r="J5703">
            <v>7.16</v>
          </cell>
          <cell r="N5703" t="e">
            <v>#DIV/0!</v>
          </cell>
        </row>
        <row r="5704">
          <cell r="E5704" t="str">
            <v>HGC-Lib-2457819</v>
          </cell>
          <cell r="F5704" t="str">
            <v>LFTBC240716086</v>
          </cell>
          <cell r="G5704">
            <v>100</v>
          </cell>
          <cell r="H5704" t="str">
            <v>singleron-3'全长转录组文库</v>
          </cell>
          <cell r="I5704" t="str">
            <v>DY</v>
          </cell>
          <cell r="J5704">
            <v>9.7200000000000006</v>
          </cell>
          <cell r="N5704" t="e">
            <v>#DIV/0!</v>
          </cell>
        </row>
        <row r="5705">
          <cell r="E5705" t="str">
            <v>HGC-Lib-2457821</v>
          </cell>
          <cell r="F5705" t="str">
            <v>LC240716001</v>
          </cell>
          <cell r="G5705">
            <v>120</v>
          </cell>
          <cell r="H5705" t="str">
            <v>singleron-3'转录组文库</v>
          </cell>
          <cell r="I5705" t="str">
            <v>DY</v>
          </cell>
          <cell r="J5705">
            <v>10.6</v>
          </cell>
          <cell r="N5705" t="e">
            <v>#DIV/0!</v>
          </cell>
        </row>
        <row r="5706">
          <cell r="E5706" t="str">
            <v>HGC-Lib-2457822</v>
          </cell>
          <cell r="F5706" t="str">
            <v>LC240716108</v>
          </cell>
          <cell r="G5706">
            <v>100</v>
          </cell>
          <cell r="H5706" t="str">
            <v>singleron-3'转录组文库</v>
          </cell>
          <cell r="I5706" t="str">
            <v>DY</v>
          </cell>
          <cell r="J5706">
            <v>10.1</v>
          </cell>
          <cell r="N5706" t="e">
            <v>#DIV/0!</v>
          </cell>
        </row>
        <row r="5707">
          <cell r="E5707" t="str">
            <v>HGC-Lib-2457823</v>
          </cell>
          <cell r="F5707" t="str">
            <v>LC240716109</v>
          </cell>
          <cell r="G5707">
            <v>100</v>
          </cell>
          <cell r="H5707" t="str">
            <v>singleron-3'转录组文库</v>
          </cell>
          <cell r="I5707" t="str">
            <v>DY</v>
          </cell>
          <cell r="J5707">
            <v>8.16</v>
          </cell>
          <cell r="N5707" t="e">
            <v>#DIV/0!</v>
          </cell>
        </row>
        <row r="5708">
          <cell r="E5708" t="str">
            <v>HGC-Lib-2457824</v>
          </cell>
          <cell r="F5708" t="str">
            <v>LC240716110</v>
          </cell>
          <cell r="G5708">
            <v>100</v>
          </cell>
          <cell r="H5708" t="str">
            <v>singleron-3'转录组文库</v>
          </cell>
          <cell r="I5708" t="str">
            <v>DY</v>
          </cell>
          <cell r="J5708">
            <v>10.8</v>
          </cell>
          <cell r="N5708" t="e">
            <v>#DIV/0!</v>
          </cell>
        </row>
        <row r="5709">
          <cell r="E5709" t="str">
            <v>HGC-Lib-2457825</v>
          </cell>
          <cell r="F5709" t="str">
            <v>LHC240713013</v>
          </cell>
          <cell r="G5709">
            <v>180</v>
          </cell>
          <cell r="H5709" t="str">
            <v>singleron-3'转录组文库</v>
          </cell>
          <cell r="I5709" t="str">
            <v>DY</v>
          </cell>
          <cell r="J5709">
            <v>24.6</v>
          </cell>
          <cell r="N5709" t="e">
            <v>#DIV/0!</v>
          </cell>
        </row>
        <row r="5710">
          <cell r="E5710" t="str">
            <v>HGC-Lib-2457826</v>
          </cell>
          <cell r="F5710" t="str">
            <v>LHC240713014</v>
          </cell>
          <cell r="G5710">
            <v>180</v>
          </cell>
          <cell r="H5710" t="str">
            <v>singleron-3'转录组文库</v>
          </cell>
          <cell r="I5710" t="str">
            <v>DY</v>
          </cell>
          <cell r="J5710">
            <v>16.600000000000001</v>
          </cell>
          <cell r="N5710" t="e">
            <v>#DIV/0!</v>
          </cell>
        </row>
        <row r="5711">
          <cell r="E5711" t="str">
            <v>HGC-Lib-2457827</v>
          </cell>
          <cell r="F5711" t="str">
            <v>LHC240713015</v>
          </cell>
          <cell r="G5711">
            <v>180</v>
          </cell>
          <cell r="H5711" t="str">
            <v>singleron-3'转录组文库</v>
          </cell>
          <cell r="I5711" t="str">
            <v>DY</v>
          </cell>
          <cell r="J5711">
            <v>21.2</v>
          </cell>
          <cell r="N5711" t="e">
            <v>#DIV/0!</v>
          </cell>
        </row>
        <row r="5712">
          <cell r="E5712" t="str">
            <v>HGC-Lib-2457828</v>
          </cell>
          <cell r="F5712" t="str">
            <v>LHC240713016</v>
          </cell>
          <cell r="G5712">
            <v>180</v>
          </cell>
          <cell r="H5712" t="str">
            <v>singleron-3'转录组文库</v>
          </cell>
          <cell r="I5712" t="str">
            <v>DY</v>
          </cell>
          <cell r="J5712">
            <v>21</v>
          </cell>
          <cell r="N5712" t="e">
            <v>#DIV/0!</v>
          </cell>
        </row>
        <row r="5713">
          <cell r="E5713" t="str">
            <v>HGC-Lib-2457829</v>
          </cell>
          <cell r="F5713" t="str">
            <v>LHC240713017</v>
          </cell>
          <cell r="G5713">
            <v>180</v>
          </cell>
          <cell r="H5713" t="str">
            <v>singleron-3'转录组文库</v>
          </cell>
          <cell r="I5713" t="str">
            <v>DY</v>
          </cell>
          <cell r="J5713">
            <v>17.899999999999999</v>
          </cell>
          <cell r="N5713" t="e">
            <v>#DIV/0!</v>
          </cell>
        </row>
        <row r="5714">
          <cell r="E5714" t="str">
            <v>HGC-Lib-2457830</v>
          </cell>
          <cell r="F5714" t="str">
            <v>LHC240713018</v>
          </cell>
          <cell r="G5714">
            <v>180</v>
          </cell>
          <cell r="H5714" t="str">
            <v>singleron-3'转录组文库</v>
          </cell>
          <cell r="I5714" t="str">
            <v>DY</v>
          </cell>
          <cell r="J5714">
            <v>12.5</v>
          </cell>
          <cell r="N5714" t="e">
            <v>#DIV/0!</v>
          </cell>
        </row>
        <row r="5715">
          <cell r="E5715" t="str">
            <v>HGC-Lib-2457831</v>
          </cell>
          <cell r="F5715" t="str">
            <v>LHC240713019</v>
          </cell>
          <cell r="G5715">
            <v>180</v>
          </cell>
          <cell r="H5715" t="str">
            <v>singleron-3'转录组文库</v>
          </cell>
          <cell r="I5715" t="str">
            <v>DY</v>
          </cell>
          <cell r="J5715">
            <v>19.3</v>
          </cell>
          <cell r="N5715" t="e">
            <v>#DIV/0!</v>
          </cell>
        </row>
        <row r="5716">
          <cell r="E5716" t="str">
            <v>HGC-Lib-2457832</v>
          </cell>
          <cell r="F5716" t="str">
            <v>LHC240713020</v>
          </cell>
          <cell r="G5716">
            <v>180</v>
          </cell>
          <cell r="H5716" t="str">
            <v>singleron-3'转录组文库</v>
          </cell>
          <cell r="I5716" t="str">
            <v>DY</v>
          </cell>
          <cell r="J5716">
            <v>14.5</v>
          </cell>
          <cell r="N5716" t="e">
            <v>#DIV/0!</v>
          </cell>
        </row>
        <row r="5717">
          <cell r="E5717" t="str">
            <v>HGC-Lib-2457833</v>
          </cell>
          <cell r="F5717" t="str">
            <v>LHC240715004</v>
          </cell>
          <cell r="G5717">
            <v>180</v>
          </cell>
          <cell r="H5717" t="str">
            <v>singleron-3'转录组文库</v>
          </cell>
          <cell r="I5717" t="str">
            <v>DY</v>
          </cell>
          <cell r="J5717">
            <v>16.5</v>
          </cell>
          <cell r="N5717" t="e">
            <v>#DIV/0!</v>
          </cell>
        </row>
        <row r="5718">
          <cell r="E5718" t="str">
            <v>HGC-Lib-2457834</v>
          </cell>
          <cell r="F5718" t="str">
            <v>LHC240715005</v>
          </cell>
          <cell r="G5718">
            <v>180</v>
          </cell>
          <cell r="H5718" t="str">
            <v>singleron-3'转录组文库</v>
          </cell>
          <cell r="I5718" t="str">
            <v>DY</v>
          </cell>
          <cell r="J5718">
            <v>20.6</v>
          </cell>
          <cell r="N5718" t="e">
            <v>#DIV/0!</v>
          </cell>
        </row>
        <row r="5719">
          <cell r="E5719" t="str">
            <v>HGC-Lib-2457835</v>
          </cell>
          <cell r="F5719" t="str">
            <v>LHC240715006</v>
          </cell>
          <cell r="G5719">
            <v>180</v>
          </cell>
          <cell r="H5719" t="str">
            <v>singleron-3'转录组文库</v>
          </cell>
          <cell r="I5719" t="str">
            <v>DY</v>
          </cell>
          <cell r="J5719">
            <v>16.7</v>
          </cell>
          <cell r="N5719" t="e">
            <v>#DIV/0!</v>
          </cell>
        </row>
        <row r="5720">
          <cell r="E5720" t="str">
            <v>HGC-Lib-2457836</v>
          </cell>
          <cell r="F5720" t="str">
            <v>LHC240715007</v>
          </cell>
          <cell r="G5720">
            <v>180</v>
          </cell>
          <cell r="H5720" t="str">
            <v>singleron-3'转录组文库</v>
          </cell>
          <cell r="I5720" t="str">
            <v>DY</v>
          </cell>
          <cell r="J5720">
            <v>20.6</v>
          </cell>
          <cell r="N5720" t="e">
            <v>#DIV/0!</v>
          </cell>
        </row>
        <row r="5721">
          <cell r="E5721" t="str">
            <v>HGC-Lib-2457837</v>
          </cell>
          <cell r="F5721" t="str">
            <v>LHC240715008</v>
          </cell>
          <cell r="G5721">
            <v>180</v>
          </cell>
          <cell r="H5721" t="str">
            <v>singleron-3'转录组文库</v>
          </cell>
          <cell r="I5721" t="str">
            <v>DY</v>
          </cell>
          <cell r="J5721">
            <v>13.5</v>
          </cell>
          <cell r="N5721" t="e">
            <v>#DIV/0!</v>
          </cell>
        </row>
        <row r="5722">
          <cell r="E5722" t="str">
            <v>HGC-Lib-2457838</v>
          </cell>
          <cell r="F5722" t="str">
            <v>LHC240715009</v>
          </cell>
          <cell r="G5722">
            <v>180</v>
          </cell>
          <cell r="H5722" t="str">
            <v>singleron-3'转录组文库</v>
          </cell>
          <cell r="I5722" t="str">
            <v>DY</v>
          </cell>
          <cell r="J5722">
            <v>25</v>
          </cell>
          <cell r="N5722" t="e">
            <v>#DIV/0!</v>
          </cell>
        </row>
        <row r="5723">
          <cell r="E5723" t="str">
            <v>HGC-Lib-2457839</v>
          </cell>
          <cell r="F5723" t="str">
            <v>LHC240715010</v>
          </cell>
          <cell r="G5723">
            <v>180</v>
          </cell>
          <cell r="H5723" t="str">
            <v>singleron-3'转录组文库</v>
          </cell>
          <cell r="I5723" t="str">
            <v>DY</v>
          </cell>
          <cell r="J5723">
            <v>23.6</v>
          </cell>
          <cell r="N5723" t="e">
            <v>#DIV/0!</v>
          </cell>
        </row>
        <row r="5724">
          <cell r="E5724" t="str">
            <v>HGC-Lib-2457840</v>
          </cell>
          <cell r="F5724" t="str">
            <v>LHC240715011</v>
          </cell>
          <cell r="G5724">
            <v>180</v>
          </cell>
          <cell r="H5724" t="str">
            <v>singleron-3'转录组文库</v>
          </cell>
          <cell r="I5724" t="str">
            <v>DY</v>
          </cell>
          <cell r="J5724">
            <v>20.2</v>
          </cell>
          <cell r="N5724" t="e">
            <v>#DIV/0!</v>
          </cell>
        </row>
        <row r="5725">
          <cell r="E5725" t="str">
            <v>HGC-POOL-2457850</v>
          </cell>
          <cell r="F5725" t="str">
            <v>PLN235</v>
          </cell>
          <cell r="G5725">
            <v>70</v>
          </cell>
          <cell r="H5725" t="str">
            <v>ATAC-Seq文库</v>
          </cell>
          <cell r="I5725" t="str">
            <v>WWH</v>
          </cell>
          <cell r="J5725">
            <v>10.6</v>
          </cell>
          <cell r="K5725">
            <v>310</v>
          </cell>
          <cell r="N5725">
            <v>52.605459057071997</v>
          </cell>
        </row>
        <row r="5726">
          <cell r="E5726" t="str">
            <v>HGC-Lib-2457852</v>
          </cell>
          <cell r="F5726" t="str">
            <v>IRAZ-Me-H3</v>
          </cell>
          <cell r="G5726">
            <v>6</v>
          </cell>
          <cell r="H5726" t="str">
            <v>CUT&amp;Tag文库</v>
          </cell>
          <cell r="I5726" t="str">
            <v>WWH</v>
          </cell>
          <cell r="J5726">
            <v>15.2</v>
          </cell>
          <cell r="K5726">
            <v>408</v>
          </cell>
          <cell r="N5726">
            <v>57.315233785822002</v>
          </cell>
        </row>
        <row r="5727">
          <cell r="E5727" t="str">
            <v>HGC-Lib-2457853</v>
          </cell>
          <cell r="F5727" t="str">
            <v>IRAZ-Me-H3K9me2-1</v>
          </cell>
          <cell r="G5727">
            <v>10</v>
          </cell>
          <cell r="H5727" t="str">
            <v>CUT&amp;Tag文库</v>
          </cell>
          <cell r="I5727" t="str">
            <v>WWH</v>
          </cell>
          <cell r="J5727">
            <v>25.4</v>
          </cell>
          <cell r="K5727">
            <v>466</v>
          </cell>
          <cell r="N5727">
            <v>83.856058104985095</v>
          </cell>
        </row>
        <row r="5728">
          <cell r="E5728" t="str">
            <v>HGC-Lib-2457854</v>
          </cell>
          <cell r="F5728" t="str">
            <v>IRAZ-Me-H3K9me2-2</v>
          </cell>
          <cell r="G5728">
            <v>10</v>
          </cell>
          <cell r="H5728" t="str">
            <v>CUT&amp;Tag文库</v>
          </cell>
          <cell r="I5728" t="str">
            <v>WWH</v>
          </cell>
          <cell r="J5728">
            <v>20.2</v>
          </cell>
          <cell r="K5728">
            <v>466</v>
          </cell>
          <cell r="N5728">
            <v>66.688676130736198</v>
          </cell>
        </row>
        <row r="5729">
          <cell r="E5729" t="str">
            <v>HGC-Lib-2457855</v>
          </cell>
          <cell r="F5729" t="str">
            <v>IRAZ-Me-S9.6-1</v>
          </cell>
          <cell r="G5729">
            <v>10</v>
          </cell>
          <cell r="H5729" t="str">
            <v>CUT&amp;Tag文库</v>
          </cell>
          <cell r="I5729" t="str">
            <v>WWH</v>
          </cell>
          <cell r="J5729">
            <v>49.6</v>
          </cell>
          <cell r="K5729">
            <v>514</v>
          </cell>
          <cell r="N5729">
            <v>148.45854534570501</v>
          </cell>
        </row>
        <row r="5730">
          <cell r="E5730" t="str">
            <v>HGC-Lib-2457856</v>
          </cell>
          <cell r="F5730" t="str">
            <v>sp-ZH11-H3K36me3-1</v>
          </cell>
          <cell r="G5730">
            <v>10</v>
          </cell>
          <cell r="H5730" t="str">
            <v>CUT&amp;Tag文库</v>
          </cell>
          <cell r="I5730" t="str">
            <v>WWH</v>
          </cell>
          <cell r="J5730">
            <v>70.400000000000006</v>
          </cell>
          <cell r="K5730">
            <v>556</v>
          </cell>
          <cell r="M5730" t="str">
            <v>加水30ul</v>
          </cell>
          <cell r="N5730">
            <v>194.798007747648</v>
          </cell>
        </row>
        <row r="5731">
          <cell r="E5731" t="str">
            <v>HGC-Lib-2457857</v>
          </cell>
          <cell r="F5731" t="str">
            <v>sp-ZH11-H3K36me3-2</v>
          </cell>
          <cell r="G5731">
            <v>10</v>
          </cell>
          <cell r="H5731" t="str">
            <v>CUT&amp;Tag文库</v>
          </cell>
          <cell r="I5731" t="str">
            <v>WWH</v>
          </cell>
          <cell r="J5731">
            <v>57.4</v>
          </cell>
          <cell r="K5731">
            <v>552</v>
          </cell>
          <cell r="N5731">
            <v>159.97770345596399</v>
          </cell>
        </row>
        <row r="5732">
          <cell r="E5732" t="str">
            <v>HGC-Lib-2457858</v>
          </cell>
          <cell r="F5732" t="str">
            <v>Azu-Me-H3</v>
          </cell>
          <cell r="G5732">
            <v>6</v>
          </cell>
          <cell r="H5732" t="str">
            <v>CUT&amp;Tag文库</v>
          </cell>
          <cell r="I5732" t="str">
            <v>WWH</v>
          </cell>
          <cell r="J5732">
            <v>36.799999999999997</v>
          </cell>
          <cell r="K5732">
            <v>489</v>
          </cell>
          <cell r="M5732" t="str">
            <v>加水15ul</v>
          </cell>
          <cell r="N5732">
            <v>115.777882649048</v>
          </cell>
        </row>
        <row r="5733">
          <cell r="E5733" t="str">
            <v>HGC-Lib-2457859</v>
          </cell>
          <cell r="F5733" t="str">
            <v>IR64-Me-H3</v>
          </cell>
          <cell r="G5733">
            <v>6</v>
          </cell>
          <cell r="H5733" t="str">
            <v>CUT&amp;Tag文库</v>
          </cell>
          <cell r="I5733" t="str">
            <v>WWH</v>
          </cell>
          <cell r="J5733">
            <v>11.4</v>
          </cell>
          <cell r="K5733">
            <v>482</v>
          </cell>
          <cell r="N5733">
            <v>36.386849664857998</v>
          </cell>
        </row>
        <row r="5734">
          <cell r="E5734" t="str">
            <v>HGC-Lib-2457860</v>
          </cell>
          <cell r="F5734" t="str">
            <v>E-ZHZS</v>
          </cell>
          <cell r="G5734">
            <v>6</v>
          </cell>
          <cell r="H5734" t="str">
            <v>CUT&amp;Tag文库</v>
          </cell>
          <cell r="I5734" t="str">
            <v>WWH</v>
          </cell>
          <cell r="J5734">
            <v>53.6</v>
          </cell>
          <cell r="K5734">
            <v>484</v>
          </cell>
          <cell r="M5734" t="str">
            <v>加水30ul</v>
          </cell>
          <cell r="N5734">
            <v>170.37507946598899</v>
          </cell>
        </row>
        <row r="5735">
          <cell r="E5735" t="str">
            <v>HGC-Lib-2457861</v>
          </cell>
          <cell r="F5735" t="str">
            <v>E-ZSZH</v>
          </cell>
          <cell r="G5735">
            <v>6</v>
          </cell>
          <cell r="H5735" t="str">
            <v>CUT&amp;Tag文库</v>
          </cell>
          <cell r="I5735" t="str">
            <v>WWH</v>
          </cell>
          <cell r="J5735">
            <v>45</v>
          </cell>
          <cell r="K5735">
            <v>433</v>
          </cell>
          <cell r="N5735">
            <v>159.88630307336999</v>
          </cell>
        </row>
        <row r="5736">
          <cell r="E5736" t="str">
            <v>HGC-Lib-2457862</v>
          </cell>
          <cell r="F5736" t="str">
            <v>G-ZHZS</v>
          </cell>
          <cell r="G5736">
            <v>6</v>
          </cell>
          <cell r="H5736" t="str">
            <v>CUT&amp;Tag文库</v>
          </cell>
          <cell r="I5736" t="str">
            <v>WWH</v>
          </cell>
          <cell r="J5736">
            <v>44.6</v>
          </cell>
          <cell r="K5736">
            <v>419</v>
          </cell>
          <cell r="N5736">
            <v>163.75986781714701</v>
          </cell>
        </row>
        <row r="5737">
          <cell r="E5737" t="str">
            <v>HGC-Lib-2457863</v>
          </cell>
          <cell r="F5737" t="str">
            <v>G-ZSZH</v>
          </cell>
          <cell r="G5737">
            <v>6</v>
          </cell>
          <cell r="H5737" t="str">
            <v>CUT&amp;Tag文库</v>
          </cell>
          <cell r="I5737" t="str">
            <v>WWH</v>
          </cell>
          <cell r="J5737">
            <v>52</v>
          </cell>
          <cell r="K5737">
            <v>452</v>
          </cell>
          <cell r="N5737">
            <v>176.99115044247799</v>
          </cell>
        </row>
        <row r="5738">
          <cell r="E5738" t="str">
            <v>HGC-Lib-2457882</v>
          </cell>
          <cell r="F5738" t="str">
            <v>KO-Brunello-library</v>
          </cell>
          <cell r="G5738">
            <v>10</v>
          </cell>
          <cell r="H5738" t="str">
            <v>PCR产物文库</v>
          </cell>
          <cell r="I5738" t="str">
            <v>YHT</v>
          </cell>
          <cell r="J5738">
            <v>35.4</v>
          </cell>
          <cell r="N5738" t="e">
            <v>#DIV/0!</v>
          </cell>
        </row>
        <row r="5739">
          <cell r="E5739" t="str">
            <v>HGC-Lib-2457883</v>
          </cell>
          <cell r="F5739" t="str">
            <v>C1-Calabrese-library</v>
          </cell>
          <cell r="G5739">
            <v>10</v>
          </cell>
          <cell r="H5739" t="str">
            <v>PCR产物文库</v>
          </cell>
          <cell r="I5739" t="str">
            <v>YHT</v>
          </cell>
          <cell r="J5739">
            <v>58.4</v>
          </cell>
          <cell r="N5739" t="e">
            <v>#DIV/0!</v>
          </cell>
        </row>
        <row r="5740">
          <cell r="E5740" t="str">
            <v>HGC-Lib-2457884</v>
          </cell>
          <cell r="F5740" t="str">
            <v>C2-Calabrese-library</v>
          </cell>
          <cell r="G5740">
            <v>10</v>
          </cell>
          <cell r="H5740" t="str">
            <v>PCR产物文库</v>
          </cell>
          <cell r="I5740" t="str">
            <v>YHT</v>
          </cell>
          <cell r="J5740">
            <v>56</v>
          </cell>
          <cell r="N5740" t="e">
            <v>#DIV/0!</v>
          </cell>
        </row>
        <row r="5741">
          <cell r="E5741" t="str">
            <v>HGC-Lib-2457989</v>
          </cell>
          <cell r="F5741">
            <v>1</v>
          </cell>
          <cell r="H5741" t="str">
            <v>ATAC-Seq文库</v>
          </cell>
          <cell r="I5741" t="str">
            <v>ZZ</v>
          </cell>
          <cell r="J5741">
            <v>4.5</v>
          </cell>
          <cell r="K5741">
            <v>503</v>
          </cell>
          <cell r="L5741" t="str">
            <v>YHT</v>
          </cell>
          <cell r="N5741">
            <v>13.7635724116837</v>
          </cell>
        </row>
        <row r="5742">
          <cell r="E5742" t="str">
            <v>HGC-Lib-2457990</v>
          </cell>
          <cell r="F5742">
            <v>2</v>
          </cell>
          <cell r="H5742" t="str">
            <v>ATAC-Seq文库</v>
          </cell>
          <cell r="I5742" t="str">
            <v>ZZ</v>
          </cell>
          <cell r="J5742">
            <v>4.3499999999999996</v>
          </cell>
          <cell r="K5742">
            <v>524</v>
          </cell>
          <cell r="L5742" t="str">
            <v>YHT</v>
          </cell>
          <cell r="N5742">
            <v>12.771579565472701</v>
          </cell>
        </row>
        <row r="5743">
          <cell r="E5743" t="str">
            <v>HGC-Lib-2457991</v>
          </cell>
          <cell r="F5743">
            <v>3</v>
          </cell>
          <cell r="H5743" t="str">
            <v>ATAC-Seq文库</v>
          </cell>
          <cell r="I5743" t="str">
            <v>ZZ</v>
          </cell>
          <cell r="J5743">
            <v>4.1333333333333302</v>
          </cell>
          <cell r="K5743">
            <v>475</v>
          </cell>
          <cell r="L5743" t="str">
            <v>YHT</v>
          </cell>
          <cell r="N5743">
            <v>13.387314439946</v>
          </cell>
        </row>
        <row r="5744">
          <cell r="E5744" t="str">
            <v>HGC-2457885</v>
          </cell>
          <cell r="F5744" t="str">
            <v>rLBA</v>
          </cell>
          <cell r="G5744">
            <v>100</v>
          </cell>
          <cell r="I5744" t="str">
            <v>YHT</v>
          </cell>
          <cell r="J5744">
            <v>32.1</v>
          </cell>
          <cell r="K5744">
            <v>497</v>
          </cell>
          <cell r="N5744">
            <v>99.365423309085301</v>
          </cell>
        </row>
        <row r="5745">
          <cell r="E5745" t="str">
            <v>HGC-2457886</v>
          </cell>
          <cell r="F5745">
            <v>1</v>
          </cell>
          <cell r="G5745">
            <v>100</v>
          </cell>
          <cell r="I5745" t="str">
            <v>YHT</v>
          </cell>
          <cell r="J5745">
            <v>38.700000000000003</v>
          </cell>
          <cell r="K5745">
            <v>527</v>
          </cell>
          <cell r="N5745">
            <v>112.976207852868</v>
          </cell>
        </row>
        <row r="5746">
          <cell r="E5746" t="str">
            <v>HGC-2457887</v>
          </cell>
          <cell r="F5746" t="str">
            <v>LYG</v>
          </cell>
          <cell r="G5746">
            <v>100</v>
          </cell>
          <cell r="I5746" t="str">
            <v>YHT</v>
          </cell>
          <cell r="J5746">
            <v>35.299999999999997</v>
          </cell>
          <cell r="K5746">
            <v>506</v>
          </cell>
          <cell r="N5746">
            <v>107.327455153542</v>
          </cell>
        </row>
        <row r="5747">
          <cell r="E5747" t="str">
            <v>HGC-Lib-2457893</v>
          </cell>
          <cell r="F5747" t="str">
            <v>H10055</v>
          </cell>
          <cell r="G5747">
            <v>120</v>
          </cell>
          <cell r="H5747" t="str">
            <v>全基因组文库</v>
          </cell>
          <cell r="I5747" t="str">
            <v>ZZ</v>
          </cell>
          <cell r="J5747">
            <v>13.1</v>
          </cell>
          <cell r="K5747">
            <v>545</v>
          </cell>
          <cell r="N5747">
            <v>36.979534227240599</v>
          </cell>
        </row>
        <row r="5748">
          <cell r="E5748" t="str">
            <v>HGC-POOL-2457895</v>
          </cell>
          <cell r="F5748" t="str">
            <v>SB93</v>
          </cell>
          <cell r="G5748">
            <v>60</v>
          </cell>
          <cell r="H5748" t="str">
            <v>10× 3'单细胞</v>
          </cell>
          <cell r="I5748" t="str">
            <v>YHT</v>
          </cell>
          <cell r="J5748">
            <v>0.38200000000000001</v>
          </cell>
          <cell r="K5748" t="str">
            <v>/</v>
          </cell>
          <cell r="N5748" t="e">
            <v>#VALUE!</v>
          </cell>
        </row>
        <row r="5749">
          <cell r="E5749" t="str">
            <v>HGC-Lib-2457896</v>
          </cell>
          <cell r="F5749" t="str">
            <v>1-1</v>
          </cell>
          <cell r="G5749">
            <v>10</v>
          </cell>
          <cell r="H5749" t="str">
            <v>cut&amp;tag文库</v>
          </cell>
          <cell r="I5749" t="str">
            <v>YHT</v>
          </cell>
          <cell r="J5749">
            <v>12.5</v>
          </cell>
          <cell r="K5749">
            <v>381</v>
          </cell>
          <cell r="N5749">
            <v>50.4744599232788</v>
          </cell>
        </row>
        <row r="5750">
          <cell r="E5750" t="str">
            <v>HGC-Lib-2457897</v>
          </cell>
          <cell r="F5750" t="str">
            <v>1-2</v>
          </cell>
          <cell r="G5750">
            <v>10</v>
          </cell>
          <cell r="H5750" t="str">
            <v>cut&amp;tag文库</v>
          </cell>
          <cell r="I5750" t="str">
            <v>YHT</v>
          </cell>
          <cell r="J5750">
            <v>16.2</v>
          </cell>
          <cell r="K5750">
            <v>388</v>
          </cell>
          <cell r="N5750">
            <v>64.234734337827106</v>
          </cell>
        </row>
        <row r="5751">
          <cell r="E5751" t="str">
            <v>HGC-Lib-2457898</v>
          </cell>
          <cell r="F5751" t="str">
            <v>2-1</v>
          </cell>
          <cell r="G5751">
            <v>10</v>
          </cell>
          <cell r="H5751" t="str">
            <v>cut&amp;tag文库</v>
          </cell>
          <cell r="I5751" t="str">
            <v>YHT</v>
          </cell>
          <cell r="J5751">
            <v>55.4</v>
          </cell>
          <cell r="K5751">
            <v>493</v>
          </cell>
          <cell r="N5751">
            <v>172.88188484943001</v>
          </cell>
        </row>
        <row r="5752">
          <cell r="E5752" t="str">
            <v>HGC-Lib-2457899</v>
          </cell>
          <cell r="F5752" t="str">
            <v>2-2</v>
          </cell>
          <cell r="G5752">
            <v>10</v>
          </cell>
          <cell r="H5752" t="str">
            <v>cut&amp;tag文库</v>
          </cell>
          <cell r="I5752" t="str">
            <v>YHT</v>
          </cell>
          <cell r="J5752">
            <v>45.8</v>
          </cell>
          <cell r="K5752">
            <v>480</v>
          </cell>
          <cell r="N5752">
            <v>146.79487179487199</v>
          </cell>
        </row>
        <row r="5753">
          <cell r="E5753" t="str">
            <v>HGC-Lib-2457900</v>
          </cell>
          <cell r="F5753" t="str">
            <v>3-1</v>
          </cell>
          <cell r="G5753">
            <v>10</v>
          </cell>
          <cell r="H5753" t="str">
            <v>cut&amp;tag文库</v>
          </cell>
          <cell r="I5753" t="str">
            <v>YHT</v>
          </cell>
          <cell r="J5753">
            <v>44.6</v>
          </cell>
          <cell r="K5753">
            <v>478</v>
          </cell>
          <cell r="N5753">
            <v>143.546829739298</v>
          </cell>
        </row>
        <row r="5754">
          <cell r="E5754" t="str">
            <v>HGC-Lib-2457901</v>
          </cell>
          <cell r="F5754" t="str">
            <v>3-2</v>
          </cell>
          <cell r="G5754">
            <v>10</v>
          </cell>
          <cell r="H5754" t="str">
            <v>cut&amp;tag文库</v>
          </cell>
          <cell r="I5754" t="str">
            <v>YHT</v>
          </cell>
          <cell r="J5754">
            <v>43.2</v>
          </cell>
          <cell r="K5754">
            <v>479</v>
          </cell>
          <cell r="N5754">
            <v>138.75060221615499</v>
          </cell>
        </row>
        <row r="5755">
          <cell r="E5755" t="str">
            <v>HGC-Lib-2457902</v>
          </cell>
          <cell r="F5755" t="str">
            <v>4-1</v>
          </cell>
          <cell r="G5755">
            <v>10</v>
          </cell>
          <cell r="H5755" t="str">
            <v>cut&amp;tag文库</v>
          </cell>
          <cell r="I5755" t="str">
            <v>YHT</v>
          </cell>
          <cell r="J5755">
            <v>102</v>
          </cell>
          <cell r="K5755">
            <v>483</v>
          </cell>
          <cell r="N5755">
            <v>324.892498805542</v>
          </cell>
        </row>
        <row r="5756">
          <cell r="E5756" t="str">
            <v>HGC-Lib-2457903</v>
          </cell>
          <cell r="F5756" t="str">
            <v>4-2</v>
          </cell>
          <cell r="G5756">
            <v>10</v>
          </cell>
          <cell r="H5756" t="str">
            <v>cut&amp;tag文库</v>
          </cell>
          <cell r="I5756" t="str">
            <v>YHT</v>
          </cell>
          <cell r="J5756">
            <v>99</v>
          </cell>
          <cell r="K5756">
            <v>485</v>
          </cell>
          <cell r="N5756">
            <v>314.03647898493301</v>
          </cell>
        </row>
        <row r="5757">
          <cell r="E5757" t="str">
            <v>HGC-Lib-2457904</v>
          </cell>
          <cell r="F5757" t="str">
            <v>5-1</v>
          </cell>
          <cell r="G5757">
            <v>10</v>
          </cell>
          <cell r="H5757" t="str">
            <v>cut&amp;tag文库</v>
          </cell>
          <cell r="I5757" t="str">
            <v>YHT</v>
          </cell>
          <cell r="J5757">
            <v>71</v>
          </cell>
          <cell r="K5757">
            <v>506</v>
          </cell>
          <cell r="N5757">
            <v>215.87108543630299</v>
          </cell>
        </row>
        <row r="5758">
          <cell r="E5758" t="str">
            <v>HGC-Lib-2457905</v>
          </cell>
          <cell r="F5758" t="str">
            <v>5-2</v>
          </cell>
          <cell r="G5758">
            <v>10</v>
          </cell>
          <cell r="H5758" t="str">
            <v>cut&amp;tag文库</v>
          </cell>
          <cell r="I5758" t="str">
            <v>YHT</v>
          </cell>
          <cell r="J5758">
            <v>88.8</v>
          </cell>
          <cell r="K5758">
            <v>499</v>
          </cell>
          <cell r="N5758">
            <v>273.77832588253398</v>
          </cell>
        </row>
        <row r="5759">
          <cell r="E5759" t="str">
            <v>HGC-Lib-2457906</v>
          </cell>
          <cell r="F5759" t="str">
            <v>6-1</v>
          </cell>
          <cell r="G5759">
            <v>10</v>
          </cell>
          <cell r="H5759" t="str">
            <v>cut&amp;tag文库</v>
          </cell>
          <cell r="I5759" t="str">
            <v>YHT</v>
          </cell>
          <cell r="J5759">
            <v>64.2</v>
          </cell>
          <cell r="K5759">
            <v>498</v>
          </cell>
          <cell r="N5759">
            <v>198.33178869323501</v>
          </cell>
        </row>
        <row r="5760">
          <cell r="E5760" t="str">
            <v>HGC-Lib-2457907</v>
          </cell>
          <cell r="F5760" t="str">
            <v>6-2</v>
          </cell>
          <cell r="G5760">
            <v>10</v>
          </cell>
          <cell r="H5760" t="str">
            <v>cut&amp;tag文库</v>
          </cell>
          <cell r="I5760" t="str">
            <v>YHT</v>
          </cell>
          <cell r="J5760">
            <v>62.4</v>
          </cell>
          <cell r="K5760">
            <v>498</v>
          </cell>
          <cell r="N5760">
            <v>192.77108433734901</v>
          </cell>
        </row>
        <row r="5761">
          <cell r="E5761" t="str">
            <v>HGC-Lib-2457908</v>
          </cell>
          <cell r="F5761" t="str">
            <v>7-1</v>
          </cell>
          <cell r="G5761">
            <v>10</v>
          </cell>
          <cell r="H5761" t="str">
            <v>cut&amp;tag文库</v>
          </cell>
          <cell r="I5761" t="str">
            <v>YHT</v>
          </cell>
          <cell r="J5761">
            <v>1.45</v>
          </cell>
          <cell r="K5761">
            <v>354</v>
          </cell>
          <cell r="N5761">
            <v>6.3016079965232503</v>
          </cell>
        </row>
        <row r="5762">
          <cell r="E5762" t="str">
            <v>HGC-Lib-2457909</v>
          </cell>
          <cell r="F5762" t="str">
            <v>7-2</v>
          </cell>
          <cell r="G5762">
            <v>10</v>
          </cell>
          <cell r="H5762" t="str">
            <v>cut&amp;tag文库</v>
          </cell>
          <cell r="I5762" t="str">
            <v>YHT</v>
          </cell>
          <cell r="J5762">
            <v>5.98</v>
          </cell>
          <cell r="K5762">
            <v>348</v>
          </cell>
          <cell r="N5762">
            <v>26.4367816091954</v>
          </cell>
        </row>
        <row r="5763">
          <cell r="E5763" t="str">
            <v>HGC-Lib-2457910</v>
          </cell>
          <cell r="F5763" t="str">
            <v>8-1</v>
          </cell>
          <cell r="G5763">
            <v>10</v>
          </cell>
          <cell r="H5763" t="str">
            <v>cut&amp;tag文库</v>
          </cell>
          <cell r="I5763" t="str">
            <v>YHT</v>
          </cell>
          <cell r="J5763">
            <v>12.8</v>
          </cell>
          <cell r="K5763">
            <v>386</v>
          </cell>
          <cell r="N5763">
            <v>51.016341171781598</v>
          </cell>
        </row>
        <row r="5764">
          <cell r="E5764" t="str">
            <v>HGC-Lib-2457911</v>
          </cell>
          <cell r="F5764" t="str">
            <v>8-2</v>
          </cell>
          <cell r="G5764">
            <v>10</v>
          </cell>
          <cell r="H5764" t="str">
            <v>cut&amp;tag文库</v>
          </cell>
          <cell r="I5764" t="str">
            <v>YHT</v>
          </cell>
          <cell r="J5764">
            <v>2.8</v>
          </cell>
          <cell r="K5764">
            <v>391</v>
          </cell>
          <cell r="N5764">
            <v>11.0171158764509</v>
          </cell>
        </row>
        <row r="5765">
          <cell r="E5765" t="str">
            <v>HGC-Lib-2457912</v>
          </cell>
          <cell r="F5765" t="str">
            <v>9-1</v>
          </cell>
          <cell r="G5765">
            <v>10</v>
          </cell>
          <cell r="H5765" t="str">
            <v>cut&amp;tag文库</v>
          </cell>
          <cell r="I5765" t="str">
            <v>YHT</v>
          </cell>
          <cell r="J5765">
            <v>48.4</v>
          </cell>
          <cell r="K5765">
            <v>506</v>
          </cell>
          <cell r="N5765">
            <v>147.157190635452</v>
          </cell>
        </row>
        <row r="5766">
          <cell r="E5766" t="str">
            <v>HGC-Lib-2457913</v>
          </cell>
          <cell r="F5766" t="str">
            <v>9-2</v>
          </cell>
          <cell r="G5766">
            <v>10</v>
          </cell>
          <cell r="H5766" t="str">
            <v>cut&amp;tag文库</v>
          </cell>
          <cell r="I5766" t="str">
            <v>YHT</v>
          </cell>
          <cell r="J5766">
            <v>50.6</v>
          </cell>
          <cell r="K5766">
            <v>511</v>
          </cell>
          <cell r="N5766">
            <v>152.34080987505601</v>
          </cell>
        </row>
        <row r="5767">
          <cell r="E5767" t="str">
            <v>HGC-Lib-2457914</v>
          </cell>
          <cell r="F5767" t="str">
            <v>10-1</v>
          </cell>
          <cell r="G5767">
            <v>10</v>
          </cell>
          <cell r="H5767" t="str">
            <v>cut&amp;tag文库</v>
          </cell>
          <cell r="I5767" t="str">
            <v>YHT</v>
          </cell>
          <cell r="J5767">
            <v>1.52</v>
          </cell>
          <cell r="K5767">
            <v>375</v>
          </cell>
          <cell r="N5767">
            <v>6.2358974358974404</v>
          </cell>
        </row>
        <row r="5768">
          <cell r="E5768" t="str">
            <v>HGC-Lib-2457915</v>
          </cell>
          <cell r="F5768" t="str">
            <v>10-2</v>
          </cell>
          <cell r="G5768">
            <v>10</v>
          </cell>
          <cell r="H5768" t="str">
            <v>cut&amp;tag文库</v>
          </cell>
          <cell r="I5768" t="str">
            <v>YHT</v>
          </cell>
          <cell r="J5768">
            <v>1.58</v>
          </cell>
          <cell r="K5768">
            <v>384</v>
          </cell>
          <cell r="N5768">
            <v>6.3301282051282097</v>
          </cell>
        </row>
        <row r="5769">
          <cell r="E5769" t="str">
            <v>HGC-Lib-2457916</v>
          </cell>
          <cell r="F5769" t="str">
            <v>11-1</v>
          </cell>
          <cell r="G5769">
            <v>10</v>
          </cell>
          <cell r="H5769" t="str">
            <v>cut&amp;tag文库</v>
          </cell>
          <cell r="I5769" t="str">
            <v>YHT</v>
          </cell>
          <cell r="J5769">
            <v>0.68200000000000005</v>
          </cell>
          <cell r="K5769">
            <v>384</v>
          </cell>
          <cell r="N5769">
            <v>2.7323717948718</v>
          </cell>
        </row>
        <row r="5770">
          <cell r="E5770" t="str">
            <v>HGC-Lib-2457917</v>
          </cell>
          <cell r="F5770" t="str">
            <v>11-2</v>
          </cell>
          <cell r="G5770">
            <v>10</v>
          </cell>
          <cell r="H5770" t="str">
            <v>cut&amp;tag文库</v>
          </cell>
          <cell r="I5770" t="str">
            <v>YHT</v>
          </cell>
          <cell r="J5770">
            <v>2.46</v>
          </cell>
          <cell r="K5770">
            <v>395</v>
          </cell>
          <cell r="N5770">
            <v>9.5813047711781891</v>
          </cell>
        </row>
        <row r="5771">
          <cell r="E5771" t="str">
            <v>HGC-Lib-2457918</v>
          </cell>
          <cell r="F5771" t="str">
            <v>12-1</v>
          </cell>
          <cell r="G5771">
            <v>10</v>
          </cell>
          <cell r="H5771" t="str">
            <v>cut&amp;tag文库</v>
          </cell>
          <cell r="I5771" t="str">
            <v>YHT</v>
          </cell>
          <cell r="J5771">
            <v>10.7</v>
          </cell>
          <cell r="K5771">
            <v>522</v>
          </cell>
          <cell r="N5771">
            <v>31.535514294135002</v>
          </cell>
        </row>
        <row r="5772">
          <cell r="E5772" t="str">
            <v>HGC-Lib-2457919</v>
          </cell>
          <cell r="F5772" t="str">
            <v>12-2</v>
          </cell>
          <cell r="G5772">
            <v>10</v>
          </cell>
          <cell r="H5772" t="str">
            <v>cut&amp;tag文库</v>
          </cell>
          <cell r="I5772" t="str">
            <v>YHT</v>
          </cell>
          <cell r="J5772">
            <v>10.3</v>
          </cell>
          <cell r="K5772">
            <v>510</v>
          </cell>
          <cell r="N5772">
            <v>31.070889894419299</v>
          </cell>
        </row>
        <row r="5773">
          <cell r="E5773" t="str">
            <v>HGC-Lib-2457920</v>
          </cell>
          <cell r="F5773" t="str">
            <v>13-1</v>
          </cell>
          <cell r="G5773">
            <v>10</v>
          </cell>
          <cell r="H5773" t="str">
            <v>cut&amp;tag文库</v>
          </cell>
          <cell r="I5773" t="str">
            <v>YHT</v>
          </cell>
          <cell r="J5773">
            <v>2.38</v>
          </cell>
          <cell r="K5773">
            <v>425</v>
          </cell>
          <cell r="N5773">
            <v>8.6153846153846096</v>
          </cell>
        </row>
        <row r="5774">
          <cell r="E5774" t="str">
            <v>HGC-Lib-2457921</v>
          </cell>
          <cell r="F5774" t="str">
            <v>13-2</v>
          </cell>
          <cell r="G5774">
            <v>10</v>
          </cell>
          <cell r="H5774" t="str">
            <v>cut&amp;tag文库</v>
          </cell>
          <cell r="I5774" t="str">
            <v>YHT</v>
          </cell>
          <cell r="J5774">
            <v>9.9</v>
          </cell>
          <cell r="K5774">
            <v>424</v>
          </cell>
          <cell r="N5774">
            <v>35.921625544267101</v>
          </cell>
        </row>
        <row r="5775">
          <cell r="E5775" t="str">
            <v>HGC-Lib-2457922</v>
          </cell>
          <cell r="F5775" t="str">
            <v>14-1</v>
          </cell>
          <cell r="G5775">
            <v>10</v>
          </cell>
          <cell r="H5775" t="str">
            <v>cut&amp;tag文库</v>
          </cell>
          <cell r="I5775" t="str">
            <v>YHT</v>
          </cell>
          <cell r="J5775">
            <v>14.6</v>
          </cell>
          <cell r="K5775">
            <v>500</v>
          </cell>
          <cell r="N5775">
            <v>44.923076923076898</v>
          </cell>
        </row>
        <row r="5776">
          <cell r="E5776" t="str">
            <v>HGC-Lib-2457923</v>
          </cell>
          <cell r="F5776" t="str">
            <v>14-2</v>
          </cell>
          <cell r="G5776">
            <v>10</v>
          </cell>
          <cell r="H5776" t="str">
            <v>cut&amp;tag文库</v>
          </cell>
          <cell r="I5776" t="str">
            <v>YHT</v>
          </cell>
          <cell r="J5776">
            <v>17.100000000000001</v>
          </cell>
          <cell r="K5776">
            <v>518</v>
          </cell>
          <cell r="N5776">
            <v>50.787050787050802</v>
          </cell>
        </row>
        <row r="5777">
          <cell r="E5777" t="str">
            <v>HGC-Lib-2457924</v>
          </cell>
          <cell r="F5777" t="str">
            <v>15-1</v>
          </cell>
          <cell r="G5777">
            <v>10</v>
          </cell>
          <cell r="H5777" t="str">
            <v>cut&amp;tag文库</v>
          </cell>
          <cell r="I5777" t="str">
            <v>YHT</v>
          </cell>
          <cell r="J5777">
            <v>42.8</v>
          </cell>
          <cell r="K5777">
            <v>500</v>
          </cell>
          <cell r="N5777">
            <v>131.69230769230799</v>
          </cell>
        </row>
        <row r="5778">
          <cell r="E5778" t="str">
            <v>HGC-Lib-2457925</v>
          </cell>
          <cell r="F5778" t="str">
            <v>15-2</v>
          </cell>
          <cell r="G5778">
            <v>10</v>
          </cell>
          <cell r="H5778" t="str">
            <v>cut&amp;tag文库</v>
          </cell>
          <cell r="I5778" t="str">
            <v>YHT</v>
          </cell>
          <cell r="J5778">
            <v>26.2</v>
          </cell>
          <cell r="K5778">
            <v>489</v>
          </cell>
          <cell r="N5778">
            <v>82.428818625137595</v>
          </cell>
        </row>
        <row r="5779">
          <cell r="E5779" t="str">
            <v>HGC-Lib-2457926</v>
          </cell>
          <cell r="F5779" t="str">
            <v>16-1</v>
          </cell>
          <cell r="G5779">
            <v>10</v>
          </cell>
          <cell r="H5779" t="str">
            <v>cut&amp;tag文库</v>
          </cell>
          <cell r="I5779" t="str">
            <v>YHT</v>
          </cell>
          <cell r="J5779">
            <v>20.6</v>
          </cell>
          <cell r="K5779">
            <v>483</v>
          </cell>
          <cell r="N5779">
            <v>65.615543876413398</v>
          </cell>
        </row>
        <row r="5780">
          <cell r="E5780" t="str">
            <v>HGC-Lib-2457927</v>
          </cell>
          <cell r="F5780" t="str">
            <v>16-2</v>
          </cell>
          <cell r="G5780">
            <v>10</v>
          </cell>
          <cell r="H5780" t="str">
            <v>cut&amp;tag文库</v>
          </cell>
          <cell r="I5780" t="str">
            <v>YHT</v>
          </cell>
          <cell r="J5780">
            <v>21.4</v>
          </cell>
          <cell r="K5780">
            <v>483</v>
          </cell>
          <cell r="N5780">
            <v>68.163720337633407</v>
          </cell>
        </row>
        <row r="5781">
          <cell r="E5781" t="str">
            <v>HGC-Lib-2457928</v>
          </cell>
          <cell r="F5781" t="str">
            <v>17-1</v>
          </cell>
          <cell r="G5781">
            <v>10</v>
          </cell>
          <cell r="H5781" t="str">
            <v>cut&amp;tag文库</v>
          </cell>
          <cell r="I5781" t="str">
            <v>YHT</v>
          </cell>
          <cell r="J5781">
            <v>8.44</v>
          </cell>
          <cell r="K5781">
            <v>489</v>
          </cell>
          <cell r="N5781">
            <v>26.553405694510001</v>
          </cell>
        </row>
        <row r="5782">
          <cell r="E5782" t="str">
            <v>HGC-Lib-2457929</v>
          </cell>
          <cell r="F5782" t="str">
            <v>17-2</v>
          </cell>
          <cell r="G5782">
            <v>10</v>
          </cell>
          <cell r="H5782" t="str">
            <v>cut&amp;tag文库</v>
          </cell>
          <cell r="I5782" t="str">
            <v>YHT</v>
          </cell>
          <cell r="J5782">
            <v>11</v>
          </cell>
          <cell r="K5782">
            <v>508</v>
          </cell>
          <cell r="N5782">
            <v>33.313143549364</v>
          </cell>
        </row>
        <row r="5783">
          <cell r="E5783" t="str">
            <v>HGC-Lib-2457930</v>
          </cell>
          <cell r="F5783" t="str">
            <v>18-1</v>
          </cell>
          <cell r="G5783">
            <v>10</v>
          </cell>
          <cell r="H5783" t="str">
            <v>cut&amp;tag文库</v>
          </cell>
          <cell r="I5783" t="str">
            <v>YHT</v>
          </cell>
          <cell r="J5783">
            <v>80</v>
          </cell>
          <cell r="K5783">
            <v>482</v>
          </cell>
          <cell r="N5783">
            <v>255.3463134376</v>
          </cell>
        </row>
        <row r="5784">
          <cell r="E5784" t="str">
            <v>HGC-Lib-2457931</v>
          </cell>
          <cell r="F5784" t="str">
            <v>18-2</v>
          </cell>
          <cell r="G5784">
            <v>10</v>
          </cell>
          <cell r="H5784" t="str">
            <v>cut&amp;tag文库</v>
          </cell>
          <cell r="I5784" t="str">
            <v>YHT</v>
          </cell>
          <cell r="J5784">
            <v>95.6</v>
          </cell>
          <cell r="K5784">
            <v>490</v>
          </cell>
          <cell r="N5784">
            <v>300.15698587127201</v>
          </cell>
        </row>
        <row r="5785">
          <cell r="E5785" t="str">
            <v>HGC-Lib-2457932</v>
          </cell>
          <cell r="F5785" t="str">
            <v>19-1</v>
          </cell>
          <cell r="G5785">
            <v>10</v>
          </cell>
          <cell r="H5785" t="str">
            <v>cut&amp;tag文库</v>
          </cell>
          <cell r="I5785" t="str">
            <v>YHT</v>
          </cell>
          <cell r="J5785">
            <v>76</v>
          </cell>
          <cell r="K5785">
            <v>477</v>
          </cell>
          <cell r="N5785">
            <v>245.12175455571699</v>
          </cell>
        </row>
        <row r="5786">
          <cell r="E5786" t="str">
            <v>HGC-Lib-2457933</v>
          </cell>
          <cell r="F5786" t="str">
            <v>19-2</v>
          </cell>
          <cell r="G5786">
            <v>10</v>
          </cell>
          <cell r="H5786" t="str">
            <v>cut&amp;tag文库</v>
          </cell>
          <cell r="I5786" t="str">
            <v>YHT</v>
          </cell>
          <cell r="J5786">
            <v>72.8</v>
          </cell>
          <cell r="K5786">
            <v>481</v>
          </cell>
          <cell r="N5786">
            <v>232.84823284823301</v>
          </cell>
        </row>
        <row r="5787">
          <cell r="E5787" t="str">
            <v>HGC-Lib-2457934</v>
          </cell>
          <cell r="F5787" t="str">
            <v>20-1</v>
          </cell>
          <cell r="G5787">
            <v>10</v>
          </cell>
          <cell r="H5787" t="str">
            <v>cut&amp;tag文库</v>
          </cell>
          <cell r="I5787" t="str">
            <v>YHT</v>
          </cell>
          <cell r="J5787">
            <v>21.6</v>
          </cell>
          <cell r="K5787">
            <v>489</v>
          </cell>
          <cell r="N5787">
            <v>67.956583294006606</v>
          </cell>
        </row>
        <row r="5788">
          <cell r="E5788" t="str">
            <v>HGC-Lib-2457935</v>
          </cell>
          <cell r="F5788" t="str">
            <v>20-2</v>
          </cell>
          <cell r="G5788">
            <v>10</v>
          </cell>
          <cell r="H5788" t="str">
            <v>cut&amp;tag文库</v>
          </cell>
          <cell r="I5788" t="str">
            <v>YHT</v>
          </cell>
          <cell r="J5788">
            <v>39.4</v>
          </cell>
          <cell r="K5788">
            <v>505</v>
          </cell>
          <cell r="N5788">
            <v>120.03046458492</v>
          </cell>
        </row>
        <row r="5789">
          <cell r="E5789" t="str">
            <v>HGC-Lib-2457936</v>
          </cell>
          <cell r="F5789" t="str">
            <v>21-1</v>
          </cell>
          <cell r="G5789">
            <v>10</v>
          </cell>
          <cell r="H5789" t="str">
            <v>cut&amp;tag文库</v>
          </cell>
          <cell r="I5789" t="str">
            <v>YHT</v>
          </cell>
          <cell r="J5789">
            <v>48</v>
          </cell>
          <cell r="K5789">
            <v>480</v>
          </cell>
          <cell r="N5789">
            <v>153.84615384615401</v>
          </cell>
        </row>
        <row r="5790">
          <cell r="E5790" t="str">
            <v>HGC-Lib-2457937</v>
          </cell>
          <cell r="F5790" t="str">
            <v>21-2</v>
          </cell>
          <cell r="G5790">
            <v>10</v>
          </cell>
          <cell r="H5790" t="str">
            <v>cut&amp;tag文库</v>
          </cell>
          <cell r="I5790" t="str">
            <v>GZQ</v>
          </cell>
          <cell r="J5790">
            <v>41</v>
          </cell>
          <cell r="K5790">
            <v>485</v>
          </cell>
          <cell r="N5790">
            <v>130.05551149881001</v>
          </cell>
        </row>
        <row r="5791">
          <cell r="E5791" t="str">
            <v>HGC-Lib-2457938</v>
          </cell>
          <cell r="F5791" t="str">
            <v>22-1</v>
          </cell>
          <cell r="G5791">
            <v>10</v>
          </cell>
          <cell r="H5791" t="str">
            <v>cut&amp;tag文库</v>
          </cell>
          <cell r="I5791" t="str">
            <v>GZQ</v>
          </cell>
          <cell r="J5791">
            <v>2.52</v>
          </cell>
          <cell r="K5791">
            <v>394</v>
          </cell>
          <cell r="N5791">
            <v>9.8399062866067908</v>
          </cell>
        </row>
        <row r="5792">
          <cell r="E5792" t="str">
            <v>HGC-Lib-2457939</v>
          </cell>
          <cell r="F5792" t="str">
            <v>22-2</v>
          </cell>
          <cell r="G5792">
            <v>10</v>
          </cell>
          <cell r="H5792" t="str">
            <v>cut&amp;tag文库</v>
          </cell>
          <cell r="I5792" t="str">
            <v>GZQ</v>
          </cell>
          <cell r="J5792">
            <v>2.68</v>
          </cell>
          <cell r="K5792">
            <v>393</v>
          </cell>
          <cell r="N5792">
            <v>10.491289880602899</v>
          </cell>
        </row>
        <row r="5793">
          <cell r="E5793" t="str">
            <v>HGC-Lib-2457940</v>
          </cell>
          <cell r="F5793" t="str">
            <v>23-1</v>
          </cell>
          <cell r="G5793">
            <v>10</v>
          </cell>
          <cell r="H5793" t="str">
            <v>cut&amp;tag文库</v>
          </cell>
          <cell r="I5793" t="str">
            <v>GZQ</v>
          </cell>
          <cell r="J5793">
            <v>49.6</v>
          </cell>
          <cell r="K5793">
            <v>477</v>
          </cell>
          <cell r="N5793">
            <v>159.97419771004701</v>
          </cell>
        </row>
        <row r="5794">
          <cell r="E5794" t="str">
            <v>HGC-Lib-2457941</v>
          </cell>
          <cell r="F5794" t="str">
            <v>23-2</v>
          </cell>
          <cell r="G5794">
            <v>10</v>
          </cell>
          <cell r="H5794" t="str">
            <v>cut&amp;tag文库</v>
          </cell>
          <cell r="I5794" t="str">
            <v>GZQ</v>
          </cell>
          <cell r="J5794">
            <v>49.4</v>
          </cell>
          <cell r="K5794">
            <v>479</v>
          </cell>
          <cell r="N5794">
            <v>158.66388308977</v>
          </cell>
        </row>
        <row r="5795">
          <cell r="E5795" t="str">
            <v>HGC-Lib-2457942</v>
          </cell>
          <cell r="F5795" t="str">
            <v>24-1</v>
          </cell>
          <cell r="G5795">
            <v>10</v>
          </cell>
          <cell r="H5795" t="str">
            <v>cut&amp;tag文库</v>
          </cell>
          <cell r="I5795" t="str">
            <v>GZQ</v>
          </cell>
          <cell r="J5795">
            <v>10.9</v>
          </cell>
          <cell r="K5795">
            <v>413</v>
          </cell>
          <cell r="N5795">
            <v>40.603464332277902</v>
          </cell>
        </row>
        <row r="5796">
          <cell r="E5796" t="str">
            <v>HGC-Lib-2457943</v>
          </cell>
          <cell r="F5796" t="str">
            <v>24-2</v>
          </cell>
          <cell r="G5796">
            <v>10</v>
          </cell>
          <cell r="H5796" t="str">
            <v>cut&amp;tag文库</v>
          </cell>
          <cell r="I5796" t="str">
            <v>GZQ</v>
          </cell>
          <cell r="J5796">
            <v>11.8</v>
          </cell>
          <cell r="K5796">
            <v>418</v>
          </cell>
          <cell r="N5796">
            <v>43.4302539565698</v>
          </cell>
        </row>
        <row r="5797">
          <cell r="E5797" t="str">
            <v>HGC-Lib-2457944</v>
          </cell>
          <cell r="F5797" t="str">
            <v>25-1</v>
          </cell>
          <cell r="G5797">
            <v>10</v>
          </cell>
          <cell r="H5797" t="str">
            <v>cut&amp;tag文库</v>
          </cell>
          <cell r="I5797" t="str">
            <v>GZQ</v>
          </cell>
          <cell r="J5797">
            <v>27.6</v>
          </cell>
          <cell r="K5797">
            <v>429</v>
          </cell>
          <cell r="N5797">
            <v>98.977945131791301</v>
          </cell>
        </row>
        <row r="5798">
          <cell r="E5798" t="str">
            <v>HGC-Lib-2457945</v>
          </cell>
          <cell r="F5798" t="str">
            <v>25-2</v>
          </cell>
          <cell r="G5798">
            <v>10</v>
          </cell>
          <cell r="H5798" t="str">
            <v>cut&amp;tag文库</v>
          </cell>
          <cell r="I5798" t="str">
            <v>GZQ</v>
          </cell>
          <cell r="J5798">
            <v>25.4</v>
          </cell>
          <cell r="K5798">
            <v>420</v>
          </cell>
          <cell r="N5798">
            <v>93.040293040293093</v>
          </cell>
        </row>
        <row r="5799">
          <cell r="E5799" t="str">
            <v>HGC-Lib-2457946</v>
          </cell>
          <cell r="F5799" t="str">
            <v>26-1</v>
          </cell>
          <cell r="G5799">
            <v>10</v>
          </cell>
          <cell r="H5799" t="str">
            <v>cut&amp;tag文库</v>
          </cell>
          <cell r="I5799" t="str">
            <v>GZQ</v>
          </cell>
          <cell r="J5799">
            <v>26.6</v>
          </cell>
          <cell r="K5799">
            <v>420</v>
          </cell>
          <cell r="N5799">
            <v>97.435897435897402</v>
          </cell>
        </row>
        <row r="5800">
          <cell r="E5800" t="str">
            <v>HGC-Lib-2457947</v>
          </cell>
          <cell r="F5800" t="str">
            <v>26-2</v>
          </cell>
          <cell r="G5800">
            <v>10</v>
          </cell>
          <cell r="H5800" t="str">
            <v>cut&amp;tag文库</v>
          </cell>
          <cell r="I5800" t="str">
            <v>GZQ</v>
          </cell>
          <cell r="J5800">
            <v>29.8</v>
          </cell>
          <cell r="K5800">
            <v>435</v>
          </cell>
          <cell r="N5800">
            <v>105.39345711759501</v>
          </cell>
        </row>
        <row r="5801">
          <cell r="E5801" t="str">
            <v>HGC-Lib-2457948</v>
          </cell>
          <cell r="F5801" t="str">
            <v>27-1</v>
          </cell>
          <cell r="G5801">
            <v>10</v>
          </cell>
          <cell r="H5801" t="str">
            <v>cut&amp;tag文库</v>
          </cell>
          <cell r="I5801" t="str">
            <v>GZQ</v>
          </cell>
          <cell r="J5801">
            <v>20.8</v>
          </cell>
          <cell r="K5801">
            <v>431</v>
          </cell>
          <cell r="N5801">
            <v>74.245939675174</v>
          </cell>
        </row>
        <row r="5802">
          <cell r="E5802" t="str">
            <v>HGC-Lib-2457949</v>
          </cell>
          <cell r="F5802" t="str">
            <v>27-2</v>
          </cell>
          <cell r="G5802">
            <v>10</v>
          </cell>
          <cell r="H5802" t="str">
            <v>cut&amp;tag文库</v>
          </cell>
          <cell r="I5802" t="str">
            <v>GZQ</v>
          </cell>
          <cell r="J5802">
            <v>22.2</v>
          </cell>
          <cell r="K5802">
            <v>435</v>
          </cell>
          <cell r="N5802">
            <v>78.514588859416406</v>
          </cell>
        </row>
        <row r="5803">
          <cell r="E5803" t="str">
            <v>HGC-Lib-2457950</v>
          </cell>
          <cell r="F5803" t="str">
            <v>28-1</v>
          </cell>
          <cell r="G5803">
            <v>10</v>
          </cell>
          <cell r="H5803" t="str">
            <v>cut&amp;tag文库</v>
          </cell>
          <cell r="I5803" t="str">
            <v>GZQ</v>
          </cell>
          <cell r="J5803">
            <v>71.2</v>
          </cell>
          <cell r="K5803">
            <v>459</v>
          </cell>
          <cell r="N5803">
            <v>238.645885704709</v>
          </cell>
        </row>
        <row r="5804">
          <cell r="E5804" t="str">
            <v>HGC-Lib-2457951</v>
          </cell>
          <cell r="F5804" t="str">
            <v>28-2</v>
          </cell>
          <cell r="G5804">
            <v>10</v>
          </cell>
          <cell r="H5804" t="str">
            <v>cut&amp;tag文库</v>
          </cell>
          <cell r="I5804" t="str">
            <v>GZQ</v>
          </cell>
          <cell r="J5804">
            <v>64.400000000000006</v>
          </cell>
          <cell r="K5804">
            <v>441</v>
          </cell>
          <cell r="N5804">
            <v>224.664224664225</v>
          </cell>
        </row>
        <row r="5805">
          <cell r="E5805" t="str">
            <v>HGC-Lib-2457952</v>
          </cell>
          <cell r="F5805" t="str">
            <v>29-1</v>
          </cell>
          <cell r="G5805">
            <v>10</v>
          </cell>
          <cell r="H5805" t="str">
            <v>cut&amp;tag文库</v>
          </cell>
          <cell r="I5805" t="str">
            <v>GZQ</v>
          </cell>
          <cell r="J5805">
            <v>12.9</v>
          </cell>
          <cell r="K5805">
            <v>417</v>
          </cell>
          <cell r="N5805">
            <v>47.592695074709503</v>
          </cell>
        </row>
        <row r="5806">
          <cell r="E5806" t="str">
            <v>HGC-Lib-2457953</v>
          </cell>
          <cell r="F5806" t="str">
            <v>29-2</v>
          </cell>
          <cell r="G5806">
            <v>10</v>
          </cell>
          <cell r="H5806" t="str">
            <v>cut&amp;tag文库</v>
          </cell>
          <cell r="I5806" t="str">
            <v>GZQ</v>
          </cell>
          <cell r="J5806">
            <v>13.5</v>
          </cell>
          <cell r="K5806">
            <v>414</v>
          </cell>
          <cell r="N5806">
            <v>50.167224080267601</v>
          </cell>
        </row>
        <row r="5807">
          <cell r="E5807" t="str">
            <v>HGC-Lib-2457954</v>
          </cell>
          <cell r="F5807" t="str">
            <v>30-1</v>
          </cell>
          <cell r="G5807">
            <v>10</v>
          </cell>
          <cell r="H5807" t="str">
            <v>cut&amp;tag文库</v>
          </cell>
          <cell r="I5807" t="str">
            <v>GZQ</v>
          </cell>
          <cell r="J5807">
            <v>6.38</v>
          </cell>
          <cell r="K5807">
            <v>443</v>
          </cell>
          <cell r="N5807">
            <v>22.156624413960799</v>
          </cell>
        </row>
        <row r="5808">
          <cell r="E5808" t="str">
            <v>HGC-Lib-2457955</v>
          </cell>
          <cell r="F5808" t="str">
            <v>30-2</v>
          </cell>
          <cell r="G5808">
            <v>10</v>
          </cell>
          <cell r="H5808" t="str">
            <v>cut&amp;tag文库</v>
          </cell>
          <cell r="I5808" t="str">
            <v>GZQ</v>
          </cell>
          <cell r="J5808">
            <v>10.3</v>
          </cell>
          <cell r="K5808">
            <v>450</v>
          </cell>
          <cell r="N5808">
            <v>35.213675213675202</v>
          </cell>
        </row>
        <row r="5809">
          <cell r="E5809" t="str">
            <v>HGC-Lib-2457956</v>
          </cell>
          <cell r="F5809" t="str">
            <v>31-1</v>
          </cell>
          <cell r="G5809">
            <v>10</v>
          </cell>
          <cell r="H5809" t="str">
            <v>cut&amp;tag文库</v>
          </cell>
          <cell r="I5809" t="str">
            <v>GZQ</v>
          </cell>
          <cell r="J5809">
            <v>4.5199999999999996</v>
          </cell>
          <cell r="K5809">
            <v>383</v>
          </cell>
          <cell r="N5809">
            <v>18.1562562763607</v>
          </cell>
        </row>
        <row r="5810">
          <cell r="E5810" t="str">
            <v>HGC-Lib-2457957</v>
          </cell>
          <cell r="F5810" t="str">
            <v>31-2</v>
          </cell>
          <cell r="G5810">
            <v>10</v>
          </cell>
          <cell r="H5810" t="str">
            <v>cut&amp;tag文库</v>
          </cell>
          <cell r="I5810" t="str">
            <v>GZQ</v>
          </cell>
          <cell r="J5810">
            <v>4.18</v>
          </cell>
          <cell r="K5810">
            <v>381</v>
          </cell>
          <cell r="N5810">
            <v>16.8786593983444</v>
          </cell>
        </row>
        <row r="5811">
          <cell r="E5811" t="str">
            <v>HGC-Lib-2457958</v>
          </cell>
          <cell r="F5811" t="str">
            <v>32-1</v>
          </cell>
          <cell r="G5811">
            <v>10</v>
          </cell>
          <cell r="H5811" t="str">
            <v>cut&amp;tag文库</v>
          </cell>
          <cell r="I5811" t="str">
            <v>GZQ</v>
          </cell>
          <cell r="J5811">
            <v>8.9600000000000009</v>
          </cell>
          <cell r="K5811">
            <v>457</v>
          </cell>
          <cell r="N5811">
            <v>30.1632721764013</v>
          </cell>
        </row>
        <row r="5812">
          <cell r="E5812" t="str">
            <v>HGC-Lib-2457959</v>
          </cell>
          <cell r="F5812" t="str">
            <v>32-2</v>
          </cell>
          <cell r="G5812">
            <v>10</v>
          </cell>
          <cell r="H5812" t="str">
            <v>cut&amp;tag文库</v>
          </cell>
          <cell r="I5812" t="str">
            <v>GZQ</v>
          </cell>
          <cell r="J5812">
            <v>12.7</v>
          </cell>
          <cell r="K5812">
            <v>466</v>
          </cell>
          <cell r="N5812">
            <v>41.928029052492597</v>
          </cell>
        </row>
        <row r="5813">
          <cell r="E5813" t="str">
            <v>HGC-Lib-2457960</v>
          </cell>
          <cell r="F5813" t="str">
            <v>33-1</v>
          </cell>
          <cell r="G5813">
            <v>10</v>
          </cell>
          <cell r="H5813" t="str">
            <v>cut&amp;tag文库</v>
          </cell>
          <cell r="I5813" t="str">
            <v>GZQ</v>
          </cell>
          <cell r="J5813">
            <v>40.6</v>
          </cell>
          <cell r="K5813">
            <v>452</v>
          </cell>
          <cell r="N5813">
            <v>138.18924438393501</v>
          </cell>
        </row>
        <row r="5814">
          <cell r="E5814" t="str">
            <v>HGC-Lib-2457961</v>
          </cell>
          <cell r="F5814" t="str">
            <v>33-2</v>
          </cell>
          <cell r="G5814">
            <v>10</v>
          </cell>
          <cell r="H5814" t="str">
            <v>cut&amp;tag文库</v>
          </cell>
          <cell r="I5814" t="str">
            <v>GZQ</v>
          </cell>
          <cell r="J5814">
            <v>36.4</v>
          </cell>
          <cell r="K5814">
            <v>443</v>
          </cell>
          <cell r="N5814">
            <v>126.410835214447</v>
          </cell>
        </row>
        <row r="5815">
          <cell r="E5815" t="str">
            <v>HGC-Lib-2457962</v>
          </cell>
          <cell r="F5815" t="str">
            <v>34-1</v>
          </cell>
          <cell r="G5815">
            <v>10</v>
          </cell>
          <cell r="H5815" t="str">
            <v>cut&amp;tag文库</v>
          </cell>
          <cell r="I5815" t="str">
            <v>GZQ</v>
          </cell>
          <cell r="J5815">
            <v>31.2</v>
          </cell>
          <cell r="K5815">
            <v>458</v>
          </cell>
          <cell r="N5815">
            <v>104.803493449782</v>
          </cell>
        </row>
        <row r="5816">
          <cell r="E5816" t="str">
            <v>HGC-Lib-2457963</v>
          </cell>
          <cell r="F5816" t="str">
            <v>34-2</v>
          </cell>
          <cell r="G5816">
            <v>10</v>
          </cell>
          <cell r="H5816" t="str">
            <v>cut&amp;tag文库</v>
          </cell>
          <cell r="I5816" t="str">
            <v>GZQ</v>
          </cell>
          <cell r="J5816">
            <v>36.6</v>
          </cell>
          <cell r="K5816">
            <v>451</v>
          </cell>
          <cell r="N5816">
            <v>124.8507589971</v>
          </cell>
        </row>
        <row r="5817">
          <cell r="E5817" t="str">
            <v>HGC-Lib-2457964</v>
          </cell>
          <cell r="F5817" t="str">
            <v>35-1</v>
          </cell>
          <cell r="G5817">
            <v>10</v>
          </cell>
          <cell r="H5817" t="str">
            <v>cut&amp;tag文库</v>
          </cell>
          <cell r="I5817" t="str">
            <v>GZQ</v>
          </cell>
          <cell r="J5817">
            <v>61.8</v>
          </cell>
          <cell r="K5817">
            <v>445</v>
          </cell>
          <cell r="N5817">
            <v>213.65600691443399</v>
          </cell>
        </row>
        <row r="5818">
          <cell r="E5818" t="str">
            <v>HGC-Lib-2457965</v>
          </cell>
          <cell r="F5818" t="str">
            <v>35-2</v>
          </cell>
          <cell r="G5818">
            <v>10</v>
          </cell>
          <cell r="H5818" t="str">
            <v>cut&amp;tag文库</v>
          </cell>
          <cell r="I5818" t="str">
            <v>GZQ</v>
          </cell>
          <cell r="J5818">
            <v>57.2</v>
          </cell>
          <cell r="K5818">
            <v>446</v>
          </cell>
          <cell r="N5818">
            <v>197.30941704035899</v>
          </cell>
        </row>
        <row r="5819">
          <cell r="E5819" t="str">
            <v>HGC-Lib-2457966</v>
          </cell>
          <cell r="F5819" t="str">
            <v>36-1</v>
          </cell>
          <cell r="G5819">
            <v>10</v>
          </cell>
          <cell r="H5819" t="str">
            <v>cut&amp;tag文库</v>
          </cell>
          <cell r="I5819" t="str">
            <v>GZQ</v>
          </cell>
          <cell r="J5819">
            <v>38.799999999999997</v>
          </cell>
          <cell r="K5819">
            <v>461</v>
          </cell>
          <cell r="N5819">
            <v>129.48439846487599</v>
          </cell>
        </row>
        <row r="5820">
          <cell r="E5820" t="str">
            <v>HGC-Lib-2457967</v>
          </cell>
          <cell r="F5820" t="str">
            <v>36-2</v>
          </cell>
          <cell r="G5820">
            <v>10</v>
          </cell>
          <cell r="H5820" t="str">
            <v>cut&amp;tag文库</v>
          </cell>
          <cell r="I5820" t="str">
            <v>GZQ</v>
          </cell>
          <cell r="J5820">
            <v>53.4</v>
          </cell>
          <cell r="K5820">
            <v>469</v>
          </cell>
          <cell r="N5820">
            <v>175.16811546662299</v>
          </cell>
        </row>
        <row r="5821">
          <cell r="E5821" t="str">
            <v>HGC-Lib-2457968</v>
          </cell>
          <cell r="F5821" t="str">
            <v>37-1</v>
          </cell>
          <cell r="G5821">
            <v>10</v>
          </cell>
          <cell r="H5821" t="str">
            <v>cut&amp;tag文库</v>
          </cell>
          <cell r="I5821" t="str">
            <v>GZQ</v>
          </cell>
          <cell r="J5821">
            <v>53.8</v>
          </cell>
          <cell r="K5821">
            <v>460</v>
          </cell>
          <cell r="N5821">
            <v>179.93311036789299</v>
          </cell>
        </row>
        <row r="5822">
          <cell r="E5822" t="str">
            <v>HGC-Lib-2457969</v>
          </cell>
          <cell r="F5822" t="str">
            <v>37-2</v>
          </cell>
          <cell r="G5822">
            <v>10</v>
          </cell>
          <cell r="H5822" t="str">
            <v>cut&amp;tag文库</v>
          </cell>
          <cell r="I5822" t="str">
            <v>GZQ</v>
          </cell>
          <cell r="J5822">
            <v>55.6</v>
          </cell>
          <cell r="K5822">
            <v>456</v>
          </cell>
          <cell r="N5822">
            <v>187.584345479082</v>
          </cell>
        </row>
        <row r="5823">
          <cell r="E5823" t="str">
            <v>HGC-Lib-2457970</v>
          </cell>
          <cell r="F5823" t="str">
            <v>38-1</v>
          </cell>
          <cell r="G5823">
            <v>10</v>
          </cell>
          <cell r="H5823" t="str">
            <v>cut&amp;tag文库</v>
          </cell>
          <cell r="I5823" t="str">
            <v>GZQ</v>
          </cell>
          <cell r="J5823">
            <v>29.8</v>
          </cell>
          <cell r="K5823">
            <v>471</v>
          </cell>
          <cell r="N5823">
            <v>97.337906255103704</v>
          </cell>
        </row>
        <row r="5824">
          <cell r="E5824" t="str">
            <v>HGC-Lib-2457971</v>
          </cell>
          <cell r="F5824" t="str">
            <v>38-2</v>
          </cell>
          <cell r="G5824">
            <v>10</v>
          </cell>
          <cell r="H5824" t="str">
            <v>cut&amp;tag文库</v>
          </cell>
          <cell r="I5824" t="str">
            <v>GZQ</v>
          </cell>
          <cell r="J5824">
            <v>32.6</v>
          </cell>
          <cell r="K5824">
            <v>460</v>
          </cell>
          <cell r="N5824">
            <v>109.03010033444799</v>
          </cell>
        </row>
        <row r="5825">
          <cell r="E5825" t="str">
            <v>HGC-Lib-2457972</v>
          </cell>
          <cell r="F5825" t="str">
            <v>39-1</v>
          </cell>
          <cell r="G5825">
            <v>10</v>
          </cell>
          <cell r="H5825" t="str">
            <v>cut&amp;tag文库</v>
          </cell>
          <cell r="I5825" t="str">
            <v>GZQ</v>
          </cell>
          <cell r="J5825">
            <v>49</v>
          </cell>
          <cell r="K5825">
            <v>496</v>
          </cell>
          <cell r="N5825">
            <v>151.98511166253101</v>
          </cell>
        </row>
        <row r="5826">
          <cell r="E5826" t="str">
            <v>HGC-Lib-2457973</v>
          </cell>
          <cell r="F5826" t="str">
            <v>39-2</v>
          </cell>
          <cell r="G5826">
            <v>10</v>
          </cell>
          <cell r="H5826" t="str">
            <v>cut&amp;tag文库</v>
          </cell>
          <cell r="I5826" t="str">
            <v>GZQ</v>
          </cell>
          <cell r="J5826">
            <v>36.4</v>
          </cell>
          <cell r="K5826">
            <v>494</v>
          </cell>
          <cell r="N5826">
            <v>113.36032388664</v>
          </cell>
        </row>
        <row r="5827">
          <cell r="E5827" t="str">
            <v>HGC-Lib-2457974</v>
          </cell>
          <cell r="F5827" t="str">
            <v>40-1</v>
          </cell>
          <cell r="G5827">
            <v>10</v>
          </cell>
          <cell r="H5827" t="str">
            <v>cut&amp;tag文库</v>
          </cell>
          <cell r="I5827" t="str">
            <v>GZQ</v>
          </cell>
          <cell r="J5827">
            <v>5.56</v>
          </cell>
          <cell r="K5827">
            <v>439</v>
          </cell>
          <cell r="N5827">
            <v>19.484843175048201</v>
          </cell>
        </row>
        <row r="5828">
          <cell r="E5828" t="str">
            <v>HGC-Lib-2457975</v>
          </cell>
          <cell r="F5828" t="str">
            <v>40-2</v>
          </cell>
          <cell r="G5828">
            <v>10</v>
          </cell>
          <cell r="H5828" t="str">
            <v>cut&amp;tag文库</v>
          </cell>
          <cell r="I5828" t="str">
            <v>GZQ</v>
          </cell>
          <cell r="J5828">
            <v>5.42</v>
          </cell>
          <cell r="K5828">
            <v>432</v>
          </cell>
          <cell r="N5828">
            <v>19.301994301994299</v>
          </cell>
        </row>
        <row r="5829">
          <cell r="E5829" t="str">
            <v>HGC-Lib-2457976</v>
          </cell>
          <cell r="F5829" t="str">
            <v>41-1</v>
          </cell>
          <cell r="G5829">
            <v>10</v>
          </cell>
          <cell r="H5829" t="str">
            <v>cut&amp;tag文库</v>
          </cell>
          <cell r="I5829" t="str">
            <v>GZQ</v>
          </cell>
          <cell r="J5829">
            <v>90.8</v>
          </cell>
          <cell r="K5829">
            <v>461</v>
          </cell>
          <cell r="N5829">
            <v>303.02019022192599</v>
          </cell>
        </row>
        <row r="5830">
          <cell r="E5830" t="str">
            <v>HGC-Lib-2457977</v>
          </cell>
          <cell r="F5830" t="str">
            <v>41-2</v>
          </cell>
          <cell r="G5830">
            <v>10</v>
          </cell>
          <cell r="H5830" t="str">
            <v>cut&amp;tag文库</v>
          </cell>
          <cell r="I5830" t="str">
            <v>GZQ</v>
          </cell>
          <cell r="J5830">
            <v>85.4</v>
          </cell>
          <cell r="K5830">
            <v>465</v>
          </cell>
          <cell r="N5830">
            <v>282.547559966915</v>
          </cell>
        </row>
        <row r="5831">
          <cell r="E5831" t="str">
            <v>HGC-Lib-2457978</v>
          </cell>
          <cell r="F5831" t="str">
            <v>42-1</v>
          </cell>
          <cell r="G5831">
            <v>10</v>
          </cell>
          <cell r="H5831" t="str">
            <v>cut&amp;tag文库</v>
          </cell>
          <cell r="I5831" t="str">
            <v>GZQ</v>
          </cell>
          <cell r="J5831">
            <v>32.799999999999997</v>
          </cell>
          <cell r="K5831">
            <v>478</v>
          </cell>
          <cell r="N5831">
            <v>105.568072095269</v>
          </cell>
        </row>
        <row r="5832">
          <cell r="E5832" t="str">
            <v>HGC-Lib-2457979</v>
          </cell>
          <cell r="F5832" t="str">
            <v>42-2</v>
          </cell>
          <cell r="G5832">
            <v>10</v>
          </cell>
          <cell r="H5832" t="str">
            <v>cut&amp;tag文库</v>
          </cell>
          <cell r="I5832" t="str">
            <v>GZQ</v>
          </cell>
          <cell r="J5832">
            <v>51.8</v>
          </cell>
          <cell r="K5832">
            <v>490</v>
          </cell>
          <cell r="N5832">
            <v>162.637362637363</v>
          </cell>
        </row>
        <row r="5833">
          <cell r="E5833" t="str">
            <v>HGC-Lib-2457980</v>
          </cell>
          <cell r="F5833" t="str">
            <v>43-1</v>
          </cell>
          <cell r="G5833">
            <v>10</v>
          </cell>
          <cell r="H5833" t="str">
            <v>cut&amp;tag文库</v>
          </cell>
          <cell r="I5833" t="str">
            <v>GZQ</v>
          </cell>
          <cell r="J5833">
            <v>25.6</v>
          </cell>
          <cell r="K5833">
            <v>480</v>
          </cell>
          <cell r="N5833">
            <v>82.051282051282101</v>
          </cell>
        </row>
        <row r="5834">
          <cell r="E5834" t="str">
            <v>HGC-Lib-2457981</v>
          </cell>
          <cell r="F5834" t="str">
            <v>43-2</v>
          </cell>
          <cell r="G5834">
            <v>10</v>
          </cell>
          <cell r="H5834" t="str">
            <v>cut&amp;tag文库</v>
          </cell>
          <cell r="I5834" t="str">
            <v>GZQ</v>
          </cell>
          <cell r="J5834">
            <v>38.6</v>
          </cell>
          <cell r="K5834">
            <v>487</v>
          </cell>
          <cell r="N5834">
            <v>121.93966198072999</v>
          </cell>
        </row>
        <row r="5835">
          <cell r="E5835" t="str">
            <v>HGC-Lib-2457982</v>
          </cell>
          <cell r="F5835" t="str">
            <v>44-1</v>
          </cell>
          <cell r="G5835">
            <v>10</v>
          </cell>
          <cell r="H5835" t="str">
            <v>cut&amp;tag文库</v>
          </cell>
          <cell r="I5835" t="str">
            <v>GZQ</v>
          </cell>
          <cell r="J5835">
            <v>51.6</v>
          </cell>
          <cell r="K5835">
            <v>490</v>
          </cell>
          <cell r="N5835">
            <v>162.009419152276</v>
          </cell>
        </row>
        <row r="5836">
          <cell r="E5836" t="str">
            <v>HGC-Lib-2457983</v>
          </cell>
          <cell r="F5836" t="str">
            <v>44-2</v>
          </cell>
          <cell r="G5836">
            <v>10</v>
          </cell>
          <cell r="H5836" t="str">
            <v>cut&amp;tag文库</v>
          </cell>
          <cell r="I5836" t="str">
            <v>GZQ</v>
          </cell>
          <cell r="J5836">
            <v>64</v>
          </cell>
          <cell r="K5836">
            <v>489</v>
          </cell>
          <cell r="N5836">
            <v>201.35283938964901</v>
          </cell>
        </row>
        <row r="5837">
          <cell r="E5837" t="str">
            <v>HGC-Lib-2457984</v>
          </cell>
          <cell r="F5837" t="str">
            <v>45-1</v>
          </cell>
          <cell r="G5837">
            <v>10</v>
          </cell>
          <cell r="H5837" t="str">
            <v>cut&amp;tag文库</v>
          </cell>
          <cell r="I5837" t="str">
            <v>GZQ</v>
          </cell>
          <cell r="J5837">
            <v>30.6</v>
          </cell>
          <cell r="K5837">
            <v>463</v>
          </cell>
          <cell r="N5837">
            <v>101.678019604585</v>
          </cell>
        </row>
        <row r="5838">
          <cell r="E5838" t="str">
            <v>HGC-Lib-2457985</v>
          </cell>
          <cell r="F5838" t="str">
            <v>45-2</v>
          </cell>
          <cell r="G5838">
            <v>10</v>
          </cell>
          <cell r="H5838" t="str">
            <v>cut&amp;tag文库</v>
          </cell>
          <cell r="I5838" t="str">
            <v>ZZ</v>
          </cell>
          <cell r="J5838">
            <v>35</v>
          </cell>
          <cell r="K5838">
            <v>477</v>
          </cell>
          <cell r="N5838">
            <v>112.88501854539599</v>
          </cell>
        </row>
        <row r="5839">
          <cell r="E5839" t="str">
            <v>HGC-Lib-2457986</v>
          </cell>
          <cell r="F5839" t="str">
            <v>46-1</v>
          </cell>
          <cell r="G5839">
            <v>10</v>
          </cell>
          <cell r="H5839" t="str">
            <v>cut&amp;tag文库</v>
          </cell>
          <cell r="I5839" t="str">
            <v>ZZ</v>
          </cell>
          <cell r="J5839">
            <v>45.6</v>
          </cell>
          <cell r="K5839">
            <v>497</v>
          </cell>
          <cell r="N5839">
            <v>141.15462002785901</v>
          </cell>
        </row>
        <row r="5840">
          <cell r="E5840" t="str">
            <v>HGC-Lib-2457987</v>
          </cell>
          <cell r="F5840" t="str">
            <v>46-2</v>
          </cell>
          <cell r="G5840">
            <v>10</v>
          </cell>
          <cell r="H5840" t="str">
            <v>cut&amp;tag文库</v>
          </cell>
          <cell r="I5840" t="str">
            <v>ZZ</v>
          </cell>
          <cell r="J5840">
            <v>36.799999999999997</v>
          </cell>
          <cell r="K5840">
            <v>477</v>
          </cell>
          <cell r="N5840">
            <v>118.690533784873</v>
          </cell>
        </row>
        <row r="5841">
          <cell r="E5841" t="str">
            <v>HGC-2457988</v>
          </cell>
          <cell r="F5841" t="str">
            <v>BATF CKO</v>
          </cell>
          <cell r="G5841">
            <v>100</v>
          </cell>
          <cell r="I5841" t="str">
            <v>ZZ</v>
          </cell>
          <cell r="J5841">
            <v>29.6</v>
          </cell>
          <cell r="K5841">
            <v>491</v>
          </cell>
          <cell r="N5841">
            <v>92.7463575121416</v>
          </cell>
        </row>
        <row r="5842">
          <cell r="E5842" t="str">
            <v>HGC-POOL2457997</v>
          </cell>
          <cell r="F5842" t="str">
            <v>A240722</v>
          </cell>
          <cell r="G5842">
            <v>25</v>
          </cell>
          <cell r="H5842" t="str">
            <v>PCR产物文库</v>
          </cell>
          <cell r="I5842" t="str">
            <v>ZZ</v>
          </cell>
          <cell r="J5842">
            <v>17.399999999999999</v>
          </cell>
          <cell r="K5842">
            <v>353</v>
          </cell>
          <cell r="N5842">
            <v>75.8335149269993</v>
          </cell>
        </row>
        <row r="5843">
          <cell r="E5843" t="str">
            <v>HGC-POOL2457998</v>
          </cell>
          <cell r="F5843" t="str">
            <v>pool-4543-Xplus</v>
          </cell>
          <cell r="G5843">
            <v>1000</v>
          </cell>
          <cell r="H5843" t="str">
            <v>10x单细胞测序v3,100%</v>
          </cell>
          <cell r="I5843" t="str">
            <v>ZZ</v>
          </cell>
          <cell r="J5843">
            <v>20</v>
          </cell>
          <cell r="K5843">
            <v>495</v>
          </cell>
          <cell r="N5843">
            <v>62.160062160062203</v>
          </cell>
        </row>
        <row r="5844">
          <cell r="E5844" t="str">
            <v>HGC-POOL-2457999</v>
          </cell>
          <cell r="F5844" t="str">
            <v>WK0722-1</v>
          </cell>
          <cell r="G5844">
            <v>5</v>
          </cell>
          <cell r="H5844" t="str">
            <v>WES/panel捕获文库</v>
          </cell>
          <cell r="I5844" t="str">
            <v>ZZ</v>
          </cell>
          <cell r="J5844">
            <v>0.93200000000000005</v>
          </cell>
          <cell r="K5844">
            <v>409</v>
          </cell>
          <cell r="N5844">
            <v>3.5057363174722602</v>
          </cell>
        </row>
        <row r="5845">
          <cell r="E5845" t="str">
            <v>HGC-lib-2458100</v>
          </cell>
          <cell r="F5845" t="str">
            <v>N703-pH7.4-550pg-0722</v>
          </cell>
          <cell r="G5845">
            <v>15</v>
          </cell>
          <cell r="H5845" t="str">
            <v>mRNA文库</v>
          </cell>
          <cell r="I5845" t="str">
            <v>ZZ</v>
          </cell>
          <cell r="J5845">
            <v>1.26</v>
          </cell>
          <cell r="K5845">
            <v>666</v>
          </cell>
          <cell r="N5845">
            <v>2.9106029106029099</v>
          </cell>
        </row>
        <row r="5846">
          <cell r="E5846" t="str">
            <v>HGC-lib-2458101</v>
          </cell>
          <cell r="F5846" t="str">
            <v>N705-pH7.4-500pg-0722</v>
          </cell>
          <cell r="G5846">
            <v>10</v>
          </cell>
          <cell r="H5846" t="str">
            <v>mRNA文库</v>
          </cell>
          <cell r="I5846" t="str">
            <v>ZZ</v>
          </cell>
          <cell r="J5846">
            <v>1.76</v>
          </cell>
          <cell r="K5846">
            <v>593</v>
          </cell>
          <cell r="N5846">
            <v>4.5660915812686502</v>
          </cell>
        </row>
        <row r="5847">
          <cell r="E5847" t="str">
            <v>HGC-lib-2458102</v>
          </cell>
          <cell r="F5847" t="str">
            <v>clk-1190</v>
          </cell>
          <cell r="G5847">
            <v>3</v>
          </cell>
          <cell r="H5847" t="str">
            <v>mRNA文库</v>
          </cell>
          <cell r="I5847" t="str">
            <v>ZZ</v>
          </cell>
          <cell r="J5847">
            <v>11.2</v>
          </cell>
          <cell r="K5847">
            <v>297</v>
          </cell>
          <cell r="N5847">
            <v>58.016058016057997</v>
          </cell>
        </row>
        <row r="5848">
          <cell r="E5848" t="str">
            <v>HGC-Lib-2458121</v>
          </cell>
          <cell r="F5848" t="str">
            <v>IIA</v>
          </cell>
          <cell r="G5848">
            <v>2</v>
          </cell>
          <cell r="H5848" t="str">
            <v>PCR产物文库</v>
          </cell>
          <cell r="I5848" t="str">
            <v>ZZ</v>
          </cell>
          <cell r="J5848">
            <v>14.8</v>
          </cell>
          <cell r="K5848">
            <v>280</v>
          </cell>
          <cell r="N5848">
            <v>81.3186813186813</v>
          </cell>
        </row>
        <row r="5849">
          <cell r="E5849" t="str">
            <v>HGC-Lib-2458122</v>
          </cell>
          <cell r="F5849" t="str">
            <v>lu</v>
          </cell>
          <cell r="G5849">
            <v>2</v>
          </cell>
          <cell r="H5849" t="str">
            <v>PCR产物文库</v>
          </cell>
          <cell r="I5849" t="str">
            <v>ZZ</v>
          </cell>
          <cell r="J5849">
            <v>3.16</v>
          </cell>
          <cell r="K5849">
            <v>268</v>
          </cell>
          <cell r="N5849">
            <v>18.140068886337499</v>
          </cell>
        </row>
        <row r="5850">
          <cell r="E5850" t="str">
            <v>HGC-Lib-2458123</v>
          </cell>
          <cell r="F5850" t="str">
            <v>li</v>
          </cell>
          <cell r="G5850">
            <v>2</v>
          </cell>
          <cell r="H5850" t="str">
            <v>PCR产物文库</v>
          </cell>
          <cell r="I5850" t="str">
            <v>ZZ</v>
          </cell>
          <cell r="J5850">
            <v>1.53</v>
          </cell>
          <cell r="K5850">
            <v>287</v>
          </cell>
          <cell r="N5850">
            <v>8.2015545430179593</v>
          </cell>
        </row>
        <row r="5851">
          <cell r="E5851" t="str">
            <v>HGC-Lib-2458124</v>
          </cell>
          <cell r="F5851" t="str">
            <v>MFP</v>
          </cell>
          <cell r="G5851">
            <v>2</v>
          </cell>
          <cell r="H5851" t="str">
            <v>PCR产物文库</v>
          </cell>
          <cell r="I5851" t="str">
            <v>ZZ</v>
          </cell>
          <cell r="J5851">
            <v>8.76</v>
          </cell>
          <cell r="K5851">
            <v>280</v>
          </cell>
          <cell r="N5851">
            <v>48.131868131868103</v>
          </cell>
        </row>
        <row r="5852">
          <cell r="E5852" t="str">
            <v>HGC-POOL-2458129</v>
          </cell>
          <cell r="F5852" t="str">
            <v>MethyCap 11</v>
          </cell>
          <cell r="G5852">
            <v>300</v>
          </cell>
          <cell r="H5852" t="str">
            <v>甲基化文库</v>
          </cell>
          <cell r="I5852" t="str">
            <v>ZZ</v>
          </cell>
          <cell r="J5852">
            <v>22.2</v>
          </cell>
          <cell r="K5852">
            <v>391</v>
          </cell>
          <cell r="N5852">
            <v>87.349990163289405</v>
          </cell>
        </row>
        <row r="5853">
          <cell r="E5853" t="str">
            <v>HGC-Lib-2458139</v>
          </cell>
          <cell r="F5853">
            <v>2</v>
          </cell>
          <cell r="G5853">
            <v>4</v>
          </cell>
          <cell r="H5853" t="str">
            <v>cut&amp;tag文库</v>
          </cell>
          <cell r="I5853" t="str">
            <v>ZZ</v>
          </cell>
          <cell r="J5853">
            <v>2.97</v>
          </cell>
          <cell r="K5853">
            <v>483</v>
          </cell>
          <cell r="N5853">
            <v>9.4601051122790292</v>
          </cell>
        </row>
        <row r="5854">
          <cell r="E5854" t="str">
            <v>HGC-Lib-2458140</v>
          </cell>
          <cell r="F5854">
            <v>3</v>
          </cell>
          <cell r="G5854">
            <v>6</v>
          </cell>
          <cell r="H5854" t="str">
            <v>cut&amp;tag文库</v>
          </cell>
          <cell r="I5854" t="str">
            <v>ZZ</v>
          </cell>
          <cell r="J5854">
            <v>0.38600000000000001</v>
          </cell>
          <cell r="K5854">
            <v>405</v>
          </cell>
          <cell r="N5854">
            <v>1.4662867996201301</v>
          </cell>
        </row>
        <row r="5855">
          <cell r="E5855" t="str">
            <v>HGC-POOL-2458141</v>
          </cell>
          <cell r="F5855" t="str">
            <v>Mix</v>
          </cell>
          <cell r="G5855">
            <v>6</v>
          </cell>
          <cell r="H5855" t="str">
            <v>cut&amp;tag文库</v>
          </cell>
          <cell r="I5855" t="str">
            <v>ZZ</v>
          </cell>
          <cell r="J5855">
            <v>2.2000000000000002</v>
          </cell>
          <cell r="K5855">
            <v>471</v>
          </cell>
          <cell r="N5855">
            <v>7.1860199248734302</v>
          </cell>
        </row>
        <row r="5856">
          <cell r="E5856" t="str">
            <v>HGC-Lib-2458143</v>
          </cell>
          <cell r="F5856" t="str">
            <v>OL27562-GW130942</v>
          </cell>
          <cell r="G5856">
            <v>1000</v>
          </cell>
          <cell r="H5856" t="str">
            <v>全基因组文库</v>
          </cell>
          <cell r="I5856" t="str">
            <v>HZK</v>
          </cell>
          <cell r="J5856">
            <v>2.88</v>
          </cell>
          <cell r="K5856">
            <v>454</v>
          </cell>
          <cell r="N5856">
            <v>9.7594035920027107</v>
          </cell>
        </row>
        <row r="5857">
          <cell r="E5857" t="str">
            <v>HGC-POOL-2458144</v>
          </cell>
          <cell r="F5857" t="str">
            <v>FB-3</v>
          </cell>
          <cell r="G5857">
            <v>30</v>
          </cell>
          <cell r="H5857" t="str">
            <v>宏基因组文库</v>
          </cell>
          <cell r="I5857" t="str">
            <v>HZK</v>
          </cell>
          <cell r="J5857">
            <v>0.29199999999999998</v>
          </cell>
          <cell r="K5857">
            <v>385</v>
          </cell>
          <cell r="N5857">
            <v>1.16683316683317</v>
          </cell>
        </row>
        <row r="5858">
          <cell r="E5858" t="str">
            <v>HGC-Lib-2458145</v>
          </cell>
          <cell r="F5858" t="str">
            <v>L-1</v>
          </cell>
          <cell r="G5858">
            <v>9</v>
          </cell>
          <cell r="H5858" t="str">
            <v>lncRNA文库</v>
          </cell>
          <cell r="I5858" t="str">
            <v>HZK</v>
          </cell>
          <cell r="J5858">
            <v>87.8</v>
          </cell>
          <cell r="N5858" t="e">
            <v>#DIV/0!</v>
          </cell>
        </row>
        <row r="5859">
          <cell r="E5859" t="str">
            <v>HGC-Lib-2458146</v>
          </cell>
          <cell r="F5859" t="str">
            <v>L-2</v>
          </cell>
          <cell r="G5859">
            <v>9</v>
          </cell>
          <cell r="H5859" t="str">
            <v>lncRNA文库</v>
          </cell>
          <cell r="I5859" t="str">
            <v>HZK</v>
          </cell>
          <cell r="J5859">
            <v>57.2</v>
          </cell>
          <cell r="N5859" t="e">
            <v>#DIV/0!</v>
          </cell>
        </row>
        <row r="5860">
          <cell r="E5860" t="str">
            <v>HGC-Lib-2458147</v>
          </cell>
          <cell r="F5860" t="str">
            <v>m-1</v>
          </cell>
          <cell r="G5860">
            <v>9</v>
          </cell>
          <cell r="H5860" t="str">
            <v>mRNA文库</v>
          </cell>
          <cell r="I5860" t="str">
            <v>HZK</v>
          </cell>
          <cell r="J5860">
            <v>12.1</v>
          </cell>
          <cell r="N5860" t="e">
            <v>#DIV/0!</v>
          </cell>
        </row>
        <row r="5861">
          <cell r="E5861" t="str">
            <v>HGC-Lib-2458148</v>
          </cell>
          <cell r="F5861" t="str">
            <v>m-2</v>
          </cell>
          <cell r="G5861">
            <v>9</v>
          </cell>
          <cell r="H5861" t="str">
            <v>mRNA文库</v>
          </cell>
          <cell r="I5861" t="str">
            <v>HZK</v>
          </cell>
          <cell r="J5861">
            <v>4.7</v>
          </cell>
          <cell r="N5861" t="e">
            <v>#DIV/0!</v>
          </cell>
        </row>
        <row r="5862">
          <cell r="E5862" t="str">
            <v>HGC-Lib-2458149</v>
          </cell>
          <cell r="F5862" t="str">
            <v>LC240717063</v>
          </cell>
          <cell r="G5862">
            <v>105</v>
          </cell>
          <cell r="H5862" t="str">
            <v>singleron-3'转录组文库</v>
          </cell>
          <cell r="I5862" t="str">
            <v>XCL</v>
          </cell>
          <cell r="J5862">
            <v>10.4</v>
          </cell>
          <cell r="N5862" t="e">
            <v>#DIV/0!</v>
          </cell>
        </row>
        <row r="5863">
          <cell r="E5863" t="str">
            <v>HGC-Lib-2458150</v>
          </cell>
          <cell r="F5863" t="str">
            <v>LC240717064</v>
          </cell>
          <cell r="G5863">
            <v>105</v>
          </cell>
          <cell r="H5863" t="str">
            <v>singleron-3'转录组文库</v>
          </cell>
          <cell r="I5863" t="str">
            <v>XCL</v>
          </cell>
          <cell r="J5863">
            <v>13.7</v>
          </cell>
          <cell r="N5863" t="e">
            <v>#DIV/0!</v>
          </cell>
        </row>
        <row r="5864">
          <cell r="E5864" t="str">
            <v>HGC-Lib-2458151</v>
          </cell>
          <cell r="F5864" t="str">
            <v>LC240716056</v>
          </cell>
          <cell r="G5864">
            <v>100</v>
          </cell>
          <cell r="H5864" t="str">
            <v>singleron-3'转录组文库</v>
          </cell>
          <cell r="I5864" t="str">
            <v>XCL</v>
          </cell>
          <cell r="J5864">
            <v>13.1</v>
          </cell>
          <cell r="N5864" t="e">
            <v>#DIV/0!</v>
          </cell>
        </row>
        <row r="5865">
          <cell r="E5865" t="str">
            <v>HGC-Lib-2458152</v>
          </cell>
          <cell r="F5865" t="str">
            <v>LC240717033</v>
          </cell>
          <cell r="G5865">
            <v>100</v>
          </cell>
          <cell r="H5865" t="str">
            <v>singleron-3'转录组文库</v>
          </cell>
          <cell r="I5865" t="str">
            <v>XCL</v>
          </cell>
          <cell r="J5865">
            <v>27.2</v>
          </cell>
          <cell r="N5865" t="e">
            <v>#DIV/0!</v>
          </cell>
        </row>
        <row r="5866">
          <cell r="E5866" t="str">
            <v>HGC-Lib-2458153</v>
          </cell>
          <cell r="F5866" t="str">
            <v>LC240717031</v>
          </cell>
          <cell r="G5866">
            <v>100</v>
          </cell>
          <cell r="H5866" t="str">
            <v>singleron-3'转录组文库</v>
          </cell>
          <cell r="I5866" t="str">
            <v>XCL</v>
          </cell>
          <cell r="J5866">
            <v>25.8</v>
          </cell>
          <cell r="N5866" t="e">
            <v>#DIV/0!</v>
          </cell>
        </row>
        <row r="5867">
          <cell r="E5867" t="str">
            <v>HGC-Lib-2458154</v>
          </cell>
          <cell r="F5867" t="str">
            <v>LC240717037</v>
          </cell>
          <cell r="G5867">
            <v>100</v>
          </cell>
          <cell r="H5867" t="str">
            <v>singleron-3'转录组文库</v>
          </cell>
          <cell r="I5867" t="str">
            <v>XCL</v>
          </cell>
          <cell r="J5867">
            <v>17.899999999999999</v>
          </cell>
          <cell r="N5867" t="e">
            <v>#DIV/0!</v>
          </cell>
        </row>
        <row r="5868">
          <cell r="E5868" t="str">
            <v>HGC-Lib-2458155</v>
          </cell>
          <cell r="F5868" t="str">
            <v>LA240717054X1</v>
          </cell>
          <cell r="G5868">
            <v>10</v>
          </cell>
          <cell r="H5868" t="str">
            <v>singleron-3'转录组文库</v>
          </cell>
          <cell r="I5868" t="str">
            <v>XCL</v>
          </cell>
          <cell r="J5868">
            <v>19.899999999999999</v>
          </cell>
          <cell r="N5868" t="e">
            <v>#DIV/0!</v>
          </cell>
        </row>
        <row r="5869">
          <cell r="E5869" t="str">
            <v>HGC-Lib-2458156</v>
          </cell>
          <cell r="F5869" t="str">
            <v>LA240717053X1</v>
          </cell>
          <cell r="G5869">
            <v>10</v>
          </cell>
          <cell r="H5869" t="str">
            <v>singleron-3'转录组文库</v>
          </cell>
          <cell r="I5869" t="str">
            <v>XCL</v>
          </cell>
          <cell r="J5869">
            <v>19</v>
          </cell>
          <cell r="N5869" t="e">
            <v>#DIV/0!</v>
          </cell>
        </row>
        <row r="5870">
          <cell r="E5870" t="str">
            <v>HGC-Lib-2458157</v>
          </cell>
          <cell r="F5870" t="str">
            <v>LC240717060</v>
          </cell>
          <cell r="G5870">
            <v>100</v>
          </cell>
          <cell r="H5870" t="str">
            <v>singleron-3'转录组文库</v>
          </cell>
          <cell r="I5870" t="str">
            <v>XCL</v>
          </cell>
          <cell r="J5870">
            <v>22.2</v>
          </cell>
          <cell r="N5870" t="e">
            <v>#DIV/0!</v>
          </cell>
        </row>
        <row r="5871">
          <cell r="E5871" t="str">
            <v>HGC-Lib-2458158</v>
          </cell>
          <cell r="F5871" t="str">
            <v>LC240717061</v>
          </cell>
          <cell r="G5871">
            <v>100</v>
          </cell>
          <cell r="H5871" t="str">
            <v>singleron-3'转录组文库</v>
          </cell>
          <cell r="I5871" t="str">
            <v>XCL</v>
          </cell>
          <cell r="J5871">
            <v>21</v>
          </cell>
          <cell r="N5871" t="e">
            <v>#DIV/0!</v>
          </cell>
        </row>
        <row r="5872">
          <cell r="E5872" t="str">
            <v>HGC-Lib-2458159</v>
          </cell>
          <cell r="F5872" t="str">
            <v>LC240716085</v>
          </cell>
          <cell r="G5872">
            <v>30</v>
          </cell>
          <cell r="H5872" t="str">
            <v>singleron-3'转录组文库</v>
          </cell>
          <cell r="I5872" t="str">
            <v>XCL</v>
          </cell>
          <cell r="J5872">
            <v>14.6</v>
          </cell>
          <cell r="N5872" t="e">
            <v>#DIV/0!</v>
          </cell>
        </row>
        <row r="5873">
          <cell r="E5873" t="str">
            <v>HGC-Lib-2458160</v>
          </cell>
          <cell r="F5873" t="str">
            <v>LC240717008</v>
          </cell>
          <cell r="G5873">
            <v>100</v>
          </cell>
          <cell r="H5873" t="str">
            <v>singleron-3'转录组文库</v>
          </cell>
          <cell r="I5873" t="str">
            <v>XCL</v>
          </cell>
          <cell r="J5873">
            <v>12.8</v>
          </cell>
          <cell r="N5873" t="e">
            <v>#DIV/0!</v>
          </cell>
        </row>
        <row r="5874">
          <cell r="E5874" t="str">
            <v>HGC-Lib-2458161</v>
          </cell>
          <cell r="F5874" t="str">
            <v>LC240717062</v>
          </cell>
          <cell r="G5874">
            <v>100</v>
          </cell>
          <cell r="H5874" t="str">
            <v>singleron-3'转录组文库</v>
          </cell>
          <cell r="I5874" t="str">
            <v>XCL</v>
          </cell>
          <cell r="J5874">
            <v>35</v>
          </cell>
          <cell r="N5874" t="e">
            <v>#DIV/0!</v>
          </cell>
        </row>
        <row r="5875">
          <cell r="E5875" t="str">
            <v>HGC-Lib-2458162</v>
          </cell>
          <cell r="F5875" t="str">
            <v>LHC240718014</v>
          </cell>
          <cell r="G5875">
            <v>200</v>
          </cell>
          <cell r="H5875" t="str">
            <v>singleron-3'转录组文库</v>
          </cell>
          <cell r="I5875" t="str">
            <v>XCL</v>
          </cell>
          <cell r="J5875">
            <v>17.3</v>
          </cell>
          <cell r="N5875" t="e">
            <v>#DIV/0!</v>
          </cell>
        </row>
        <row r="5876">
          <cell r="E5876" t="str">
            <v>HGC-Lib-2458163</v>
          </cell>
          <cell r="F5876" t="str">
            <v>LC240716068</v>
          </cell>
          <cell r="G5876">
            <v>100</v>
          </cell>
          <cell r="H5876" t="str">
            <v>singleron-3'转录组文库</v>
          </cell>
          <cell r="I5876" t="str">
            <v>XCL</v>
          </cell>
          <cell r="J5876">
            <v>15.4</v>
          </cell>
          <cell r="N5876" t="e">
            <v>#DIV/0!</v>
          </cell>
        </row>
        <row r="5877">
          <cell r="E5877" t="str">
            <v>HGC-Lib-2458164</v>
          </cell>
          <cell r="F5877" t="str">
            <v>LC240716070</v>
          </cell>
          <cell r="G5877">
            <v>100</v>
          </cell>
          <cell r="H5877" t="str">
            <v>singleron-3'转录组文库</v>
          </cell>
          <cell r="I5877" t="str">
            <v>XCL</v>
          </cell>
          <cell r="J5877">
            <v>27.4</v>
          </cell>
          <cell r="N5877" t="e">
            <v>#DIV/0!</v>
          </cell>
        </row>
        <row r="5878">
          <cell r="E5878" t="str">
            <v>HGC-Lib-2458165</v>
          </cell>
          <cell r="F5878" t="str">
            <v>LC240716067</v>
          </cell>
          <cell r="G5878">
            <v>100</v>
          </cell>
          <cell r="H5878" t="str">
            <v>singleron-3'转录组文库</v>
          </cell>
          <cell r="I5878" t="str">
            <v>XCL</v>
          </cell>
          <cell r="J5878">
            <v>27.4</v>
          </cell>
          <cell r="N5878" t="e">
            <v>#DIV/0!</v>
          </cell>
        </row>
        <row r="5879">
          <cell r="E5879" t="str">
            <v>HGC-Lib-2458166</v>
          </cell>
          <cell r="F5879" t="str">
            <v>LC240716069</v>
          </cell>
          <cell r="G5879">
            <v>100</v>
          </cell>
          <cell r="H5879" t="str">
            <v>singleron-3'转录组文库</v>
          </cell>
          <cell r="I5879" t="str">
            <v>XCL</v>
          </cell>
          <cell r="J5879">
            <v>27</v>
          </cell>
          <cell r="N5879" t="e">
            <v>#DIV/0!</v>
          </cell>
        </row>
        <row r="5880">
          <cell r="E5880" t="str">
            <v>HGC-Lib-2458167</v>
          </cell>
          <cell r="F5880" t="str">
            <v>LFTBC240717039</v>
          </cell>
          <cell r="G5880">
            <v>90</v>
          </cell>
          <cell r="H5880" t="str">
            <v>singleron-3'全长转录组文库</v>
          </cell>
          <cell r="I5880" t="str">
            <v>XCL</v>
          </cell>
          <cell r="J5880">
            <v>16.899999999999999</v>
          </cell>
          <cell r="N5880" t="e">
            <v>#DIV/0!</v>
          </cell>
        </row>
        <row r="5881">
          <cell r="E5881" t="str">
            <v>HGC-Lib-2458168</v>
          </cell>
          <cell r="F5881" t="str">
            <v>LFTBC240716042X2</v>
          </cell>
          <cell r="G5881">
            <v>90</v>
          </cell>
          <cell r="H5881" t="str">
            <v>singleron-3'全长转录组文库</v>
          </cell>
          <cell r="I5881" t="str">
            <v>XCL</v>
          </cell>
          <cell r="J5881">
            <v>7.64</v>
          </cell>
          <cell r="N5881" t="e">
            <v>#DIV/0!</v>
          </cell>
        </row>
        <row r="5882">
          <cell r="E5882" t="str">
            <v>HGC-Lib-2458169</v>
          </cell>
          <cell r="F5882" t="str">
            <v>LFTBC240717040</v>
          </cell>
          <cell r="G5882">
            <v>90</v>
          </cell>
          <cell r="H5882" t="str">
            <v>singleron-3'全长转录组文库</v>
          </cell>
          <cell r="I5882" t="str">
            <v>XCL</v>
          </cell>
          <cell r="J5882">
            <v>18.399999999999999</v>
          </cell>
          <cell r="N5882" t="e">
            <v>#DIV/0!</v>
          </cell>
        </row>
        <row r="5883">
          <cell r="E5883" t="str">
            <v>HGC-Lib-2458170</v>
          </cell>
          <cell r="F5883" t="str">
            <v>LFTA240717025</v>
          </cell>
          <cell r="G5883">
            <v>100</v>
          </cell>
          <cell r="H5883" t="str">
            <v>singleron-3'全长转录组文库</v>
          </cell>
          <cell r="I5883" t="str">
            <v>XCL</v>
          </cell>
          <cell r="J5883">
            <v>18.5</v>
          </cell>
          <cell r="N5883" t="e">
            <v>#DIV/0!</v>
          </cell>
        </row>
        <row r="5884">
          <cell r="E5884" t="str">
            <v>HGC-Lib-2458171</v>
          </cell>
          <cell r="F5884" t="str">
            <v>LFTA240716101X1</v>
          </cell>
          <cell r="G5884">
            <v>100</v>
          </cell>
          <cell r="H5884" t="str">
            <v>singleron-3'全长转录组文库</v>
          </cell>
          <cell r="I5884" t="str">
            <v>XCL</v>
          </cell>
          <cell r="J5884">
            <v>11</v>
          </cell>
          <cell r="N5884" t="e">
            <v>#DIV/0!</v>
          </cell>
        </row>
        <row r="5885">
          <cell r="E5885" t="str">
            <v>HGC-Lib-2458172</v>
          </cell>
          <cell r="F5885" t="str">
            <v>LFTC240717067X1</v>
          </cell>
          <cell r="G5885">
            <v>100</v>
          </cell>
          <cell r="H5885" t="str">
            <v>singleron-3'全长转录组文库</v>
          </cell>
          <cell r="I5885" t="str">
            <v>XCL</v>
          </cell>
          <cell r="J5885">
            <v>22.6</v>
          </cell>
          <cell r="N5885" t="e">
            <v>#DIV/0!</v>
          </cell>
        </row>
        <row r="5886">
          <cell r="E5886" t="str">
            <v>HGC-Lib-2458173</v>
          </cell>
          <cell r="F5886" t="str">
            <v>LFTC240717026</v>
          </cell>
          <cell r="G5886">
            <v>100</v>
          </cell>
          <cell r="H5886" t="str">
            <v>singleron-3'全长转录组文库</v>
          </cell>
          <cell r="I5886" t="str">
            <v>XCL</v>
          </cell>
          <cell r="J5886">
            <v>19.3</v>
          </cell>
          <cell r="N5886" t="e">
            <v>#DIV/0!</v>
          </cell>
        </row>
        <row r="5887">
          <cell r="E5887" t="str">
            <v>HGC-Lib-2458174</v>
          </cell>
          <cell r="F5887" t="str">
            <v>LFTA240716100</v>
          </cell>
          <cell r="G5887">
            <v>100</v>
          </cell>
          <cell r="H5887" t="str">
            <v>singleron-3'全长转录组文库</v>
          </cell>
          <cell r="I5887" t="str">
            <v>XCL</v>
          </cell>
          <cell r="J5887">
            <v>9.18</v>
          </cell>
          <cell r="N5887" t="e">
            <v>#DIV/0!</v>
          </cell>
        </row>
        <row r="5888">
          <cell r="E5888" t="str">
            <v>HGC-Lib-2458175</v>
          </cell>
          <cell r="F5888" t="str">
            <v>LFTC240717066X2</v>
          </cell>
          <cell r="G5888">
            <v>100</v>
          </cell>
          <cell r="H5888" t="str">
            <v>singleron-3'全长转录组文库</v>
          </cell>
          <cell r="I5888" t="str">
            <v>XCL</v>
          </cell>
          <cell r="J5888">
            <v>18.2</v>
          </cell>
          <cell r="N5888" t="e">
            <v>#DIV/0!</v>
          </cell>
        </row>
        <row r="5889">
          <cell r="E5889" t="str">
            <v>HGC-Lib-2458176</v>
          </cell>
          <cell r="F5889" t="str">
            <v>LFTA240716098</v>
          </cell>
          <cell r="G5889">
            <v>100</v>
          </cell>
          <cell r="H5889" t="str">
            <v>singleron-3'全长转录组文库</v>
          </cell>
          <cell r="I5889" t="str">
            <v>XCL</v>
          </cell>
          <cell r="J5889">
            <v>10.5</v>
          </cell>
          <cell r="N5889" t="e">
            <v>#DIV/0!</v>
          </cell>
        </row>
        <row r="5890">
          <cell r="E5890" t="str">
            <v>HGC-Lib-2458177</v>
          </cell>
          <cell r="F5890" t="str">
            <v>LFTA240716099X2</v>
          </cell>
          <cell r="G5890">
            <v>100</v>
          </cell>
          <cell r="H5890" t="str">
            <v>singleron-3'全长转录组文库</v>
          </cell>
          <cell r="I5890" t="str">
            <v>XCL</v>
          </cell>
          <cell r="J5890">
            <v>11.7</v>
          </cell>
          <cell r="N5890" t="e">
            <v>#DIV/0!</v>
          </cell>
        </row>
        <row r="5891">
          <cell r="E5891" t="str">
            <v>HGC-Lib-2458178</v>
          </cell>
          <cell r="F5891" t="str">
            <v>PMLPMA240716095X1</v>
          </cell>
          <cell r="G5891">
            <v>12</v>
          </cell>
          <cell r="H5891" t="str">
            <v>其他碱基不平衡文库</v>
          </cell>
          <cell r="I5891" t="str">
            <v>XCL</v>
          </cell>
          <cell r="J5891">
            <v>34.200000000000003</v>
          </cell>
          <cell r="N5891" t="e">
            <v>#DIV/0!</v>
          </cell>
        </row>
        <row r="5892">
          <cell r="E5892" t="str">
            <v>HGC-Lib-2458179</v>
          </cell>
          <cell r="F5892" t="str">
            <v>LPMA240716095X1</v>
          </cell>
          <cell r="G5892">
            <v>100</v>
          </cell>
          <cell r="H5892" t="str">
            <v>singleron-3'转录组文库</v>
          </cell>
          <cell r="I5892" t="str">
            <v>XCL</v>
          </cell>
          <cell r="J5892">
            <v>18.600000000000001</v>
          </cell>
          <cell r="N5892" t="e">
            <v>#DIV/0!</v>
          </cell>
        </row>
        <row r="5893">
          <cell r="E5893" t="str">
            <v>HGC-Lib-2458180</v>
          </cell>
          <cell r="F5893" t="str">
            <v>LC240717073</v>
          </cell>
          <cell r="G5893">
            <v>100</v>
          </cell>
          <cell r="H5893" t="str">
            <v>singleron-3'转录组文库</v>
          </cell>
          <cell r="I5893" t="str">
            <v>XCL</v>
          </cell>
          <cell r="J5893">
            <v>42.4</v>
          </cell>
          <cell r="N5893" t="e">
            <v>#DIV/0!</v>
          </cell>
        </row>
        <row r="5894">
          <cell r="E5894" t="str">
            <v>HGC-Lib-2458181</v>
          </cell>
          <cell r="F5894" t="str">
            <v>LC240717072</v>
          </cell>
          <cell r="G5894">
            <v>100</v>
          </cell>
          <cell r="H5894" t="str">
            <v>singleron-3'转录组文库</v>
          </cell>
          <cell r="I5894" t="str">
            <v>XCL</v>
          </cell>
          <cell r="J5894">
            <v>39.200000000000003</v>
          </cell>
          <cell r="N5894" t="e">
            <v>#DIV/0!</v>
          </cell>
        </row>
        <row r="5895">
          <cell r="E5895" t="str">
            <v>HGC-Lib-2458182</v>
          </cell>
          <cell r="F5895" t="str">
            <v>LC240717045</v>
          </cell>
          <cell r="G5895">
            <v>100</v>
          </cell>
          <cell r="H5895" t="str">
            <v>singleron-3'转录组文库</v>
          </cell>
          <cell r="I5895" t="str">
            <v>XCL</v>
          </cell>
          <cell r="J5895">
            <v>30</v>
          </cell>
          <cell r="N5895" t="e">
            <v>#DIV/0!</v>
          </cell>
        </row>
        <row r="5896">
          <cell r="E5896" t="str">
            <v>HGC-Lib-2458183</v>
          </cell>
          <cell r="F5896" t="str">
            <v>LA240702062</v>
          </cell>
          <cell r="G5896">
            <v>20</v>
          </cell>
          <cell r="H5896" t="str">
            <v>singleron-3'转录组文库</v>
          </cell>
          <cell r="I5896" t="str">
            <v>XCL</v>
          </cell>
          <cell r="J5896">
            <v>16.2</v>
          </cell>
          <cell r="N5896" t="e">
            <v>#DIV/0!</v>
          </cell>
        </row>
        <row r="5897">
          <cell r="E5897" t="str">
            <v>HGC-Lib-2458184</v>
          </cell>
          <cell r="F5897" t="str">
            <v>LA240702065</v>
          </cell>
          <cell r="G5897">
            <v>20</v>
          </cell>
          <cell r="H5897" t="str">
            <v>singleron-3'转录组文库</v>
          </cell>
          <cell r="I5897" t="str">
            <v>XCL</v>
          </cell>
          <cell r="J5897">
            <v>16.399999999999999</v>
          </cell>
          <cell r="N5897" t="e">
            <v>#DIV/0!</v>
          </cell>
        </row>
        <row r="5898">
          <cell r="E5898" t="str">
            <v>HGC-Lib-2458185</v>
          </cell>
          <cell r="F5898" t="str">
            <v>LC240702066</v>
          </cell>
          <cell r="G5898">
            <v>20</v>
          </cell>
          <cell r="H5898" t="str">
            <v>singleron-3'转录组文库</v>
          </cell>
          <cell r="I5898" t="str">
            <v>XCL</v>
          </cell>
          <cell r="J5898">
            <v>10.7</v>
          </cell>
          <cell r="N5898" t="e">
            <v>#DIV/0!</v>
          </cell>
        </row>
        <row r="5899">
          <cell r="E5899" t="str">
            <v>HGC-Lib-2458186</v>
          </cell>
          <cell r="F5899" t="str">
            <v>LA240702063</v>
          </cell>
          <cell r="G5899">
            <v>20</v>
          </cell>
          <cell r="H5899" t="str">
            <v>singleron-3'转录组文库</v>
          </cell>
          <cell r="I5899" t="str">
            <v>XCL</v>
          </cell>
          <cell r="J5899">
            <v>13.5</v>
          </cell>
          <cell r="N5899" t="e">
            <v>#DIV/0!</v>
          </cell>
        </row>
        <row r="5900">
          <cell r="E5900" t="str">
            <v>HGC-Lib-2458187</v>
          </cell>
          <cell r="F5900" t="str">
            <v>LC240718029</v>
          </cell>
          <cell r="G5900">
            <v>100</v>
          </cell>
          <cell r="H5900" t="str">
            <v>singleron-3'转录组文库</v>
          </cell>
          <cell r="I5900" t="str">
            <v>XCL</v>
          </cell>
          <cell r="J5900">
            <v>16.5</v>
          </cell>
          <cell r="N5900" t="e">
            <v>#DIV/0!</v>
          </cell>
        </row>
        <row r="5901">
          <cell r="E5901" t="str">
            <v>HGC-Lib-2458188</v>
          </cell>
          <cell r="F5901" t="str">
            <v>LC240718030</v>
          </cell>
          <cell r="G5901">
            <v>100</v>
          </cell>
          <cell r="H5901" t="str">
            <v>singleron-3'转录组文库</v>
          </cell>
          <cell r="I5901" t="str">
            <v>XCL</v>
          </cell>
          <cell r="J5901">
            <v>21.8</v>
          </cell>
          <cell r="N5901" t="e">
            <v>#DIV/0!</v>
          </cell>
        </row>
        <row r="5902">
          <cell r="E5902" t="str">
            <v>HGC-Lib-2458189</v>
          </cell>
          <cell r="F5902" t="str">
            <v>LC240718028</v>
          </cell>
          <cell r="G5902">
            <v>100</v>
          </cell>
          <cell r="H5902" t="str">
            <v>singleron-3'转录组文库</v>
          </cell>
          <cell r="I5902" t="str">
            <v>XCL</v>
          </cell>
          <cell r="J5902">
            <v>20.8</v>
          </cell>
          <cell r="N5902" t="e">
            <v>#DIV/0!</v>
          </cell>
        </row>
        <row r="5903">
          <cell r="E5903" t="str">
            <v>HGC-Lib-2458190</v>
          </cell>
          <cell r="F5903" t="str">
            <v>LC240718027</v>
          </cell>
          <cell r="G5903">
            <v>100</v>
          </cell>
          <cell r="H5903" t="str">
            <v>singleron-3'转录组文库</v>
          </cell>
          <cell r="I5903" t="str">
            <v>XCL</v>
          </cell>
          <cell r="J5903">
            <v>19.100000000000001</v>
          </cell>
          <cell r="N5903" t="e">
            <v>#DIV/0!</v>
          </cell>
        </row>
        <row r="5904">
          <cell r="E5904" t="str">
            <v>HGC-Lib-2458191</v>
          </cell>
          <cell r="F5904" t="str">
            <v>LC240717028</v>
          </cell>
          <cell r="G5904">
            <v>100</v>
          </cell>
          <cell r="H5904" t="str">
            <v>singleron-3'转录组文库</v>
          </cell>
          <cell r="I5904" t="str">
            <v>XCL</v>
          </cell>
          <cell r="J5904">
            <v>20.8</v>
          </cell>
          <cell r="N5904" t="e">
            <v>#DIV/0!</v>
          </cell>
        </row>
        <row r="5905">
          <cell r="E5905" t="str">
            <v>HGC-Lib-2458192</v>
          </cell>
          <cell r="F5905" t="str">
            <v>ATACLC240714027</v>
          </cell>
          <cell r="G5905">
            <v>10</v>
          </cell>
          <cell r="H5905" t="str">
            <v>singleron-ATAC文库</v>
          </cell>
          <cell r="I5905" t="str">
            <v>XCL</v>
          </cell>
          <cell r="J5905">
            <v>42.8</v>
          </cell>
          <cell r="N5905" t="e">
            <v>#DIV/0!</v>
          </cell>
        </row>
        <row r="5906">
          <cell r="E5906" t="str">
            <v>HGC-Lib-2458193</v>
          </cell>
          <cell r="F5906" t="str">
            <v>ATACLC240714025</v>
          </cell>
          <cell r="G5906">
            <v>10</v>
          </cell>
          <cell r="H5906" t="str">
            <v>singleron-ATAC文库</v>
          </cell>
          <cell r="I5906" t="str">
            <v>XCL</v>
          </cell>
          <cell r="J5906">
            <v>26</v>
          </cell>
          <cell r="N5906" t="e">
            <v>#DIV/0!</v>
          </cell>
        </row>
        <row r="5907">
          <cell r="E5907" t="str">
            <v>HGC-Lib-2458194</v>
          </cell>
          <cell r="F5907" t="str">
            <v>ATACLC240714028</v>
          </cell>
          <cell r="G5907">
            <v>10</v>
          </cell>
          <cell r="H5907" t="str">
            <v>singleron-ATAC文库</v>
          </cell>
          <cell r="I5907" t="str">
            <v>XCL</v>
          </cell>
          <cell r="J5907">
            <v>2.7</v>
          </cell>
          <cell r="N5907" t="e">
            <v>#DIV/0!</v>
          </cell>
        </row>
        <row r="5908">
          <cell r="E5908" t="str">
            <v>HGC-Lib-2458195</v>
          </cell>
          <cell r="F5908" t="str">
            <v>ATACLC240714026</v>
          </cell>
          <cell r="G5908">
            <v>10</v>
          </cell>
          <cell r="H5908" t="str">
            <v>singleron-ATAC文库</v>
          </cell>
          <cell r="I5908" t="str">
            <v>XCL</v>
          </cell>
          <cell r="J5908">
            <v>29.2</v>
          </cell>
          <cell r="N5908" t="e">
            <v>#DIV/0!</v>
          </cell>
        </row>
        <row r="5909">
          <cell r="E5909" t="str">
            <v>HGC-Lib-2458196</v>
          </cell>
          <cell r="F5909" t="str">
            <v>LC240712120FSX2</v>
          </cell>
          <cell r="G5909">
            <v>100</v>
          </cell>
          <cell r="H5909" t="str">
            <v>singleron-3'转录组文库</v>
          </cell>
          <cell r="I5909" t="str">
            <v>XCL</v>
          </cell>
          <cell r="J5909">
            <v>16.3</v>
          </cell>
          <cell r="N5909" t="e">
            <v>#DIV/0!</v>
          </cell>
        </row>
        <row r="5910">
          <cell r="E5910" t="str">
            <v>HGC-Lib-2458197</v>
          </cell>
          <cell r="F5910" t="str">
            <v>LA240717070FS</v>
          </cell>
          <cell r="G5910">
            <v>90</v>
          </cell>
          <cell r="H5910" t="str">
            <v>singleron-3'转录组文库</v>
          </cell>
          <cell r="I5910" t="str">
            <v>HZK</v>
          </cell>
          <cell r="J5910">
            <v>21</v>
          </cell>
          <cell r="N5910" t="e">
            <v>#DIV/0!</v>
          </cell>
        </row>
        <row r="5911">
          <cell r="E5911" t="str">
            <v>HGC-Lib-2458198</v>
          </cell>
          <cell r="F5911" t="str">
            <v>LC240716079</v>
          </cell>
          <cell r="G5911">
            <v>100</v>
          </cell>
          <cell r="H5911" t="str">
            <v>singleron-3'转录组文库</v>
          </cell>
          <cell r="I5911" t="str">
            <v>HZK</v>
          </cell>
          <cell r="J5911">
            <v>17.600000000000001</v>
          </cell>
          <cell r="N5911" t="e">
            <v>#DIV/0!</v>
          </cell>
        </row>
        <row r="5912">
          <cell r="E5912" t="str">
            <v>HGC-Lib-2458199</v>
          </cell>
          <cell r="F5912" t="str">
            <v>LC240716078</v>
          </cell>
          <cell r="G5912">
            <v>100</v>
          </cell>
          <cell r="H5912" t="str">
            <v>singleron-3'转录组文库</v>
          </cell>
          <cell r="I5912" t="str">
            <v>HZK</v>
          </cell>
          <cell r="J5912">
            <v>19.600000000000001</v>
          </cell>
          <cell r="N5912" t="e">
            <v>#DIV/0!</v>
          </cell>
        </row>
        <row r="5913">
          <cell r="E5913" t="str">
            <v>HGC-Lib-2458200</v>
          </cell>
          <cell r="F5913" t="str">
            <v>LA240718020</v>
          </cell>
          <cell r="G5913">
            <v>100</v>
          </cell>
          <cell r="H5913" t="str">
            <v>singleron-3'转录组文库</v>
          </cell>
          <cell r="I5913" t="str">
            <v>HZK</v>
          </cell>
          <cell r="J5913">
            <v>12.7</v>
          </cell>
          <cell r="N5913" t="e">
            <v>#DIV/0!</v>
          </cell>
        </row>
        <row r="5914">
          <cell r="E5914" t="str">
            <v>HGC-Lib-2458201</v>
          </cell>
          <cell r="F5914" t="str">
            <v>LHC240717019</v>
          </cell>
          <cell r="G5914">
            <v>200</v>
          </cell>
          <cell r="H5914" t="str">
            <v>singleron-3'转录组文库</v>
          </cell>
          <cell r="I5914" t="str">
            <v>HZK</v>
          </cell>
          <cell r="J5914">
            <v>30.8</v>
          </cell>
          <cell r="N5914" t="e">
            <v>#DIV/0!</v>
          </cell>
        </row>
        <row r="5915">
          <cell r="E5915" t="str">
            <v>HGC-Lib-2458202</v>
          </cell>
          <cell r="F5915" t="str">
            <v>LHC240717020</v>
          </cell>
          <cell r="G5915">
            <v>200</v>
          </cell>
          <cell r="H5915" t="str">
            <v>singleron-3'转录组文库</v>
          </cell>
          <cell r="I5915" t="str">
            <v>HZK</v>
          </cell>
          <cell r="J5915">
            <v>29</v>
          </cell>
          <cell r="N5915" t="e">
            <v>#DIV/0!</v>
          </cell>
        </row>
        <row r="5916">
          <cell r="E5916" t="str">
            <v>HGC-Lib-2458203</v>
          </cell>
          <cell r="F5916" t="str">
            <v>LTC240713047</v>
          </cell>
          <cell r="G5916">
            <v>90</v>
          </cell>
          <cell r="H5916" t="str">
            <v>singleron-3'转录组文库</v>
          </cell>
          <cell r="I5916" t="str">
            <v>HZK</v>
          </cell>
          <cell r="J5916">
            <v>14.6</v>
          </cell>
          <cell r="N5916" t="e">
            <v>#DIV/0!</v>
          </cell>
        </row>
        <row r="5917">
          <cell r="E5917" t="str">
            <v>HGC-Lib-2458204</v>
          </cell>
          <cell r="F5917" t="str">
            <v>LC240716114</v>
          </cell>
          <cell r="G5917">
            <v>90</v>
          </cell>
          <cell r="H5917" t="str">
            <v>singleron-3'转录组文库</v>
          </cell>
          <cell r="I5917" t="str">
            <v>HZK</v>
          </cell>
          <cell r="J5917">
            <v>5.42</v>
          </cell>
          <cell r="N5917" t="e">
            <v>#DIV/0!</v>
          </cell>
        </row>
        <row r="5918">
          <cell r="E5918" t="str">
            <v>HGC-Lib-2458205</v>
          </cell>
          <cell r="F5918" t="str">
            <v>LA240718017</v>
          </cell>
          <cell r="G5918">
            <v>90</v>
          </cell>
          <cell r="H5918" t="str">
            <v>singleron-3'转录组文库</v>
          </cell>
          <cell r="I5918" t="str">
            <v>HZK</v>
          </cell>
          <cell r="J5918">
            <v>15.7</v>
          </cell>
          <cell r="N5918" t="e">
            <v>#DIV/0!</v>
          </cell>
        </row>
        <row r="5919">
          <cell r="E5919" t="str">
            <v>HGC-Lib-2458206</v>
          </cell>
          <cell r="F5919" t="str">
            <v>LA240718018</v>
          </cell>
          <cell r="G5919">
            <v>90</v>
          </cell>
          <cell r="H5919" t="str">
            <v>singleron-3'转录组文库</v>
          </cell>
          <cell r="I5919" t="str">
            <v>HZK</v>
          </cell>
          <cell r="J5919">
            <v>13.3</v>
          </cell>
          <cell r="N5919" t="e">
            <v>#DIV/0!</v>
          </cell>
        </row>
        <row r="5920">
          <cell r="E5920" t="str">
            <v>HGC-Lib-2458207</v>
          </cell>
          <cell r="F5920" t="str">
            <v>LFTC240717012</v>
          </cell>
          <cell r="G5920">
            <v>120</v>
          </cell>
          <cell r="H5920" t="str">
            <v>singleron-3'全长转录组文库</v>
          </cell>
          <cell r="I5920" t="str">
            <v>HZK</v>
          </cell>
          <cell r="J5920">
            <v>18.7</v>
          </cell>
          <cell r="N5920" t="e">
            <v>#DIV/0!</v>
          </cell>
        </row>
        <row r="5921">
          <cell r="E5921" t="str">
            <v>HGC-Lib-2458208</v>
          </cell>
          <cell r="F5921" t="str">
            <v>LFTBC240716017</v>
          </cell>
          <cell r="G5921">
            <v>180</v>
          </cell>
          <cell r="H5921" t="str">
            <v>singleron-3'全长转录组文库</v>
          </cell>
          <cell r="I5921" t="str">
            <v>HZK</v>
          </cell>
          <cell r="J5921">
            <v>17.7</v>
          </cell>
          <cell r="N5921" t="e">
            <v>#DIV/0!</v>
          </cell>
        </row>
        <row r="5922">
          <cell r="E5922" t="str">
            <v>HGC-Lib-2458209</v>
          </cell>
          <cell r="F5922" t="str">
            <v>LFTC240613011</v>
          </cell>
          <cell r="G5922">
            <v>120</v>
          </cell>
          <cell r="H5922" t="str">
            <v>singleron-3'全长转录组文库</v>
          </cell>
          <cell r="I5922" t="str">
            <v>HZK</v>
          </cell>
          <cell r="J5922">
            <v>26</v>
          </cell>
          <cell r="N5922" t="e">
            <v>#DIV/0!</v>
          </cell>
        </row>
        <row r="5923">
          <cell r="E5923" t="str">
            <v>HGC-Lib-2458210</v>
          </cell>
          <cell r="F5923" t="str">
            <v>LFTC240510002</v>
          </cell>
          <cell r="G5923">
            <v>120</v>
          </cell>
          <cell r="H5923" t="str">
            <v>singleron-3'全长转录组文库</v>
          </cell>
          <cell r="I5923" t="str">
            <v>HZK</v>
          </cell>
          <cell r="J5923">
            <v>21.6</v>
          </cell>
          <cell r="N5923" t="e">
            <v>#DIV/0!</v>
          </cell>
        </row>
        <row r="5924">
          <cell r="E5924" t="str">
            <v>HGC-Lib-2458211</v>
          </cell>
          <cell r="F5924" t="str">
            <v>LFTC240516049</v>
          </cell>
          <cell r="G5924">
            <v>120</v>
          </cell>
          <cell r="H5924" t="str">
            <v>singleron-3'全长转录组文库</v>
          </cell>
          <cell r="I5924" t="str">
            <v>HZK</v>
          </cell>
          <cell r="J5924">
            <v>22</v>
          </cell>
          <cell r="N5924" t="e">
            <v>#DIV/0!</v>
          </cell>
        </row>
        <row r="5925">
          <cell r="E5925" t="str">
            <v>HGC-Lib-2458212</v>
          </cell>
          <cell r="F5925" t="str">
            <v>LFTC240417029</v>
          </cell>
          <cell r="G5925">
            <v>120</v>
          </cell>
          <cell r="H5925" t="str">
            <v>singleron-3'全长转录组文库</v>
          </cell>
          <cell r="I5925" t="str">
            <v>HZK</v>
          </cell>
          <cell r="J5925">
            <v>25.2</v>
          </cell>
          <cell r="N5925" t="e">
            <v>#DIV/0!</v>
          </cell>
        </row>
        <row r="5926">
          <cell r="E5926" t="str">
            <v>HGC-Lib-2458213</v>
          </cell>
          <cell r="F5926" t="str">
            <v>LFTC240522043</v>
          </cell>
          <cell r="G5926">
            <v>120</v>
          </cell>
          <cell r="H5926" t="str">
            <v>singleron-3'全长转录组文库</v>
          </cell>
          <cell r="I5926" t="str">
            <v>HZK</v>
          </cell>
          <cell r="J5926">
            <v>27.2</v>
          </cell>
          <cell r="N5926" t="e">
            <v>#DIV/0!</v>
          </cell>
        </row>
        <row r="5927">
          <cell r="E5927" t="str">
            <v>HGC-Lib-2458214</v>
          </cell>
          <cell r="F5927" t="str">
            <v>LFTC240604009</v>
          </cell>
          <cell r="G5927">
            <v>120</v>
          </cell>
          <cell r="H5927" t="str">
            <v>singleron-3'全长转录组文库</v>
          </cell>
          <cell r="I5927" t="str">
            <v>HZK</v>
          </cell>
          <cell r="J5927">
            <v>18.399999999999999</v>
          </cell>
          <cell r="N5927" t="e">
            <v>#DIV/0!</v>
          </cell>
        </row>
        <row r="5928">
          <cell r="E5928" t="str">
            <v>HGC-Lib-2458215</v>
          </cell>
          <cell r="F5928" t="str">
            <v>LFTC240510003</v>
          </cell>
          <cell r="G5928">
            <v>120</v>
          </cell>
          <cell r="H5928" t="str">
            <v>singleron-3'全长转录组文库</v>
          </cell>
          <cell r="I5928" t="str">
            <v>HZK</v>
          </cell>
          <cell r="J5928">
            <v>23.8</v>
          </cell>
          <cell r="N5928" t="e">
            <v>#DIV/0!</v>
          </cell>
        </row>
        <row r="5929">
          <cell r="E5929" t="str">
            <v>HGC-Lib-2458216</v>
          </cell>
          <cell r="F5929" t="str">
            <v>LA240404027</v>
          </cell>
          <cell r="G5929">
            <v>120</v>
          </cell>
          <cell r="H5929" t="str">
            <v>singleron-3'转录组文库</v>
          </cell>
          <cell r="I5929" t="str">
            <v>HZK</v>
          </cell>
          <cell r="J5929">
            <v>23</v>
          </cell>
          <cell r="N5929" t="e">
            <v>#DIV/0!</v>
          </cell>
        </row>
        <row r="5930">
          <cell r="E5930" t="str">
            <v>HGC-Lib-2458217</v>
          </cell>
          <cell r="F5930" t="str">
            <v>LC240717069</v>
          </cell>
          <cell r="G5930">
            <v>100</v>
          </cell>
          <cell r="H5930" t="str">
            <v>singleron-3'转录组文库</v>
          </cell>
          <cell r="I5930" t="str">
            <v>HZK</v>
          </cell>
          <cell r="J5930">
            <v>29.2</v>
          </cell>
          <cell r="N5930" t="e">
            <v>#DIV/0!</v>
          </cell>
        </row>
        <row r="5931">
          <cell r="E5931" t="str">
            <v>HGC-Lib-2458218</v>
          </cell>
          <cell r="F5931" t="str">
            <v>LHC240718003</v>
          </cell>
          <cell r="G5931">
            <v>200</v>
          </cell>
          <cell r="H5931" t="str">
            <v>singleron-3'转录组文库</v>
          </cell>
          <cell r="I5931" t="str">
            <v>HZK</v>
          </cell>
          <cell r="J5931">
            <v>26.2</v>
          </cell>
          <cell r="N5931" t="e">
            <v>#DIV/0!</v>
          </cell>
        </row>
        <row r="5932">
          <cell r="E5932" t="str">
            <v>HGC-Lib-2458219</v>
          </cell>
          <cell r="F5932" t="str">
            <v>LA240327029</v>
          </cell>
          <cell r="G5932">
            <v>120</v>
          </cell>
          <cell r="H5932" t="str">
            <v>singleron-3'转录组文库</v>
          </cell>
          <cell r="I5932" t="str">
            <v>HZK</v>
          </cell>
          <cell r="J5932">
            <v>18.399999999999999</v>
          </cell>
          <cell r="N5932" t="e">
            <v>#DIV/0!</v>
          </cell>
        </row>
        <row r="5933">
          <cell r="E5933" t="str">
            <v>HGC-Lib-2458220</v>
          </cell>
          <cell r="F5933" t="str">
            <v>LFTC240516050</v>
          </cell>
          <cell r="G5933">
            <v>120</v>
          </cell>
          <cell r="H5933" t="str">
            <v>singleron-3'全长转录组文库</v>
          </cell>
          <cell r="I5933" t="str">
            <v>HZK</v>
          </cell>
          <cell r="J5933">
            <v>16.399999999999999</v>
          </cell>
          <cell r="N5933" t="e">
            <v>#DIV/0!</v>
          </cell>
        </row>
        <row r="5934">
          <cell r="E5934" t="str">
            <v>HGC-Lib-2458221</v>
          </cell>
          <cell r="F5934" t="str">
            <v>H3</v>
          </cell>
          <cell r="G5934">
            <v>10</v>
          </cell>
          <cell r="H5934" t="str">
            <v>cut&amp;tag文库</v>
          </cell>
          <cell r="I5934" t="str">
            <v>HZK</v>
          </cell>
          <cell r="J5934">
            <v>35.6</v>
          </cell>
          <cell r="K5934">
            <v>547</v>
          </cell>
          <cell r="N5934">
            <v>100.12656447757</v>
          </cell>
        </row>
        <row r="5935">
          <cell r="E5935" t="str">
            <v>HGC-Lib-2458222</v>
          </cell>
          <cell r="F5935" t="str">
            <v>CTCF</v>
          </cell>
          <cell r="G5935">
            <v>10</v>
          </cell>
          <cell r="H5935" t="str">
            <v>cut&amp;tag文库</v>
          </cell>
          <cell r="I5935" t="str">
            <v>HZK</v>
          </cell>
          <cell r="J5935">
            <v>11.4</v>
          </cell>
          <cell r="K5935">
            <v>477</v>
          </cell>
          <cell r="N5935">
            <v>36.768263183357497</v>
          </cell>
        </row>
        <row r="5936">
          <cell r="E5936" t="str">
            <v>HGC-Lib-2458125</v>
          </cell>
          <cell r="F5936" t="str">
            <v>LTSZ160</v>
          </cell>
          <cell r="G5936">
            <v>8</v>
          </cell>
          <cell r="H5936" t="str">
            <v>small RNA文库</v>
          </cell>
          <cell r="I5936" t="str">
            <v>ZZ</v>
          </cell>
          <cell r="J5936">
            <v>4.08</v>
          </cell>
          <cell r="K5936">
            <v>245</v>
          </cell>
          <cell r="L5936" t="str">
            <v>YHT</v>
          </cell>
          <cell r="N5936">
            <v>25.620094191522799</v>
          </cell>
        </row>
        <row r="5937">
          <cell r="E5937" t="str">
            <v>HGC-Lib-2458126</v>
          </cell>
          <cell r="F5937" t="str">
            <v>LTSZ161</v>
          </cell>
          <cell r="G5937">
            <v>8</v>
          </cell>
          <cell r="H5937" t="str">
            <v>small RNA文库</v>
          </cell>
          <cell r="I5937" t="str">
            <v>ZZ</v>
          </cell>
          <cell r="J5937">
            <v>5.76</v>
          </cell>
          <cell r="K5937">
            <v>215</v>
          </cell>
          <cell r="L5937" t="str">
            <v>YHT</v>
          </cell>
          <cell r="N5937">
            <v>41.216457960644</v>
          </cell>
        </row>
        <row r="5938">
          <cell r="E5938" t="str">
            <v>HGC-Lib-2458127</v>
          </cell>
          <cell r="F5938" t="str">
            <v>LTSZ162</v>
          </cell>
          <cell r="G5938">
            <v>8</v>
          </cell>
          <cell r="H5938" t="str">
            <v>small RNA文库</v>
          </cell>
          <cell r="I5938" t="str">
            <v>ZZ</v>
          </cell>
          <cell r="J5938" t="str">
            <v>/</v>
          </cell>
          <cell r="K5938">
            <v>304</v>
          </cell>
          <cell r="L5938" t="str">
            <v>YHT</v>
          </cell>
          <cell r="N5938" t="e">
            <v>#VALUE!</v>
          </cell>
        </row>
        <row r="5939">
          <cell r="E5939" t="str">
            <v>HGC-Lib-2458128</v>
          </cell>
          <cell r="F5939" t="str">
            <v>LTSZ163</v>
          </cell>
          <cell r="G5939">
            <v>8</v>
          </cell>
          <cell r="H5939" t="str">
            <v>small RNA文库</v>
          </cell>
          <cell r="I5939" t="str">
            <v>ZZ</v>
          </cell>
          <cell r="J5939" t="str">
            <v>/</v>
          </cell>
          <cell r="K5939">
            <v>276</v>
          </cell>
          <cell r="L5939" t="str">
            <v>YHT</v>
          </cell>
          <cell r="N5939" t="e">
            <v>#VALUE!</v>
          </cell>
        </row>
        <row r="5940">
          <cell r="E5940" t="str">
            <v>HGC-Lib-2458223</v>
          </cell>
          <cell r="F5940" t="str">
            <v>K4-1</v>
          </cell>
          <cell r="G5940">
            <v>10</v>
          </cell>
          <cell r="H5940" t="str">
            <v>基因组文库</v>
          </cell>
          <cell r="I5940" t="str">
            <v>ZZ</v>
          </cell>
          <cell r="J5940" t="str">
            <v>/</v>
          </cell>
          <cell r="K5940">
            <v>459</v>
          </cell>
          <cell r="L5940" t="str">
            <v>YHT</v>
          </cell>
          <cell r="N5940" t="e">
            <v>#VALUE!</v>
          </cell>
        </row>
        <row r="5941">
          <cell r="E5941" t="str">
            <v>HGC-Lib-2458224</v>
          </cell>
          <cell r="F5941" t="str">
            <v>K4-2</v>
          </cell>
          <cell r="G5941">
            <v>10</v>
          </cell>
          <cell r="H5941" t="str">
            <v>基因组文库</v>
          </cell>
          <cell r="I5941" t="str">
            <v>ZZ</v>
          </cell>
          <cell r="J5941">
            <v>0.996</v>
          </cell>
          <cell r="K5941">
            <v>428</v>
          </cell>
          <cell r="L5941" t="str">
            <v>YHT</v>
          </cell>
          <cell r="N5941">
            <v>3.5801581595974099</v>
          </cell>
        </row>
        <row r="5942">
          <cell r="E5942" t="str">
            <v>HGC-Lib-2458225</v>
          </cell>
          <cell r="F5942" t="str">
            <v>K4-3</v>
          </cell>
          <cell r="G5942">
            <v>10</v>
          </cell>
          <cell r="H5942" t="str">
            <v>基因组文库</v>
          </cell>
          <cell r="I5942" t="str">
            <v>ZZ</v>
          </cell>
          <cell r="J5942" t="str">
            <v>/</v>
          </cell>
          <cell r="K5942">
            <v>553</v>
          </cell>
          <cell r="L5942" t="str">
            <v>YHT</v>
          </cell>
          <cell r="N5942" t="e">
            <v>#VALUE!</v>
          </cell>
        </row>
        <row r="5943">
          <cell r="E5943" t="str">
            <v>HGC-Lib-2458226</v>
          </cell>
          <cell r="F5943" t="str">
            <v>K4-4</v>
          </cell>
          <cell r="G5943">
            <v>10</v>
          </cell>
          <cell r="H5943" t="str">
            <v>基因组文库</v>
          </cell>
          <cell r="I5943" t="str">
            <v>ZZ</v>
          </cell>
          <cell r="J5943" t="str">
            <v>/</v>
          </cell>
          <cell r="K5943">
            <v>527</v>
          </cell>
          <cell r="L5943" t="str">
            <v>YHT</v>
          </cell>
          <cell r="N5943" t="e">
            <v>#VALUE!</v>
          </cell>
        </row>
        <row r="5944">
          <cell r="E5944" t="str">
            <v>HGC-Lib-2458227</v>
          </cell>
          <cell r="F5944" t="str">
            <v>K4-5</v>
          </cell>
          <cell r="G5944">
            <v>10</v>
          </cell>
          <cell r="H5944" t="str">
            <v>基因组文库</v>
          </cell>
          <cell r="I5944" t="str">
            <v>ZZ</v>
          </cell>
          <cell r="J5944">
            <v>0.13200000000000001</v>
          </cell>
          <cell r="K5944">
            <v>411</v>
          </cell>
          <cell r="L5944" t="str">
            <v>YHT</v>
          </cell>
          <cell r="N5944">
            <v>0.49410443571027501</v>
          </cell>
        </row>
        <row r="5945">
          <cell r="E5945" t="str">
            <v>HGC-Lib-2458228</v>
          </cell>
          <cell r="F5945" t="str">
            <v>K4-6</v>
          </cell>
          <cell r="G5945">
            <v>10</v>
          </cell>
          <cell r="H5945" t="str">
            <v>基因组文库</v>
          </cell>
          <cell r="I5945" t="str">
            <v>ZZ</v>
          </cell>
          <cell r="J5945">
            <v>0.436</v>
          </cell>
          <cell r="K5945">
            <v>430</v>
          </cell>
          <cell r="L5945" t="str">
            <v>YHT</v>
          </cell>
          <cell r="N5945">
            <v>1.5599284436493699</v>
          </cell>
        </row>
        <row r="5946">
          <cell r="E5946" t="str">
            <v>HGC-Lib-2458229</v>
          </cell>
          <cell r="F5946" t="str">
            <v>K4-7</v>
          </cell>
          <cell r="G5946">
            <v>10</v>
          </cell>
          <cell r="H5946" t="str">
            <v>基因组文库</v>
          </cell>
          <cell r="I5946" t="str">
            <v>ZZ</v>
          </cell>
          <cell r="J5946" t="str">
            <v>/</v>
          </cell>
          <cell r="K5946">
            <v>530</v>
          </cell>
          <cell r="L5946" t="str">
            <v>YHT</v>
          </cell>
          <cell r="N5946" t="e">
            <v>#VALUE!</v>
          </cell>
        </row>
        <row r="5947">
          <cell r="E5947" t="str">
            <v>HGC-Lib-2458230</v>
          </cell>
          <cell r="F5947" t="str">
            <v>K4-8</v>
          </cell>
          <cell r="G5947">
            <v>10</v>
          </cell>
          <cell r="H5947" t="str">
            <v>基因组文库</v>
          </cell>
          <cell r="I5947" t="str">
            <v>ZZ</v>
          </cell>
          <cell r="J5947" t="str">
            <v>/</v>
          </cell>
          <cell r="K5947">
            <v>573</v>
          </cell>
          <cell r="L5947" t="str">
            <v>YHT</v>
          </cell>
          <cell r="N5947" t="e">
            <v>#VALUE!</v>
          </cell>
        </row>
        <row r="5948">
          <cell r="E5948" t="str">
            <v>HGC-Lib-2458231</v>
          </cell>
          <cell r="F5948" t="str">
            <v>K4-9</v>
          </cell>
          <cell r="G5948">
            <v>10</v>
          </cell>
          <cell r="H5948" t="str">
            <v>基因组文库</v>
          </cell>
          <cell r="I5948" t="str">
            <v>ZZ</v>
          </cell>
          <cell r="J5948" t="str">
            <v>/</v>
          </cell>
          <cell r="K5948">
            <v>482</v>
          </cell>
          <cell r="L5948" t="str">
            <v>YHT</v>
          </cell>
          <cell r="N5948" t="e">
            <v>#VALUE!</v>
          </cell>
        </row>
        <row r="5949">
          <cell r="E5949" t="str">
            <v>HGC-Lib-2458232</v>
          </cell>
          <cell r="F5949" t="str">
            <v>K4-10</v>
          </cell>
          <cell r="G5949">
            <v>10</v>
          </cell>
          <cell r="H5949" t="str">
            <v>基因组文库</v>
          </cell>
          <cell r="I5949" t="str">
            <v>ZZ</v>
          </cell>
          <cell r="J5949" t="str">
            <v>/</v>
          </cell>
          <cell r="K5949">
            <v>488</v>
          </cell>
          <cell r="L5949" t="str">
            <v>YHT</v>
          </cell>
          <cell r="N5949" t="e">
            <v>#VALUE!</v>
          </cell>
        </row>
        <row r="5950">
          <cell r="E5950" t="str">
            <v>HGC-Lib-2458233</v>
          </cell>
          <cell r="F5950" t="str">
            <v>K4-11</v>
          </cell>
          <cell r="G5950">
            <v>10</v>
          </cell>
          <cell r="H5950" t="str">
            <v>基因组文库</v>
          </cell>
          <cell r="I5950" t="str">
            <v>ZZ</v>
          </cell>
          <cell r="J5950" t="str">
            <v>/</v>
          </cell>
          <cell r="K5950">
            <v>528</v>
          </cell>
          <cell r="L5950" t="str">
            <v>YHT</v>
          </cell>
          <cell r="N5950" t="e">
            <v>#VALUE!</v>
          </cell>
        </row>
        <row r="5951">
          <cell r="E5951" t="str">
            <v>HGC-Lib-2458234</v>
          </cell>
          <cell r="F5951" t="str">
            <v>K4-12</v>
          </cell>
          <cell r="G5951">
            <v>10</v>
          </cell>
          <cell r="H5951" t="str">
            <v>基因组文库</v>
          </cell>
          <cell r="I5951" t="str">
            <v>ZZ</v>
          </cell>
          <cell r="J5951" t="str">
            <v>/</v>
          </cell>
          <cell r="K5951">
            <v>414</v>
          </cell>
          <cell r="L5951" t="str">
            <v>YHT</v>
          </cell>
          <cell r="N5951" t="e">
            <v>#VALUE!</v>
          </cell>
        </row>
        <row r="5952">
          <cell r="E5952" t="str">
            <v>HGC-Lib-2458237</v>
          </cell>
          <cell r="F5952" t="str">
            <v>N</v>
          </cell>
          <cell r="G5952">
            <v>6</v>
          </cell>
          <cell r="H5952" t="str">
            <v>cut&amp;tag文库</v>
          </cell>
          <cell r="I5952" t="str">
            <v>ZZ</v>
          </cell>
          <cell r="J5952">
            <v>4.92</v>
          </cell>
          <cell r="K5952">
            <v>367</v>
          </cell>
          <cell r="L5952" t="str">
            <v>YHT</v>
          </cell>
          <cell r="N5952">
            <v>20.624607000628799</v>
          </cell>
        </row>
        <row r="5953">
          <cell r="E5953" t="str">
            <v>HGC-Lib-2458238</v>
          </cell>
          <cell r="F5953" t="str">
            <v>C</v>
          </cell>
          <cell r="G5953">
            <v>6</v>
          </cell>
          <cell r="H5953" t="str">
            <v>全基因组文库</v>
          </cell>
          <cell r="I5953" t="str">
            <v>ZZ</v>
          </cell>
          <cell r="J5953">
            <v>0.82</v>
          </cell>
          <cell r="K5953">
            <v>422</v>
          </cell>
          <cell r="L5953" t="str">
            <v>YHT</v>
          </cell>
          <cell r="N5953">
            <v>2.9894276339774</v>
          </cell>
        </row>
        <row r="5954">
          <cell r="E5954" t="str">
            <v>HGC-Lib-2458247</v>
          </cell>
          <cell r="F5954" t="str">
            <v>CON1</v>
          </cell>
          <cell r="G5954">
            <v>6</v>
          </cell>
          <cell r="H5954" t="str">
            <v>ATAC-Seq文库</v>
          </cell>
          <cell r="I5954" t="str">
            <v>ZZ</v>
          </cell>
          <cell r="J5954">
            <v>3.7</v>
          </cell>
          <cell r="K5954">
            <v>328</v>
          </cell>
          <cell r="L5954" t="str">
            <v>YHT</v>
          </cell>
          <cell r="N5954">
            <v>17.3545966228893</v>
          </cell>
        </row>
        <row r="5955">
          <cell r="E5955" t="str">
            <v>HGC-Lib-2458248</v>
          </cell>
          <cell r="F5955" t="str">
            <v>CON2</v>
          </cell>
          <cell r="G5955">
            <v>6</v>
          </cell>
          <cell r="H5955" t="str">
            <v>ATAC-Seq文库</v>
          </cell>
          <cell r="I5955" t="str">
            <v>ZZ</v>
          </cell>
          <cell r="J5955">
            <v>2.92</v>
          </cell>
          <cell r="K5955">
            <v>333</v>
          </cell>
          <cell r="L5955" t="str">
            <v>YHT</v>
          </cell>
          <cell r="N5955">
            <v>13.4904134904135</v>
          </cell>
        </row>
        <row r="5956">
          <cell r="E5956" t="str">
            <v>HGC-Lib-2458249</v>
          </cell>
          <cell r="F5956" t="str">
            <v>SH1</v>
          </cell>
          <cell r="G5956">
            <v>6</v>
          </cell>
          <cell r="H5956" t="str">
            <v>ATAC-Seq文库</v>
          </cell>
          <cell r="I5956" t="str">
            <v>ZZ</v>
          </cell>
          <cell r="J5956">
            <v>3.12</v>
          </cell>
          <cell r="K5956">
            <v>325</v>
          </cell>
          <cell r="L5956" t="str">
            <v>YHT</v>
          </cell>
          <cell r="N5956">
            <v>14.7692307692308</v>
          </cell>
        </row>
        <row r="5957">
          <cell r="E5957" t="str">
            <v>HGC-Lib-2458250</v>
          </cell>
          <cell r="F5957" t="str">
            <v>SH2</v>
          </cell>
          <cell r="G5957">
            <v>6</v>
          </cell>
          <cell r="H5957" t="str">
            <v>ATAC-Seq文库</v>
          </cell>
          <cell r="I5957" t="str">
            <v>ZZ</v>
          </cell>
          <cell r="J5957">
            <v>2.64</v>
          </cell>
          <cell r="K5957">
            <v>324</v>
          </cell>
          <cell r="L5957" t="str">
            <v>YHT</v>
          </cell>
          <cell r="N5957">
            <v>12.535612535612501</v>
          </cell>
        </row>
        <row r="5958">
          <cell r="E5958" t="str">
            <v>HGC-Lib-2458251</v>
          </cell>
          <cell r="F5958" t="str">
            <v>S</v>
          </cell>
          <cell r="G5958">
            <v>6</v>
          </cell>
          <cell r="H5958" t="str">
            <v>cut&amp;tag文库</v>
          </cell>
          <cell r="I5958" t="str">
            <v>ZZ</v>
          </cell>
          <cell r="J5958">
            <v>0.35399999999999998</v>
          </cell>
          <cell r="K5958">
            <v>336</v>
          </cell>
          <cell r="L5958" t="str">
            <v>YHT</v>
          </cell>
          <cell r="N5958">
            <v>1.62087912087912</v>
          </cell>
        </row>
        <row r="5959">
          <cell r="E5959" t="str">
            <v>HGC-Lib-2458252</v>
          </cell>
          <cell r="F5959" t="str">
            <v>E</v>
          </cell>
          <cell r="G5959">
            <v>6</v>
          </cell>
          <cell r="H5959" t="str">
            <v>cut&amp;tag文库</v>
          </cell>
          <cell r="I5959" t="str">
            <v>ZZ</v>
          </cell>
          <cell r="J5959">
            <v>3.08</v>
          </cell>
          <cell r="K5959">
            <v>367</v>
          </cell>
          <cell r="L5959" t="str">
            <v>YHT</v>
          </cell>
          <cell r="N5959">
            <v>12.911339341857101</v>
          </cell>
        </row>
        <row r="5960">
          <cell r="E5960" t="str">
            <v>HGC-Lib-2458253</v>
          </cell>
          <cell r="F5960" t="str">
            <v>R</v>
          </cell>
          <cell r="G5960">
            <v>6</v>
          </cell>
          <cell r="H5960" t="str">
            <v>cut&amp;tag文库</v>
          </cell>
          <cell r="I5960" t="str">
            <v>ZZ</v>
          </cell>
          <cell r="J5960">
            <v>0.17799999999999999</v>
          </cell>
          <cell r="K5960">
            <v>400</v>
          </cell>
          <cell r="L5960" t="str">
            <v>YHT</v>
          </cell>
          <cell r="N5960">
            <v>0.68461538461538496</v>
          </cell>
        </row>
        <row r="5961">
          <cell r="E5961" t="str">
            <v>HGC-Lib-2458254</v>
          </cell>
          <cell r="F5961" t="str">
            <v>S1</v>
          </cell>
          <cell r="G5961">
            <v>6</v>
          </cell>
          <cell r="H5961" t="str">
            <v>cut&amp;tag文库</v>
          </cell>
          <cell r="I5961" t="str">
            <v>ZZ</v>
          </cell>
          <cell r="J5961">
            <v>0.56399999999999995</v>
          </cell>
          <cell r="K5961">
            <v>348</v>
          </cell>
          <cell r="L5961" t="str">
            <v>YHT</v>
          </cell>
          <cell r="N5961">
            <v>2.49336870026525</v>
          </cell>
        </row>
        <row r="5962">
          <cell r="E5962" t="str">
            <v>HGC-Lib-2458255</v>
          </cell>
          <cell r="F5962" t="str">
            <v>E1</v>
          </cell>
          <cell r="G5962">
            <v>6</v>
          </cell>
          <cell r="H5962" t="str">
            <v>cut&amp;tag文库</v>
          </cell>
          <cell r="I5962" t="str">
            <v>ZZ</v>
          </cell>
          <cell r="J5962">
            <v>1.91</v>
          </cell>
          <cell r="K5962">
            <v>370</v>
          </cell>
          <cell r="L5962" t="str">
            <v>YHT</v>
          </cell>
          <cell r="N5962">
            <v>7.9417879417879398</v>
          </cell>
        </row>
        <row r="5963">
          <cell r="E5963" t="str">
            <v>HGC-Lib-2458256</v>
          </cell>
          <cell r="F5963" t="str">
            <v>R1</v>
          </cell>
          <cell r="G5963">
            <v>6</v>
          </cell>
          <cell r="H5963" t="str">
            <v>cut&amp;tag文库</v>
          </cell>
          <cell r="I5963" t="str">
            <v>ZZ</v>
          </cell>
          <cell r="J5963">
            <v>0.106</v>
          </cell>
          <cell r="K5963">
            <v>395</v>
          </cell>
          <cell r="L5963" t="str">
            <v>YHT</v>
          </cell>
          <cell r="N5963">
            <v>0.41285296981499497</v>
          </cell>
        </row>
        <row r="5964">
          <cell r="E5964" t="str">
            <v>HGC-POOL2458286</v>
          </cell>
          <cell r="F5964" t="str">
            <v>H240722-1</v>
          </cell>
          <cell r="G5964">
            <v>126</v>
          </cell>
          <cell r="H5964" t="str">
            <v>Chip-Seq</v>
          </cell>
          <cell r="I5964" t="str">
            <v>ZZ</v>
          </cell>
          <cell r="J5964">
            <v>4.84</v>
          </cell>
          <cell r="K5964">
            <v>376</v>
          </cell>
          <cell r="L5964" t="str">
            <v>YHT</v>
          </cell>
          <cell r="N5964">
            <v>19.8036006546645</v>
          </cell>
        </row>
        <row r="5965">
          <cell r="E5965" t="str">
            <v>HGC-Lib-2458289</v>
          </cell>
          <cell r="F5965" t="str">
            <v>N-5-DNA</v>
          </cell>
          <cell r="G5965">
            <v>10</v>
          </cell>
          <cell r="H5965" t="str">
            <v>宏基因组文库</v>
          </cell>
          <cell r="I5965" t="str">
            <v>ZZ</v>
          </cell>
          <cell r="J5965">
            <v>5.22</v>
          </cell>
          <cell r="K5965">
            <v>386</v>
          </cell>
          <cell r="L5965" t="str">
            <v>YHT</v>
          </cell>
          <cell r="N5965">
            <v>20.8051016341172</v>
          </cell>
        </row>
        <row r="5966">
          <cell r="E5966" t="str">
            <v>HGC-Lib-2458290</v>
          </cell>
          <cell r="F5966" t="str">
            <v>N-8-DNA</v>
          </cell>
          <cell r="G5966">
            <v>10</v>
          </cell>
          <cell r="H5966" t="str">
            <v>宏基因组文库</v>
          </cell>
          <cell r="I5966" t="str">
            <v>ZZ</v>
          </cell>
          <cell r="J5966">
            <v>2.2000000000000002</v>
          </cell>
          <cell r="K5966">
            <v>384</v>
          </cell>
          <cell r="L5966" t="str">
            <v>YHT</v>
          </cell>
          <cell r="N5966">
            <v>8.8141025641025692</v>
          </cell>
        </row>
        <row r="5967">
          <cell r="E5967" t="str">
            <v>HGC-Lib-2458291</v>
          </cell>
          <cell r="F5967" t="str">
            <v>N-7-DNA</v>
          </cell>
          <cell r="G5967">
            <v>10</v>
          </cell>
          <cell r="H5967" t="str">
            <v>宏基因组文库</v>
          </cell>
          <cell r="I5967" t="str">
            <v>ZZ</v>
          </cell>
          <cell r="J5967">
            <v>10.4</v>
          </cell>
          <cell r="K5967">
            <v>409</v>
          </cell>
          <cell r="L5967" t="str">
            <v>XCL</v>
          </cell>
          <cell r="N5967">
            <v>39.119804400977998</v>
          </cell>
        </row>
        <row r="5968">
          <cell r="E5968" t="str">
            <v>HGC-Lib-2458292</v>
          </cell>
          <cell r="F5968" t="str">
            <v>Blood-6-DNA</v>
          </cell>
          <cell r="G5968">
            <v>10</v>
          </cell>
          <cell r="H5968" t="str">
            <v>宏基因组文库</v>
          </cell>
          <cell r="I5968" t="str">
            <v>ZZ</v>
          </cell>
          <cell r="J5968">
            <v>3.76</v>
          </cell>
          <cell r="K5968">
            <v>432</v>
          </cell>
          <cell r="L5968" t="str">
            <v>YHT</v>
          </cell>
          <cell r="N5968">
            <v>13.3903133903134</v>
          </cell>
        </row>
        <row r="5969">
          <cell r="E5969" t="str">
            <v>HGC-Lib-2458293</v>
          </cell>
          <cell r="F5969" t="str">
            <v>Blood-9-DNA</v>
          </cell>
          <cell r="G5969">
            <v>10</v>
          </cell>
          <cell r="H5969" t="str">
            <v>宏基因组文库</v>
          </cell>
          <cell r="I5969" t="str">
            <v>ZZ</v>
          </cell>
          <cell r="J5969">
            <v>2.54</v>
          </cell>
          <cell r="K5969">
            <v>458</v>
          </cell>
          <cell r="L5969" t="str">
            <v>YHT</v>
          </cell>
          <cell r="N5969">
            <v>8.5320792744373506</v>
          </cell>
        </row>
        <row r="5970">
          <cell r="E5970" t="str">
            <v>HGC-Lib-2458294</v>
          </cell>
          <cell r="F5970" t="str">
            <v>Blood-4-DNA</v>
          </cell>
          <cell r="G5970">
            <v>10</v>
          </cell>
          <cell r="H5970" t="str">
            <v>宏基因组文库</v>
          </cell>
          <cell r="I5970" t="str">
            <v>ZZ</v>
          </cell>
          <cell r="J5970">
            <v>8.42</v>
          </cell>
          <cell r="K5970">
            <v>458</v>
          </cell>
          <cell r="L5970" t="str">
            <v>YHT</v>
          </cell>
          <cell r="N5970">
            <v>28.283506886127</v>
          </cell>
        </row>
        <row r="5971">
          <cell r="E5971" t="str">
            <v>HGC-Lib-2458295</v>
          </cell>
          <cell r="F5971" t="str">
            <v>NS-6-DNA</v>
          </cell>
          <cell r="G5971">
            <v>10</v>
          </cell>
          <cell r="H5971" t="str">
            <v>宏基因组文库</v>
          </cell>
          <cell r="I5971" t="str">
            <v>ZZ</v>
          </cell>
          <cell r="J5971">
            <v>1.52</v>
          </cell>
          <cell r="K5971">
            <v>729</v>
          </cell>
          <cell r="L5971" t="str">
            <v>YHT</v>
          </cell>
          <cell r="N5971">
            <v>3.2077661707291298</v>
          </cell>
        </row>
        <row r="5972">
          <cell r="E5972" t="str">
            <v>HGC-Lib-2458296</v>
          </cell>
          <cell r="F5972" t="str">
            <v>NS-7-DNA</v>
          </cell>
          <cell r="G5972">
            <v>10</v>
          </cell>
          <cell r="H5972" t="str">
            <v>宏基因组文库</v>
          </cell>
          <cell r="I5972" t="str">
            <v>ZZ</v>
          </cell>
          <cell r="J5972">
            <v>1.31</v>
          </cell>
          <cell r="K5972">
            <v>613</v>
          </cell>
          <cell r="L5972" t="str">
            <v>YHT</v>
          </cell>
          <cell r="N5972">
            <v>3.2877399924708199</v>
          </cell>
        </row>
        <row r="5973">
          <cell r="E5973" t="str">
            <v>HGC-Lib-2458297</v>
          </cell>
          <cell r="F5973" t="str">
            <v>NS-8-DNA</v>
          </cell>
          <cell r="G5973">
            <v>10</v>
          </cell>
          <cell r="H5973" t="str">
            <v>宏基因组文库</v>
          </cell>
          <cell r="I5973" t="str">
            <v>ZZ</v>
          </cell>
          <cell r="J5973">
            <v>1.92</v>
          </cell>
          <cell r="K5973">
            <v>471</v>
          </cell>
          <cell r="L5973" t="str">
            <v>YHT</v>
          </cell>
          <cell r="N5973">
            <v>6.27143557079863</v>
          </cell>
        </row>
        <row r="5974">
          <cell r="E5974" t="str">
            <v>HGC-Lib-2458298</v>
          </cell>
          <cell r="F5974" t="str">
            <v>AS-2-DNA</v>
          </cell>
          <cell r="G5974">
            <v>10</v>
          </cell>
          <cell r="H5974" t="str">
            <v>宏基因组文库</v>
          </cell>
          <cell r="I5974" t="str">
            <v>ZZ</v>
          </cell>
          <cell r="J5974">
            <v>3.64</v>
          </cell>
          <cell r="K5974">
            <v>425</v>
          </cell>
          <cell r="L5974" t="str">
            <v>YHT</v>
          </cell>
          <cell r="N5974">
            <v>13.176470588235301</v>
          </cell>
        </row>
        <row r="5975">
          <cell r="E5975" t="str">
            <v>HGC-Lib-2458299</v>
          </cell>
          <cell r="F5975" t="str">
            <v>AS-5-DNA</v>
          </cell>
          <cell r="G5975">
            <v>10</v>
          </cell>
          <cell r="H5975" t="str">
            <v>宏基因组文库</v>
          </cell>
          <cell r="I5975" t="str">
            <v>ZZ</v>
          </cell>
          <cell r="J5975">
            <v>6.32</v>
          </cell>
          <cell r="K5975">
            <v>496</v>
          </cell>
          <cell r="L5975" t="str">
            <v>YHT</v>
          </cell>
          <cell r="N5975">
            <v>19.6029776674938</v>
          </cell>
        </row>
        <row r="5976">
          <cell r="E5976" t="str">
            <v>HGC-Lib-2458300</v>
          </cell>
          <cell r="F5976" t="str">
            <v>AS-6-DNA</v>
          </cell>
          <cell r="G5976">
            <v>10</v>
          </cell>
          <cell r="H5976" t="str">
            <v>宏基因组文库</v>
          </cell>
          <cell r="I5976" t="str">
            <v>ZZ</v>
          </cell>
          <cell r="J5976">
            <v>2.2400000000000002</v>
          </cell>
          <cell r="K5976">
            <v>563</v>
          </cell>
          <cell r="L5976" t="str">
            <v>YHT</v>
          </cell>
          <cell r="N5976">
            <v>6.1210547889055897</v>
          </cell>
        </row>
        <row r="5977">
          <cell r="E5977" t="str">
            <v>HGC-Lib-2458301</v>
          </cell>
          <cell r="F5977" t="str">
            <v>N-5-RNA</v>
          </cell>
          <cell r="G5977">
            <v>10</v>
          </cell>
          <cell r="H5977" t="str">
            <v>宏转录组文库</v>
          </cell>
          <cell r="I5977" t="str">
            <v>ZZ</v>
          </cell>
          <cell r="J5977">
            <v>2.04</v>
          </cell>
          <cell r="K5977">
            <v>386</v>
          </cell>
          <cell r="L5977" t="str">
            <v>YHT</v>
          </cell>
          <cell r="N5977">
            <v>8.1307293742526898</v>
          </cell>
        </row>
        <row r="5978">
          <cell r="E5978" t="str">
            <v>HGC-Lib-2458302</v>
          </cell>
          <cell r="F5978" t="str">
            <v>N-8-RNA</v>
          </cell>
          <cell r="G5978">
            <v>10</v>
          </cell>
          <cell r="H5978" t="str">
            <v>宏转录组文库</v>
          </cell>
          <cell r="I5978" t="str">
            <v>ZZ</v>
          </cell>
          <cell r="J5978">
            <v>2.5</v>
          </cell>
          <cell r="K5978">
            <v>291</v>
          </cell>
          <cell r="L5978" t="str">
            <v>YHT</v>
          </cell>
          <cell r="N5978">
            <v>13.217023526301899</v>
          </cell>
        </row>
        <row r="5979">
          <cell r="E5979" t="str">
            <v>HGC-Lib-2458303</v>
          </cell>
          <cell r="F5979" t="str">
            <v>Blood-9-RNA</v>
          </cell>
          <cell r="G5979">
            <v>10</v>
          </cell>
          <cell r="H5979" t="str">
            <v>宏转录组文库</v>
          </cell>
          <cell r="I5979" t="str">
            <v>ZZ</v>
          </cell>
          <cell r="J5979">
            <v>21.4</v>
          </cell>
          <cell r="K5979">
            <v>580</v>
          </cell>
          <cell r="L5979" t="str">
            <v>XCL</v>
          </cell>
          <cell r="N5979">
            <v>56.763925729443002</v>
          </cell>
        </row>
        <row r="5980">
          <cell r="E5980" t="str">
            <v>HGC-Lib-2458304</v>
          </cell>
          <cell r="F5980" t="str">
            <v>Blood-4-RNA</v>
          </cell>
          <cell r="G5980">
            <v>10</v>
          </cell>
          <cell r="H5980" t="str">
            <v>宏转录组文库</v>
          </cell>
          <cell r="I5980" t="str">
            <v>ZZ</v>
          </cell>
          <cell r="J5980">
            <v>75</v>
          </cell>
          <cell r="K5980">
            <v>416</v>
          </cell>
          <cell r="L5980" t="str">
            <v>XCL</v>
          </cell>
          <cell r="N5980">
            <v>277.36686390532498</v>
          </cell>
        </row>
        <row r="5981">
          <cell r="E5981" t="str">
            <v>HGC-Lib-2458305</v>
          </cell>
          <cell r="F5981" t="str">
            <v>NS-6-RNA</v>
          </cell>
          <cell r="G5981">
            <v>10</v>
          </cell>
          <cell r="H5981" t="str">
            <v>宏转录组文库</v>
          </cell>
          <cell r="I5981" t="str">
            <v>ZZ</v>
          </cell>
          <cell r="J5981">
            <v>60.6</v>
          </cell>
          <cell r="K5981">
            <v>388</v>
          </cell>
          <cell r="L5981" t="str">
            <v>XCL</v>
          </cell>
          <cell r="N5981">
            <v>240.28548770816801</v>
          </cell>
        </row>
        <row r="5982">
          <cell r="E5982" t="str">
            <v>HGC-Lib-2458306</v>
          </cell>
          <cell r="F5982" t="str">
            <v>NS-8-RNA</v>
          </cell>
          <cell r="G5982">
            <v>10</v>
          </cell>
          <cell r="H5982" t="str">
            <v>宏转录组文库</v>
          </cell>
          <cell r="I5982" t="str">
            <v>ZZ</v>
          </cell>
          <cell r="J5982">
            <v>43.4</v>
          </cell>
          <cell r="K5982">
            <v>422</v>
          </cell>
          <cell r="L5982" t="str">
            <v>XCL</v>
          </cell>
          <cell r="N5982">
            <v>158.22092599343799</v>
          </cell>
        </row>
        <row r="5983">
          <cell r="E5983" t="str">
            <v>HGC-Lib-2458307</v>
          </cell>
          <cell r="F5983" t="str">
            <v>AS-5-RNA</v>
          </cell>
          <cell r="G5983">
            <v>10</v>
          </cell>
          <cell r="H5983" t="str">
            <v>宏转录组文库</v>
          </cell>
          <cell r="I5983" t="str">
            <v>ZZ</v>
          </cell>
          <cell r="J5983">
            <v>31</v>
          </cell>
          <cell r="K5983">
            <v>342</v>
          </cell>
          <cell r="L5983" t="str">
            <v>XCL</v>
          </cell>
          <cell r="N5983">
            <v>139.451192082771</v>
          </cell>
        </row>
        <row r="5984">
          <cell r="E5984" t="str">
            <v>HGC-Lib-2458308</v>
          </cell>
          <cell r="F5984" t="str">
            <v>AS-6-RNA</v>
          </cell>
          <cell r="G5984">
            <v>10</v>
          </cell>
          <cell r="H5984" t="str">
            <v>宏转录组文库</v>
          </cell>
          <cell r="I5984" t="str">
            <v>GZQ</v>
          </cell>
          <cell r="J5984">
            <v>9.0399999999999991</v>
          </cell>
          <cell r="K5984">
            <v>462</v>
          </cell>
          <cell r="L5984" t="str">
            <v>YHT</v>
          </cell>
          <cell r="N5984">
            <v>30.1032301032301</v>
          </cell>
        </row>
        <row r="5985">
          <cell r="E5985" t="str">
            <v>HGC-Lib-2458317</v>
          </cell>
          <cell r="F5985" t="str">
            <v>0723X1</v>
          </cell>
          <cell r="G5985">
            <v>1000</v>
          </cell>
          <cell r="H5985" t="str">
            <v>mRNA文库 全基因组文库</v>
          </cell>
          <cell r="I5985" t="str">
            <v>GZQ</v>
          </cell>
          <cell r="J5985">
            <v>29.6</v>
          </cell>
          <cell r="K5985">
            <v>445</v>
          </cell>
          <cell r="L5985" t="str">
            <v>XCL</v>
          </cell>
          <cell r="N5985">
            <v>102.333621434745</v>
          </cell>
        </row>
        <row r="5986">
          <cell r="E5986" t="str">
            <v>HGC-Lib-2458318</v>
          </cell>
          <cell r="F5986" t="str">
            <v>0723X2</v>
          </cell>
          <cell r="G5986">
            <v>1000</v>
          </cell>
          <cell r="H5986" t="str">
            <v>10x 5'单细胞 10× 3'单细胞</v>
          </cell>
          <cell r="I5986" t="str">
            <v>GZQ</v>
          </cell>
          <cell r="J5986">
            <v>36</v>
          </cell>
          <cell r="K5986">
            <v>452</v>
          </cell>
          <cell r="L5986" t="str">
            <v>XCL</v>
          </cell>
          <cell r="N5986">
            <v>122.53233492171501</v>
          </cell>
        </row>
        <row r="5987">
          <cell r="E5987" t="str">
            <v>HGC-Lib-2458319</v>
          </cell>
          <cell r="F5987" t="str">
            <v>hitomcll357</v>
          </cell>
          <cell r="G5987">
            <v>2</v>
          </cell>
          <cell r="H5987" t="str">
            <v>PCR片段文库</v>
          </cell>
          <cell r="I5987" t="str">
            <v>GZQ</v>
          </cell>
          <cell r="J5987">
            <v>100</v>
          </cell>
          <cell r="K5987">
            <v>422</v>
          </cell>
          <cell r="L5987" t="str">
            <v>XCL</v>
          </cell>
          <cell r="N5987">
            <v>364.56434560700001</v>
          </cell>
        </row>
        <row r="5988">
          <cell r="E5988" t="str">
            <v>HGC-Lib-2458320</v>
          </cell>
          <cell r="F5988" t="str">
            <v>hitomcll358</v>
          </cell>
          <cell r="G5988">
            <v>2</v>
          </cell>
          <cell r="H5988" t="str">
            <v>PCR片段文库</v>
          </cell>
          <cell r="I5988" t="str">
            <v>GZQ</v>
          </cell>
          <cell r="J5988">
            <v>79.599999999999994</v>
          </cell>
          <cell r="K5988">
            <v>424</v>
          </cell>
          <cell r="L5988" t="str">
            <v>XCL</v>
          </cell>
          <cell r="N5988">
            <v>288.82438316400601</v>
          </cell>
        </row>
        <row r="5989">
          <cell r="E5989" t="str">
            <v>HGC-Lib-2458321</v>
          </cell>
          <cell r="F5989" t="str">
            <v>hitomcll359</v>
          </cell>
          <cell r="G5989">
            <v>2</v>
          </cell>
          <cell r="H5989" t="str">
            <v>PCR片段文库</v>
          </cell>
          <cell r="I5989" t="str">
            <v>GZQ</v>
          </cell>
          <cell r="J5989">
            <v>73.599999999999994</v>
          </cell>
          <cell r="K5989">
            <v>415</v>
          </cell>
          <cell r="L5989" t="str">
            <v>XCL</v>
          </cell>
          <cell r="N5989">
            <v>272.84522706209498</v>
          </cell>
        </row>
        <row r="5990">
          <cell r="E5990" t="str">
            <v>HGC-Lib-2458322</v>
          </cell>
          <cell r="F5990" t="str">
            <v>hitomcll360</v>
          </cell>
          <cell r="G5990">
            <v>2</v>
          </cell>
          <cell r="H5990" t="str">
            <v>PCR片段文库</v>
          </cell>
          <cell r="I5990" t="str">
            <v>GZQ</v>
          </cell>
          <cell r="J5990">
            <v>97.4</v>
          </cell>
          <cell r="K5990">
            <v>420</v>
          </cell>
          <cell r="L5990" t="str">
            <v>XCL</v>
          </cell>
          <cell r="N5990">
            <v>356.77655677655702</v>
          </cell>
        </row>
        <row r="5991">
          <cell r="E5991" t="str">
            <v>HGC-Lib-2458323</v>
          </cell>
          <cell r="F5991" t="str">
            <v>hitomcll361</v>
          </cell>
          <cell r="G5991">
            <v>2</v>
          </cell>
          <cell r="H5991" t="str">
            <v>PCR片段文库</v>
          </cell>
          <cell r="I5991" t="str">
            <v>GZQ</v>
          </cell>
          <cell r="J5991">
            <v>49.2</v>
          </cell>
          <cell r="K5991">
            <v>422</v>
          </cell>
          <cell r="L5991" t="str">
            <v>XCL</v>
          </cell>
          <cell r="N5991">
            <v>179.365658038644</v>
          </cell>
        </row>
        <row r="5992">
          <cell r="E5992" t="str">
            <v>HGC-Lib-2458324</v>
          </cell>
          <cell r="F5992" t="str">
            <v>hitomcll362</v>
          </cell>
          <cell r="G5992">
            <v>2</v>
          </cell>
          <cell r="H5992" t="str">
            <v>PCR片段文库</v>
          </cell>
          <cell r="I5992" t="str">
            <v>GZQ</v>
          </cell>
          <cell r="J5992">
            <v>58.2</v>
          </cell>
          <cell r="K5992">
            <v>423</v>
          </cell>
          <cell r="L5992" t="str">
            <v>XCL</v>
          </cell>
          <cell r="N5992">
            <v>211.674849972722</v>
          </cell>
        </row>
        <row r="5993">
          <cell r="E5993" t="str">
            <v>HGC-Lib-2458325</v>
          </cell>
          <cell r="F5993" t="str">
            <v>hitomcll363</v>
          </cell>
          <cell r="G5993">
            <v>2</v>
          </cell>
          <cell r="H5993" t="str">
            <v>PCR片段文库</v>
          </cell>
          <cell r="I5993" t="str">
            <v>GZQ</v>
          </cell>
          <cell r="J5993">
            <v>67.400000000000006</v>
          </cell>
          <cell r="K5993">
            <v>475</v>
          </cell>
          <cell r="L5993" t="str">
            <v>XCL</v>
          </cell>
          <cell r="N5993">
            <v>218.2995951417</v>
          </cell>
        </row>
        <row r="5994">
          <cell r="E5994" t="str">
            <v>HGC-Lib-2458326</v>
          </cell>
          <cell r="F5994" t="str">
            <v>hitomcll364</v>
          </cell>
          <cell r="G5994">
            <v>2</v>
          </cell>
          <cell r="H5994" t="str">
            <v>PCR片段文库</v>
          </cell>
          <cell r="I5994" t="str">
            <v>GZQ</v>
          </cell>
          <cell r="J5994">
            <v>88.2</v>
          </cell>
          <cell r="K5994">
            <v>478</v>
          </cell>
          <cell r="L5994" t="str">
            <v>XCL</v>
          </cell>
          <cell r="N5994">
            <v>283.87512069520398</v>
          </cell>
        </row>
        <row r="5995">
          <cell r="E5995" t="str">
            <v>HGC-Lib-2458327</v>
          </cell>
          <cell r="F5995" t="str">
            <v>hitomcll366</v>
          </cell>
          <cell r="G5995">
            <v>2</v>
          </cell>
          <cell r="H5995" t="str">
            <v>PCR片段文库</v>
          </cell>
          <cell r="I5995" t="str">
            <v>GZQ</v>
          </cell>
          <cell r="J5995">
            <v>97.6</v>
          </cell>
          <cell r="K5995">
            <v>429</v>
          </cell>
          <cell r="L5995" t="str">
            <v>XCL</v>
          </cell>
          <cell r="N5995">
            <v>350.00896539358098</v>
          </cell>
        </row>
        <row r="5996">
          <cell r="E5996" t="str">
            <v>HGC-Lib-2458328</v>
          </cell>
          <cell r="F5996" t="str">
            <v>hitomcll367</v>
          </cell>
          <cell r="G5996">
            <v>2</v>
          </cell>
          <cell r="H5996" t="str">
            <v>PCR片段文库</v>
          </cell>
          <cell r="I5996" t="str">
            <v>GZQ</v>
          </cell>
          <cell r="J5996">
            <v>31.2</v>
          </cell>
          <cell r="K5996">
            <v>445</v>
          </cell>
          <cell r="L5996" t="str">
            <v>XCL</v>
          </cell>
          <cell r="N5996">
            <v>107.86516853932601</v>
          </cell>
        </row>
        <row r="5997">
          <cell r="E5997" t="str">
            <v>HGC-Lib-2458329</v>
          </cell>
          <cell r="F5997" t="str">
            <v>hitomcll368</v>
          </cell>
          <cell r="G5997">
            <v>2</v>
          </cell>
          <cell r="H5997" t="str">
            <v>PCR片段文库</v>
          </cell>
          <cell r="I5997" t="str">
            <v>GZQ</v>
          </cell>
          <cell r="J5997">
            <v>32.799999999999997</v>
          </cell>
          <cell r="K5997">
            <v>448</v>
          </cell>
          <cell r="L5997" t="str">
            <v>XCL</v>
          </cell>
          <cell r="N5997">
            <v>112.637362637363</v>
          </cell>
        </row>
        <row r="5998">
          <cell r="E5998" t="str">
            <v>HGC-Lib-2458330</v>
          </cell>
          <cell r="F5998" t="str">
            <v>hitomcll369</v>
          </cell>
          <cell r="G5998">
            <v>2</v>
          </cell>
          <cell r="H5998" t="str">
            <v>PCR片段文库</v>
          </cell>
          <cell r="I5998" t="str">
            <v>GZQ</v>
          </cell>
          <cell r="J5998">
            <v>75</v>
          </cell>
          <cell r="K5998">
            <v>422</v>
          </cell>
          <cell r="L5998" t="str">
            <v>XCL</v>
          </cell>
          <cell r="N5998">
            <v>273.42325920525002</v>
          </cell>
        </row>
        <row r="5999">
          <cell r="E5999" t="str">
            <v>HGC-Lib-2458331</v>
          </cell>
          <cell r="F5999" t="str">
            <v>hitomcll370</v>
          </cell>
          <cell r="G5999">
            <v>2</v>
          </cell>
          <cell r="H5999" t="str">
            <v>PCR片段文库</v>
          </cell>
          <cell r="I5999" t="str">
            <v>GZQ</v>
          </cell>
          <cell r="J5999">
            <v>53.8</v>
          </cell>
          <cell r="K5999">
            <v>420</v>
          </cell>
          <cell r="L5999" t="str">
            <v>XCL</v>
          </cell>
          <cell r="N5999">
            <v>197.06959706959699</v>
          </cell>
        </row>
        <row r="6000">
          <cell r="E6000" t="str">
            <v>HGC-Lib-2458332</v>
          </cell>
          <cell r="F6000" t="str">
            <v>N_B_N4704-28-10X5YX-N1</v>
          </cell>
          <cell r="G6000">
            <v>100</v>
          </cell>
          <cell r="H6000" t="str">
            <v>10x 5'单细胞</v>
          </cell>
          <cell r="I6000" t="str">
            <v>GZQ</v>
          </cell>
          <cell r="J6000">
            <v>21</v>
          </cell>
          <cell r="N6000" t="e">
            <v>#DIV/0!</v>
          </cell>
        </row>
        <row r="6001">
          <cell r="E6001" t="str">
            <v>HGC-Lib-2458333</v>
          </cell>
          <cell r="F6001" t="str">
            <v>N_B_N4704-29-10X5YX-N2</v>
          </cell>
          <cell r="G6001">
            <v>100</v>
          </cell>
          <cell r="H6001" t="str">
            <v>10x 5'单细胞</v>
          </cell>
          <cell r="I6001" t="str">
            <v>GZQ</v>
          </cell>
          <cell r="J6001">
            <v>18.5</v>
          </cell>
          <cell r="N6001" t="e">
            <v>#DIV/0!</v>
          </cell>
        </row>
        <row r="6002">
          <cell r="E6002" t="str">
            <v>HGC-Lib-2458334</v>
          </cell>
          <cell r="F6002" t="str">
            <v>N_B_N4704-2A-10X5YX-T</v>
          </cell>
          <cell r="G6002">
            <v>100</v>
          </cell>
          <cell r="H6002" t="str">
            <v>10x 5'单细胞</v>
          </cell>
          <cell r="I6002" t="str">
            <v>GZQ</v>
          </cell>
          <cell r="J6002">
            <v>23</v>
          </cell>
          <cell r="N6002" t="e">
            <v>#DIV/0!</v>
          </cell>
        </row>
        <row r="6003">
          <cell r="E6003" t="str">
            <v>HGC-Lib-2458335</v>
          </cell>
          <cell r="F6003" t="str">
            <v>N_B_N4704-2B-10X5YX-A</v>
          </cell>
          <cell r="G6003">
            <v>100</v>
          </cell>
          <cell r="H6003" t="str">
            <v>10x 5'单细胞</v>
          </cell>
          <cell r="I6003" t="str">
            <v>GZQ</v>
          </cell>
          <cell r="J6003">
            <v>17.7</v>
          </cell>
          <cell r="N6003" t="e">
            <v>#DIV/0!</v>
          </cell>
        </row>
        <row r="6004">
          <cell r="E6004" t="str">
            <v>HGC-Lib-2458336</v>
          </cell>
          <cell r="F6004" t="str">
            <v>N_B_N4704-28-10X5TCRYX-N1-2</v>
          </cell>
          <cell r="G6004">
            <v>10</v>
          </cell>
          <cell r="H6004" t="str">
            <v>TCR文库</v>
          </cell>
          <cell r="I6004" t="str">
            <v>GZQ</v>
          </cell>
          <cell r="J6004">
            <v>35.799999999999997</v>
          </cell>
          <cell r="N6004" t="e">
            <v>#DIV/0!</v>
          </cell>
        </row>
        <row r="6005">
          <cell r="E6005" t="str">
            <v>HGC-Lib-2458337</v>
          </cell>
          <cell r="F6005" t="str">
            <v>N_B_N4704-29-10X5TCRYX-N2-2</v>
          </cell>
          <cell r="G6005">
            <v>10</v>
          </cell>
          <cell r="H6005" t="str">
            <v>TCR文库</v>
          </cell>
          <cell r="I6005" t="str">
            <v>GZQ</v>
          </cell>
          <cell r="J6005">
            <v>41.8</v>
          </cell>
          <cell r="N6005" t="e">
            <v>#DIV/0!</v>
          </cell>
        </row>
        <row r="6006">
          <cell r="E6006" t="str">
            <v>HGC-Lib-2458338</v>
          </cell>
          <cell r="F6006" t="str">
            <v>N_B_N4704-2A-10X5TCRYX-T-2</v>
          </cell>
          <cell r="G6006">
            <v>10</v>
          </cell>
          <cell r="H6006" t="str">
            <v>TCR文库</v>
          </cell>
          <cell r="I6006" t="str">
            <v>GZQ</v>
          </cell>
          <cell r="J6006">
            <v>82.8</v>
          </cell>
          <cell r="N6006" t="e">
            <v>#DIV/0!</v>
          </cell>
        </row>
        <row r="6007">
          <cell r="E6007" t="str">
            <v>HGC-Lib-2458339</v>
          </cell>
          <cell r="F6007" t="str">
            <v>N_B_N4704-2B-10X5TCRYX-A-2</v>
          </cell>
          <cell r="G6007">
            <v>10</v>
          </cell>
          <cell r="H6007" t="str">
            <v>TCR文库</v>
          </cell>
          <cell r="I6007" t="str">
            <v>GZQ</v>
          </cell>
          <cell r="J6007">
            <v>68.2</v>
          </cell>
          <cell r="N6007" t="e">
            <v>#DIV/0!</v>
          </cell>
        </row>
        <row r="6008">
          <cell r="E6008" t="str">
            <v>HGC-Lib-2458340</v>
          </cell>
          <cell r="F6008" t="str">
            <v>N_B_N4704-28-10X5BCRYX-N1-3</v>
          </cell>
          <cell r="G6008">
            <v>10</v>
          </cell>
          <cell r="H6008" t="str">
            <v>BCR文库</v>
          </cell>
          <cell r="I6008" t="str">
            <v>GZQ</v>
          </cell>
          <cell r="J6008">
            <v>51.8</v>
          </cell>
          <cell r="N6008" t="e">
            <v>#DIV/0!</v>
          </cell>
        </row>
        <row r="6009">
          <cell r="E6009" t="str">
            <v>HGC-Lib-2458341</v>
          </cell>
          <cell r="F6009" t="str">
            <v>N_B_N4704-29-10X5BCRYX-N2-3</v>
          </cell>
          <cell r="G6009">
            <v>10</v>
          </cell>
          <cell r="H6009" t="str">
            <v>BCR文库</v>
          </cell>
          <cell r="I6009" t="str">
            <v>GZQ</v>
          </cell>
          <cell r="J6009">
            <v>60.8</v>
          </cell>
          <cell r="N6009" t="e">
            <v>#DIV/0!</v>
          </cell>
        </row>
        <row r="6010">
          <cell r="E6010" t="str">
            <v>HGC-Lib-2458342</v>
          </cell>
          <cell r="F6010" t="str">
            <v>N_B_N4704-2A-10X5BCRYX-T-3</v>
          </cell>
          <cell r="G6010">
            <v>10</v>
          </cell>
          <cell r="H6010" t="str">
            <v>BCR文库</v>
          </cell>
          <cell r="I6010" t="str">
            <v>GZQ</v>
          </cell>
          <cell r="J6010">
            <v>49.6</v>
          </cell>
          <cell r="N6010" t="e">
            <v>#DIV/0!</v>
          </cell>
        </row>
        <row r="6011">
          <cell r="E6011" t="str">
            <v>HGC-Lib-2458343</v>
          </cell>
          <cell r="F6011" t="str">
            <v>N_B_N4704-2B-10X5BCRYX-A-3</v>
          </cell>
          <cell r="G6011">
            <v>10</v>
          </cell>
          <cell r="H6011" t="str">
            <v>BCR文库</v>
          </cell>
          <cell r="I6011" t="str">
            <v>GZQ</v>
          </cell>
          <cell r="J6011">
            <v>48</v>
          </cell>
          <cell r="N6011" t="e">
            <v>#DIV/0!</v>
          </cell>
        </row>
        <row r="6012">
          <cell r="E6012" t="str">
            <v>HGC-Lib-2458344</v>
          </cell>
          <cell r="F6012" t="str">
            <v>N_B_N4705-5A-10X5024BM</v>
          </cell>
          <cell r="G6012">
            <v>100</v>
          </cell>
          <cell r="H6012" t="str">
            <v>10x 5'单细胞</v>
          </cell>
          <cell r="I6012" t="str">
            <v>GZQ</v>
          </cell>
          <cell r="J6012">
            <v>39.200000000000003</v>
          </cell>
          <cell r="N6012" t="e">
            <v>#DIV/0!</v>
          </cell>
        </row>
        <row r="6013">
          <cell r="E6013" t="str">
            <v>HGC-Lib-2458345</v>
          </cell>
          <cell r="F6013" t="str">
            <v>N_B_N4705-5B-10X5026BM</v>
          </cell>
          <cell r="G6013">
            <v>100</v>
          </cell>
          <cell r="H6013" t="str">
            <v>10x 5'单细胞</v>
          </cell>
          <cell r="I6013" t="str">
            <v>GZQ</v>
          </cell>
          <cell r="J6013">
            <v>38.4</v>
          </cell>
          <cell r="N6013" t="e">
            <v>#DIV/0!</v>
          </cell>
        </row>
        <row r="6014">
          <cell r="E6014" t="str">
            <v>HGC-Lib-2458346</v>
          </cell>
          <cell r="F6014" t="str">
            <v>N_B_N4705-5C-10X5026PBMC</v>
          </cell>
          <cell r="G6014">
            <v>100</v>
          </cell>
          <cell r="H6014" t="str">
            <v>10x 5'单细胞</v>
          </cell>
          <cell r="I6014" t="str">
            <v>GZQ</v>
          </cell>
          <cell r="J6014">
            <v>42.6</v>
          </cell>
          <cell r="N6014" t="e">
            <v>#DIV/0!</v>
          </cell>
        </row>
        <row r="6015">
          <cell r="E6015" t="str">
            <v>HGC-Lib-2458347</v>
          </cell>
          <cell r="F6015" t="str">
            <v>N_B_N4705-5D-10X5024CSF</v>
          </cell>
          <cell r="G6015">
            <v>100</v>
          </cell>
          <cell r="H6015" t="str">
            <v>10x 5'单细胞</v>
          </cell>
          <cell r="I6015" t="str">
            <v>GZQ</v>
          </cell>
          <cell r="J6015">
            <v>17</v>
          </cell>
          <cell r="N6015" t="e">
            <v>#DIV/0!</v>
          </cell>
        </row>
        <row r="6016">
          <cell r="E6016" t="str">
            <v>HGC-Lib-2458348</v>
          </cell>
          <cell r="F6016" t="str">
            <v>N_B_N4705-5E-10X5025CSF</v>
          </cell>
          <cell r="G6016">
            <v>100</v>
          </cell>
          <cell r="H6016" t="str">
            <v>10x 5'单细胞</v>
          </cell>
          <cell r="I6016" t="str">
            <v>GZQ</v>
          </cell>
          <cell r="J6016">
            <v>16.100000000000001</v>
          </cell>
          <cell r="N6016" t="e">
            <v>#DIV/0!</v>
          </cell>
        </row>
        <row r="6017">
          <cell r="E6017" t="str">
            <v>HGC-Lib-2458349</v>
          </cell>
          <cell r="F6017" t="str">
            <v>N_B_N4705-5F-10X5024PBMC</v>
          </cell>
          <cell r="G6017">
            <v>100</v>
          </cell>
          <cell r="H6017" t="str">
            <v>10x 5'单细胞</v>
          </cell>
          <cell r="I6017" t="str">
            <v>GZQ</v>
          </cell>
          <cell r="J6017">
            <v>38.4</v>
          </cell>
          <cell r="N6017" t="e">
            <v>#DIV/0!</v>
          </cell>
        </row>
        <row r="6018">
          <cell r="E6018" t="str">
            <v>HGC-Lib-2458350</v>
          </cell>
          <cell r="F6018" t="str">
            <v>N_B_N4705-5G-10X5028BM</v>
          </cell>
          <cell r="G6018">
            <v>100</v>
          </cell>
          <cell r="H6018" t="str">
            <v>10x 5'单细胞</v>
          </cell>
          <cell r="I6018" t="str">
            <v>GZQ</v>
          </cell>
          <cell r="J6018">
            <v>56.6</v>
          </cell>
          <cell r="N6018" t="e">
            <v>#DIV/0!</v>
          </cell>
        </row>
        <row r="6019">
          <cell r="E6019" t="str">
            <v>HGC-Lib-2458351</v>
          </cell>
          <cell r="F6019" t="str">
            <v>N_B_N4705-5H-10X5028PBMC</v>
          </cell>
          <cell r="G6019">
            <v>100</v>
          </cell>
          <cell r="H6019" t="str">
            <v>10x 5'单细胞</v>
          </cell>
          <cell r="I6019" t="str">
            <v>GZQ</v>
          </cell>
          <cell r="J6019">
            <v>42.2</v>
          </cell>
          <cell r="N6019" t="e">
            <v>#DIV/0!</v>
          </cell>
        </row>
        <row r="6020">
          <cell r="E6020" t="str">
            <v>HGC-Lib-2458352</v>
          </cell>
          <cell r="F6020" t="str">
            <v>N_B_N4705-5A-10X5TCR024BM-2</v>
          </cell>
          <cell r="G6020">
            <v>10</v>
          </cell>
          <cell r="H6020" t="str">
            <v>TCR文库</v>
          </cell>
          <cell r="I6020" t="str">
            <v>GZQ</v>
          </cell>
          <cell r="J6020">
            <v>67.2</v>
          </cell>
          <cell r="N6020" t="e">
            <v>#DIV/0!</v>
          </cell>
        </row>
        <row r="6021">
          <cell r="E6021" t="str">
            <v>HGC-Lib-2458353</v>
          </cell>
          <cell r="F6021" t="str">
            <v>N_B_N4705-5B-10X5TCR026BM-2</v>
          </cell>
          <cell r="G6021">
            <v>10</v>
          </cell>
          <cell r="H6021" t="str">
            <v>TCR文库</v>
          </cell>
          <cell r="I6021" t="str">
            <v>GZQ</v>
          </cell>
          <cell r="J6021">
            <v>47.6</v>
          </cell>
          <cell r="N6021" t="e">
            <v>#DIV/0!</v>
          </cell>
        </row>
        <row r="6022">
          <cell r="E6022" t="str">
            <v>HGC-Lib-2458354</v>
          </cell>
          <cell r="F6022" t="str">
            <v>N_B_N4705-5C-10X5TCR026PBMC-2</v>
          </cell>
          <cell r="G6022">
            <v>10</v>
          </cell>
          <cell r="H6022" t="str">
            <v>TCR文库</v>
          </cell>
          <cell r="I6022" t="str">
            <v>GZQ</v>
          </cell>
          <cell r="J6022">
            <v>74.2</v>
          </cell>
          <cell r="N6022" t="e">
            <v>#DIV/0!</v>
          </cell>
        </row>
        <row r="6023">
          <cell r="E6023" t="str">
            <v>HGC-Lib-2458355</v>
          </cell>
          <cell r="F6023" t="str">
            <v>N_B_N4705-5D-10X5TCR024CSF-2</v>
          </cell>
          <cell r="G6023">
            <v>10</v>
          </cell>
          <cell r="H6023" t="str">
            <v>TCR文库</v>
          </cell>
          <cell r="I6023" t="str">
            <v>GZQ</v>
          </cell>
          <cell r="J6023">
            <v>44.4</v>
          </cell>
          <cell r="N6023" t="e">
            <v>#DIV/0!</v>
          </cell>
        </row>
        <row r="6024">
          <cell r="E6024" t="str">
            <v>HGC-Lib-2458356</v>
          </cell>
          <cell r="F6024" t="str">
            <v>N_B_N4705-5E-10X5TCR025CSF-2</v>
          </cell>
          <cell r="G6024">
            <v>10</v>
          </cell>
          <cell r="H6024" t="str">
            <v>TCR文库</v>
          </cell>
          <cell r="I6024" t="str">
            <v>GZQ</v>
          </cell>
          <cell r="J6024">
            <v>50.8</v>
          </cell>
          <cell r="N6024" t="e">
            <v>#DIV/0!</v>
          </cell>
        </row>
        <row r="6025">
          <cell r="E6025" t="str">
            <v>HGC-Lib-2458357</v>
          </cell>
          <cell r="F6025" t="str">
            <v>N_B_N4705-5F-10X5TCR024PBMC-2</v>
          </cell>
          <cell r="G6025">
            <v>10</v>
          </cell>
          <cell r="H6025" t="str">
            <v>TCR文库</v>
          </cell>
          <cell r="I6025" t="str">
            <v>GZQ</v>
          </cell>
          <cell r="J6025">
            <v>70</v>
          </cell>
          <cell r="N6025" t="e">
            <v>#DIV/0!</v>
          </cell>
        </row>
        <row r="6026">
          <cell r="E6026" t="str">
            <v>HGC-Lib-2458358</v>
          </cell>
          <cell r="F6026" t="str">
            <v>N_B_N4705-5G-10X5TCR028BM-2</v>
          </cell>
          <cell r="G6026">
            <v>10</v>
          </cell>
          <cell r="H6026" t="str">
            <v>TCR文库</v>
          </cell>
          <cell r="I6026" t="str">
            <v>GZQ</v>
          </cell>
          <cell r="J6026">
            <v>68.599999999999994</v>
          </cell>
          <cell r="N6026" t="e">
            <v>#DIV/0!</v>
          </cell>
        </row>
        <row r="6027">
          <cell r="E6027" t="str">
            <v>HGC-Lib-2458359</v>
          </cell>
          <cell r="F6027" t="str">
            <v>N_B_N4705-5H-10X5TCR028PBMC-2</v>
          </cell>
          <cell r="G6027">
            <v>10</v>
          </cell>
          <cell r="H6027" t="str">
            <v>TCR文库</v>
          </cell>
          <cell r="I6027" t="str">
            <v>GZQ</v>
          </cell>
          <cell r="J6027">
            <v>62.8</v>
          </cell>
          <cell r="N6027" t="e">
            <v>#DIV/0!</v>
          </cell>
        </row>
        <row r="6028">
          <cell r="E6028" t="str">
            <v>HGC-Lib-2458360</v>
          </cell>
          <cell r="F6028" t="str">
            <v>N_B_N4705-5A-10X5BCR024BM-3</v>
          </cell>
          <cell r="G6028">
            <v>10</v>
          </cell>
          <cell r="H6028" t="str">
            <v>BCR文库</v>
          </cell>
          <cell r="I6028" t="str">
            <v>GZQ</v>
          </cell>
          <cell r="J6028">
            <v>52.6</v>
          </cell>
          <cell r="N6028" t="e">
            <v>#DIV/0!</v>
          </cell>
        </row>
        <row r="6029">
          <cell r="E6029" t="str">
            <v>HGC-Lib-2458361</v>
          </cell>
          <cell r="F6029" t="str">
            <v>N_B_N4705-5B-10X5BCR026BM-3</v>
          </cell>
          <cell r="G6029">
            <v>10</v>
          </cell>
          <cell r="H6029" t="str">
            <v>BCR文库</v>
          </cell>
          <cell r="I6029" t="str">
            <v>GZQ</v>
          </cell>
          <cell r="J6029">
            <v>40.4</v>
          </cell>
          <cell r="N6029" t="e">
            <v>#DIV/0!</v>
          </cell>
        </row>
        <row r="6030">
          <cell r="E6030" t="str">
            <v>HGC-Lib-2458362</v>
          </cell>
          <cell r="F6030" t="str">
            <v>N_B_N4705-5C-10X5BCR026PBMC-3</v>
          </cell>
          <cell r="G6030">
            <v>10</v>
          </cell>
          <cell r="H6030" t="str">
            <v>BCR文库</v>
          </cell>
          <cell r="I6030" t="str">
            <v>GZQ</v>
          </cell>
          <cell r="J6030">
            <v>50.4</v>
          </cell>
          <cell r="N6030" t="e">
            <v>#DIV/0!</v>
          </cell>
        </row>
        <row r="6031">
          <cell r="E6031" t="str">
            <v>HGC-Lib-2458363</v>
          </cell>
          <cell r="F6031" t="str">
            <v>N_B_N4705-5D-10X5BCR024CSF-3</v>
          </cell>
          <cell r="G6031">
            <v>10</v>
          </cell>
          <cell r="H6031" t="str">
            <v>BCR文库</v>
          </cell>
          <cell r="I6031" t="str">
            <v>GZQ</v>
          </cell>
          <cell r="J6031">
            <v>35.6</v>
          </cell>
          <cell r="N6031" t="e">
            <v>#DIV/0!</v>
          </cell>
        </row>
        <row r="6032">
          <cell r="E6032" t="str">
            <v>HGC-Lib-2458364</v>
          </cell>
          <cell r="F6032" t="str">
            <v>N_B_N4705-5E-10X5BCR025CSF-3</v>
          </cell>
          <cell r="G6032">
            <v>10</v>
          </cell>
          <cell r="H6032" t="str">
            <v>BCR文库</v>
          </cell>
          <cell r="I6032" t="str">
            <v>HZK</v>
          </cell>
          <cell r="J6032">
            <v>15.4</v>
          </cell>
          <cell r="N6032" t="e">
            <v>#DIV/0!</v>
          </cell>
        </row>
        <row r="6033">
          <cell r="E6033" t="str">
            <v>HGC-Lib-2458365</v>
          </cell>
          <cell r="F6033" t="str">
            <v>N_B_N4705-5F-10X5BCR024PBMC-3</v>
          </cell>
          <cell r="G6033">
            <v>10</v>
          </cell>
          <cell r="H6033" t="str">
            <v>BCR文库</v>
          </cell>
          <cell r="I6033" t="str">
            <v>HZK</v>
          </cell>
          <cell r="J6033">
            <v>46.8</v>
          </cell>
          <cell r="N6033" t="e">
            <v>#DIV/0!</v>
          </cell>
        </row>
        <row r="6034">
          <cell r="E6034" t="str">
            <v>HGC-Lib-2458366</v>
          </cell>
          <cell r="F6034" t="str">
            <v>N_B_N4705-5G-10X5BCR028BM-3</v>
          </cell>
          <cell r="G6034">
            <v>10</v>
          </cell>
          <cell r="H6034" t="str">
            <v>BCR文库</v>
          </cell>
          <cell r="I6034" t="str">
            <v>HZK</v>
          </cell>
          <cell r="J6034">
            <v>44.8</v>
          </cell>
          <cell r="N6034" t="e">
            <v>#DIV/0!</v>
          </cell>
        </row>
        <row r="6035">
          <cell r="E6035" t="str">
            <v>HGC-Lib-2458367</v>
          </cell>
          <cell r="F6035" t="str">
            <v>N_B_N4705-5H-10X5BCR028PBMC-3</v>
          </cell>
          <cell r="G6035">
            <v>10</v>
          </cell>
          <cell r="H6035" t="str">
            <v>BCR文库</v>
          </cell>
          <cell r="I6035" t="str">
            <v>HZK</v>
          </cell>
          <cell r="J6035">
            <v>40.4</v>
          </cell>
          <cell r="N6035" t="e">
            <v>#DIV/0!</v>
          </cell>
        </row>
        <row r="6036">
          <cell r="E6036" t="str">
            <v>HGC-Lib-2458368</v>
          </cell>
          <cell r="F6036" t="str">
            <v>N_B_N4705-17-10X3CR-hMC110</v>
          </cell>
          <cell r="G6036">
            <v>100</v>
          </cell>
          <cell r="H6036" t="str">
            <v>10× 3'单细胞</v>
          </cell>
          <cell r="I6036" t="str">
            <v>HZK</v>
          </cell>
          <cell r="J6036">
            <v>12.9</v>
          </cell>
          <cell r="N6036" t="e">
            <v>#DIV/0!</v>
          </cell>
        </row>
        <row r="6037">
          <cell r="E6037" t="str">
            <v>HGC-Lib-2458369</v>
          </cell>
          <cell r="F6037" t="str">
            <v>N_B_N4705-18-10X3CR-hMC111</v>
          </cell>
          <cell r="G6037">
            <v>100</v>
          </cell>
          <cell r="H6037" t="str">
            <v>10× 3'单细胞</v>
          </cell>
          <cell r="I6037" t="str">
            <v>HZK</v>
          </cell>
          <cell r="J6037">
            <v>14.3</v>
          </cell>
          <cell r="N6037" t="e">
            <v>#DIV/0!</v>
          </cell>
        </row>
        <row r="6038">
          <cell r="E6038" t="str">
            <v>HGC-Lib-2458370</v>
          </cell>
          <cell r="F6038" t="str">
            <v>N_B_N4705-61-10X3CR-mMC041</v>
          </cell>
          <cell r="G6038">
            <v>100</v>
          </cell>
          <cell r="H6038" t="str">
            <v>10× 3'单细胞</v>
          </cell>
          <cell r="I6038" t="str">
            <v>HZK</v>
          </cell>
          <cell r="J6038">
            <v>9.64</v>
          </cell>
          <cell r="N6038" t="e">
            <v>#DIV/0!</v>
          </cell>
        </row>
        <row r="6039">
          <cell r="E6039" t="str">
            <v>HGC-Lib-2458371</v>
          </cell>
          <cell r="F6039" t="str">
            <v>N_B_N4705-62-10X3CR-mMC042</v>
          </cell>
          <cell r="G6039">
            <v>100</v>
          </cell>
          <cell r="H6039" t="str">
            <v>10× 3'单细胞</v>
          </cell>
          <cell r="I6039" t="str">
            <v>HZK</v>
          </cell>
          <cell r="J6039">
            <v>13.9</v>
          </cell>
          <cell r="N6039" t="e">
            <v>#DIV/0!</v>
          </cell>
        </row>
        <row r="6040">
          <cell r="E6040" t="str">
            <v>HGC-Lib-2458372</v>
          </cell>
          <cell r="F6040" t="str">
            <v>N_B_N4705-63-10X3CR-mMC043</v>
          </cell>
          <cell r="G6040">
            <v>100</v>
          </cell>
          <cell r="H6040" t="str">
            <v>10× 3'单细胞</v>
          </cell>
          <cell r="I6040" t="str">
            <v>HZK</v>
          </cell>
          <cell r="J6040">
            <v>7.76</v>
          </cell>
          <cell r="N6040" t="e">
            <v>#DIV/0!</v>
          </cell>
        </row>
        <row r="6041">
          <cell r="E6041" t="str">
            <v>HGC-Lib-2458373</v>
          </cell>
          <cell r="F6041" t="str">
            <v>N_B_N4705-02-BDv2zhangyidiliaoqianpifu</v>
          </cell>
          <cell r="G6041">
            <v>100</v>
          </cell>
          <cell r="H6041" t="str">
            <v>BD-单细胞</v>
          </cell>
          <cell r="I6041" t="str">
            <v>HZK</v>
          </cell>
          <cell r="J6041">
            <v>30.2</v>
          </cell>
          <cell r="N6041" t="e">
            <v>#DIV/0!</v>
          </cell>
        </row>
        <row r="6042">
          <cell r="E6042" t="str">
            <v>HGC-POOL-2458386</v>
          </cell>
          <cell r="F6042" t="str">
            <v>pool-4549-Xplus</v>
          </cell>
          <cell r="G6042">
            <v>1000</v>
          </cell>
          <cell r="H6042" t="str">
            <v>10x单细胞测序v3,100%</v>
          </cell>
          <cell r="I6042" t="str">
            <v>HZK</v>
          </cell>
          <cell r="J6042">
            <v>22</v>
          </cell>
          <cell r="K6042">
            <v>493</v>
          </cell>
          <cell r="L6042" t="str">
            <v>XCL</v>
          </cell>
          <cell r="N6042">
            <v>68.653456077391198</v>
          </cell>
        </row>
        <row r="6043">
          <cell r="E6043" t="str">
            <v>HGC-POOL-2458387</v>
          </cell>
          <cell r="F6043" t="str">
            <v>pool-4550-Xplus</v>
          </cell>
          <cell r="G6043">
            <v>1000</v>
          </cell>
          <cell r="H6043" t="str">
            <v>10x单细胞测序v3,100%</v>
          </cell>
          <cell r="I6043" t="str">
            <v>HZK</v>
          </cell>
          <cell r="J6043">
            <v>21.4</v>
          </cell>
          <cell r="K6043">
            <v>511</v>
          </cell>
          <cell r="L6043" t="str">
            <v>XCL</v>
          </cell>
          <cell r="N6043">
            <v>64.428721962968496</v>
          </cell>
        </row>
        <row r="6044">
          <cell r="E6044" t="str">
            <v>HGC-POOL-2458388</v>
          </cell>
          <cell r="F6044" t="str">
            <v>pool-4551-Xplus</v>
          </cell>
          <cell r="G6044">
            <v>1000</v>
          </cell>
          <cell r="H6044" t="str">
            <v>10x单细胞测序v3,100%</v>
          </cell>
          <cell r="I6044" t="str">
            <v>HZK</v>
          </cell>
          <cell r="J6044">
            <v>21.6</v>
          </cell>
          <cell r="K6044">
            <v>483</v>
          </cell>
          <cell r="L6044" t="str">
            <v>XCL</v>
          </cell>
          <cell r="N6044">
            <v>68.800764452938395</v>
          </cell>
        </row>
        <row r="6045">
          <cell r="E6045" t="str">
            <v>HGC-POOL-2458389</v>
          </cell>
          <cell r="F6045" t="str">
            <v>WT2420</v>
          </cell>
          <cell r="G6045">
            <v>30</v>
          </cell>
          <cell r="H6045" t="str">
            <v>ATAC</v>
          </cell>
          <cell r="I6045" t="str">
            <v>HZK</v>
          </cell>
          <cell r="J6045">
            <v>6.4</v>
          </cell>
          <cell r="K6045">
            <v>553</v>
          </cell>
          <cell r="L6045" t="str">
            <v>YHT</v>
          </cell>
          <cell r="N6045">
            <v>17.8049798302963</v>
          </cell>
        </row>
        <row r="6046">
          <cell r="E6046" t="str">
            <v>HGC-Lib-2458421</v>
          </cell>
          <cell r="F6046" t="str">
            <v>SJ0722A</v>
          </cell>
          <cell r="G6046">
            <v>5</v>
          </cell>
          <cell r="H6046" t="str">
            <v>PCR产物文库</v>
          </cell>
          <cell r="I6046" t="str">
            <v>HZK</v>
          </cell>
          <cell r="J6046">
            <v>43.2</v>
          </cell>
          <cell r="K6046">
            <v>375</v>
          </cell>
          <cell r="L6046" t="str">
            <v>XCL</v>
          </cell>
          <cell r="N6046">
            <v>177.230769230769</v>
          </cell>
        </row>
        <row r="6047">
          <cell r="E6047" t="str">
            <v>HGC-Lib-2458422</v>
          </cell>
          <cell r="F6047" t="str">
            <v>SJ0722B</v>
          </cell>
          <cell r="G6047">
            <v>5</v>
          </cell>
          <cell r="H6047" t="str">
            <v>PCR产物文库</v>
          </cell>
          <cell r="I6047" t="str">
            <v>HZK</v>
          </cell>
          <cell r="J6047">
            <v>46.8</v>
          </cell>
          <cell r="K6047">
            <v>413</v>
          </cell>
          <cell r="L6047" t="str">
            <v>XCL</v>
          </cell>
          <cell r="N6047">
            <v>174.334140435835</v>
          </cell>
        </row>
        <row r="6048">
          <cell r="E6048" t="str">
            <v>HGC-Lib-2458423</v>
          </cell>
          <cell r="F6048" t="str">
            <v>25 ribo-seq lib</v>
          </cell>
          <cell r="G6048">
            <v>5</v>
          </cell>
          <cell r="H6048" t="str">
            <v>small RNA文库</v>
          </cell>
          <cell r="I6048" t="str">
            <v>HZK</v>
          </cell>
          <cell r="J6048">
            <v>1.28</v>
          </cell>
          <cell r="K6048">
            <v>241</v>
          </cell>
          <cell r="L6048" t="str">
            <v>YHT</v>
          </cell>
          <cell r="N6048">
            <v>8.1710820300031894</v>
          </cell>
        </row>
        <row r="6049">
          <cell r="E6049" t="str">
            <v>HGC-Lib-2458424</v>
          </cell>
          <cell r="F6049" t="str">
            <v>26 ribo-seq lib</v>
          </cell>
          <cell r="G6049">
            <v>5</v>
          </cell>
          <cell r="H6049" t="str">
            <v>small RNA文库</v>
          </cell>
          <cell r="I6049" t="str">
            <v>HZK</v>
          </cell>
          <cell r="J6049">
            <v>1.58</v>
          </cell>
          <cell r="K6049">
            <v>206</v>
          </cell>
          <cell r="L6049" t="str">
            <v>YHT</v>
          </cell>
          <cell r="N6049">
            <v>11.7998506348021</v>
          </cell>
        </row>
        <row r="6050">
          <cell r="E6050" t="str">
            <v>HGC-Lib-2458425</v>
          </cell>
          <cell r="F6050" t="str">
            <v>27 ribo-seq lib</v>
          </cell>
          <cell r="G6050">
            <v>5</v>
          </cell>
          <cell r="H6050" t="str">
            <v>small RNA文库</v>
          </cell>
          <cell r="I6050" t="str">
            <v>HZK</v>
          </cell>
          <cell r="J6050">
            <v>0.498</v>
          </cell>
          <cell r="K6050">
            <v>219</v>
          </cell>
          <cell r="L6050" t="str">
            <v>YHT</v>
          </cell>
          <cell r="N6050">
            <v>3.4984193888303499</v>
          </cell>
        </row>
        <row r="6051">
          <cell r="E6051" t="str">
            <v>HGC-Lib-2458426</v>
          </cell>
          <cell r="F6051" t="str">
            <v>28 ribo-seq lib</v>
          </cell>
          <cell r="G6051">
            <v>5</v>
          </cell>
          <cell r="H6051" t="str">
            <v>small RNA文库</v>
          </cell>
          <cell r="I6051" t="str">
            <v>HZK</v>
          </cell>
          <cell r="J6051">
            <v>2.74</v>
          </cell>
          <cell r="K6051">
            <v>196</v>
          </cell>
          <cell r="L6051" t="str">
            <v>YHT</v>
          </cell>
          <cell r="N6051">
            <v>21.507064364207199</v>
          </cell>
        </row>
        <row r="6052">
          <cell r="E6052" t="str">
            <v>HGC-Lib-2458427</v>
          </cell>
          <cell r="F6052" t="str">
            <v>LPMFTBC240702027X1CK</v>
          </cell>
          <cell r="G6052">
            <v>90</v>
          </cell>
          <cell r="H6052" t="str">
            <v>singleron-3'全长转录组文库</v>
          </cell>
          <cell r="I6052" t="str">
            <v>HZK</v>
          </cell>
          <cell r="J6052">
            <v>20.8</v>
          </cell>
          <cell r="N6052" t="e">
            <v>#DIV/0!</v>
          </cell>
        </row>
        <row r="6053">
          <cell r="E6053" t="str">
            <v>HGC-Lib-2458428</v>
          </cell>
          <cell r="F6053" t="str">
            <v>LC240719167X1</v>
          </cell>
          <cell r="G6053">
            <v>100</v>
          </cell>
          <cell r="H6053" t="str">
            <v>singleron-3'转录组文库</v>
          </cell>
          <cell r="I6053" t="str">
            <v>HZK</v>
          </cell>
          <cell r="J6053">
            <v>17.8</v>
          </cell>
          <cell r="N6053" t="e">
            <v>#DIV/0!</v>
          </cell>
        </row>
        <row r="6054">
          <cell r="E6054" t="str">
            <v>HGC-Lib-2458429</v>
          </cell>
          <cell r="F6054" t="str">
            <v>LC240718042</v>
          </cell>
          <cell r="G6054">
            <v>90</v>
          </cell>
          <cell r="H6054" t="str">
            <v>singleron-3'转录组文库</v>
          </cell>
          <cell r="I6054" t="str">
            <v>HZK</v>
          </cell>
          <cell r="J6054">
            <v>18.3</v>
          </cell>
          <cell r="N6054" t="e">
            <v>#DIV/0!</v>
          </cell>
        </row>
        <row r="6055">
          <cell r="E6055" t="str">
            <v>HGC-Lib-2458430</v>
          </cell>
          <cell r="F6055" t="str">
            <v>LC240717051</v>
          </cell>
          <cell r="G6055">
            <v>30</v>
          </cell>
          <cell r="H6055" t="str">
            <v>singleron-3'转录组文库</v>
          </cell>
          <cell r="I6055" t="str">
            <v>HZK</v>
          </cell>
          <cell r="J6055">
            <v>21.6</v>
          </cell>
          <cell r="N6055" t="e">
            <v>#DIV/0!</v>
          </cell>
        </row>
        <row r="6056">
          <cell r="E6056" t="str">
            <v>HGC-Lib-2458431</v>
          </cell>
          <cell r="F6056" t="str">
            <v>LC240716115</v>
          </cell>
          <cell r="G6056">
            <v>100</v>
          </cell>
          <cell r="H6056" t="str">
            <v>singleron-3'转录组文库</v>
          </cell>
          <cell r="I6056" t="str">
            <v>HZK</v>
          </cell>
          <cell r="J6056">
            <v>17.2</v>
          </cell>
          <cell r="N6056" t="e">
            <v>#DIV/0!</v>
          </cell>
        </row>
        <row r="6057">
          <cell r="E6057" t="str">
            <v>HGC-Lib-2458432</v>
          </cell>
          <cell r="F6057" t="str">
            <v>LC240716105</v>
          </cell>
          <cell r="G6057">
            <v>100</v>
          </cell>
          <cell r="H6057" t="str">
            <v>singleron-3'转录组文库</v>
          </cell>
          <cell r="I6057" t="str">
            <v>HZK</v>
          </cell>
          <cell r="J6057">
            <v>11.9</v>
          </cell>
          <cell r="N6057" t="e">
            <v>#DIV/0!</v>
          </cell>
        </row>
        <row r="6058">
          <cell r="E6058" t="str">
            <v>HGC-Lib-2458433</v>
          </cell>
          <cell r="F6058" t="str">
            <v>LC240716104</v>
          </cell>
          <cell r="G6058">
            <v>100</v>
          </cell>
          <cell r="H6058" t="str">
            <v>singleron-3'转录组文库</v>
          </cell>
          <cell r="I6058" t="str">
            <v>HZK</v>
          </cell>
          <cell r="J6058">
            <v>8.5399999999999991</v>
          </cell>
          <cell r="N6058" t="e">
            <v>#DIV/0!</v>
          </cell>
        </row>
        <row r="6059">
          <cell r="E6059" t="str">
            <v>HGC-Lib-2458434</v>
          </cell>
          <cell r="F6059" t="str">
            <v>LC240716092</v>
          </cell>
          <cell r="G6059">
            <v>120</v>
          </cell>
          <cell r="H6059" t="str">
            <v>singleron-3'转录组文库</v>
          </cell>
          <cell r="I6059" t="str">
            <v>HZK</v>
          </cell>
          <cell r="J6059">
            <v>13.8</v>
          </cell>
          <cell r="N6059" t="e">
            <v>#DIV/0!</v>
          </cell>
        </row>
        <row r="6060">
          <cell r="E6060" t="str">
            <v>HGC-Lib-2458435</v>
          </cell>
          <cell r="F6060" t="str">
            <v>LC240716002</v>
          </cell>
          <cell r="G6060">
            <v>120</v>
          </cell>
          <cell r="H6060" t="str">
            <v>singleron-3'转录组文库</v>
          </cell>
          <cell r="I6060" t="str">
            <v>HZK</v>
          </cell>
          <cell r="J6060">
            <v>15.6</v>
          </cell>
          <cell r="N6060" t="e">
            <v>#DIV/0!</v>
          </cell>
        </row>
        <row r="6061">
          <cell r="E6061" t="str">
            <v>HGC-Lib-2458436</v>
          </cell>
          <cell r="F6061" t="str">
            <v>LA240719069</v>
          </cell>
          <cell r="G6061">
            <v>100</v>
          </cell>
          <cell r="H6061" t="str">
            <v>singleron-3'转录组文库</v>
          </cell>
          <cell r="I6061" t="str">
            <v>HZK</v>
          </cell>
          <cell r="J6061">
            <v>15.9</v>
          </cell>
          <cell r="N6061" t="e">
            <v>#DIV/0!</v>
          </cell>
        </row>
        <row r="6062">
          <cell r="E6062" t="str">
            <v>HGC-Lib-2458437</v>
          </cell>
          <cell r="F6062" t="str">
            <v>LA240719057</v>
          </cell>
          <cell r="G6062">
            <v>120</v>
          </cell>
          <cell r="H6062" t="str">
            <v>singleron-3'转录组文库</v>
          </cell>
          <cell r="I6062" t="str">
            <v>HZK</v>
          </cell>
          <cell r="J6062">
            <v>17.3</v>
          </cell>
          <cell r="N6062" t="e">
            <v>#DIV/0!</v>
          </cell>
        </row>
        <row r="6063">
          <cell r="E6063" t="str">
            <v>HGC-Lib-2458438</v>
          </cell>
          <cell r="F6063" t="str">
            <v>LA240719056</v>
          </cell>
          <cell r="G6063">
            <v>100</v>
          </cell>
          <cell r="H6063" t="str">
            <v>singleron-3'转录组文库</v>
          </cell>
          <cell r="I6063" t="str">
            <v>HZK</v>
          </cell>
          <cell r="J6063">
            <v>20.8</v>
          </cell>
          <cell r="N6063" t="e">
            <v>#DIV/0!</v>
          </cell>
        </row>
        <row r="6064">
          <cell r="E6064" t="str">
            <v>HGC-Lib-2458439</v>
          </cell>
          <cell r="F6064" t="str">
            <v>LA240718052</v>
          </cell>
          <cell r="G6064">
            <v>100</v>
          </cell>
          <cell r="H6064" t="str">
            <v>singleron-3'转录组文库</v>
          </cell>
          <cell r="I6064" t="str">
            <v>HZK</v>
          </cell>
          <cell r="J6064">
            <v>15.2</v>
          </cell>
          <cell r="N6064" t="e">
            <v>#DIV/0!</v>
          </cell>
        </row>
        <row r="6065">
          <cell r="E6065" t="str">
            <v>HGC-Lib-2458440</v>
          </cell>
          <cell r="F6065" t="str">
            <v>LA240718051</v>
          </cell>
          <cell r="G6065">
            <v>100</v>
          </cell>
          <cell r="H6065" t="str">
            <v>singleron-3'转录组文库</v>
          </cell>
          <cell r="I6065" t="str">
            <v>HZK</v>
          </cell>
          <cell r="J6065">
            <v>15.8</v>
          </cell>
          <cell r="N6065" t="e">
            <v>#DIV/0!</v>
          </cell>
        </row>
        <row r="6066">
          <cell r="E6066" t="str">
            <v>HGC-Lib-2458441</v>
          </cell>
          <cell r="F6066" t="str">
            <v>LA240718012FS</v>
          </cell>
          <cell r="G6066">
            <v>100</v>
          </cell>
          <cell r="H6066" t="str">
            <v>singleron-3'转录组文库</v>
          </cell>
          <cell r="I6066" t="str">
            <v>HZK</v>
          </cell>
          <cell r="J6066">
            <v>14.4</v>
          </cell>
          <cell r="N6066" t="e">
            <v>#DIV/0!</v>
          </cell>
        </row>
        <row r="6067">
          <cell r="E6067" t="str">
            <v>HGC-Lib-2458442</v>
          </cell>
          <cell r="F6067" t="str">
            <v>L240429021E</v>
          </cell>
          <cell r="G6067">
            <v>75</v>
          </cell>
          <cell r="H6067" t="str">
            <v>10X空转文库</v>
          </cell>
          <cell r="I6067" t="str">
            <v>HZK</v>
          </cell>
          <cell r="J6067">
            <v>32.799999999999997</v>
          </cell>
          <cell r="N6067" t="e">
            <v>#DIV/0!</v>
          </cell>
        </row>
        <row r="6068">
          <cell r="E6068" t="str">
            <v>HGC-Lib-2458443</v>
          </cell>
          <cell r="F6068" t="str">
            <v>R240723014</v>
          </cell>
          <cell r="G6068">
            <v>10</v>
          </cell>
          <cell r="H6068" t="str">
            <v>singleron-3'转录组文库</v>
          </cell>
          <cell r="I6068" t="str">
            <v>HZK</v>
          </cell>
          <cell r="J6068">
            <v>17.600000000000001</v>
          </cell>
          <cell r="N6068" t="e">
            <v>#DIV/0!</v>
          </cell>
        </row>
        <row r="6069">
          <cell r="E6069" t="str">
            <v>HGC-POOL-2458444</v>
          </cell>
          <cell r="F6069" t="str">
            <v>PCRD-240723-001</v>
          </cell>
          <cell r="G6069">
            <v>15</v>
          </cell>
          <cell r="H6069" t="str">
            <v>singleron-3'转录组文库</v>
          </cell>
          <cell r="I6069" t="str">
            <v>HZK</v>
          </cell>
          <cell r="J6069">
            <v>11.1</v>
          </cell>
          <cell r="N6069" t="e">
            <v>#DIV/0!</v>
          </cell>
        </row>
        <row r="6070">
          <cell r="E6070" t="str">
            <v>HGC-POOL-2458445</v>
          </cell>
          <cell r="F6070" t="str">
            <v>PCRD-240723-002</v>
          </cell>
          <cell r="G6070">
            <v>40</v>
          </cell>
          <cell r="H6070" t="str">
            <v>singleron-3'转录组文库</v>
          </cell>
          <cell r="I6070" t="str">
            <v>HZK</v>
          </cell>
          <cell r="J6070">
            <v>13.2</v>
          </cell>
          <cell r="N6070" t="e">
            <v>#DIV/0!</v>
          </cell>
        </row>
        <row r="6071">
          <cell r="E6071" t="str">
            <v>HGC-POOL-2458446</v>
          </cell>
          <cell r="F6071" t="str">
            <v>PCRD-240723-005</v>
          </cell>
          <cell r="G6071">
            <v>9</v>
          </cell>
          <cell r="H6071" t="str">
            <v>singleron-3'转录组文库</v>
          </cell>
          <cell r="I6071" t="str">
            <v>HZK</v>
          </cell>
          <cell r="J6071">
            <v>7.12</v>
          </cell>
          <cell r="N6071" t="e">
            <v>#DIV/0!</v>
          </cell>
        </row>
        <row r="6072">
          <cell r="E6072" t="str">
            <v>HGC-POOL-2458447</v>
          </cell>
          <cell r="F6072" t="str">
            <v>PCRD-240723-006</v>
          </cell>
          <cell r="G6072">
            <v>15</v>
          </cell>
          <cell r="H6072" t="str">
            <v>singleron-3'转录组文库</v>
          </cell>
          <cell r="I6072" t="str">
            <v>HZK</v>
          </cell>
          <cell r="J6072">
            <v>12</v>
          </cell>
          <cell r="N6072" t="e">
            <v>#DIV/0!</v>
          </cell>
        </row>
        <row r="6073">
          <cell r="E6073" t="str">
            <v>HGC-Lib-2458448</v>
          </cell>
          <cell r="F6073" t="str">
            <v>LGG14433</v>
          </cell>
          <cell r="G6073">
            <v>100</v>
          </cell>
          <cell r="H6073" t="str">
            <v>单细胞</v>
          </cell>
          <cell r="I6073" t="str">
            <v>HZK</v>
          </cell>
          <cell r="J6073">
            <v>4.34</v>
          </cell>
          <cell r="K6073">
            <v>678</v>
          </cell>
          <cell r="L6073" t="str">
            <v>YHT</v>
          </cell>
          <cell r="N6073">
            <v>9.8479691400045404</v>
          </cell>
        </row>
        <row r="6074">
          <cell r="E6074" t="str">
            <v>HGC-Lib-2458449</v>
          </cell>
          <cell r="F6074" t="str">
            <v>LGG14434</v>
          </cell>
          <cell r="G6074">
            <v>100</v>
          </cell>
          <cell r="H6074" t="str">
            <v>单细胞</v>
          </cell>
          <cell r="I6074" t="str">
            <v>HZK</v>
          </cell>
          <cell r="J6074">
            <v>8.26</v>
          </cell>
          <cell r="K6074">
            <v>599</v>
          </cell>
          <cell r="L6074" t="str">
            <v>YHT</v>
          </cell>
          <cell r="N6074">
            <v>21.214845254911999</v>
          </cell>
        </row>
        <row r="6075">
          <cell r="E6075" t="str">
            <v>HGC-Lib-2458450</v>
          </cell>
          <cell r="F6075" t="str">
            <v>LC240718022X2</v>
          </cell>
          <cell r="G6075">
            <v>100</v>
          </cell>
          <cell r="H6075" t="str">
            <v>singleron-3'转录组文库</v>
          </cell>
          <cell r="I6075" t="str">
            <v>HZK</v>
          </cell>
          <cell r="J6075">
            <v>22.4</v>
          </cell>
          <cell r="N6075" t="e">
            <v>#DIV/0!</v>
          </cell>
        </row>
        <row r="6076">
          <cell r="E6076" t="str">
            <v>HGC-Lib-2458451</v>
          </cell>
          <cell r="F6076" t="str">
            <v>LM240717D-0308A</v>
          </cell>
          <cell r="G6076">
            <v>1</v>
          </cell>
          <cell r="H6076" t="str">
            <v>扩增子文库</v>
          </cell>
          <cell r="I6076" t="str">
            <v>XCL</v>
          </cell>
          <cell r="J6076">
            <v>28</v>
          </cell>
          <cell r="N6076" t="e">
            <v>#DIV/0!</v>
          </cell>
        </row>
        <row r="6077">
          <cell r="E6077" t="str">
            <v>HGC-Lib-2458452</v>
          </cell>
          <cell r="F6077" t="str">
            <v>LM240717D-0309A</v>
          </cell>
          <cell r="G6077">
            <v>1</v>
          </cell>
          <cell r="H6077" t="str">
            <v>扩增子文库</v>
          </cell>
          <cell r="I6077" t="str">
            <v>XCL</v>
          </cell>
          <cell r="J6077">
            <v>28.4</v>
          </cell>
          <cell r="N6077" t="e">
            <v>#DIV/0!</v>
          </cell>
        </row>
        <row r="6078">
          <cell r="E6078" t="str">
            <v>HGC-Lib-2458453</v>
          </cell>
          <cell r="F6078" t="str">
            <v>LM240717D-0310A</v>
          </cell>
          <cell r="G6078">
            <v>1</v>
          </cell>
          <cell r="H6078" t="str">
            <v>扩增子文库</v>
          </cell>
          <cell r="I6078" t="str">
            <v>XCL</v>
          </cell>
          <cell r="J6078">
            <v>83.4</v>
          </cell>
          <cell r="N6078" t="e">
            <v>#DIV/0!</v>
          </cell>
        </row>
        <row r="6079">
          <cell r="E6079" t="str">
            <v>HGC-Lib-2458454</v>
          </cell>
          <cell r="F6079" t="str">
            <v>LM240717D-0311A</v>
          </cell>
          <cell r="G6079">
            <v>1</v>
          </cell>
          <cell r="H6079" t="str">
            <v>扩增子文库</v>
          </cell>
          <cell r="I6079" t="str">
            <v>XCL</v>
          </cell>
          <cell r="J6079">
            <v>63.8</v>
          </cell>
          <cell r="N6079" t="e">
            <v>#DIV/0!</v>
          </cell>
        </row>
        <row r="6080">
          <cell r="E6080" t="str">
            <v>HGC-Lib-2458455</v>
          </cell>
          <cell r="F6080" t="str">
            <v>LM240717D-0312A</v>
          </cell>
          <cell r="G6080">
            <v>1</v>
          </cell>
          <cell r="H6080" t="str">
            <v>扩增子文库</v>
          </cell>
          <cell r="I6080" t="str">
            <v>XCL</v>
          </cell>
          <cell r="J6080">
            <v>70</v>
          </cell>
          <cell r="N6080" t="e">
            <v>#DIV/0!</v>
          </cell>
        </row>
        <row r="6081">
          <cell r="E6081" t="str">
            <v>HGC-Lib-2458456</v>
          </cell>
          <cell r="F6081" t="str">
            <v>LM240717D-0313A</v>
          </cell>
          <cell r="G6081">
            <v>1</v>
          </cell>
          <cell r="H6081" t="str">
            <v>扩增子文库</v>
          </cell>
          <cell r="I6081" t="str">
            <v>XCL</v>
          </cell>
          <cell r="J6081">
            <v>84.2</v>
          </cell>
          <cell r="N6081" t="e">
            <v>#DIV/0!</v>
          </cell>
        </row>
        <row r="6082">
          <cell r="E6082" t="str">
            <v>HGC-Lib-2458457</v>
          </cell>
          <cell r="F6082" t="str">
            <v>LM240717D-0314A</v>
          </cell>
          <cell r="G6082">
            <v>1</v>
          </cell>
          <cell r="H6082" t="str">
            <v>扩增子文库</v>
          </cell>
          <cell r="I6082" t="str">
            <v>XCL</v>
          </cell>
          <cell r="J6082">
            <v>82.2</v>
          </cell>
          <cell r="N6082" t="e">
            <v>#DIV/0!</v>
          </cell>
        </row>
        <row r="6083">
          <cell r="E6083" t="str">
            <v>HGC-Lib-2458458</v>
          </cell>
          <cell r="F6083" t="str">
            <v>LD240419O-2036A</v>
          </cell>
          <cell r="G6083">
            <v>10</v>
          </cell>
          <cell r="H6083" t="str">
            <v>DNA宏基因组文库</v>
          </cell>
          <cell r="I6083" t="str">
            <v>XCL</v>
          </cell>
          <cell r="J6083">
            <v>49.2</v>
          </cell>
          <cell r="N6083" t="e">
            <v>#DIV/0!</v>
          </cell>
        </row>
        <row r="6084">
          <cell r="E6084" t="str">
            <v>HGC-Lib-2458459</v>
          </cell>
          <cell r="F6084" t="str">
            <v>LD240619D-1414A</v>
          </cell>
          <cell r="G6084">
            <v>10</v>
          </cell>
          <cell r="H6084" t="str">
            <v>DNA宏基因组文库</v>
          </cell>
          <cell r="I6084" t="str">
            <v>XCL</v>
          </cell>
          <cell r="J6084">
            <v>59</v>
          </cell>
          <cell r="N6084" t="e">
            <v>#DIV/0!</v>
          </cell>
        </row>
        <row r="6085">
          <cell r="E6085" t="str">
            <v>HGC-Lib-2458460</v>
          </cell>
          <cell r="F6085" t="str">
            <v>LD240711O-1149A</v>
          </cell>
          <cell r="G6085">
            <v>12</v>
          </cell>
          <cell r="H6085" t="str">
            <v>DNA宏基因组文库</v>
          </cell>
          <cell r="I6085" t="str">
            <v>XCL</v>
          </cell>
          <cell r="J6085">
            <v>47</v>
          </cell>
          <cell r="N6085" t="e">
            <v>#DIV/0!</v>
          </cell>
        </row>
        <row r="6086">
          <cell r="E6086" t="str">
            <v>HGC-Lib-2458461</v>
          </cell>
          <cell r="F6086" t="str">
            <v>LD240712O-2465A</v>
          </cell>
          <cell r="G6086">
            <v>10</v>
          </cell>
          <cell r="H6086" t="str">
            <v>DNA宏基因组文库</v>
          </cell>
          <cell r="I6086" t="str">
            <v>XCL</v>
          </cell>
          <cell r="J6086">
            <v>49.6</v>
          </cell>
          <cell r="N6086" t="e">
            <v>#DIV/0!</v>
          </cell>
        </row>
        <row r="6087">
          <cell r="E6087" t="str">
            <v>HGC-Lib-2458462</v>
          </cell>
          <cell r="F6087" t="str">
            <v>LD240712O-2466A</v>
          </cell>
          <cell r="G6087">
            <v>10</v>
          </cell>
          <cell r="H6087" t="str">
            <v>DNA宏基因组文库</v>
          </cell>
          <cell r="I6087" t="str">
            <v>XCL</v>
          </cell>
          <cell r="J6087">
            <v>32</v>
          </cell>
          <cell r="N6087" t="e">
            <v>#DIV/0!</v>
          </cell>
        </row>
        <row r="6088">
          <cell r="E6088" t="str">
            <v>HGC-Lib-2458463</v>
          </cell>
          <cell r="F6088" t="str">
            <v>LD240712O-2467A</v>
          </cell>
          <cell r="G6088">
            <v>10</v>
          </cell>
          <cell r="H6088" t="str">
            <v>DNA宏基因组文库</v>
          </cell>
          <cell r="I6088" t="str">
            <v>XCL</v>
          </cell>
          <cell r="J6088">
            <v>70.400000000000006</v>
          </cell>
          <cell r="N6088" t="e">
            <v>#DIV/0!</v>
          </cell>
        </row>
        <row r="6089">
          <cell r="E6089" t="str">
            <v>HGC-Lib-2458464</v>
          </cell>
          <cell r="F6089" t="str">
            <v>LD240712O-2468A</v>
          </cell>
          <cell r="G6089">
            <v>10</v>
          </cell>
          <cell r="H6089" t="str">
            <v>DNA宏基因组文库</v>
          </cell>
          <cell r="I6089" t="str">
            <v>XCL</v>
          </cell>
          <cell r="J6089">
            <v>64.400000000000006</v>
          </cell>
          <cell r="N6089" t="e">
            <v>#DIV/0!</v>
          </cell>
        </row>
        <row r="6090">
          <cell r="E6090" t="str">
            <v>HGC-Lib-2458465</v>
          </cell>
          <cell r="F6090" t="str">
            <v>LD240712O-2469A</v>
          </cell>
          <cell r="G6090">
            <v>10</v>
          </cell>
          <cell r="H6090" t="str">
            <v>DNA宏基因组文库</v>
          </cell>
          <cell r="I6090" t="str">
            <v>XCL</v>
          </cell>
          <cell r="J6090">
            <v>40.4</v>
          </cell>
          <cell r="N6090" t="e">
            <v>#DIV/0!</v>
          </cell>
        </row>
        <row r="6091">
          <cell r="E6091" t="str">
            <v>HGC-Lib-2458466</v>
          </cell>
          <cell r="F6091" t="str">
            <v>LD240712O-2470A</v>
          </cell>
          <cell r="G6091">
            <v>10</v>
          </cell>
          <cell r="H6091" t="str">
            <v>DNA宏基因组文库</v>
          </cell>
          <cell r="I6091" t="str">
            <v>XCL</v>
          </cell>
          <cell r="J6091">
            <v>45.2</v>
          </cell>
          <cell r="N6091" t="e">
            <v>#DIV/0!</v>
          </cell>
        </row>
        <row r="6092">
          <cell r="E6092" t="str">
            <v>HGC-Lib-2458467</v>
          </cell>
          <cell r="F6092" t="str">
            <v>LD240712O-2471A</v>
          </cell>
          <cell r="G6092">
            <v>10</v>
          </cell>
          <cell r="H6092" t="str">
            <v>DNA宏基因组文库</v>
          </cell>
          <cell r="I6092" t="str">
            <v>XCL</v>
          </cell>
          <cell r="J6092">
            <v>77.599999999999994</v>
          </cell>
          <cell r="N6092" t="e">
            <v>#DIV/0!</v>
          </cell>
        </row>
        <row r="6093">
          <cell r="E6093" t="str">
            <v>HGC-Lib-2458468</v>
          </cell>
          <cell r="F6093" t="str">
            <v>LD240712O-2472A</v>
          </cell>
          <cell r="G6093">
            <v>10</v>
          </cell>
          <cell r="H6093" t="str">
            <v>DNA宏基因组文库</v>
          </cell>
          <cell r="I6093" t="str">
            <v>XCL</v>
          </cell>
          <cell r="J6093">
            <v>36.4</v>
          </cell>
          <cell r="N6093" t="e">
            <v>#DIV/0!</v>
          </cell>
        </row>
        <row r="6094">
          <cell r="E6094" t="str">
            <v>HGC-Lib-2458469</v>
          </cell>
          <cell r="F6094" t="str">
            <v>LD240712O-2473A</v>
          </cell>
          <cell r="G6094">
            <v>10</v>
          </cell>
          <cell r="H6094" t="str">
            <v>DNA宏基因组文库</v>
          </cell>
          <cell r="I6094" t="str">
            <v>XCL</v>
          </cell>
          <cell r="J6094">
            <v>42.4</v>
          </cell>
          <cell r="N6094" t="e">
            <v>#DIV/0!</v>
          </cell>
        </row>
        <row r="6095">
          <cell r="E6095" t="str">
            <v>HGC-Lib-2458470</v>
          </cell>
          <cell r="F6095" t="str">
            <v>LD240712O-2474A</v>
          </cell>
          <cell r="G6095">
            <v>10</v>
          </cell>
          <cell r="H6095" t="str">
            <v>DNA宏基因组文库</v>
          </cell>
          <cell r="I6095" t="str">
            <v>XCL</v>
          </cell>
          <cell r="J6095">
            <v>89.8</v>
          </cell>
          <cell r="N6095" t="e">
            <v>#DIV/0!</v>
          </cell>
        </row>
        <row r="6096">
          <cell r="E6096" t="str">
            <v>HGC-Lib-2458471</v>
          </cell>
          <cell r="F6096" t="str">
            <v>LD240715O-1753A</v>
          </cell>
          <cell r="G6096">
            <v>10</v>
          </cell>
          <cell r="H6096" t="str">
            <v>DNA宏基因组文库</v>
          </cell>
          <cell r="I6096" t="str">
            <v>XCL</v>
          </cell>
          <cell r="J6096">
            <v>46</v>
          </cell>
          <cell r="N6096" t="e">
            <v>#DIV/0!</v>
          </cell>
        </row>
        <row r="6097">
          <cell r="E6097" t="str">
            <v>HGC-Lib-2458472</v>
          </cell>
          <cell r="F6097" t="str">
            <v>LD240715O-1754A</v>
          </cell>
          <cell r="G6097">
            <v>10</v>
          </cell>
          <cell r="H6097" t="str">
            <v>DNA宏基因组文库</v>
          </cell>
          <cell r="I6097" t="str">
            <v>XCL</v>
          </cell>
          <cell r="J6097">
            <v>62</v>
          </cell>
          <cell r="N6097" t="e">
            <v>#DIV/0!</v>
          </cell>
        </row>
        <row r="6098">
          <cell r="E6098" t="str">
            <v>HGC-Lib-2458473</v>
          </cell>
          <cell r="F6098" t="str">
            <v>LD240715O-1755A</v>
          </cell>
          <cell r="G6098">
            <v>10</v>
          </cell>
          <cell r="H6098" t="str">
            <v>DNA宏基因组文库</v>
          </cell>
          <cell r="I6098" t="str">
            <v>XCL</v>
          </cell>
          <cell r="J6098">
            <v>44.2</v>
          </cell>
          <cell r="N6098" t="e">
            <v>#DIV/0!</v>
          </cell>
        </row>
        <row r="6099">
          <cell r="E6099" t="str">
            <v>HGC-Lib-2458474</v>
          </cell>
          <cell r="F6099" t="str">
            <v>LD240715O-1756A</v>
          </cell>
          <cell r="G6099">
            <v>10</v>
          </cell>
          <cell r="H6099" t="str">
            <v>DNA宏基因组文库</v>
          </cell>
          <cell r="I6099" t="str">
            <v>XCL</v>
          </cell>
          <cell r="J6099">
            <v>45.8</v>
          </cell>
          <cell r="N6099" t="e">
            <v>#DIV/0!</v>
          </cell>
        </row>
        <row r="6100">
          <cell r="E6100" t="str">
            <v>HGC-Lib-2458475</v>
          </cell>
          <cell r="F6100" t="str">
            <v>LD240715O-1757A</v>
          </cell>
          <cell r="G6100">
            <v>10</v>
          </cell>
          <cell r="H6100" t="str">
            <v>DNA宏基因组文库</v>
          </cell>
          <cell r="I6100" t="str">
            <v>XCL</v>
          </cell>
          <cell r="J6100">
            <v>38.6</v>
          </cell>
          <cell r="N6100" t="e">
            <v>#DIV/0!</v>
          </cell>
        </row>
        <row r="6101">
          <cell r="E6101" t="str">
            <v>HGC-Lib-2458476</v>
          </cell>
          <cell r="F6101" t="str">
            <v>LD240715O-1758A</v>
          </cell>
          <cell r="G6101">
            <v>10</v>
          </cell>
          <cell r="H6101" t="str">
            <v>DNA宏基因组文库</v>
          </cell>
          <cell r="I6101" t="str">
            <v>XCL</v>
          </cell>
          <cell r="J6101">
            <v>40</v>
          </cell>
          <cell r="N6101" t="e">
            <v>#DIV/0!</v>
          </cell>
        </row>
        <row r="6102">
          <cell r="E6102" t="str">
            <v>HGC-Lib-2458477</v>
          </cell>
          <cell r="F6102" t="str">
            <v>LD240715O-1759A</v>
          </cell>
          <cell r="G6102">
            <v>2</v>
          </cell>
          <cell r="H6102" t="str">
            <v>DNA基因组文库</v>
          </cell>
          <cell r="I6102" t="str">
            <v>XCL</v>
          </cell>
          <cell r="J6102">
            <v>63.4</v>
          </cell>
          <cell r="N6102" t="e">
            <v>#DIV/0!</v>
          </cell>
        </row>
        <row r="6103">
          <cell r="E6103" t="str">
            <v>HGC-Lib-2458478</v>
          </cell>
          <cell r="F6103" t="str">
            <v>LD240715O-1760A</v>
          </cell>
          <cell r="G6103">
            <v>2</v>
          </cell>
          <cell r="H6103" t="str">
            <v>DNA基因组文库</v>
          </cell>
          <cell r="I6103" t="str">
            <v>XCL</v>
          </cell>
          <cell r="J6103">
            <v>67.599999999999994</v>
          </cell>
          <cell r="N6103" t="e">
            <v>#DIV/0!</v>
          </cell>
        </row>
        <row r="6104">
          <cell r="E6104" t="str">
            <v>HGC-Lib-2458479</v>
          </cell>
          <cell r="F6104" t="str">
            <v>LD240715O-1761A</v>
          </cell>
          <cell r="G6104">
            <v>2</v>
          </cell>
          <cell r="H6104" t="str">
            <v>DNA基因组文库</v>
          </cell>
          <cell r="I6104" t="str">
            <v>XCL</v>
          </cell>
          <cell r="J6104">
            <v>44.2</v>
          </cell>
          <cell r="N6104" t="e">
            <v>#DIV/0!</v>
          </cell>
        </row>
        <row r="6105">
          <cell r="E6105" t="str">
            <v>HGC-Lib-2458480</v>
          </cell>
          <cell r="F6105" t="str">
            <v>LD240715O-1762A</v>
          </cell>
          <cell r="G6105">
            <v>2</v>
          </cell>
          <cell r="H6105" t="str">
            <v>DNA基因组文库</v>
          </cell>
          <cell r="I6105" t="str">
            <v>XCL</v>
          </cell>
          <cell r="J6105">
            <v>71.8</v>
          </cell>
          <cell r="N6105" t="e">
            <v>#DIV/0!</v>
          </cell>
        </row>
        <row r="6106">
          <cell r="E6106" t="str">
            <v>HGC-Lib-2458481</v>
          </cell>
          <cell r="F6106" t="str">
            <v>LD240715O-1763A</v>
          </cell>
          <cell r="G6106">
            <v>1</v>
          </cell>
          <cell r="H6106" t="str">
            <v>DNA基因组文库</v>
          </cell>
          <cell r="I6106" t="str">
            <v>XCL</v>
          </cell>
          <cell r="J6106">
            <v>82</v>
          </cell>
          <cell r="N6106" t="e">
            <v>#DIV/0!</v>
          </cell>
        </row>
        <row r="6107">
          <cell r="E6107" t="str">
            <v>HGC-Lib-2458482</v>
          </cell>
          <cell r="F6107" t="str">
            <v>LD240715O-1764A</v>
          </cell>
          <cell r="G6107">
            <v>1</v>
          </cell>
          <cell r="H6107" t="str">
            <v>DNA基因组文库</v>
          </cell>
          <cell r="I6107" t="str">
            <v>XCL</v>
          </cell>
          <cell r="J6107">
            <v>71.599999999999994</v>
          </cell>
          <cell r="N6107" t="e">
            <v>#DIV/0!</v>
          </cell>
        </row>
        <row r="6108">
          <cell r="E6108" t="str">
            <v>HGC-Lib-2458483</v>
          </cell>
          <cell r="F6108" t="str">
            <v>LD240716D-0453A</v>
          </cell>
          <cell r="G6108">
            <v>20</v>
          </cell>
          <cell r="H6108" t="str">
            <v>DNA宏基因组文库</v>
          </cell>
          <cell r="I6108" t="str">
            <v>XCL</v>
          </cell>
          <cell r="J6108">
            <v>72.8</v>
          </cell>
          <cell r="N6108" t="e">
            <v>#DIV/0!</v>
          </cell>
        </row>
        <row r="6109">
          <cell r="E6109" t="str">
            <v>HGC-Lib-2458484</v>
          </cell>
          <cell r="F6109" t="str">
            <v>LD240716D-0454A</v>
          </cell>
          <cell r="G6109">
            <v>20</v>
          </cell>
          <cell r="H6109" t="str">
            <v>DNA宏基因组文库</v>
          </cell>
          <cell r="I6109" t="str">
            <v>XCL</v>
          </cell>
          <cell r="J6109">
            <v>66.2</v>
          </cell>
          <cell r="N6109" t="e">
            <v>#DIV/0!</v>
          </cell>
        </row>
        <row r="6110">
          <cell r="E6110" t="str">
            <v>HGC-Lib-2458485</v>
          </cell>
          <cell r="F6110" t="str">
            <v>LD240716D-0455A</v>
          </cell>
          <cell r="G6110">
            <v>20</v>
          </cell>
          <cell r="H6110" t="str">
            <v>DNA宏基因组文库</v>
          </cell>
          <cell r="I6110" t="str">
            <v>XCL</v>
          </cell>
          <cell r="J6110">
            <v>51.6</v>
          </cell>
          <cell r="N6110" t="e">
            <v>#DIV/0!</v>
          </cell>
        </row>
        <row r="6111">
          <cell r="E6111" t="str">
            <v>HGC-Lib-2458486</v>
          </cell>
          <cell r="F6111" t="str">
            <v>LD240716D-0456A</v>
          </cell>
          <cell r="G6111">
            <v>20</v>
          </cell>
          <cell r="H6111" t="str">
            <v>DNA宏基因组文库</v>
          </cell>
          <cell r="I6111" t="str">
            <v>XCL</v>
          </cell>
          <cell r="J6111">
            <v>47.8</v>
          </cell>
          <cell r="N6111" t="e">
            <v>#DIV/0!</v>
          </cell>
        </row>
        <row r="6112">
          <cell r="E6112" t="str">
            <v>HGC-Lib-2458487</v>
          </cell>
          <cell r="F6112" t="str">
            <v>LD240716D-0457A</v>
          </cell>
          <cell r="G6112">
            <v>20</v>
          </cell>
          <cell r="H6112" t="str">
            <v>DNA宏基因组文库</v>
          </cell>
          <cell r="I6112" t="str">
            <v>XCL</v>
          </cell>
          <cell r="J6112">
            <v>31</v>
          </cell>
          <cell r="N6112" t="e">
            <v>#DIV/0!</v>
          </cell>
        </row>
        <row r="6113">
          <cell r="E6113" t="str">
            <v>HGC-Lib-2458488</v>
          </cell>
          <cell r="F6113" t="str">
            <v>LD240716D-0458A</v>
          </cell>
          <cell r="G6113">
            <v>20</v>
          </cell>
          <cell r="H6113" t="str">
            <v>DNA宏基因组文库</v>
          </cell>
          <cell r="I6113" t="str">
            <v>XCL</v>
          </cell>
          <cell r="J6113">
            <v>72.2</v>
          </cell>
          <cell r="N6113" t="e">
            <v>#DIV/0!</v>
          </cell>
        </row>
        <row r="6114">
          <cell r="E6114" t="str">
            <v>HGC-Lib-2458489</v>
          </cell>
          <cell r="F6114" t="str">
            <v>LD240716D-0459A</v>
          </cell>
          <cell r="G6114">
            <v>20</v>
          </cell>
          <cell r="H6114" t="str">
            <v>DNA宏基因组文库</v>
          </cell>
          <cell r="I6114" t="str">
            <v>XCL</v>
          </cell>
          <cell r="J6114">
            <v>83.6</v>
          </cell>
          <cell r="N6114" t="e">
            <v>#DIV/0!</v>
          </cell>
        </row>
        <row r="6115">
          <cell r="E6115" t="str">
            <v>HGC-Lib-2458490</v>
          </cell>
          <cell r="F6115" t="str">
            <v>LD240716D-0460A</v>
          </cell>
          <cell r="G6115">
            <v>20</v>
          </cell>
          <cell r="H6115" t="str">
            <v>DNA宏基因组文库</v>
          </cell>
          <cell r="I6115" t="str">
            <v>XCL</v>
          </cell>
          <cell r="J6115">
            <v>72</v>
          </cell>
          <cell r="N6115" t="e">
            <v>#DIV/0!</v>
          </cell>
        </row>
        <row r="6116">
          <cell r="E6116" t="str">
            <v>HGC-Lib-2458491</v>
          </cell>
          <cell r="F6116" t="str">
            <v>LD240716D-0461A</v>
          </cell>
          <cell r="G6116">
            <v>1</v>
          </cell>
          <cell r="H6116" t="str">
            <v>DNA基因组文库</v>
          </cell>
          <cell r="I6116" t="str">
            <v>XCL</v>
          </cell>
          <cell r="J6116">
            <v>39.799999999999997</v>
          </cell>
          <cell r="N6116" t="e">
            <v>#DIV/0!</v>
          </cell>
        </row>
        <row r="6117">
          <cell r="E6117" t="str">
            <v>HGC-Lib-2458492</v>
          </cell>
          <cell r="F6117" t="str">
            <v>LD240716D-0462A</v>
          </cell>
          <cell r="G6117">
            <v>1</v>
          </cell>
          <cell r="H6117" t="str">
            <v>DNA基因组文库</v>
          </cell>
          <cell r="I6117" t="str">
            <v>XCL</v>
          </cell>
          <cell r="J6117">
            <v>78.400000000000006</v>
          </cell>
          <cell r="N6117" t="e">
            <v>#DIV/0!</v>
          </cell>
        </row>
        <row r="6118">
          <cell r="E6118" t="str">
            <v>HGC-Lib-2458493</v>
          </cell>
          <cell r="F6118" t="str">
            <v>LD240716D-0463A</v>
          </cell>
          <cell r="G6118">
            <v>1</v>
          </cell>
          <cell r="H6118" t="str">
            <v>DNA基因组文库</v>
          </cell>
          <cell r="I6118" t="str">
            <v>XCL</v>
          </cell>
          <cell r="J6118">
            <v>42.2</v>
          </cell>
          <cell r="N6118" t="e">
            <v>#DIV/0!</v>
          </cell>
        </row>
        <row r="6119">
          <cell r="E6119" t="str">
            <v>HGC-Lib-2458494</v>
          </cell>
          <cell r="F6119" t="str">
            <v>LD240716D-0464A</v>
          </cell>
          <cell r="G6119">
            <v>1</v>
          </cell>
          <cell r="H6119" t="str">
            <v>DNA基因组文库</v>
          </cell>
          <cell r="I6119" t="str">
            <v>XCL</v>
          </cell>
          <cell r="J6119">
            <v>46.2</v>
          </cell>
          <cell r="N6119" t="e">
            <v>#DIV/0!</v>
          </cell>
        </row>
        <row r="6120">
          <cell r="E6120" t="str">
            <v>HGC-Lib-2458495</v>
          </cell>
          <cell r="F6120" t="str">
            <v>LD240716D-0465A</v>
          </cell>
          <cell r="G6120">
            <v>1</v>
          </cell>
          <cell r="H6120" t="str">
            <v>DNA基因组文库</v>
          </cell>
          <cell r="I6120" t="str">
            <v>XCL</v>
          </cell>
          <cell r="J6120">
            <v>32.6</v>
          </cell>
          <cell r="N6120" t="e">
            <v>#DIV/0!</v>
          </cell>
        </row>
        <row r="6121">
          <cell r="E6121" t="str">
            <v>HGC-Lib-2458496</v>
          </cell>
          <cell r="F6121" t="str">
            <v>LD240612O-4390A</v>
          </cell>
          <cell r="G6121">
            <v>10</v>
          </cell>
          <cell r="H6121" t="str">
            <v>DNA病毒组文库</v>
          </cell>
          <cell r="I6121" t="str">
            <v>XCL</v>
          </cell>
          <cell r="J6121">
            <v>39.799999999999997</v>
          </cell>
          <cell r="N6121" t="e">
            <v>#DIV/0!</v>
          </cell>
        </row>
        <row r="6122">
          <cell r="E6122" t="str">
            <v>HGC-Lib-2458497</v>
          </cell>
          <cell r="F6122" t="str">
            <v>LD240612O-4391A</v>
          </cell>
          <cell r="G6122">
            <v>10</v>
          </cell>
          <cell r="H6122" t="str">
            <v>DNA病毒组文库</v>
          </cell>
          <cell r="I6122" t="str">
            <v>XCL</v>
          </cell>
          <cell r="J6122">
            <v>15.3</v>
          </cell>
          <cell r="N6122" t="e">
            <v>#DIV/0!</v>
          </cell>
        </row>
        <row r="6123">
          <cell r="E6123" t="str">
            <v>HGC-Lib-2458498</v>
          </cell>
          <cell r="F6123" t="str">
            <v>LD240612O-4392A</v>
          </cell>
          <cell r="G6123">
            <v>10</v>
          </cell>
          <cell r="H6123" t="str">
            <v>DNA病毒组文库</v>
          </cell>
          <cell r="I6123" t="str">
            <v>XCL</v>
          </cell>
          <cell r="J6123">
            <v>15.5</v>
          </cell>
          <cell r="N6123" t="e">
            <v>#DIV/0!</v>
          </cell>
        </row>
        <row r="6124">
          <cell r="E6124" t="str">
            <v>HGC-Lib-2458499</v>
          </cell>
          <cell r="F6124" t="str">
            <v>LD240612O-4393A</v>
          </cell>
          <cell r="G6124">
            <v>10</v>
          </cell>
          <cell r="H6124" t="str">
            <v>DNA病毒组文库</v>
          </cell>
          <cell r="I6124" t="str">
            <v>XCL</v>
          </cell>
          <cell r="J6124">
            <v>66.400000000000006</v>
          </cell>
          <cell r="N6124" t="e">
            <v>#DIV/0!</v>
          </cell>
        </row>
        <row r="6125">
          <cell r="E6125" t="str">
            <v>HGC-Lib-2458500</v>
          </cell>
          <cell r="F6125" t="str">
            <v>LD240612O-4394A</v>
          </cell>
          <cell r="G6125">
            <v>10</v>
          </cell>
          <cell r="H6125" t="str">
            <v>DNA病毒组文库</v>
          </cell>
          <cell r="I6125" t="str">
            <v>XCL</v>
          </cell>
          <cell r="J6125">
            <v>59.8</v>
          </cell>
          <cell r="N6125" t="e">
            <v>#DIV/0!</v>
          </cell>
        </row>
        <row r="6126">
          <cell r="E6126" t="str">
            <v>HGC-Lib-2458501</v>
          </cell>
          <cell r="F6126" t="str">
            <v>LD240612O-4395A</v>
          </cell>
          <cell r="G6126">
            <v>10</v>
          </cell>
          <cell r="H6126" t="str">
            <v>DNA病毒组文库</v>
          </cell>
          <cell r="I6126" t="str">
            <v>XCL</v>
          </cell>
          <cell r="J6126">
            <v>36.799999999999997</v>
          </cell>
          <cell r="N6126" t="e">
            <v>#DIV/0!</v>
          </cell>
        </row>
        <row r="6127">
          <cell r="E6127" t="str">
            <v>HGC-Lib-2458502</v>
          </cell>
          <cell r="F6127" t="str">
            <v>LD240612O-4396A</v>
          </cell>
          <cell r="G6127">
            <v>10</v>
          </cell>
          <cell r="H6127" t="str">
            <v>DNA病毒组文库</v>
          </cell>
          <cell r="I6127" t="str">
            <v>XCL</v>
          </cell>
          <cell r="J6127">
            <v>30.8</v>
          </cell>
          <cell r="N6127" t="e">
            <v>#DIV/0!</v>
          </cell>
        </row>
        <row r="6128">
          <cell r="E6128" t="str">
            <v>HGC-Lib-2458503</v>
          </cell>
          <cell r="F6128" t="str">
            <v>LD240612O-4397A</v>
          </cell>
          <cell r="G6128">
            <v>10</v>
          </cell>
          <cell r="H6128" t="str">
            <v>DNA病毒组文库</v>
          </cell>
          <cell r="I6128" t="str">
            <v>XCL</v>
          </cell>
          <cell r="J6128">
            <v>35.4</v>
          </cell>
          <cell r="N6128" t="e">
            <v>#DIV/0!</v>
          </cell>
        </row>
        <row r="6129">
          <cell r="E6129" t="str">
            <v>HGC-Lib-2458504</v>
          </cell>
          <cell r="F6129" t="str">
            <v>LD240612O-4398A</v>
          </cell>
          <cell r="G6129">
            <v>10</v>
          </cell>
          <cell r="H6129" t="str">
            <v>DNA病毒组文库</v>
          </cell>
          <cell r="I6129" t="str">
            <v>XCL</v>
          </cell>
          <cell r="J6129">
            <v>64.8</v>
          </cell>
          <cell r="N6129" t="e">
            <v>#DIV/0!</v>
          </cell>
        </row>
        <row r="6130">
          <cell r="E6130" t="str">
            <v>HGC-Lib-2458510</v>
          </cell>
          <cell r="F6130" t="str">
            <v>LFTBC240716087</v>
          </cell>
          <cell r="G6130">
            <v>100</v>
          </cell>
          <cell r="H6130" t="str">
            <v>singleron-3'全长转录组文库</v>
          </cell>
          <cell r="I6130" t="str">
            <v>XCL</v>
          </cell>
          <cell r="J6130">
            <v>14.3</v>
          </cell>
          <cell r="N6130" t="e">
            <v>#DIV/0!</v>
          </cell>
        </row>
        <row r="6131">
          <cell r="E6131" t="str">
            <v>HGC-Lib-2458567</v>
          </cell>
          <cell r="F6131" t="str">
            <v>3M-S-R-1</v>
          </cell>
          <cell r="G6131">
            <v>8</v>
          </cell>
          <cell r="H6131" t="str">
            <v>单细胞RNA-seq文库</v>
          </cell>
          <cell r="I6131" t="str">
            <v>YHT</v>
          </cell>
          <cell r="J6131">
            <v>13.7</v>
          </cell>
          <cell r="K6131">
            <v>336</v>
          </cell>
          <cell r="L6131" t="str">
            <v>YHT</v>
          </cell>
          <cell r="N6131">
            <v>62.728937728937701</v>
          </cell>
        </row>
        <row r="6132">
          <cell r="E6132" t="str">
            <v>HGC-Lib-2458568</v>
          </cell>
          <cell r="F6132" t="str">
            <v>3M-S-R-2</v>
          </cell>
          <cell r="G6132">
            <v>8</v>
          </cell>
          <cell r="H6132" t="str">
            <v>单细胞RNA-seq文库</v>
          </cell>
          <cell r="I6132" t="str">
            <v>YHT</v>
          </cell>
          <cell r="J6132">
            <v>13.9</v>
          </cell>
          <cell r="K6132">
            <v>371</v>
          </cell>
          <cell r="L6132" t="str">
            <v>YHT</v>
          </cell>
          <cell r="N6132">
            <v>57.640472734812398</v>
          </cell>
        </row>
        <row r="6133">
          <cell r="E6133" t="str">
            <v>HGC-Lib-2458569</v>
          </cell>
          <cell r="F6133" t="str">
            <v>3M-S-R-3</v>
          </cell>
          <cell r="G6133">
            <v>8</v>
          </cell>
          <cell r="H6133" t="str">
            <v>单细胞RNA-seq文库</v>
          </cell>
          <cell r="I6133" t="str">
            <v>YHT</v>
          </cell>
          <cell r="J6133">
            <v>19.600000000000001</v>
          </cell>
          <cell r="K6133">
            <v>404</v>
          </cell>
          <cell r="L6133" t="str">
            <v>YHT</v>
          </cell>
          <cell r="N6133">
            <v>74.638233054074604</v>
          </cell>
        </row>
        <row r="6134">
          <cell r="E6134" t="str">
            <v>HGC-Lib-2458570</v>
          </cell>
          <cell r="F6134" t="str">
            <v>ZH-S-R-1</v>
          </cell>
          <cell r="G6134">
            <v>8</v>
          </cell>
          <cell r="H6134" t="str">
            <v>单细胞RNA-seq文库</v>
          </cell>
          <cell r="I6134" t="str">
            <v>YHT</v>
          </cell>
          <cell r="J6134">
            <v>13.6</v>
          </cell>
          <cell r="K6134">
            <v>341</v>
          </cell>
          <cell r="L6134" t="str">
            <v>YHT</v>
          </cell>
          <cell r="N6134">
            <v>61.357996841867802</v>
          </cell>
        </row>
        <row r="6135">
          <cell r="E6135" t="str">
            <v>HGC-Lib-2458571</v>
          </cell>
          <cell r="F6135" t="str">
            <v>ZH-S-R-2</v>
          </cell>
          <cell r="G6135">
            <v>8</v>
          </cell>
          <cell r="H6135" t="str">
            <v>单细胞RNA-seq文库</v>
          </cell>
          <cell r="I6135" t="str">
            <v>YHT</v>
          </cell>
          <cell r="J6135">
            <v>16.2</v>
          </cell>
          <cell r="K6135">
            <v>364</v>
          </cell>
          <cell r="L6135" t="str">
            <v>YHT</v>
          </cell>
          <cell r="N6135">
            <v>68.469991546914599</v>
          </cell>
        </row>
        <row r="6136">
          <cell r="E6136" t="str">
            <v>HGC-Lib-2458572</v>
          </cell>
          <cell r="F6136" t="str">
            <v>ZH-S-R-3</v>
          </cell>
          <cell r="G6136">
            <v>8</v>
          </cell>
          <cell r="H6136" t="str">
            <v>单细胞RNA-seq文库</v>
          </cell>
          <cell r="I6136" t="str">
            <v>YHT</v>
          </cell>
          <cell r="J6136">
            <v>15.8</v>
          </cell>
          <cell r="K6136">
            <v>334</v>
          </cell>
          <cell r="L6136" t="str">
            <v>YHT</v>
          </cell>
          <cell r="N6136">
            <v>72.7775218793183</v>
          </cell>
        </row>
        <row r="6137">
          <cell r="E6137" t="str">
            <v>HGC-Lib-2458573</v>
          </cell>
          <cell r="F6137" t="str">
            <v>NIP-S-ATAC-1</v>
          </cell>
          <cell r="G6137">
            <v>20</v>
          </cell>
          <cell r="H6137" t="str">
            <v>ATAC-Seq文库</v>
          </cell>
          <cell r="I6137" t="str">
            <v>YHT</v>
          </cell>
          <cell r="J6137">
            <v>24</v>
          </cell>
          <cell r="K6137">
            <v>334</v>
          </cell>
          <cell r="L6137" t="str">
            <v>YHT</v>
          </cell>
          <cell r="N6137">
            <v>110.54813450023001</v>
          </cell>
        </row>
        <row r="6138">
          <cell r="E6138" t="str">
            <v>HGC-Lib-2458574</v>
          </cell>
          <cell r="F6138" t="str">
            <v>NIP-S-ATAC-2</v>
          </cell>
          <cell r="G6138">
            <v>20</v>
          </cell>
          <cell r="H6138" t="str">
            <v>ATAC-Seq文库</v>
          </cell>
          <cell r="I6138" t="str">
            <v>YHT</v>
          </cell>
          <cell r="J6138">
            <v>16.8</v>
          </cell>
          <cell r="K6138">
            <v>328</v>
          </cell>
          <cell r="L6138" t="str">
            <v>YHT</v>
          </cell>
          <cell r="N6138">
            <v>78.799249530956899</v>
          </cell>
        </row>
        <row r="6139">
          <cell r="E6139" t="str">
            <v>HGC-Lib-2458575</v>
          </cell>
          <cell r="F6139" t="str">
            <v>A1-S-ATAC-1</v>
          </cell>
          <cell r="G6139">
            <v>20</v>
          </cell>
          <cell r="H6139" t="str">
            <v>ATAC-Seq文库</v>
          </cell>
          <cell r="I6139" t="str">
            <v>YHT</v>
          </cell>
          <cell r="J6139">
            <v>22.4</v>
          </cell>
          <cell r="K6139">
            <v>301</v>
          </cell>
          <cell r="L6139" t="str">
            <v>YHT</v>
          </cell>
          <cell r="N6139">
            <v>114.49016100178901</v>
          </cell>
        </row>
        <row r="6140">
          <cell r="E6140" t="str">
            <v>HGC-Lib-2458576</v>
          </cell>
          <cell r="F6140" t="str">
            <v>A1-S-ATAC-2</v>
          </cell>
          <cell r="G6140">
            <v>20</v>
          </cell>
          <cell r="H6140" t="str">
            <v>ATAC-Seq文库</v>
          </cell>
          <cell r="I6140" t="str">
            <v>YHT</v>
          </cell>
          <cell r="J6140">
            <v>18.899999999999999</v>
          </cell>
          <cell r="K6140">
            <v>322</v>
          </cell>
          <cell r="L6140" t="str">
            <v>YHT</v>
          </cell>
          <cell r="N6140">
            <v>90.3010033444816</v>
          </cell>
        </row>
        <row r="6141">
          <cell r="E6141" t="str">
            <v>HGC-Lib-2458577</v>
          </cell>
          <cell r="F6141" t="str">
            <v>S703-S-ATAC-1</v>
          </cell>
          <cell r="G6141">
            <v>20</v>
          </cell>
          <cell r="H6141" t="str">
            <v>ATAC-Seq文库</v>
          </cell>
          <cell r="I6141" t="str">
            <v>YHT</v>
          </cell>
          <cell r="J6141">
            <v>23.6</v>
          </cell>
          <cell r="K6141">
            <v>300</v>
          </cell>
          <cell r="L6141" t="str">
            <v>YHT</v>
          </cell>
          <cell r="N6141">
            <v>121.02564102564099</v>
          </cell>
        </row>
        <row r="6142">
          <cell r="E6142" t="str">
            <v>HGC-Lib-2458578</v>
          </cell>
          <cell r="F6142" t="str">
            <v>S703-S-ATAC-2</v>
          </cell>
          <cell r="G6142">
            <v>20</v>
          </cell>
          <cell r="H6142" t="str">
            <v>ATAC-Seq文库</v>
          </cell>
          <cell r="I6142" t="str">
            <v>YHT</v>
          </cell>
          <cell r="J6142">
            <v>24.6</v>
          </cell>
          <cell r="K6142">
            <v>316</v>
          </cell>
          <cell r="L6142" t="str">
            <v>YHT</v>
          </cell>
          <cell r="N6142">
            <v>119.766309639727</v>
          </cell>
        </row>
        <row r="6143">
          <cell r="E6143" t="str">
            <v>HGC-Lib-2458579</v>
          </cell>
          <cell r="F6143" t="str">
            <v>75-S-H3K9ac-1</v>
          </cell>
          <cell r="G6143">
            <v>6</v>
          </cell>
          <cell r="H6143" t="str">
            <v>CUT&amp;Tag文库</v>
          </cell>
          <cell r="I6143" t="str">
            <v>YHT</v>
          </cell>
          <cell r="J6143">
            <v>9.4600000000000009</v>
          </cell>
          <cell r="K6143">
            <v>532</v>
          </cell>
          <cell r="L6143" t="str">
            <v>YHT</v>
          </cell>
          <cell r="N6143">
            <v>27.356853672643201</v>
          </cell>
        </row>
        <row r="6144">
          <cell r="E6144" t="str">
            <v>HGC-Lib-2458580</v>
          </cell>
          <cell r="F6144" t="str">
            <v>75-S-H3K9ac-2</v>
          </cell>
          <cell r="G6144">
            <v>6</v>
          </cell>
          <cell r="H6144" t="str">
            <v>CUT&amp;Tag文库</v>
          </cell>
          <cell r="I6144" t="str">
            <v>YHT</v>
          </cell>
          <cell r="J6144">
            <v>8.76</v>
          </cell>
          <cell r="K6144">
            <v>523</v>
          </cell>
          <cell r="L6144" t="str">
            <v>YHT</v>
          </cell>
          <cell r="N6144">
            <v>25.768495366965698</v>
          </cell>
        </row>
        <row r="6145">
          <cell r="E6145" t="str">
            <v>HGC-Lib-2458581</v>
          </cell>
          <cell r="F6145" t="str">
            <v>IP-HCT116-Ctrl</v>
          </cell>
          <cell r="G6145">
            <v>6</v>
          </cell>
          <cell r="H6145" t="str">
            <v>m6A甲基化文库</v>
          </cell>
          <cell r="I6145" t="str">
            <v>YHT</v>
          </cell>
          <cell r="J6145">
            <v>56.4</v>
          </cell>
          <cell r="K6145">
            <v>325</v>
          </cell>
          <cell r="L6145" t="str">
            <v>YHT</v>
          </cell>
          <cell r="N6145">
            <v>266.98224852071002</v>
          </cell>
        </row>
        <row r="6146">
          <cell r="E6146" t="str">
            <v>HGC-Lib-2458582</v>
          </cell>
          <cell r="F6146" t="str">
            <v>IP-HCT116-ShMETTL3</v>
          </cell>
          <cell r="G6146">
            <v>6</v>
          </cell>
          <cell r="H6146" t="str">
            <v>m6A甲基化文库</v>
          </cell>
          <cell r="I6146" t="str">
            <v>YHT</v>
          </cell>
          <cell r="J6146">
            <v>36.6</v>
          </cell>
          <cell r="K6146">
            <v>330</v>
          </cell>
          <cell r="L6146" t="str">
            <v>YHT</v>
          </cell>
          <cell r="N6146">
            <v>170.62937062937101</v>
          </cell>
        </row>
        <row r="6147">
          <cell r="E6147" t="str">
            <v>HGC-Lib-2458583</v>
          </cell>
          <cell r="F6147" t="str">
            <v>INPUT-HCT116-Ctrl</v>
          </cell>
          <cell r="G6147">
            <v>6</v>
          </cell>
          <cell r="H6147" t="str">
            <v>m6A甲基化文库</v>
          </cell>
          <cell r="I6147" t="str">
            <v>YHT</v>
          </cell>
          <cell r="J6147">
            <v>50.4</v>
          </cell>
          <cell r="K6147">
            <v>308</v>
          </cell>
          <cell r="L6147" t="str">
            <v>YHT</v>
          </cell>
          <cell r="N6147">
            <v>251.74825174825199</v>
          </cell>
        </row>
        <row r="6148">
          <cell r="E6148" t="str">
            <v>HGC-Lib-2458584</v>
          </cell>
          <cell r="F6148" t="str">
            <v>INPUT-HCT116-ShMETTL3</v>
          </cell>
          <cell r="G6148">
            <v>6</v>
          </cell>
          <cell r="H6148" t="str">
            <v>m6A甲基化文库</v>
          </cell>
          <cell r="I6148" t="str">
            <v>YHT</v>
          </cell>
          <cell r="J6148">
            <v>49.2</v>
          </cell>
          <cell r="K6148">
            <v>312</v>
          </cell>
          <cell r="L6148" t="str">
            <v>YHT</v>
          </cell>
          <cell r="N6148">
            <v>242.60355029585801</v>
          </cell>
        </row>
        <row r="6149">
          <cell r="E6149" t="str">
            <v>HGC-Lib-2458585</v>
          </cell>
          <cell r="F6149" t="str">
            <v>CW2</v>
          </cell>
          <cell r="G6149">
            <v>10</v>
          </cell>
          <cell r="H6149" t="str">
            <v>甲基化文库</v>
          </cell>
          <cell r="I6149" t="str">
            <v>YHT</v>
          </cell>
          <cell r="J6149">
            <v>13.6</v>
          </cell>
          <cell r="K6149">
            <v>476</v>
          </cell>
          <cell r="L6149" t="str">
            <v>YHT</v>
          </cell>
          <cell r="N6149">
            <v>43.956043956043999</v>
          </cell>
        </row>
        <row r="6150">
          <cell r="E6150" t="str">
            <v>HGC-Lib-2458613</v>
          </cell>
          <cell r="F6150" t="str">
            <v>CSFY-A16-0719</v>
          </cell>
          <cell r="G6150">
            <v>15</v>
          </cell>
          <cell r="H6150" t="str">
            <v>10× 3'单细胞</v>
          </cell>
          <cell r="I6150" t="str">
            <v>YHT</v>
          </cell>
          <cell r="J6150">
            <v>20.6</v>
          </cell>
          <cell r="K6150">
            <v>445</v>
          </cell>
          <cell r="L6150" t="str">
            <v>YHT</v>
          </cell>
          <cell r="N6150">
            <v>71.218668971477996</v>
          </cell>
        </row>
        <row r="6151">
          <cell r="E6151" t="str">
            <v>HGC-Lib-2458614</v>
          </cell>
          <cell r="F6151" t="str">
            <v>CSFY-3BC12-0719</v>
          </cell>
          <cell r="G6151">
            <v>15</v>
          </cell>
          <cell r="H6151" t="str">
            <v>10× 3'单细胞</v>
          </cell>
          <cell r="I6151" t="str">
            <v>YHT</v>
          </cell>
          <cell r="J6151">
            <v>24.4</v>
          </cell>
          <cell r="K6151">
            <v>438</v>
          </cell>
          <cell r="L6151" t="str">
            <v>YHT</v>
          </cell>
          <cell r="N6151">
            <v>85.704250087811701</v>
          </cell>
        </row>
        <row r="6152">
          <cell r="E6152" t="str">
            <v>HGC-Lib-2458615</v>
          </cell>
          <cell r="F6152" t="str">
            <v>N_B_N4705-5R-10X5025PBMC</v>
          </cell>
          <cell r="G6152">
            <v>100</v>
          </cell>
          <cell r="H6152" t="str">
            <v>10x 5'单细胞</v>
          </cell>
          <cell r="I6152" t="str">
            <v>XCL</v>
          </cell>
          <cell r="J6152">
            <v>35.799999999999997</v>
          </cell>
          <cell r="N6152" t="e">
            <v>#DIV/0!</v>
          </cell>
        </row>
        <row r="6153">
          <cell r="E6153" t="str">
            <v>HGC-Lib-2458616</v>
          </cell>
          <cell r="F6153" t="str">
            <v>N_B_N4705-5S-10X5025BM</v>
          </cell>
          <cell r="G6153">
            <v>100</v>
          </cell>
          <cell r="H6153" t="str">
            <v>10x 5'单细胞</v>
          </cell>
          <cell r="I6153" t="str">
            <v>XCL</v>
          </cell>
          <cell r="J6153">
            <v>46.8</v>
          </cell>
          <cell r="N6153" t="e">
            <v>#DIV/0!</v>
          </cell>
        </row>
        <row r="6154">
          <cell r="E6154" t="str">
            <v>HGC-Lib-2458617</v>
          </cell>
          <cell r="F6154" t="str">
            <v>N_B_N4705-5R-10X5TCR025PBMC-2</v>
          </cell>
          <cell r="G6154">
            <v>10</v>
          </cell>
          <cell r="H6154" t="str">
            <v>TCR文库</v>
          </cell>
          <cell r="I6154" t="str">
            <v>XCL</v>
          </cell>
          <cell r="J6154">
            <v>60.2</v>
          </cell>
          <cell r="N6154" t="e">
            <v>#DIV/0!</v>
          </cell>
        </row>
        <row r="6155">
          <cell r="E6155" t="str">
            <v>HGC-Lib-2458618</v>
          </cell>
          <cell r="F6155" t="str">
            <v>N_B_N4705-5S-10X5TCR025BM-2</v>
          </cell>
          <cell r="G6155">
            <v>10</v>
          </cell>
          <cell r="H6155" t="str">
            <v>TCR文库</v>
          </cell>
          <cell r="I6155" t="str">
            <v>XCL</v>
          </cell>
          <cell r="J6155">
            <v>56</v>
          </cell>
          <cell r="N6155" t="e">
            <v>#DIV/0!</v>
          </cell>
        </row>
        <row r="6156">
          <cell r="E6156" t="str">
            <v>HGC-Lib-2458619</v>
          </cell>
          <cell r="F6156" t="str">
            <v>N_B_N4705-5R-10X5BCR025PBMC-3</v>
          </cell>
          <cell r="G6156">
            <v>10</v>
          </cell>
          <cell r="H6156" t="str">
            <v>BCR文库</v>
          </cell>
          <cell r="I6156" t="str">
            <v>XCL</v>
          </cell>
          <cell r="J6156">
            <v>41.4</v>
          </cell>
          <cell r="N6156" t="e">
            <v>#DIV/0!</v>
          </cell>
        </row>
        <row r="6157">
          <cell r="E6157" t="str">
            <v>HGC-Lib-2458620</v>
          </cell>
          <cell r="F6157" t="str">
            <v>N_B_N4705-5S-10X5BCR025BM-3</v>
          </cell>
          <cell r="G6157">
            <v>10</v>
          </cell>
          <cell r="H6157" t="str">
            <v>BCR文库</v>
          </cell>
          <cell r="I6157" t="str">
            <v>XCL</v>
          </cell>
          <cell r="J6157">
            <v>37</v>
          </cell>
          <cell r="N6157" t="e">
            <v>#DIV/0!</v>
          </cell>
        </row>
        <row r="6158">
          <cell r="E6158" t="str">
            <v>HGC-Lib-2458621</v>
          </cell>
          <cell r="F6158" t="str">
            <v>N_B_N4705-5R-10X-cite025PBMC</v>
          </cell>
          <cell r="G6158">
            <v>10</v>
          </cell>
          <cell r="H6158" t="str">
            <v>表面蛋白文库</v>
          </cell>
          <cell r="I6158" t="str">
            <v>XCL</v>
          </cell>
          <cell r="J6158">
            <v>14.1</v>
          </cell>
          <cell r="K6158">
            <v>230</v>
          </cell>
          <cell r="L6158" t="str">
            <v>XCL</v>
          </cell>
          <cell r="N6158">
            <v>94.314381270902999</v>
          </cell>
        </row>
        <row r="6159">
          <cell r="E6159" t="str">
            <v>HGC-Lib-2458622</v>
          </cell>
          <cell r="F6159" t="str">
            <v>N_B_N4705-5S-10X-cite025BM</v>
          </cell>
          <cell r="G6159">
            <v>10</v>
          </cell>
          <cell r="H6159" t="str">
            <v>表面蛋白文库</v>
          </cell>
          <cell r="I6159" t="str">
            <v>XCL</v>
          </cell>
          <cell r="J6159">
            <v>47.4</v>
          </cell>
          <cell r="K6159">
            <v>231</v>
          </cell>
          <cell r="L6159" t="str">
            <v>XCL</v>
          </cell>
          <cell r="N6159">
            <v>315.684315684316</v>
          </cell>
        </row>
        <row r="6160">
          <cell r="E6160" t="str">
            <v>HGC-Lib-2458623</v>
          </cell>
          <cell r="F6160" t="str">
            <v>N_B_N4708-0E-BDv2FJOA02</v>
          </cell>
          <cell r="G6160">
            <v>100</v>
          </cell>
          <cell r="H6160" t="str">
            <v>BD-单细胞</v>
          </cell>
          <cell r="I6160" t="str">
            <v>XCL</v>
          </cell>
          <cell r="J6160">
            <v>27.4</v>
          </cell>
          <cell r="N6160" t="e">
            <v>#DIV/0!</v>
          </cell>
        </row>
        <row r="6161">
          <cell r="E6161" t="str">
            <v>HGC-Lib-2458624</v>
          </cell>
          <cell r="F6161" t="str">
            <v>N_B_N4709-1M-BDv2zhangyidiliaoqianxue</v>
          </cell>
          <cell r="G6161">
            <v>100</v>
          </cell>
          <cell r="H6161" t="str">
            <v>BD-单细胞</v>
          </cell>
          <cell r="I6161" t="str">
            <v>XCL</v>
          </cell>
          <cell r="J6161">
            <v>26.4</v>
          </cell>
          <cell r="N6161" t="e">
            <v>#DIV/0!</v>
          </cell>
        </row>
        <row r="6162">
          <cell r="E6162" t="str">
            <v>HGC-Lib-2458625</v>
          </cell>
          <cell r="F6162" t="str">
            <v>N_B_N4709-2W-BDv2sham</v>
          </cell>
          <cell r="G6162">
            <v>100</v>
          </cell>
          <cell r="H6162" t="str">
            <v>BD-单细胞</v>
          </cell>
          <cell r="I6162" t="str">
            <v>XCL</v>
          </cell>
          <cell r="J6162">
            <v>36.6</v>
          </cell>
          <cell r="N6162" t="e">
            <v>#DIV/0!</v>
          </cell>
        </row>
        <row r="6163">
          <cell r="E6163" t="str">
            <v>HGC-Lib-2458626</v>
          </cell>
          <cell r="F6163" t="str">
            <v>N_B_N4709-2X-BDv2ovx-wt</v>
          </cell>
          <cell r="G6163">
            <v>100</v>
          </cell>
          <cell r="H6163" t="str">
            <v>BD-单细胞</v>
          </cell>
          <cell r="I6163" t="str">
            <v>XCL</v>
          </cell>
          <cell r="J6163">
            <v>39.200000000000003</v>
          </cell>
          <cell r="N6163" t="e">
            <v>#DIV/0!</v>
          </cell>
        </row>
        <row r="6164">
          <cell r="E6164" t="str">
            <v>HGC-Lib-2458627</v>
          </cell>
          <cell r="F6164" t="str">
            <v>N_B_N4709-2Y-BDv2ovx-ko</v>
          </cell>
          <cell r="G6164">
            <v>100</v>
          </cell>
          <cell r="H6164" t="str">
            <v>BD-单细胞</v>
          </cell>
          <cell r="I6164" t="str">
            <v>XCL</v>
          </cell>
          <cell r="J6164">
            <v>27.8</v>
          </cell>
          <cell r="N6164" t="e">
            <v>#DIV/0!</v>
          </cell>
        </row>
        <row r="6165">
          <cell r="E6165" t="str">
            <v>HGC-Lib-2458628</v>
          </cell>
          <cell r="F6165" t="str">
            <v>N_B_N4711-2B-BDv2s1722</v>
          </cell>
          <cell r="G6165">
            <v>100</v>
          </cell>
          <cell r="H6165" t="str">
            <v>BD-单细胞</v>
          </cell>
          <cell r="I6165" t="str">
            <v>XCL</v>
          </cell>
          <cell r="J6165">
            <v>34.4</v>
          </cell>
          <cell r="N6165" t="e">
            <v>#DIV/0!</v>
          </cell>
        </row>
        <row r="6166">
          <cell r="E6166" t="str">
            <v>HGC-Lib-2458629</v>
          </cell>
          <cell r="F6166" t="str">
            <v>N_B_N4711-2C-BDv2s1722p2</v>
          </cell>
          <cell r="G6166">
            <v>100</v>
          </cell>
          <cell r="H6166" t="str">
            <v>BD-单细胞</v>
          </cell>
          <cell r="I6166" t="str">
            <v>XCL</v>
          </cell>
          <cell r="J6166">
            <v>39.799999999999997</v>
          </cell>
          <cell r="N6166" t="e">
            <v>#DIV/0!</v>
          </cell>
        </row>
        <row r="6167">
          <cell r="E6167" t="str">
            <v>HGC-Lib-2458630</v>
          </cell>
          <cell r="F6167" t="str">
            <v>N_B_N4708-0K-10X31932249</v>
          </cell>
          <cell r="G6167">
            <v>100</v>
          </cell>
          <cell r="H6167" t="str">
            <v>10× 3'单细胞</v>
          </cell>
          <cell r="I6167" t="str">
            <v>XCL</v>
          </cell>
          <cell r="J6167">
            <v>26</v>
          </cell>
          <cell r="N6167" t="e">
            <v>#DIV/0!</v>
          </cell>
        </row>
        <row r="6168">
          <cell r="E6168" t="str">
            <v>HGC-Lib-2458631</v>
          </cell>
          <cell r="F6168" t="str">
            <v>N_B_N4709-2H-10X3sprt-0709</v>
          </cell>
          <cell r="G6168">
            <v>100</v>
          </cell>
          <cell r="H6168" t="str">
            <v>10× 3'单细胞</v>
          </cell>
          <cell r="I6168" t="str">
            <v>XCL</v>
          </cell>
          <cell r="J6168">
            <v>30.4</v>
          </cell>
          <cell r="N6168" t="e">
            <v>#DIV/0!</v>
          </cell>
        </row>
        <row r="6169">
          <cell r="E6169" t="str">
            <v>HGC-Lib-2458632</v>
          </cell>
          <cell r="F6169" t="str">
            <v>N_B_N4712-3R-10X3DP-E50-testis-2</v>
          </cell>
          <cell r="G6169">
            <v>100</v>
          </cell>
          <cell r="H6169" t="str">
            <v>10× 3'单细胞</v>
          </cell>
          <cell r="I6169" t="str">
            <v>XCL</v>
          </cell>
          <cell r="J6169">
            <v>21.6</v>
          </cell>
          <cell r="N6169" t="e">
            <v>#DIV/0!</v>
          </cell>
        </row>
        <row r="6170">
          <cell r="E6170" t="str">
            <v>HGC-Lib-2458633</v>
          </cell>
          <cell r="F6170" t="str">
            <v>N_B_N4712-3S-10X3DP-E50-testis-4</v>
          </cell>
          <cell r="G6170">
            <v>100</v>
          </cell>
          <cell r="H6170" t="str">
            <v>10× 3'单细胞</v>
          </cell>
          <cell r="I6170" t="str">
            <v>XCL</v>
          </cell>
          <cell r="J6170">
            <v>21</v>
          </cell>
          <cell r="N6170" t="e">
            <v>#DIV/0!</v>
          </cell>
        </row>
        <row r="6171">
          <cell r="E6171" t="str">
            <v>HGC-Lib-2458634</v>
          </cell>
          <cell r="F6171" t="str">
            <v>N_B_N4712-3T-10X3DP-E50-ovary-1</v>
          </cell>
          <cell r="G6171">
            <v>100</v>
          </cell>
          <cell r="H6171" t="str">
            <v>10× 3'单细胞</v>
          </cell>
          <cell r="I6171" t="str">
            <v>XCL</v>
          </cell>
          <cell r="J6171">
            <v>9.58</v>
          </cell>
          <cell r="N6171" t="e">
            <v>#DIV/0!</v>
          </cell>
        </row>
        <row r="6172">
          <cell r="E6172" t="str">
            <v>HGC-Lib-2458635</v>
          </cell>
          <cell r="F6172" t="str">
            <v>N_B_N4712-3U-10X3DP-E50-ovary-3</v>
          </cell>
          <cell r="G6172">
            <v>100</v>
          </cell>
          <cell r="H6172" t="str">
            <v>10× 3'单细胞</v>
          </cell>
          <cell r="I6172" t="str">
            <v>XCL</v>
          </cell>
          <cell r="J6172">
            <v>11.9</v>
          </cell>
          <cell r="N6172" t="e">
            <v>#DIV/0!</v>
          </cell>
        </row>
        <row r="6173">
          <cell r="E6173" t="str">
            <v>HGC-Lib-2458636</v>
          </cell>
          <cell r="F6173" t="str">
            <v>N_B_N4712-3V-10X3DP-E90-testis-1</v>
          </cell>
          <cell r="G6173">
            <v>100</v>
          </cell>
          <cell r="H6173" t="str">
            <v>10× 3'单细胞</v>
          </cell>
          <cell r="I6173" t="str">
            <v>XCL</v>
          </cell>
          <cell r="J6173">
            <v>15.5</v>
          </cell>
          <cell r="N6173" t="e">
            <v>#DIV/0!</v>
          </cell>
        </row>
        <row r="6174">
          <cell r="E6174" t="str">
            <v>HGC-Lib-2458637</v>
          </cell>
          <cell r="F6174" t="str">
            <v>N_B_N4712-3W-10X3DP-E90-testis-2</v>
          </cell>
          <cell r="G6174">
            <v>100</v>
          </cell>
          <cell r="H6174" t="str">
            <v>10× 3'单细胞</v>
          </cell>
          <cell r="I6174" t="str">
            <v>XCL</v>
          </cell>
          <cell r="J6174">
            <v>18</v>
          </cell>
          <cell r="N6174" t="e">
            <v>#DIV/0!</v>
          </cell>
        </row>
        <row r="6175">
          <cell r="E6175" t="str">
            <v>HGC-Lib-2458638</v>
          </cell>
          <cell r="F6175" t="str">
            <v>N_B_N4712-3X-10X3DP-E90-ovary-3</v>
          </cell>
          <cell r="G6175">
            <v>100</v>
          </cell>
          <cell r="H6175" t="str">
            <v>10× 3'单细胞</v>
          </cell>
          <cell r="I6175" t="str">
            <v>XCL</v>
          </cell>
          <cell r="J6175">
            <v>18</v>
          </cell>
          <cell r="N6175" t="e">
            <v>#DIV/0!</v>
          </cell>
        </row>
        <row r="6176">
          <cell r="E6176" t="str">
            <v>HGC-Lib-2458639</v>
          </cell>
          <cell r="F6176" t="str">
            <v>N_B_N4712-3Y-10X3DP-E90-ovary-4</v>
          </cell>
          <cell r="G6176">
            <v>100</v>
          </cell>
          <cell r="H6176" t="str">
            <v>10× 3'单细胞</v>
          </cell>
          <cell r="I6176" t="str">
            <v>XCL</v>
          </cell>
          <cell r="J6176">
            <v>21.4</v>
          </cell>
          <cell r="N6176" t="e">
            <v>#DIV/0!</v>
          </cell>
        </row>
        <row r="6177">
          <cell r="E6177" t="str">
            <v>HGC-Lib-2458640</v>
          </cell>
          <cell r="F6177" t="str">
            <v>N_B_N4711-0K-10X3CR-hHA194</v>
          </cell>
          <cell r="G6177">
            <v>100</v>
          </cell>
          <cell r="H6177" t="str">
            <v>10× 3'单细胞</v>
          </cell>
          <cell r="I6177" t="str">
            <v>XCL</v>
          </cell>
          <cell r="J6177">
            <v>16.600000000000001</v>
          </cell>
          <cell r="N6177" t="e">
            <v>#DIV/0!</v>
          </cell>
        </row>
        <row r="6178">
          <cell r="E6178" t="str">
            <v>HGC-Lib-2458641</v>
          </cell>
          <cell r="F6178" t="str">
            <v>N_B_N4711-0N-10X3CR-hBL269</v>
          </cell>
          <cell r="G6178">
            <v>100</v>
          </cell>
          <cell r="H6178" t="str">
            <v>10× 3'单细胞</v>
          </cell>
          <cell r="I6178" t="str">
            <v>XCL</v>
          </cell>
          <cell r="J6178">
            <v>21.6</v>
          </cell>
          <cell r="N6178" t="e">
            <v>#DIV/0!</v>
          </cell>
        </row>
        <row r="6179">
          <cell r="E6179" t="str">
            <v>HGC-Lib-2458642</v>
          </cell>
          <cell r="F6179" t="str">
            <v>N_B_N4711-0Q-10X3CR-hBL271</v>
          </cell>
          <cell r="G6179">
            <v>100</v>
          </cell>
          <cell r="H6179" t="str">
            <v>10× 3'单细胞</v>
          </cell>
          <cell r="I6179" t="str">
            <v>XCL</v>
          </cell>
          <cell r="J6179">
            <v>27.6</v>
          </cell>
          <cell r="N6179" t="e">
            <v>#DIV/0!</v>
          </cell>
        </row>
        <row r="6180">
          <cell r="E6180" t="str">
            <v>HGC-Lib-2458643</v>
          </cell>
          <cell r="F6180" t="str">
            <v>N_B_N4711-0R-10X3CR-hBL272</v>
          </cell>
          <cell r="G6180">
            <v>100</v>
          </cell>
          <cell r="H6180" t="str">
            <v>10× 3'单细胞</v>
          </cell>
          <cell r="I6180" t="str">
            <v>XCL</v>
          </cell>
          <cell r="J6180">
            <v>33.799999999999997</v>
          </cell>
          <cell r="N6180" t="e">
            <v>#DIV/0!</v>
          </cell>
        </row>
        <row r="6181">
          <cell r="E6181" t="str">
            <v>HGC-Lib-2458644</v>
          </cell>
          <cell r="F6181" t="str">
            <v>N_B_N4711-0S-10X3CR-hBL273</v>
          </cell>
          <cell r="G6181">
            <v>100</v>
          </cell>
          <cell r="H6181" t="str">
            <v>10× 3'单细胞</v>
          </cell>
          <cell r="I6181" t="str">
            <v>XCL</v>
          </cell>
          <cell r="J6181">
            <v>26.6</v>
          </cell>
          <cell r="N6181" t="e">
            <v>#DIV/0!</v>
          </cell>
        </row>
        <row r="6182">
          <cell r="E6182" t="str">
            <v>HGC-Lib-2458645</v>
          </cell>
          <cell r="F6182" t="str">
            <v>N_B_N4711-0T-10X3CR-hBL274</v>
          </cell>
          <cell r="G6182">
            <v>100</v>
          </cell>
          <cell r="H6182" t="str">
            <v>10× 3'单细胞</v>
          </cell>
          <cell r="I6182" t="str">
            <v>XCL</v>
          </cell>
          <cell r="J6182">
            <v>35.799999999999997</v>
          </cell>
          <cell r="N6182" t="e">
            <v>#DIV/0!</v>
          </cell>
        </row>
        <row r="6183">
          <cell r="E6183" t="str">
            <v>HGC-Lib-2458646</v>
          </cell>
          <cell r="F6183" t="str">
            <v>N_B_N4711-0X-10X3Ctss-KO-LSK</v>
          </cell>
          <cell r="G6183">
            <v>100</v>
          </cell>
          <cell r="H6183" t="str">
            <v>10× 3'单细胞</v>
          </cell>
          <cell r="I6183" t="str">
            <v>XCL</v>
          </cell>
          <cell r="J6183">
            <v>11.6</v>
          </cell>
          <cell r="N6183" t="e">
            <v>#DIV/0!</v>
          </cell>
        </row>
        <row r="6184">
          <cell r="E6184" t="str">
            <v>HGC-Lib-2458647</v>
          </cell>
          <cell r="F6184" t="str">
            <v>N_B_N4711-0Y-10X3WT-LSK</v>
          </cell>
          <cell r="G6184">
            <v>100</v>
          </cell>
          <cell r="H6184" t="str">
            <v>10× 3'单细胞</v>
          </cell>
          <cell r="I6184" t="str">
            <v>XCL</v>
          </cell>
          <cell r="J6184">
            <v>16.2</v>
          </cell>
          <cell r="N6184" t="e">
            <v>#DIV/0!</v>
          </cell>
        </row>
        <row r="6185">
          <cell r="E6185" t="str">
            <v>HGC-Lib-2458648</v>
          </cell>
          <cell r="F6185" t="str">
            <v>N_B_N4711-2J-10X3DAY30-TRM</v>
          </cell>
          <cell r="G6185">
            <v>100</v>
          </cell>
          <cell r="H6185" t="str">
            <v>10× 3'单细胞</v>
          </cell>
          <cell r="I6185" t="str">
            <v>XCL</v>
          </cell>
          <cell r="J6185">
            <v>16.600000000000001</v>
          </cell>
          <cell r="N6185" t="e">
            <v>#DIV/0!</v>
          </cell>
        </row>
        <row r="6186">
          <cell r="E6186" t="str">
            <v>HGC-Lib-2458651</v>
          </cell>
          <cell r="F6186" t="str">
            <v>‘7-3</v>
          </cell>
          <cell r="G6186">
            <v>5</v>
          </cell>
          <cell r="H6186" t="str">
            <v>PCR产物文库</v>
          </cell>
          <cell r="I6186" t="str">
            <v>XCL</v>
          </cell>
          <cell r="J6186">
            <v>28.6</v>
          </cell>
          <cell r="K6186">
            <v>509</v>
          </cell>
          <cell r="L6186" t="str">
            <v>XCL</v>
          </cell>
          <cell r="N6186">
            <v>86.4440078585462</v>
          </cell>
        </row>
        <row r="6187">
          <cell r="E6187" t="str">
            <v>HGC-Lib-2458679</v>
          </cell>
          <cell r="F6187" t="str">
            <v>CLIP1_HEK11_20K_rep1</v>
          </cell>
          <cell r="G6187">
            <v>40</v>
          </cell>
          <cell r="H6187" t="str">
            <v>RIP-seq文库</v>
          </cell>
          <cell r="I6187" t="str">
            <v>XCL</v>
          </cell>
          <cell r="J6187">
            <v>15</v>
          </cell>
          <cell r="K6187">
            <v>626</v>
          </cell>
          <cell r="L6187" t="str">
            <v>XCL</v>
          </cell>
          <cell r="N6187">
            <v>36.864094372081603</v>
          </cell>
        </row>
        <row r="6188">
          <cell r="E6188" t="str">
            <v>HGC-Lib-2458681</v>
          </cell>
          <cell r="F6188" t="str">
            <v>WTT</v>
          </cell>
          <cell r="G6188">
            <v>100</v>
          </cell>
          <cell r="H6188" t="str">
            <v>10× 3'单细胞</v>
          </cell>
          <cell r="I6188" t="str">
            <v>XCL</v>
          </cell>
          <cell r="J6188">
            <v>15.3</v>
          </cell>
          <cell r="K6188">
            <v>456</v>
          </cell>
          <cell r="L6188" t="str">
            <v>XCL</v>
          </cell>
          <cell r="N6188">
            <v>51.619433198380598</v>
          </cell>
        </row>
        <row r="6189">
          <cell r="E6189" t="str">
            <v>HGC-Lib-2458684</v>
          </cell>
          <cell r="F6189" t="str">
            <v>LC22-1.1</v>
          </cell>
          <cell r="G6189">
            <v>10</v>
          </cell>
          <cell r="H6189" t="str">
            <v>cut&amp;tag文库</v>
          </cell>
          <cell r="I6189" t="str">
            <v>XCL</v>
          </cell>
          <cell r="J6189">
            <v>4.8</v>
          </cell>
          <cell r="K6189">
            <v>436</v>
          </cell>
          <cell r="L6189" t="str">
            <v>GZQ</v>
          </cell>
          <cell r="N6189">
            <v>16.937191249117902</v>
          </cell>
        </row>
        <row r="6190">
          <cell r="E6190" t="str">
            <v>HGC-Lib-2458685</v>
          </cell>
          <cell r="F6190" t="str">
            <v>LC22-1.2</v>
          </cell>
          <cell r="G6190">
            <v>10</v>
          </cell>
          <cell r="H6190" t="str">
            <v>cut&amp;tag文库</v>
          </cell>
          <cell r="I6190" t="str">
            <v>XCL</v>
          </cell>
          <cell r="J6190">
            <v>3.62</v>
          </cell>
          <cell r="K6190">
            <v>462</v>
          </cell>
          <cell r="L6190" t="str">
            <v>GZQ</v>
          </cell>
          <cell r="N6190">
            <v>12.0546120546121</v>
          </cell>
        </row>
        <row r="6191">
          <cell r="E6191" t="str">
            <v>HGC-Lib-2458686</v>
          </cell>
          <cell r="F6191" t="str">
            <v>LC22-2.1</v>
          </cell>
          <cell r="G6191">
            <v>10</v>
          </cell>
          <cell r="H6191" t="str">
            <v>cut&amp;tag文库</v>
          </cell>
          <cell r="I6191" t="str">
            <v>XCL</v>
          </cell>
          <cell r="J6191">
            <v>4.28</v>
          </cell>
          <cell r="K6191">
            <v>471</v>
          </cell>
          <cell r="L6191" t="str">
            <v>GZQ</v>
          </cell>
          <cell r="N6191">
            <v>13.980075126571901</v>
          </cell>
        </row>
        <row r="6192">
          <cell r="E6192" t="str">
            <v>HGC-Lib-2458687</v>
          </cell>
          <cell r="F6192" t="str">
            <v>LC22-2.2</v>
          </cell>
          <cell r="G6192">
            <v>10</v>
          </cell>
          <cell r="H6192" t="str">
            <v>cut&amp;tag文库</v>
          </cell>
          <cell r="I6192" t="str">
            <v>XCL</v>
          </cell>
          <cell r="J6192">
            <v>4.7</v>
          </cell>
          <cell r="K6192">
            <v>425</v>
          </cell>
          <cell r="L6192" t="str">
            <v>GZQ</v>
          </cell>
          <cell r="N6192">
            <v>17.013574660633498</v>
          </cell>
        </row>
        <row r="6193">
          <cell r="E6193" t="str">
            <v>HGC-Lib-2458688</v>
          </cell>
          <cell r="F6193" t="str">
            <v>LC22-3.1</v>
          </cell>
          <cell r="G6193">
            <v>10</v>
          </cell>
          <cell r="H6193" t="str">
            <v>cut&amp;tag文库</v>
          </cell>
          <cell r="I6193" t="str">
            <v>XCL</v>
          </cell>
          <cell r="J6193">
            <v>5.12</v>
          </cell>
          <cell r="K6193">
            <v>412</v>
          </cell>
          <cell r="L6193" t="str">
            <v>GZQ</v>
          </cell>
          <cell r="N6193">
            <v>19.1187453323376</v>
          </cell>
        </row>
        <row r="6194">
          <cell r="E6194" t="str">
            <v>HGC-Lib-2458689</v>
          </cell>
          <cell r="F6194" t="str">
            <v>LC22-3.2</v>
          </cell>
          <cell r="G6194">
            <v>10</v>
          </cell>
          <cell r="H6194" t="str">
            <v>cut&amp;tag文库</v>
          </cell>
          <cell r="I6194" t="str">
            <v>XCL</v>
          </cell>
          <cell r="J6194">
            <v>5.76</v>
          </cell>
          <cell r="K6194">
            <v>407</v>
          </cell>
          <cell r="L6194" t="str">
            <v>GZQ</v>
          </cell>
          <cell r="N6194">
            <v>21.7728217728218</v>
          </cell>
        </row>
        <row r="6195">
          <cell r="E6195" t="str">
            <v>HGC-Lib-2458696</v>
          </cell>
          <cell r="F6195" t="str">
            <v>CB-T26-1</v>
          </cell>
          <cell r="G6195">
            <v>5</v>
          </cell>
          <cell r="H6195" t="str">
            <v>PCR产物文库</v>
          </cell>
          <cell r="I6195" t="str">
            <v>XCL</v>
          </cell>
          <cell r="J6195">
            <v>31</v>
          </cell>
          <cell r="K6195">
            <v>624</v>
          </cell>
          <cell r="L6195" t="str">
            <v>XCL</v>
          </cell>
          <cell r="N6195">
            <v>76.429980276134103</v>
          </cell>
        </row>
        <row r="6196">
          <cell r="E6196" t="str">
            <v>HGC-Lib-2458697</v>
          </cell>
          <cell r="F6196" t="str">
            <v>CB-T26-2</v>
          </cell>
          <cell r="G6196">
            <v>5</v>
          </cell>
          <cell r="H6196" t="str">
            <v>PCR产物文库</v>
          </cell>
          <cell r="I6196" t="str">
            <v>XCL</v>
          </cell>
          <cell r="J6196">
            <v>35.799999999999997</v>
          </cell>
          <cell r="K6196">
            <v>524</v>
          </cell>
          <cell r="L6196" t="str">
            <v>XCL</v>
          </cell>
          <cell r="N6196">
            <v>105.108631826189</v>
          </cell>
        </row>
        <row r="6197">
          <cell r="E6197" t="str">
            <v>HGC-Lib-2458698</v>
          </cell>
          <cell r="F6197" t="str">
            <v>CB-T27</v>
          </cell>
          <cell r="G6197">
            <v>5</v>
          </cell>
          <cell r="H6197" t="str">
            <v>PCR产物文库</v>
          </cell>
          <cell r="I6197" t="str">
            <v>XCL</v>
          </cell>
          <cell r="J6197">
            <v>30</v>
          </cell>
          <cell r="K6197">
            <v>529</v>
          </cell>
          <cell r="L6197" t="str">
            <v>XCL</v>
          </cell>
          <cell r="N6197">
            <v>87.247346226552295</v>
          </cell>
        </row>
        <row r="6198">
          <cell r="E6198" t="str">
            <v>HGC-Lib-2458699</v>
          </cell>
          <cell r="F6198" t="str">
            <v>IVT-R1</v>
          </cell>
          <cell r="G6198">
            <v>5</v>
          </cell>
          <cell r="H6198" t="str">
            <v>PCR产物文库</v>
          </cell>
          <cell r="I6198" t="str">
            <v>WWH</v>
          </cell>
          <cell r="J6198">
            <v>58.6</v>
          </cell>
          <cell r="K6198">
            <v>488</v>
          </cell>
          <cell r="L6198" t="str">
            <v>XCL</v>
          </cell>
          <cell r="N6198">
            <v>184.741488020177</v>
          </cell>
        </row>
        <row r="6199">
          <cell r="E6199" t="str">
            <v>HGC-Lib-2458700</v>
          </cell>
          <cell r="F6199" t="str">
            <v>IVT-R2</v>
          </cell>
          <cell r="G6199">
            <v>5</v>
          </cell>
          <cell r="H6199" t="str">
            <v>PCR产物文库</v>
          </cell>
          <cell r="I6199" t="str">
            <v>WWH</v>
          </cell>
          <cell r="J6199">
            <v>48.6</v>
          </cell>
          <cell r="K6199">
            <v>472</v>
          </cell>
          <cell r="L6199" t="str">
            <v>XCL</v>
          </cell>
          <cell r="N6199">
            <v>158.409387222947</v>
          </cell>
        </row>
        <row r="6200">
          <cell r="E6200" t="str">
            <v>HGC-Lib-2458705</v>
          </cell>
          <cell r="F6200" t="str">
            <v>NGS20240724-1</v>
          </cell>
          <cell r="G6200">
            <v>1</v>
          </cell>
          <cell r="H6200" t="str">
            <v>多重PCR产物文库</v>
          </cell>
          <cell r="I6200" t="str">
            <v>WWH</v>
          </cell>
          <cell r="J6200">
            <v>6.36</v>
          </cell>
          <cell r="N6200" t="e">
            <v>#DIV/0!</v>
          </cell>
        </row>
        <row r="6201">
          <cell r="E6201" t="str">
            <v>HGC-Lib-2458706</v>
          </cell>
          <cell r="F6201" t="str">
            <v>NGS20240724-2</v>
          </cell>
          <cell r="G6201">
            <v>1</v>
          </cell>
          <cell r="H6201" t="str">
            <v>多重PCR产物文库</v>
          </cell>
          <cell r="I6201" t="str">
            <v>WWH</v>
          </cell>
          <cell r="J6201">
            <v>10.5</v>
          </cell>
          <cell r="N6201" t="e">
            <v>#DIV/0!</v>
          </cell>
        </row>
        <row r="6202">
          <cell r="E6202" t="str">
            <v>HGC-Lib-2458723</v>
          </cell>
          <cell r="F6202" t="str">
            <v>HYN-R11-240724</v>
          </cell>
          <cell r="G6202">
            <v>2</v>
          </cell>
          <cell r="H6202" t="str">
            <v>PCR片段文库</v>
          </cell>
          <cell r="I6202" t="str">
            <v>WWH</v>
          </cell>
          <cell r="J6202">
            <v>53.4</v>
          </cell>
          <cell r="K6202">
            <v>408</v>
          </cell>
          <cell r="L6202" t="str">
            <v>XCL</v>
          </cell>
          <cell r="N6202">
            <v>201.357466063348</v>
          </cell>
        </row>
        <row r="6203">
          <cell r="E6203" t="str">
            <v>HGC-Lib-2458724</v>
          </cell>
          <cell r="F6203" t="str">
            <v>HYN-R12-240724</v>
          </cell>
          <cell r="G6203">
            <v>2</v>
          </cell>
          <cell r="H6203" t="str">
            <v>PCR片段文库</v>
          </cell>
          <cell r="I6203" t="str">
            <v>WWH</v>
          </cell>
          <cell r="J6203">
            <v>59</v>
          </cell>
          <cell r="K6203">
            <v>410</v>
          </cell>
          <cell r="L6203" t="str">
            <v>XCL</v>
          </cell>
          <cell r="N6203">
            <v>221.388367729831</v>
          </cell>
        </row>
        <row r="6204">
          <cell r="E6204" t="str">
            <v>HGC-Lib-2458725</v>
          </cell>
          <cell r="F6204" t="str">
            <v>HYN-R13-240724</v>
          </cell>
          <cell r="G6204">
            <v>2</v>
          </cell>
          <cell r="H6204" t="str">
            <v>PCR片段文库</v>
          </cell>
          <cell r="I6204" t="str">
            <v>WWH</v>
          </cell>
          <cell r="J6204">
            <v>47.8</v>
          </cell>
          <cell r="K6204">
            <v>473</v>
          </cell>
          <cell r="L6204" t="str">
            <v>XCL</v>
          </cell>
          <cell r="N6204">
            <v>155.472434542202</v>
          </cell>
        </row>
        <row r="6205">
          <cell r="E6205" t="str">
            <v>HGC-Lib-2458726</v>
          </cell>
          <cell r="F6205" t="str">
            <v>HYN-R14-240724</v>
          </cell>
          <cell r="G6205">
            <v>2</v>
          </cell>
          <cell r="H6205" t="str">
            <v>PCR片段文库</v>
          </cell>
          <cell r="I6205" t="str">
            <v>WWH</v>
          </cell>
          <cell r="J6205">
            <v>51</v>
          </cell>
          <cell r="K6205">
            <v>424</v>
          </cell>
          <cell r="L6205" t="str">
            <v>XCL</v>
          </cell>
          <cell r="N6205">
            <v>185.050798258345</v>
          </cell>
        </row>
        <row r="6206">
          <cell r="E6206" t="str">
            <v>HGC-Lib-2458727</v>
          </cell>
          <cell r="F6206" t="str">
            <v>UtoC-6-2R</v>
          </cell>
          <cell r="G6206">
            <v>2</v>
          </cell>
          <cell r="H6206" t="str">
            <v>PCR片段文库</v>
          </cell>
          <cell r="I6206" t="str">
            <v>WWH</v>
          </cell>
          <cell r="J6206">
            <v>65.8</v>
          </cell>
          <cell r="K6206">
            <v>425</v>
          </cell>
          <cell r="L6206" t="str">
            <v>XCL</v>
          </cell>
          <cell r="N6206">
            <v>238.19004524886901</v>
          </cell>
        </row>
        <row r="6207">
          <cell r="E6207" t="str">
            <v>HGC-Lib-2458728</v>
          </cell>
          <cell r="F6207" t="str">
            <v>AAV6-lib-sub</v>
          </cell>
          <cell r="G6207">
            <v>5</v>
          </cell>
          <cell r="H6207" t="str">
            <v>PCR产物文库</v>
          </cell>
          <cell r="I6207" t="str">
            <v>WWH</v>
          </cell>
          <cell r="J6207">
            <v>27</v>
          </cell>
          <cell r="K6207">
            <v>477</v>
          </cell>
          <cell r="L6207" t="str">
            <v>XCL</v>
          </cell>
          <cell r="N6207">
            <v>87.082728592162596</v>
          </cell>
        </row>
        <row r="6208">
          <cell r="E6208" t="str">
            <v>HGC-Lib-2458729</v>
          </cell>
          <cell r="F6208" t="str">
            <v>AAV6-lib-sub-ins3</v>
          </cell>
          <cell r="G6208">
            <v>5</v>
          </cell>
          <cell r="H6208" t="str">
            <v>PCR产物文库</v>
          </cell>
          <cell r="I6208" t="str">
            <v>WWH</v>
          </cell>
          <cell r="J6208">
            <v>86.4</v>
          </cell>
          <cell r="K6208">
            <v>814</v>
          </cell>
          <cell r="L6208" t="str">
            <v>XCL</v>
          </cell>
          <cell r="N6208">
            <v>163.296163296163</v>
          </cell>
        </row>
        <row r="6209">
          <cell r="E6209" t="str">
            <v>HGC-Lib-2458730</v>
          </cell>
          <cell r="F6209" t="str">
            <v>YL24-7-24-R15</v>
          </cell>
          <cell r="G6209">
            <v>2</v>
          </cell>
          <cell r="H6209" t="str">
            <v>PCR产物文库</v>
          </cell>
          <cell r="I6209" t="str">
            <v>WWH</v>
          </cell>
          <cell r="J6209">
            <v>54</v>
          </cell>
          <cell r="K6209">
            <v>400</v>
          </cell>
          <cell r="L6209" t="str">
            <v>XCL</v>
          </cell>
          <cell r="N6209">
            <v>207.69230769230799</v>
          </cell>
        </row>
        <row r="6210">
          <cell r="E6210" t="str">
            <v>HGC-POOL-2458736</v>
          </cell>
          <cell r="F6210" t="str">
            <v>HYZ-0724-L1</v>
          </cell>
          <cell r="G6210">
            <v>24</v>
          </cell>
          <cell r="H6210" t="str">
            <v>PCR产物文库</v>
          </cell>
          <cell r="I6210" t="str">
            <v>WWH</v>
          </cell>
          <cell r="J6210">
            <v>55.6</v>
          </cell>
          <cell r="K6210">
            <v>469</v>
          </cell>
          <cell r="L6210" t="str">
            <v>XCL</v>
          </cell>
          <cell r="N6210">
            <v>182.384779399705</v>
          </cell>
        </row>
        <row r="6211">
          <cell r="E6211" t="str">
            <v>HGC-POOL-2458737</v>
          </cell>
          <cell r="F6211" t="str">
            <v>HYZ-0724-L2</v>
          </cell>
          <cell r="G6211">
            <v>24</v>
          </cell>
          <cell r="H6211" t="str">
            <v>PCR产物文库</v>
          </cell>
          <cell r="I6211" t="str">
            <v>WWH</v>
          </cell>
          <cell r="J6211">
            <v>42.8</v>
          </cell>
          <cell r="K6211">
            <v>479</v>
          </cell>
          <cell r="L6211" t="str">
            <v>XCL</v>
          </cell>
          <cell r="N6211">
            <v>137.465874417858</v>
          </cell>
        </row>
        <row r="6212">
          <cell r="E6212" t="str">
            <v>HGC-Lib-2458682</v>
          </cell>
          <cell r="F6212" t="str">
            <v>L240621059</v>
          </cell>
          <cell r="G6212">
            <v>75</v>
          </cell>
          <cell r="H6212" t="str">
            <v>10X空转文库</v>
          </cell>
          <cell r="I6212" t="str">
            <v>XCL</v>
          </cell>
          <cell r="J6212">
            <v>22.6</v>
          </cell>
          <cell r="N6212" t="e">
            <v>#DIV/0!</v>
          </cell>
        </row>
        <row r="6213">
          <cell r="E6213" t="str">
            <v>HGC-Lib-2458683</v>
          </cell>
          <cell r="F6213" t="str">
            <v>L240621068</v>
          </cell>
          <cell r="G6213">
            <v>75</v>
          </cell>
          <cell r="H6213" t="str">
            <v>10X空转文库</v>
          </cell>
          <cell r="I6213" t="str">
            <v>XCL</v>
          </cell>
          <cell r="J6213">
            <v>41.4</v>
          </cell>
          <cell r="N6213" t="e">
            <v>#DIV/0!</v>
          </cell>
        </row>
        <row r="6214">
          <cell r="E6214" t="str">
            <v>HGC-Lib-2458731</v>
          </cell>
          <cell r="F6214" t="str">
            <v>R240724021</v>
          </cell>
          <cell r="G6214">
            <v>10</v>
          </cell>
          <cell r="H6214" t="str">
            <v>singleron-3'转录组文库</v>
          </cell>
          <cell r="I6214" t="str">
            <v>WWH</v>
          </cell>
          <cell r="J6214">
            <v>16</v>
          </cell>
          <cell r="N6214" t="e">
            <v>#DIV/0!</v>
          </cell>
        </row>
        <row r="6215">
          <cell r="E6215" t="str">
            <v>HGC-Lib-2458732</v>
          </cell>
          <cell r="F6215" t="str">
            <v>R240724022</v>
          </cell>
          <cell r="G6215">
            <v>10</v>
          </cell>
          <cell r="H6215" t="str">
            <v>singleron-3'转录组文库</v>
          </cell>
          <cell r="I6215" t="str">
            <v>WWH</v>
          </cell>
          <cell r="J6215">
            <v>5.92</v>
          </cell>
          <cell r="N6215" t="e">
            <v>#DIV/0!</v>
          </cell>
        </row>
        <row r="6216">
          <cell r="E6216" t="str">
            <v>HGC-Lib-2458733</v>
          </cell>
          <cell r="F6216" t="str">
            <v>R240724023</v>
          </cell>
          <cell r="G6216">
            <v>10</v>
          </cell>
          <cell r="H6216" t="str">
            <v>singleron-3'转录组文库</v>
          </cell>
          <cell r="I6216" t="str">
            <v>WWH</v>
          </cell>
          <cell r="J6216">
            <v>20.6</v>
          </cell>
          <cell r="N6216" t="e">
            <v>#DIV/0!</v>
          </cell>
        </row>
        <row r="6217">
          <cell r="E6217" t="str">
            <v>HGC-Lib-2458734</v>
          </cell>
          <cell r="F6217" t="str">
            <v>R240724024</v>
          </cell>
          <cell r="G6217">
            <v>10</v>
          </cell>
          <cell r="H6217" t="str">
            <v>singleron-3'转录组文库</v>
          </cell>
          <cell r="I6217" t="str">
            <v>WWH</v>
          </cell>
          <cell r="J6217">
            <v>8.44</v>
          </cell>
          <cell r="N6217" t="e">
            <v>#DIV/0!</v>
          </cell>
        </row>
        <row r="6218">
          <cell r="E6218" t="str">
            <v>HGC-Lib-2458735</v>
          </cell>
          <cell r="F6218" t="str">
            <v>R240724025</v>
          </cell>
          <cell r="G6218">
            <v>10</v>
          </cell>
          <cell r="H6218" t="str">
            <v>singleron-3'转录组文库</v>
          </cell>
          <cell r="I6218" t="str">
            <v>WWH</v>
          </cell>
          <cell r="J6218">
            <v>11.7</v>
          </cell>
          <cell r="N6218" t="e">
            <v>#DIV/0!</v>
          </cell>
        </row>
        <row r="6219">
          <cell r="E6219" t="str">
            <v>HGC-Lib-2458738</v>
          </cell>
          <cell r="F6219" t="str">
            <v>LTA240719151</v>
          </cell>
          <cell r="G6219">
            <v>90</v>
          </cell>
          <cell r="H6219" t="str">
            <v>singleron-3'转录组文库</v>
          </cell>
          <cell r="I6219" t="str">
            <v>WWH</v>
          </cell>
          <cell r="J6219">
            <v>10.8</v>
          </cell>
          <cell r="N6219" t="e">
            <v>#DIV/0!</v>
          </cell>
        </row>
        <row r="6220">
          <cell r="E6220" t="str">
            <v>HGC-Lib-2458739</v>
          </cell>
          <cell r="F6220" t="str">
            <v>LTA240719152</v>
          </cell>
          <cell r="G6220">
            <v>90</v>
          </cell>
          <cell r="H6220" t="str">
            <v>singleron-3'转录组文库</v>
          </cell>
          <cell r="I6220" t="str">
            <v>WWH</v>
          </cell>
          <cell r="J6220">
            <v>13.4</v>
          </cell>
          <cell r="N6220" t="e">
            <v>#DIV/0!</v>
          </cell>
        </row>
        <row r="6221">
          <cell r="E6221" t="str">
            <v>HGC-Lib-2458740</v>
          </cell>
          <cell r="F6221" t="str">
            <v>LA240719153</v>
          </cell>
          <cell r="G6221">
            <v>90</v>
          </cell>
          <cell r="H6221" t="str">
            <v>singleron-3'转录组文库</v>
          </cell>
          <cell r="I6221" t="str">
            <v>WWH</v>
          </cell>
          <cell r="J6221">
            <v>11.6</v>
          </cell>
          <cell r="N6221" t="e">
            <v>#DIV/0!</v>
          </cell>
        </row>
        <row r="6222">
          <cell r="E6222" t="str">
            <v>HGC-Lib-2458741</v>
          </cell>
          <cell r="F6222" t="str">
            <v>LPROC240720004</v>
          </cell>
          <cell r="G6222">
            <v>100</v>
          </cell>
          <cell r="H6222" t="str">
            <v>singleron-3'转录组文库</v>
          </cell>
          <cell r="I6222" t="str">
            <v>WWH</v>
          </cell>
          <cell r="J6222">
            <v>13.6</v>
          </cell>
          <cell r="N6222" t="e">
            <v>#DIV/0!</v>
          </cell>
        </row>
        <row r="6223">
          <cell r="E6223" t="str">
            <v>HGC-Lib-2458742</v>
          </cell>
          <cell r="F6223" t="str">
            <v>LC240720098</v>
          </cell>
          <cell r="G6223">
            <v>100</v>
          </cell>
          <cell r="H6223" t="str">
            <v>singleron-3'转录组文库</v>
          </cell>
          <cell r="I6223" t="str">
            <v>WWH</v>
          </cell>
          <cell r="J6223">
            <v>14.4</v>
          </cell>
          <cell r="N6223" t="e">
            <v>#DIV/0!</v>
          </cell>
        </row>
        <row r="6224">
          <cell r="E6224" t="str">
            <v>HGC-Lib-2458743</v>
          </cell>
          <cell r="F6224" t="str">
            <v>LC240720099</v>
          </cell>
          <cell r="G6224">
            <v>100</v>
          </cell>
          <cell r="H6224" t="str">
            <v>singleron-3'转录组文库</v>
          </cell>
          <cell r="I6224" t="str">
            <v>WWH</v>
          </cell>
          <cell r="J6224">
            <v>12.3</v>
          </cell>
          <cell r="N6224" t="e">
            <v>#DIV/0!</v>
          </cell>
        </row>
        <row r="6225">
          <cell r="E6225" t="str">
            <v>HGC-Lib-2458744</v>
          </cell>
          <cell r="F6225" t="str">
            <v>LA240719106</v>
          </cell>
          <cell r="G6225">
            <v>90</v>
          </cell>
          <cell r="H6225" t="str">
            <v>singleron-3'转录组文库</v>
          </cell>
          <cell r="I6225" t="str">
            <v>WWH</v>
          </cell>
          <cell r="J6225">
            <v>11.9</v>
          </cell>
          <cell r="N6225" t="e">
            <v>#DIV/0!</v>
          </cell>
        </row>
        <row r="6226">
          <cell r="E6226" t="str">
            <v>HGC-Lib-2458745</v>
          </cell>
          <cell r="F6226" t="str">
            <v>LA240719107</v>
          </cell>
          <cell r="G6226">
            <v>90</v>
          </cell>
          <cell r="H6226" t="str">
            <v>singleron-3'转录组文库</v>
          </cell>
          <cell r="I6226" t="str">
            <v>WWH</v>
          </cell>
          <cell r="J6226">
            <v>13.4</v>
          </cell>
          <cell r="N6226" t="e">
            <v>#DIV/0!</v>
          </cell>
        </row>
        <row r="6227">
          <cell r="E6227" t="str">
            <v>HGC-Lib-2458746</v>
          </cell>
          <cell r="F6227" t="str">
            <v>LA240720055</v>
          </cell>
          <cell r="G6227">
            <v>100</v>
          </cell>
          <cell r="H6227" t="str">
            <v>singleron-3'转录组文库</v>
          </cell>
          <cell r="I6227" t="str">
            <v>WWH</v>
          </cell>
          <cell r="J6227">
            <v>10.1</v>
          </cell>
          <cell r="N6227" t="e">
            <v>#DIV/0!</v>
          </cell>
        </row>
        <row r="6228">
          <cell r="E6228" t="str">
            <v>HGC-Lib-2458747</v>
          </cell>
          <cell r="F6228" t="str">
            <v>PMLPMFTBC240719058</v>
          </cell>
          <cell r="G6228">
            <v>12</v>
          </cell>
          <cell r="H6228" t="str">
            <v>其他碱基不平衡文库</v>
          </cell>
          <cell r="I6228" t="str">
            <v>WWH</v>
          </cell>
          <cell r="J6228">
            <v>56</v>
          </cell>
          <cell r="N6228" t="e">
            <v>#DIV/0!</v>
          </cell>
        </row>
        <row r="6229">
          <cell r="E6229" t="str">
            <v>HGC-Lib-2458748</v>
          </cell>
          <cell r="F6229" t="str">
            <v>PROLPROC240720004</v>
          </cell>
          <cell r="G6229">
            <v>30</v>
          </cell>
          <cell r="H6229" t="str">
            <v>其他碱基不平衡文库</v>
          </cell>
          <cell r="I6229" t="str">
            <v>WWH</v>
          </cell>
          <cell r="J6229">
            <v>28.6</v>
          </cell>
          <cell r="N6229" t="e">
            <v>#DIV/0!</v>
          </cell>
        </row>
        <row r="6230">
          <cell r="E6230" t="str">
            <v>HGC-Lib-2458749</v>
          </cell>
          <cell r="F6230" t="str">
            <v>LC240717068</v>
          </cell>
          <cell r="G6230">
            <v>150</v>
          </cell>
          <cell r="H6230" t="str">
            <v>singleron-3'转录组文库</v>
          </cell>
          <cell r="I6230" t="str">
            <v>WWH</v>
          </cell>
          <cell r="J6230">
            <v>17</v>
          </cell>
          <cell r="N6230" t="e">
            <v>#DIV/0!</v>
          </cell>
        </row>
        <row r="6231">
          <cell r="E6231" t="str">
            <v>HGC-Lib-2458750</v>
          </cell>
          <cell r="F6231" t="str">
            <v>LC240718047</v>
          </cell>
          <cell r="G6231">
            <v>90</v>
          </cell>
          <cell r="H6231" t="str">
            <v>singleron-3'转录组文库</v>
          </cell>
          <cell r="I6231" t="str">
            <v>WWH</v>
          </cell>
          <cell r="J6231">
            <v>17.3</v>
          </cell>
          <cell r="N6231" t="e">
            <v>#DIV/0!</v>
          </cell>
        </row>
        <row r="6232">
          <cell r="E6232" t="str">
            <v>HGC-Lib-2458751</v>
          </cell>
          <cell r="F6232" t="str">
            <v>LC240718064</v>
          </cell>
          <cell r="G6232">
            <v>100</v>
          </cell>
          <cell r="H6232" t="str">
            <v>singleron-3'转录组文库</v>
          </cell>
          <cell r="I6232" t="str">
            <v>WWH</v>
          </cell>
          <cell r="J6232">
            <v>16.600000000000001</v>
          </cell>
          <cell r="N6232" t="e">
            <v>#DIV/0!</v>
          </cell>
        </row>
        <row r="6233">
          <cell r="E6233" t="str">
            <v>HGC-Lib-2458752</v>
          </cell>
          <cell r="F6233" t="str">
            <v>LC240719100</v>
          </cell>
          <cell r="G6233">
            <v>100</v>
          </cell>
          <cell r="H6233" t="str">
            <v>singleron-3'转录组文库</v>
          </cell>
          <cell r="I6233" t="str">
            <v>HZK</v>
          </cell>
          <cell r="J6233">
            <v>20.2</v>
          </cell>
          <cell r="N6233" t="e">
            <v>#DIV/0!</v>
          </cell>
        </row>
        <row r="6234">
          <cell r="E6234" t="str">
            <v>HGC-Lib-2458753</v>
          </cell>
          <cell r="F6234" t="str">
            <v>LC240719101</v>
          </cell>
          <cell r="G6234">
            <v>100</v>
          </cell>
          <cell r="H6234" t="str">
            <v>singleron-3'转录组文库</v>
          </cell>
          <cell r="I6234" t="str">
            <v>HZK</v>
          </cell>
          <cell r="J6234">
            <v>18.8</v>
          </cell>
          <cell r="N6234" t="e">
            <v>#DIV/0!</v>
          </cell>
        </row>
        <row r="6235">
          <cell r="E6235" t="str">
            <v>HGC-Lib-2458754</v>
          </cell>
          <cell r="F6235" t="str">
            <v>LC240719102</v>
          </cell>
          <cell r="G6235">
            <v>100</v>
          </cell>
          <cell r="H6235" t="str">
            <v>singleron-3'转录组文库</v>
          </cell>
          <cell r="I6235" t="str">
            <v>HZK</v>
          </cell>
          <cell r="J6235">
            <v>18</v>
          </cell>
          <cell r="N6235" t="e">
            <v>#DIV/0!</v>
          </cell>
        </row>
        <row r="6236">
          <cell r="E6236" t="str">
            <v>HGC-Lib-2458755</v>
          </cell>
          <cell r="F6236" t="str">
            <v>LC240719103</v>
          </cell>
          <cell r="G6236">
            <v>100</v>
          </cell>
          <cell r="H6236" t="str">
            <v>singleron-3'转录组文库</v>
          </cell>
          <cell r="I6236" t="str">
            <v>HZK</v>
          </cell>
          <cell r="J6236">
            <v>18.5</v>
          </cell>
          <cell r="N6236" t="e">
            <v>#DIV/0!</v>
          </cell>
        </row>
        <row r="6237">
          <cell r="E6237" t="str">
            <v>HGC-Lib-2458756</v>
          </cell>
          <cell r="F6237" t="str">
            <v>LC240719104</v>
          </cell>
          <cell r="G6237">
            <v>100</v>
          </cell>
          <cell r="H6237" t="str">
            <v>singleron-3'转录组文库</v>
          </cell>
          <cell r="I6237" t="str">
            <v>HZK</v>
          </cell>
          <cell r="J6237">
            <v>19.2</v>
          </cell>
          <cell r="N6237" t="e">
            <v>#DIV/0!</v>
          </cell>
        </row>
        <row r="6238">
          <cell r="E6238" t="str">
            <v>HGC-Lib-2458757</v>
          </cell>
          <cell r="F6238" t="str">
            <v>LC240719105</v>
          </cell>
          <cell r="G6238">
            <v>150</v>
          </cell>
          <cell r="H6238" t="str">
            <v>singleron-3'转录组文库</v>
          </cell>
          <cell r="I6238" t="str">
            <v>HZK</v>
          </cell>
          <cell r="J6238">
            <v>16.5</v>
          </cell>
          <cell r="N6238" t="e">
            <v>#DIV/0!</v>
          </cell>
        </row>
        <row r="6239">
          <cell r="E6239" t="str">
            <v>HGC-Lib-2458758</v>
          </cell>
          <cell r="F6239" t="str">
            <v>LA240718066</v>
          </cell>
          <cell r="G6239">
            <v>100</v>
          </cell>
          <cell r="H6239" t="str">
            <v>singleron-3'转录组文库</v>
          </cell>
          <cell r="I6239" t="str">
            <v>HZK</v>
          </cell>
          <cell r="J6239">
            <v>19.5</v>
          </cell>
          <cell r="N6239" t="e">
            <v>#DIV/0!</v>
          </cell>
        </row>
        <row r="6240">
          <cell r="E6240" t="str">
            <v>HGC-Lib-2458759</v>
          </cell>
          <cell r="F6240" t="str">
            <v>LHC240719059</v>
          </cell>
          <cell r="G6240">
            <v>20</v>
          </cell>
          <cell r="H6240" t="str">
            <v>singleron-3'转录组文库</v>
          </cell>
          <cell r="I6240" t="str">
            <v>HZK</v>
          </cell>
          <cell r="J6240">
            <v>28.2</v>
          </cell>
          <cell r="N6240" t="e">
            <v>#DIV/0!</v>
          </cell>
        </row>
        <row r="6241">
          <cell r="E6241" t="str">
            <v>HGC-Lib-2458760</v>
          </cell>
          <cell r="F6241" t="str">
            <v>LPMFTBC240719058</v>
          </cell>
          <cell r="G6241">
            <v>160</v>
          </cell>
          <cell r="H6241" t="str">
            <v>singleron-3'全长转录组文库</v>
          </cell>
          <cell r="I6241" t="str">
            <v>HZK</v>
          </cell>
          <cell r="J6241">
            <v>16.7</v>
          </cell>
          <cell r="N6241" t="e">
            <v>#DIV/0!</v>
          </cell>
        </row>
        <row r="6242">
          <cell r="E6242" t="str">
            <v>HGC-Lib-2458761</v>
          </cell>
          <cell r="F6242" t="str">
            <v>LA240718019</v>
          </cell>
          <cell r="G6242">
            <v>100</v>
          </cell>
          <cell r="H6242" t="str">
            <v>singleron-3'转录组文库</v>
          </cell>
          <cell r="I6242" t="str">
            <v>HZK</v>
          </cell>
          <cell r="J6242">
            <v>19.2</v>
          </cell>
          <cell r="N6242" t="e">
            <v>#DIV/0!</v>
          </cell>
        </row>
        <row r="6243">
          <cell r="E6243" t="str">
            <v>HGC-Lib-2458762</v>
          </cell>
          <cell r="F6243" t="str">
            <v>LHC240719070</v>
          </cell>
          <cell r="G6243">
            <v>10</v>
          </cell>
          <cell r="H6243" t="str">
            <v>singleron-3'转录组文库</v>
          </cell>
          <cell r="I6243" t="str">
            <v>HZK</v>
          </cell>
          <cell r="J6243">
            <v>17</v>
          </cell>
          <cell r="N6243" t="e">
            <v>#DIV/0!</v>
          </cell>
        </row>
        <row r="6244">
          <cell r="E6244" t="str">
            <v>HGC-Lib-2458763</v>
          </cell>
          <cell r="F6244" t="str">
            <v>LC240716021CK</v>
          </cell>
          <cell r="G6244">
            <v>10</v>
          </cell>
          <cell r="H6244" t="str">
            <v>singleron-3'转录组文库</v>
          </cell>
          <cell r="I6244" t="str">
            <v>HZK</v>
          </cell>
          <cell r="J6244">
            <v>16.100000000000001</v>
          </cell>
          <cell r="N6244" t="e">
            <v>#DIV/0!</v>
          </cell>
        </row>
        <row r="6245">
          <cell r="E6245" t="str">
            <v>HGC-Lib-2458764</v>
          </cell>
          <cell r="F6245" t="str">
            <v>LC240716019</v>
          </cell>
          <cell r="G6245">
            <v>100</v>
          </cell>
          <cell r="H6245" t="str">
            <v>singleron-3'转录组文库</v>
          </cell>
          <cell r="I6245" t="str">
            <v>HZK</v>
          </cell>
          <cell r="J6245">
            <v>13</v>
          </cell>
          <cell r="N6245" t="e">
            <v>#DIV/0!</v>
          </cell>
        </row>
        <row r="6246">
          <cell r="E6246" t="str">
            <v>HGC-Lib-2458765</v>
          </cell>
          <cell r="F6246" t="str">
            <v>LC240716020</v>
          </cell>
          <cell r="G6246">
            <v>100</v>
          </cell>
          <cell r="H6246" t="str">
            <v>singleron-3'转录组文库</v>
          </cell>
          <cell r="I6246" t="str">
            <v>HZK</v>
          </cell>
          <cell r="J6246">
            <v>11.9</v>
          </cell>
          <cell r="N6246" t="e">
            <v>#DIV/0!</v>
          </cell>
        </row>
        <row r="6247">
          <cell r="E6247" t="str">
            <v>HGC-Lib-2458766</v>
          </cell>
          <cell r="F6247" t="str">
            <v>LC240716022</v>
          </cell>
          <cell r="G6247">
            <v>10</v>
          </cell>
          <cell r="H6247" t="str">
            <v>singleron-3'转录组文库</v>
          </cell>
          <cell r="I6247" t="str">
            <v>HZK</v>
          </cell>
          <cell r="J6247">
            <v>10.6</v>
          </cell>
          <cell r="N6247" t="e">
            <v>#DIV/0!</v>
          </cell>
        </row>
        <row r="6248">
          <cell r="E6248" t="str">
            <v>HGC-Lib-2458767</v>
          </cell>
          <cell r="F6248" t="str">
            <v>LC240716023</v>
          </cell>
          <cell r="G6248">
            <v>100</v>
          </cell>
          <cell r="H6248" t="str">
            <v>singleron-3'转录组文库</v>
          </cell>
          <cell r="I6248" t="str">
            <v>HZK</v>
          </cell>
          <cell r="J6248">
            <v>13.4</v>
          </cell>
          <cell r="N6248" t="e">
            <v>#DIV/0!</v>
          </cell>
        </row>
        <row r="6249">
          <cell r="E6249" t="str">
            <v>HGC-Lib-2458768</v>
          </cell>
          <cell r="F6249" t="str">
            <v>LC240716024</v>
          </cell>
          <cell r="G6249">
            <v>100</v>
          </cell>
          <cell r="H6249" t="str">
            <v>singleron-3'转录组文库</v>
          </cell>
          <cell r="I6249" t="str">
            <v>HZK</v>
          </cell>
          <cell r="J6249">
            <v>13.4</v>
          </cell>
          <cell r="N6249" t="e">
            <v>#DIV/0!</v>
          </cell>
        </row>
        <row r="6250">
          <cell r="E6250" t="str">
            <v>HGC-Lib-2458769</v>
          </cell>
          <cell r="F6250" t="str">
            <v>LC240716025</v>
          </cell>
          <cell r="G6250">
            <v>100</v>
          </cell>
          <cell r="H6250" t="str">
            <v>singleron-3'转录组文库</v>
          </cell>
          <cell r="I6250" t="str">
            <v>HZK</v>
          </cell>
          <cell r="J6250">
            <v>13.2</v>
          </cell>
          <cell r="N6250" t="e">
            <v>#DIV/0!</v>
          </cell>
        </row>
        <row r="6251">
          <cell r="E6251" t="str">
            <v>HGC-Lib-2458770</v>
          </cell>
          <cell r="F6251" t="str">
            <v>LC240716026</v>
          </cell>
          <cell r="G6251">
            <v>100</v>
          </cell>
          <cell r="H6251" t="str">
            <v>singleron-3'转录组文库</v>
          </cell>
          <cell r="I6251" t="str">
            <v>HZK</v>
          </cell>
          <cell r="J6251">
            <v>12.8</v>
          </cell>
          <cell r="N6251" t="e">
            <v>#DIV/0!</v>
          </cell>
        </row>
        <row r="6252">
          <cell r="E6252" t="str">
            <v>HGC-Lib-2458771</v>
          </cell>
          <cell r="F6252" t="str">
            <v>LC240716027</v>
          </cell>
          <cell r="G6252">
            <v>100</v>
          </cell>
          <cell r="H6252" t="str">
            <v>singleron-3'转录组文库</v>
          </cell>
          <cell r="I6252" t="str">
            <v>HZK</v>
          </cell>
          <cell r="J6252">
            <v>14.4</v>
          </cell>
          <cell r="N6252" t="e">
            <v>#DIV/0!</v>
          </cell>
        </row>
        <row r="6253">
          <cell r="E6253" t="str">
            <v>HGC-Lib-2458772</v>
          </cell>
          <cell r="F6253" t="str">
            <v>LC240716028</v>
          </cell>
          <cell r="G6253">
            <v>10</v>
          </cell>
          <cell r="H6253" t="str">
            <v>singleron-3'转录组文库</v>
          </cell>
          <cell r="I6253" t="str">
            <v>HZK</v>
          </cell>
          <cell r="J6253">
            <v>11.6</v>
          </cell>
          <cell r="N6253" t="e">
            <v>#DIV/0!</v>
          </cell>
        </row>
        <row r="6254">
          <cell r="E6254" t="str">
            <v>HGC-Lib-2458773</v>
          </cell>
          <cell r="F6254" t="str">
            <v>LC240716029</v>
          </cell>
          <cell r="G6254">
            <v>100</v>
          </cell>
          <cell r="H6254" t="str">
            <v>singleron-3'转录组文库</v>
          </cell>
          <cell r="I6254" t="str">
            <v>HZK</v>
          </cell>
          <cell r="J6254">
            <v>15.4</v>
          </cell>
          <cell r="N6254" t="e">
            <v>#DIV/0!</v>
          </cell>
        </row>
        <row r="6255">
          <cell r="E6255" t="str">
            <v>HGC-Lib-2458774</v>
          </cell>
          <cell r="F6255" t="str">
            <v>LC240716030</v>
          </cell>
          <cell r="G6255">
            <v>100</v>
          </cell>
          <cell r="H6255" t="str">
            <v>singleron-3'转录组文库</v>
          </cell>
          <cell r="I6255" t="str">
            <v>HZK</v>
          </cell>
          <cell r="J6255">
            <v>16.600000000000001</v>
          </cell>
          <cell r="N6255" t="e">
            <v>#DIV/0!</v>
          </cell>
        </row>
        <row r="6256">
          <cell r="E6256" t="str">
            <v>HGC-Lib-2458775</v>
          </cell>
          <cell r="F6256" t="str">
            <v>LC240716031</v>
          </cell>
          <cell r="G6256">
            <v>10</v>
          </cell>
          <cell r="H6256" t="str">
            <v>singleron-3'转录组文库</v>
          </cell>
          <cell r="I6256" t="str">
            <v>HZK</v>
          </cell>
          <cell r="J6256">
            <v>8.26</v>
          </cell>
          <cell r="N6256" t="e">
            <v>#DIV/0!</v>
          </cell>
        </row>
        <row r="6257">
          <cell r="E6257" t="str">
            <v>HGC-Lib-2458776</v>
          </cell>
          <cell r="F6257" t="str">
            <v>LC240716032</v>
          </cell>
          <cell r="G6257">
            <v>100</v>
          </cell>
          <cell r="H6257" t="str">
            <v>singleron-3'转录组文库</v>
          </cell>
          <cell r="I6257" t="str">
            <v>HZK</v>
          </cell>
          <cell r="J6257">
            <v>20.399999999999999</v>
          </cell>
          <cell r="N6257" t="e">
            <v>#DIV/0!</v>
          </cell>
        </row>
        <row r="6258">
          <cell r="E6258" t="str">
            <v>HGC-Lib-2458777</v>
          </cell>
          <cell r="F6258" t="str">
            <v>LC240716033</v>
          </cell>
          <cell r="G6258">
            <v>10</v>
          </cell>
          <cell r="H6258" t="str">
            <v>singleron-3'转录组文库</v>
          </cell>
          <cell r="I6258" t="str">
            <v>HZK</v>
          </cell>
          <cell r="J6258">
            <v>11.2</v>
          </cell>
          <cell r="N6258" t="e">
            <v>#DIV/0!</v>
          </cell>
        </row>
        <row r="6259">
          <cell r="E6259" t="str">
            <v>HGC-Lib-2458778</v>
          </cell>
          <cell r="F6259" t="str">
            <v>LC240716034</v>
          </cell>
          <cell r="G6259">
            <v>100</v>
          </cell>
          <cell r="H6259" t="str">
            <v>singleron-3'转录组文库</v>
          </cell>
          <cell r="I6259" t="str">
            <v>HZK</v>
          </cell>
          <cell r="J6259">
            <v>13.6</v>
          </cell>
          <cell r="N6259" t="e">
            <v>#DIV/0!</v>
          </cell>
        </row>
        <row r="6260">
          <cell r="E6260" t="str">
            <v>HGC-Lib-2458779</v>
          </cell>
          <cell r="F6260" t="str">
            <v>LC240716035</v>
          </cell>
          <cell r="G6260">
            <v>100</v>
          </cell>
          <cell r="H6260" t="str">
            <v>singleron-3'转录组文库</v>
          </cell>
          <cell r="I6260" t="str">
            <v>HZK</v>
          </cell>
          <cell r="J6260">
            <v>13</v>
          </cell>
          <cell r="N6260" t="e">
            <v>#DIV/0!</v>
          </cell>
        </row>
        <row r="6261">
          <cell r="E6261" t="str">
            <v>HGC-Lib-2458780</v>
          </cell>
          <cell r="F6261" t="str">
            <v>LC240716036</v>
          </cell>
          <cell r="G6261">
            <v>100</v>
          </cell>
          <cell r="H6261" t="str">
            <v>singleron-3'转录组文库</v>
          </cell>
          <cell r="I6261" t="str">
            <v>HZK</v>
          </cell>
          <cell r="J6261">
            <v>14.7</v>
          </cell>
          <cell r="N6261" t="e">
            <v>#DIV/0!</v>
          </cell>
        </row>
        <row r="6262">
          <cell r="E6262" t="str">
            <v>HGC-Lib-2458781</v>
          </cell>
          <cell r="F6262" t="str">
            <v>LC240716037</v>
          </cell>
          <cell r="G6262">
            <v>100</v>
          </cell>
          <cell r="H6262" t="str">
            <v>singleron-3'转录组文库</v>
          </cell>
          <cell r="I6262" t="str">
            <v>HZK</v>
          </cell>
          <cell r="J6262">
            <v>13.4</v>
          </cell>
          <cell r="N6262" t="e">
            <v>#DIV/0!</v>
          </cell>
        </row>
        <row r="6263">
          <cell r="E6263" t="str">
            <v>HGC-Lib-2458782</v>
          </cell>
          <cell r="F6263" t="str">
            <v>LC240716038</v>
          </cell>
          <cell r="G6263">
            <v>100</v>
          </cell>
          <cell r="H6263" t="str">
            <v>singleron-3'转录组文库</v>
          </cell>
          <cell r="I6263" t="str">
            <v>HZK</v>
          </cell>
          <cell r="J6263">
            <v>12.6</v>
          </cell>
          <cell r="N6263" t="e">
            <v>#DIV/0!</v>
          </cell>
        </row>
        <row r="6264">
          <cell r="E6264" t="str">
            <v>HGC-Lib-2458783</v>
          </cell>
          <cell r="F6264" t="str">
            <v>LC240716039</v>
          </cell>
          <cell r="G6264">
            <v>100</v>
          </cell>
          <cell r="H6264" t="str">
            <v>singleron-3'转录组文库</v>
          </cell>
          <cell r="I6264" t="str">
            <v>HZK</v>
          </cell>
          <cell r="J6264">
            <v>14.9</v>
          </cell>
          <cell r="N6264" t="e">
            <v>#DIV/0!</v>
          </cell>
        </row>
        <row r="6265">
          <cell r="E6265" t="str">
            <v>HGC-Lib-2458784</v>
          </cell>
          <cell r="F6265" t="str">
            <v>LC240716040</v>
          </cell>
          <cell r="G6265">
            <v>100</v>
          </cell>
          <cell r="H6265" t="str">
            <v>singleron-3'转录组文库</v>
          </cell>
          <cell r="I6265" t="str">
            <v>HZK</v>
          </cell>
          <cell r="J6265">
            <v>12.8</v>
          </cell>
          <cell r="N6265" t="e">
            <v>#DIV/0!</v>
          </cell>
        </row>
        <row r="6266">
          <cell r="E6266" t="str">
            <v>HGC-Lib-2458785</v>
          </cell>
          <cell r="F6266" t="str">
            <v>LC240716041</v>
          </cell>
          <cell r="G6266">
            <v>100</v>
          </cell>
          <cell r="H6266" t="str">
            <v>singleron-3'转录组文库</v>
          </cell>
          <cell r="I6266" t="str">
            <v>HZK</v>
          </cell>
          <cell r="J6266">
            <v>12.7</v>
          </cell>
          <cell r="N6266" t="e">
            <v>#DIV/0!</v>
          </cell>
        </row>
        <row r="6267">
          <cell r="E6267" t="str">
            <v>HGC-Lib-2458786</v>
          </cell>
          <cell r="F6267" t="str">
            <v>LC240716080</v>
          </cell>
          <cell r="G6267">
            <v>100</v>
          </cell>
          <cell r="H6267" t="str">
            <v>singleron-3'转录组文库</v>
          </cell>
          <cell r="I6267" t="str">
            <v>HZK</v>
          </cell>
          <cell r="J6267">
            <v>15.3</v>
          </cell>
          <cell r="N6267" t="e">
            <v>#DIV/0!</v>
          </cell>
        </row>
        <row r="6268">
          <cell r="E6268" t="str">
            <v>HGC-Lib-2458787</v>
          </cell>
          <cell r="F6268" t="str">
            <v>LC240716081</v>
          </cell>
          <cell r="G6268">
            <v>100</v>
          </cell>
          <cell r="H6268" t="str">
            <v>singleron-3'转录组文库</v>
          </cell>
          <cell r="I6268" t="str">
            <v>HZK</v>
          </cell>
          <cell r="J6268">
            <v>15.7</v>
          </cell>
          <cell r="N6268" t="e">
            <v>#DIV/0!</v>
          </cell>
        </row>
        <row r="6269">
          <cell r="E6269" t="str">
            <v>HGC-Lib-2458788</v>
          </cell>
          <cell r="F6269" t="str">
            <v>LC240716082</v>
          </cell>
          <cell r="G6269">
            <v>100</v>
          </cell>
          <cell r="H6269" t="str">
            <v>singleron-3'转录组文库</v>
          </cell>
          <cell r="I6269" t="str">
            <v>HZK</v>
          </cell>
          <cell r="J6269">
            <v>11.3</v>
          </cell>
          <cell r="N6269" t="e">
            <v>#DIV/0!</v>
          </cell>
        </row>
        <row r="6270">
          <cell r="E6270" t="str">
            <v>HGC-Lib-2458789</v>
          </cell>
          <cell r="F6270" t="str">
            <v>LC240716083</v>
          </cell>
          <cell r="G6270">
            <v>100</v>
          </cell>
          <cell r="H6270" t="str">
            <v>singleron-3'转录组文库</v>
          </cell>
          <cell r="I6270" t="str">
            <v>HZK</v>
          </cell>
          <cell r="J6270">
            <v>18.2</v>
          </cell>
          <cell r="N6270" t="e">
            <v>#DIV/0!</v>
          </cell>
        </row>
        <row r="6271">
          <cell r="E6271" t="str">
            <v>HGC-Lib-2458790</v>
          </cell>
          <cell r="F6271" t="str">
            <v>LC240716084</v>
          </cell>
          <cell r="G6271">
            <v>100</v>
          </cell>
          <cell r="H6271" t="str">
            <v>singleron-3'转录组文库</v>
          </cell>
          <cell r="I6271" t="str">
            <v>HZK</v>
          </cell>
          <cell r="J6271">
            <v>13.4</v>
          </cell>
          <cell r="N6271" t="e">
            <v>#DIV/0!</v>
          </cell>
        </row>
        <row r="6272">
          <cell r="E6272" t="str">
            <v>HGC-Lib-2458791</v>
          </cell>
          <cell r="F6272" t="str">
            <v>LC240716051</v>
          </cell>
          <cell r="G6272">
            <v>100</v>
          </cell>
          <cell r="H6272" t="str">
            <v>singleron-3'转录组文库</v>
          </cell>
          <cell r="I6272" t="str">
            <v>HZK</v>
          </cell>
          <cell r="J6272">
            <v>8.68</v>
          </cell>
          <cell r="N6272" t="e">
            <v>#DIV/0!</v>
          </cell>
        </row>
        <row r="6273">
          <cell r="E6273" t="str">
            <v>HGC-Lib-2458792</v>
          </cell>
          <cell r="F6273" t="str">
            <v>LC240716052</v>
          </cell>
          <cell r="G6273">
            <v>100</v>
          </cell>
          <cell r="H6273" t="str">
            <v>singleron-3'转录组文库</v>
          </cell>
          <cell r="I6273" t="str">
            <v>HZK</v>
          </cell>
          <cell r="J6273">
            <v>21.6</v>
          </cell>
          <cell r="N6273" t="e">
            <v>#DIV/0!</v>
          </cell>
        </row>
        <row r="6274">
          <cell r="E6274" t="str">
            <v>HGC-Lib-2458793</v>
          </cell>
          <cell r="F6274" t="str">
            <v>LC240716072</v>
          </cell>
          <cell r="G6274">
            <v>100</v>
          </cell>
          <cell r="H6274" t="str">
            <v>singleron-3'转录组文库</v>
          </cell>
          <cell r="I6274" t="str">
            <v>HZK</v>
          </cell>
          <cell r="J6274">
            <v>23</v>
          </cell>
          <cell r="N6274" t="e">
            <v>#DIV/0!</v>
          </cell>
        </row>
        <row r="6275">
          <cell r="E6275" t="str">
            <v>HGC-Lib-2458794</v>
          </cell>
          <cell r="F6275" t="str">
            <v>L240702078XB</v>
          </cell>
          <cell r="G6275">
            <v>12</v>
          </cell>
          <cell r="H6275" t="str">
            <v>10XBCR文库</v>
          </cell>
          <cell r="I6275" t="str">
            <v>HZK</v>
          </cell>
          <cell r="J6275">
            <v>30.2</v>
          </cell>
          <cell r="N6275" t="e">
            <v>#DIV/0!</v>
          </cell>
        </row>
        <row r="6276">
          <cell r="E6276" t="str">
            <v>HGC-Lib-2458795</v>
          </cell>
          <cell r="F6276" t="str">
            <v>L240702078XT</v>
          </cell>
          <cell r="G6276">
            <v>12</v>
          </cell>
          <cell r="H6276" t="str">
            <v>10XTCR文库</v>
          </cell>
          <cell r="I6276" t="str">
            <v>HZK</v>
          </cell>
          <cell r="J6276">
            <v>42</v>
          </cell>
          <cell r="N6276" t="e">
            <v>#DIV/0!</v>
          </cell>
        </row>
        <row r="6277">
          <cell r="E6277" t="str">
            <v>HGC-Lib-2458796</v>
          </cell>
          <cell r="F6277" t="str">
            <v>L240702080XB</v>
          </cell>
          <cell r="G6277">
            <v>12</v>
          </cell>
          <cell r="H6277" t="str">
            <v>10XBCR文库</v>
          </cell>
          <cell r="I6277" t="str">
            <v>HZK</v>
          </cell>
          <cell r="J6277">
            <v>52</v>
          </cell>
          <cell r="N6277" t="e">
            <v>#DIV/0!</v>
          </cell>
        </row>
        <row r="6278">
          <cell r="E6278" t="str">
            <v>HGC-Lib-2458797</v>
          </cell>
          <cell r="F6278" t="str">
            <v>L240702080XT</v>
          </cell>
          <cell r="G6278">
            <v>12</v>
          </cell>
          <cell r="H6278" t="str">
            <v>10XTCR文库</v>
          </cell>
          <cell r="I6278" t="str">
            <v>HZK</v>
          </cell>
          <cell r="J6278">
            <v>47.6</v>
          </cell>
          <cell r="N6278" t="e">
            <v>#DIV/0!</v>
          </cell>
        </row>
        <row r="6279">
          <cell r="E6279" t="str">
            <v>HGC-POOL-2458798</v>
          </cell>
          <cell r="F6279" t="str">
            <v>PCRD-240724-002</v>
          </cell>
          <cell r="G6279">
            <v>20</v>
          </cell>
          <cell r="H6279" t="str">
            <v>singleron-3'转录组文库</v>
          </cell>
          <cell r="I6279" t="str">
            <v>WWH</v>
          </cell>
          <cell r="J6279">
            <v>6.88</v>
          </cell>
          <cell r="N6279" t="e">
            <v>#DIV/0!</v>
          </cell>
        </row>
        <row r="6280">
          <cell r="E6280" t="str">
            <v>HGC-Lib-2458799</v>
          </cell>
          <cell r="F6280">
            <v>1</v>
          </cell>
          <cell r="G6280">
            <v>6</v>
          </cell>
          <cell r="H6280" t="str">
            <v>mRNA文库</v>
          </cell>
          <cell r="I6280" t="str">
            <v>YHT</v>
          </cell>
          <cell r="J6280">
            <v>26</v>
          </cell>
          <cell r="N6280" t="e">
            <v>#DIV/0!</v>
          </cell>
        </row>
        <row r="6281">
          <cell r="E6281" t="str">
            <v>HGC-Lib-2458800</v>
          </cell>
          <cell r="F6281">
            <v>2</v>
          </cell>
          <cell r="G6281">
            <v>6</v>
          </cell>
          <cell r="H6281" t="str">
            <v>mRNA文库</v>
          </cell>
          <cell r="I6281" t="str">
            <v>YHT</v>
          </cell>
          <cell r="J6281">
            <v>6.84</v>
          </cell>
          <cell r="N6281" t="e">
            <v>#DIV/0!</v>
          </cell>
        </row>
        <row r="6282">
          <cell r="E6282" t="str">
            <v>HGC-Lib-2458801</v>
          </cell>
          <cell r="F6282">
            <v>3</v>
          </cell>
          <cell r="G6282">
            <v>6</v>
          </cell>
          <cell r="H6282" t="str">
            <v>mRNA文库</v>
          </cell>
          <cell r="I6282" t="str">
            <v>YHT</v>
          </cell>
          <cell r="J6282">
            <v>6.4</v>
          </cell>
          <cell r="N6282" t="e">
            <v>#DIV/0!</v>
          </cell>
        </row>
        <row r="6283">
          <cell r="E6283" t="str">
            <v>HGC-Lib-2458802</v>
          </cell>
          <cell r="F6283">
            <v>4</v>
          </cell>
          <cell r="G6283">
            <v>6</v>
          </cell>
          <cell r="H6283" t="str">
            <v>mRNA文库</v>
          </cell>
          <cell r="I6283" t="str">
            <v>YHT</v>
          </cell>
          <cell r="J6283">
            <v>4.7</v>
          </cell>
          <cell r="N6283" t="e">
            <v>#DIV/0!</v>
          </cell>
        </row>
        <row r="6284">
          <cell r="E6284" t="str">
            <v>HGC-Lib-2458803</v>
          </cell>
          <cell r="F6284">
            <v>5</v>
          </cell>
          <cell r="G6284">
            <v>6</v>
          </cell>
          <cell r="H6284" t="str">
            <v>mRNA文库</v>
          </cell>
          <cell r="I6284" t="str">
            <v>YHT</v>
          </cell>
          <cell r="J6284">
            <v>32.4</v>
          </cell>
          <cell r="N6284" t="e">
            <v>#DIV/0!</v>
          </cell>
        </row>
        <row r="6285">
          <cell r="E6285" t="str">
            <v>HGC-Lib-2458804</v>
          </cell>
          <cell r="F6285">
            <v>6</v>
          </cell>
          <cell r="G6285">
            <v>6</v>
          </cell>
          <cell r="H6285" t="str">
            <v>mRNA文库</v>
          </cell>
          <cell r="I6285" t="str">
            <v>YHT</v>
          </cell>
          <cell r="J6285">
            <v>20</v>
          </cell>
          <cell r="N6285" t="e">
            <v>#DIV/0!</v>
          </cell>
        </row>
        <row r="6286">
          <cell r="E6286" t="str">
            <v>HGC-Lib-2458805</v>
          </cell>
          <cell r="F6286">
            <v>7</v>
          </cell>
          <cell r="G6286">
            <v>6</v>
          </cell>
          <cell r="H6286" t="str">
            <v>mRNA文库</v>
          </cell>
          <cell r="I6286" t="str">
            <v>YHT</v>
          </cell>
          <cell r="J6286">
            <v>9.48</v>
          </cell>
          <cell r="N6286" t="e">
            <v>#DIV/0!</v>
          </cell>
        </row>
        <row r="6287">
          <cell r="E6287" t="str">
            <v>HGC-Lib-2458806</v>
          </cell>
          <cell r="F6287">
            <v>8</v>
          </cell>
          <cell r="G6287">
            <v>6</v>
          </cell>
          <cell r="H6287" t="str">
            <v>mRNA文库</v>
          </cell>
          <cell r="I6287" t="str">
            <v>YHT</v>
          </cell>
          <cell r="J6287">
            <v>14.6</v>
          </cell>
          <cell r="N6287" t="e">
            <v>#DIV/0!</v>
          </cell>
        </row>
        <row r="6288">
          <cell r="E6288" t="str">
            <v>HGC-Lib-2458807</v>
          </cell>
          <cell r="F6288">
            <v>9</v>
          </cell>
          <cell r="G6288">
            <v>6</v>
          </cell>
          <cell r="H6288" t="str">
            <v>mRNA文库</v>
          </cell>
          <cell r="I6288" t="str">
            <v>YHT</v>
          </cell>
          <cell r="J6288">
            <v>36</v>
          </cell>
          <cell r="N6288" t="e">
            <v>#DIV/0!</v>
          </cell>
        </row>
        <row r="6289">
          <cell r="E6289" t="str">
            <v>HGC-Lib-2458808</v>
          </cell>
          <cell r="F6289">
            <v>10</v>
          </cell>
          <cell r="G6289">
            <v>6</v>
          </cell>
          <cell r="H6289" t="str">
            <v>mRNA文库</v>
          </cell>
          <cell r="I6289" t="str">
            <v>YHT</v>
          </cell>
          <cell r="J6289">
            <v>6.48</v>
          </cell>
          <cell r="N6289" t="e">
            <v>#DIV/0!</v>
          </cell>
        </row>
        <row r="6290">
          <cell r="E6290" t="str">
            <v>HGC-Lib-2458809</v>
          </cell>
          <cell r="F6290">
            <v>11</v>
          </cell>
          <cell r="G6290">
            <v>6</v>
          </cell>
          <cell r="H6290" t="str">
            <v>mRNA文库</v>
          </cell>
          <cell r="I6290" t="str">
            <v>YHT</v>
          </cell>
          <cell r="J6290">
            <v>89</v>
          </cell>
          <cell r="N6290" t="e">
            <v>#DIV/0!</v>
          </cell>
        </row>
        <row r="6291">
          <cell r="E6291" t="str">
            <v>HGC-Lib-2458810</v>
          </cell>
          <cell r="F6291">
            <v>12</v>
          </cell>
          <cell r="G6291">
            <v>6</v>
          </cell>
          <cell r="H6291" t="str">
            <v>mRNA文库</v>
          </cell>
          <cell r="I6291" t="str">
            <v>YHT</v>
          </cell>
          <cell r="J6291">
            <v>13.7</v>
          </cell>
          <cell r="N6291" t="e">
            <v>#DIV/0!</v>
          </cell>
        </row>
        <row r="6292">
          <cell r="E6292" t="str">
            <v>HGC-Lib-2458811</v>
          </cell>
          <cell r="F6292">
            <v>13</v>
          </cell>
          <cell r="G6292">
            <v>6</v>
          </cell>
          <cell r="H6292" t="str">
            <v>mRNA文库</v>
          </cell>
          <cell r="I6292" t="str">
            <v>YHT</v>
          </cell>
          <cell r="J6292">
            <v>32.4</v>
          </cell>
          <cell r="N6292" t="e">
            <v>#DIV/0!</v>
          </cell>
        </row>
        <row r="6293">
          <cell r="E6293" t="str">
            <v>HGC-Lib-2458812</v>
          </cell>
          <cell r="F6293">
            <v>14</v>
          </cell>
          <cell r="G6293">
            <v>6</v>
          </cell>
          <cell r="H6293" t="str">
            <v>mRNA文库</v>
          </cell>
          <cell r="I6293" t="str">
            <v>YHT</v>
          </cell>
          <cell r="J6293">
            <v>28.2</v>
          </cell>
          <cell r="N6293" t="e">
            <v>#DIV/0!</v>
          </cell>
        </row>
        <row r="6294">
          <cell r="E6294" t="str">
            <v>HGC-Lib-2458813</v>
          </cell>
          <cell r="F6294">
            <v>15</v>
          </cell>
          <cell r="G6294">
            <v>6</v>
          </cell>
          <cell r="H6294" t="str">
            <v>mRNA文库</v>
          </cell>
          <cell r="I6294" t="str">
            <v>YHT</v>
          </cell>
          <cell r="J6294">
            <v>5.42</v>
          </cell>
          <cell r="N6294" t="e">
            <v>#DIV/0!</v>
          </cell>
        </row>
        <row r="6295">
          <cell r="E6295" t="str">
            <v>HGC-Lib-2458814</v>
          </cell>
          <cell r="F6295">
            <v>16</v>
          </cell>
          <cell r="G6295">
            <v>6</v>
          </cell>
          <cell r="H6295" t="str">
            <v>mRNA文库</v>
          </cell>
          <cell r="I6295" t="str">
            <v>YHT</v>
          </cell>
          <cell r="J6295">
            <v>12.7</v>
          </cell>
          <cell r="N6295" t="e">
            <v>#DIV/0!</v>
          </cell>
        </row>
        <row r="6296">
          <cell r="E6296" t="str">
            <v>HGC-Lib-2458815</v>
          </cell>
          <cell r="F6296">
            <v>17</v>
          </cell>
          <cell r="G6296">
            <v>6</v>
          </cell>
          <cell r="H6296" t="str">
            <v>mRNA文库</v>
          </cell>
          <cell r="I6296" t="str">
            <v>YHT</v>
          </cell>
          <cell r="J6296">
            <v>28.6</v>
          </cell>
          <cell r="N6296" t="e">
            <v>#DIV/0!</v>
          </cell>
        </row>
        <row r="6297">
          <cell r="E6297" t="str">
            <v>HGC-Lib-2458816</v>
          </cell>
          <cell r="F6297">
            <v>18</v>
          </cell>
          <cell r="G6297">
            <v>6</v>
          </cell>
          <cell r="H6297" t="str">
            <v>mRNA文库</v>
          </cell>
          <cell r="I6297" t="str">
            <v>YHT</v>
          </cell>
          <cell r="J6297">
            <v>26.2</v>
          </cell>
          <cell r="N6297" t="e">
            <v>#DIV/0!</v>
          </cell>
        </row>
        <row r="6298">
          <cell r="E6298" t="str">
            <v>HGC-Lib-2458817</v>
          </cell>
          <cell r="F6298">
            <v>19</v>
          </cell>
          <cell r="G6298">
            <v>6</v>
          </cell>
          <cell r="H6298" t="str">
            <v>mRNA文库</v>
          </cell>
          <cell r="I6298" t="str">
            <v>YHT</v>
          </cell>
          <cell r="J6298">
            <v>68.400000000000006</v>
          </cell>
          <cell r="N6298" t="e">
            <v>#DIV/0!</v>
          </cell>
        </row>
        <row r="6299">
          <cell r="E6299" t="str">
            <v>HGC-Lib-2458818</v>
          </cell>
          <cell r="F6299">
            <v>20</v>
          </cell>
          <cell r="G6299">
            <v>6</v>
          </cell>
          <cell r="H6299" t="str">
            <v>mRNA文库</v>
          </cell>
          <cell r="I6299" t="str">
            <v>YHT</v>
          </cell>
          <cell r="J6299">
            <v>22</v>
          </cell>
          <cell r="N6299" t="e">
            <v>#DIV/0!</v>
          </cell>
        </row>
        <row r="6300">
          <cell r="E6300" t="str">
            <v>HGC-Lib-2458819</v>
          </cell>
          <cell r="F6300">
            <v>21</v>
          </cell>
          <cell r="G6300">
            <v>6</v>
          </cell>
          <cell r="H6300" t="str">
            <v>mRNA文库</v>
          </cell>
          <cell r="I6300" t="str">
            <v>YHT</v>
          </cell>
          <cell r="J6300">
            <v>28</v>
          </cell>
          <cell r="N6300" t="e">
            <v>#DIV/0!</v>
          </cell>
        </row>
        <row r="6301">
          <cell r="E6301" t="str">
            <v>HGC-Lib-2458820</v>
          </cell>
          <cell r="F6301">
            <v>22</v>
          </cell>
          <cell r="G6301">
            <v>6</v>
          </cell>
          <cell r="H6301" t="str">
            <v>mRNA文库</v>
          </cell>
          <cell r="I6301" t="str">
            <v>YHT</v>
          </cell>
          <cell r="J6301">
            <v>7.98</v>
          </cell>
          <cell r="N6301" t="e">
            <v>#DIV/0!</v>
          </cell>
        </row>
        <row r="6302">
          <cell r="E6302" t="str">
            <v>HGC-Lib-2458821</v>
          </cell>
          <cell r="F6302">
            <v>23</v>
          </cell>
          <cell r="G6302">
            <v>6</v>
          </cell>
          <cell r="H6302" t="str">
            <v>mRNA文库</v>
          </cell>
          <cell r="I6302" t="str">
            <v>YHT</v>
          </cell>
          <cell r="J6302">
            <v>77</v>
          </cell>
          <cell r="N6302" t="e">
            <v>#DIV/0!</v>
          </cell>
        </row>
        <row r="6303">
          <cell r="E6303" t="str">
            <v>HGC-Lib-2458822</v>
          </cell>
          <cell r="F6303">
            <v>24</v>
          </cell>
          <cell r="G6303">
            <v>6</v>
          </cell>
          <cell r="H6303" t="str">
            <v>mRNA文库</v>
          </cell>
          <cell r="I6303" t="str">
            <v>YHT</v>
          </cell>
          <cell r="J6303">
            <v>54.4</v>
          </cell>
          <cell r="N6303" t="e">
            <v>#DIV/0!</v>
          </cell>
        </row>
        <row r="6304">
          <cell r="E6304" t="str">
            <v>HGC-Lib-2458823</v>
          </cell>
          <cell r="F6304">
            <v>25</v>
          </cell>
          <cell r="G6304">
            <v>6</v>
          </cell>
          <cell r="H6304" t="str">
            <v>mRNA文库</v>
          </cell>
          <cell r="I6304" t="str">
            <v>YHT</v>
          </cell>
          <cell r="J6304">
            <v>36.6</v>
          </cell>
          <cell r="N6304" t="e">
            <v>#DIV/0!</v>
          </cell>
        </row>
        <row r="6305">
          <cell r="E6305" t="str">
            <v>HGC-Lib-2458824</v>
          </cell>
          <cell r="F6305">
            <v>26</v>
          </cell>
          <cell r="G6305">
            <v>6</v>
          </cell>
          <cell r="H6305" t="str">
            <v>mRNA文库</v>
          </cell>
          <cell r="I6305" t="str">
            <v>YHT</v>
          </cell>
          <cell r="J6305">
            <v>14.5</v>
          </cell>
          <cell r="N6305" t="e">
            <v>#DIV/0!</v>
          </cell>
        </row>
        <row r="6306">
          <cell r="E6306" t="str">
            <v>HGC-Lib-2458825</v>
          </cell>
          <cell r="F6306">
            <v>27</v>
          </cell>
          <cell r="G6306">
            <v>6</v>
          </cell>
          <cell r="H6306" t="str">
            <v>mRNA文库</v>
          </cell>
          <cell r="I6306" t="str">
            <v>YHT</v>
          </cell>
          <cell r="J6306">
            <v>66.599999999999994</v>
          </cell>
          <cell r="N6306" t="e">
            <v>#DIV/0!</v>
          </cell>
        </row>
        <row r="6307">
          <cell r="E6307" t="str">
            <v>HGC-Lib-2458826</v>
          </cell>
          <cell r="F6307">
            <v>28</v>
          </cell>
          <cell r="G6307">
            <v>6</v>
          </cell>
          <cell r="H6307" t="str">
            <v>mRNA文库</v>
          </cell>
          <cell r="I6307" t="str">
            <v>YHT</v>
          </cell>
          <cell r="J6307">
            <v>88.8</v>
          </cell>
          <cell r="N6307" t="e">
            <v>#DIV/0!</v>
          </cell>
        </row>
        <row r="6308">
          <cell r="E6308" t="str">
            <v>HGC-Lib-2458827</v>
          </cell>
          <cell r="F6308">
            <v>29</v>
          </cell>
          <cell r="G6308">
            <v>6</v>
          </cell>
          <cell r="H6308" t="str">
            <v>mRNA文库</v>
          </cell>
          <cell r="I6308" t="str">
            <v>YHT</v>
          </cell>
          <cell r="J6308">
            <v>76.2</v>
          </cell>
          <cell r="N6308" t="e">
            <v>#DIV/0!</v>
          </cell>
        </row>
        <row r="6309">
          <cell r="E6309" t="str">
            <v>HGC-Lib-2458828</v>
          </cell>
          <cell r="F6309">
            <v>30</v>
          </cell>
          <cell r="G6309">
            <v>6</v>
          </cell>
          <cell r="H6309" t="str">
            <v>mRNA文库</v>
          </cell>
          <cell r="I6309" t="str">
            <v>YHT</v>
          </cell>
          <cell r="J6309">
            <v>35.4</v>
          </cell>
          <cell r="N6309" t="e">
            <v>#DIV/0!</v>
          </cell>
        </row>
        <row r="6310">
          <cell r="E6310" t="str">
            <v>HGC-Lib-2458829</v>
          </cell>
          <cell r="F6310">
            <v>31</v>
          </cell>
          <cell r="G6310">
            <v>6</v>
          </cell>
          <cell r="H6310" t="str">
            <v>mRNA文库</v>
          </cell>
          <cell r="I6310" t="str">
            <v>YHT</v>
          </cell>
          <cell r="J6310">
            <v>24</v>
          </cell>
          <cell r="N6310" t="e">
            <v>#DIV/0!</v>
          </cell>
        </row>
        <row r="6311">
          <cell r="E6311" t="str">
            <v>HGC-Lib-2458830</v>
          </cell>
          <cell r="F6311">
            <v>32</v>
          </cell>
          <cell r="G6311">
            <v>6</v>
          </cell>
          <cell r="H6311" t="str">
            <v>mRNA文库</v>
          </cell>
          <cell r="I6311" t="str">
            <v>YHT</v>
          </cell>
          <cell r="J6311">
            <v>33.799999999999997</v>
          </cell>
          <cell r="N6311" t="e">
            <v>#DIV/0!</v>
          </cell>
        </row>
        <row r="6312">
          <cell r="E6312" t="str">
            <v>HGC-Lib-2458831</v>
          </cell>
          <cell r="F6312">
            <v>33</v>
          </cell>
          <cell r="G6312">
            <v>6</v>
          </cell>
          <cell r="H6312" t="str">
            <v>mRNA文库</v>
          </cell>
          <cell r="I6312" t="str">
            <v>YHT</v>
          </cell>
          <cell r="J6312">
            <v>18.3</v>
          </cell>
          <cell r="N6312" t="e">
            <v>#DIV/0!</v>
          </cell>
        </row>
        <row r="6313">
          <cell r="E6313" t="str">
            <v>HGC-Lib-2458832</v>
          </cell>
          <cell r="F6313">
            <v>34</v>
          </cell>
          <cell r="G6313">
            <v>6</v>
          </cell>
          <cell r="H6313" t="str">
            <v>mRNA文库</v>
          </cell>
          <cell r="I6313" t="str">
            <v>YHT</v>
          </cell>
          <cell r="J6313">
            <v>91.2</v>
          </cell>
          <cell r="N6313" t="e">
            <v>#DIV/0!</v>
          </cell>
        </row>
        <row r="6314">
          <cell r="E6314" t="str">
            <v>HGC-Lib-2458833</v>
          </cell>
          <cell r="F6314">
            <v>35</v>
          </cell>
          <cell r="G6314">
            <v>6</v>
          </cell>
          <cell r="H6314" t="str">
            <v>mRNA文库</v>
          </cell>
          <cell r="I6314" t="str">
            <v>YHT</v>
          </cell>
          <cell r="J6314">
            <v>83.6</v>
          </cell>
          <cell r="N6314" t="e">
            <v>#DIV/0!</v>
          </cell>
        </row>
        <row r="6315">
          <cell r="E6315" t="str">
            <v>HGC-Lib-2458834</v>
          </cell>
          <cell r="F6315">
            <v>36</v>
          </cell>
          <cell r="G6315">
            <v>6</v>
          </cell>
          <cell r="H6315" t="str">
            <v>mRNA文库</v>
          </cell>
          <cell r="I6315" t="str">
            <v>YHT</v>
          </cell>
          <cell r="J6315">
            <v>72.400000000000006</v>
          </cell>
          <cell r="N6315" t="e">
            <v>#DIV/0!</v>
          </cell>
        </row>
        <row r="6316">
          <cell r="E6316" t="str">
            <v>HGC-Lib-2458835</v>
          </cell>
          <cell r="F6316">
            <v>37</v>
          </cell>
          <cell r="G6316">
            <v>6</v>
          </cell>
          <cell r="H6316" t="str">
            <v>mRNA文库</v>
          </cell>
          <cell r="I6316" t="str">
            <v>YHT</v>
          </cell>
          <cell r="J6316">
            <v>57.8</v>
          </cell>
          <cell r="N6316" t="e">
            <v>#DIV/0!</v>
          </cell>
        </row>
        <row r="6317">
          <cell r="E6317" t="str">
            <v>HGC-Lib-2458836</v>
          </cell>
          <cell r="F6317">
            <v>38</v>
          </cell>
          <cell r="G6317">
            <v>6</v>
          </cell>
          <cell r="H6317" t="str">
            <v>mRNA文库</v>
          </cell>
          <cell r="I6317" t="str">
            <v>YHT</v>
          </cell>
          <cell r="J6317">
            <v>7.58</v>
          </cell>
          <cell r="N6317" t="e">
            <v>#DIV/0!</v>
          </cell>
        </row>
        <row r="6318">
          <cell r="E6318" t="str">
            <v>HGC-Lib-2458837</v>
          </cell>
          <cell r="F6318">
            <v>39</v>
          </cell>
          <cell r="G6318">
            <v>6</v>
          </cell>
          <cell r="H6318" t="str">
            <v>mRNA文库</v>
          </cell>
          <cell r="I6318" t="str">
            <v>YHT</v>
          </cell>
          <cell r="J6318">
            <v>51.2</v>
          </cell>
          <cell r="N6318" t="e">
            <v>#DIV/0!</v>
          </cell>
        </row>
        <row r="6319">
          <cell r="E6319" t="str">
            <v>HGC-Lib-2458838</v>
          </cell>
          <cell r="F6319">
            <v>40</v>
          </cell>
          <cell r="G6319">
            <v>6</v>
          </cell>
          <cell r="H6319" t="str">
            <v>mRNA文库</v>
          </cell>
          <cell r="I6319" t="str">
            <v>YHT</v>
          </cell>
          <cell r="J6319">
            <v>19.100000000000001</v>
          </cell>
          <cell r="N6319" t="e">
            <v>#DIV/0!</v>
          </cell>
        </row>
        <row r="6320">
          <cell r="E6320" t="str">
            <v>HGC-Lib-2458839</v>
          </cell>
          <cell r="F6320">
            <v>41</v>
          </cell>
          <cell r="G6320">
            <v>6</v>
          </cell>
          <cell r="H6320" t="str">
            <v>mRNA文库</v>
          </cell>
          <cell r="I6320" t="str">
            <v>YHT</v>
          </cell>
          <cell r="J6320">
            <v>85.2</v>
          </cell>
          <cell r="N6320" t="e">
            <v>#DIV/0!</v>
          </cell>
        </row>
        <row r="6321">
          <cell r="E6321" t="str">
            <v>HGC-Lib-2458840</v>
          </cell>
          <cell r="F6321">
            <v>42</v>
          </cell>
          <cell r="G6321">
            <v>6</v>
          </cell>
          <cell r="H6321" t="str">
            <v>mRNA文库</v>
          </cell>
          <cell r="I6321" t="str">
            <v>YHT</v>
          </cell>
          <cell r="J6321">
            <v>17.899999999999999</v>
          </cell>
          <cell r="N6321" t="e">
            <v>#DIV/0!</v>
          </cell>
        </row>
        <row r="6322">
          <cell r="E6322" t="str">
            <v>HGC-Lib-2458841</v>
          </cell>
          <cell r="F6322" t="str">
            <v>T865-1</v>
          </cell>
          <cell r="G6322">
            <v>12</v>
          </cell>
          <cell r="H6322" t="str">
            <v>lncRNA文库</v>
          </cell>
          <cell r="I6322" t="str">
            <v>HZK</v>
          </cell>
          <cell r="J6322">
            <v>46.6</v>
          </cell>
          <cell r="N6322" t="e">
            <v>#DIV/0!</v>
          </cell>
        </row>
        <row r="6323">
          <cell r="E6323" t="str">
            <v>HGC-Lib-2458842</v>
          </cell>
          <cell r="F6323" t="str">
            <v>T865-2</v>
          </cell>
          <cell r="G6323">
            <v>12</v>
          </cell>
          <cell r="H6323" t="str">
            <v>lncRNA文库</v>
          </cell>
          <cell r="I6323" t="str">
            <v>HZK</v>
          </cell>
          <cell r="J6323">
            <v>48</v>
          </cell>
          <cell r="N6323" t="e">
            <v>#DIV/0!</v>
          </cell>
        </row>
        <row r="6324">
          <cell r="E6324" t="str">
            <v>HGC-Lib-2458843</v>
          </cell>
          <cell r="F6324" t="str">
            <v>T851-1</v>
          </cell>
          <cell r="G6324">
            <v>2</v>
          </cell>
          <cell r="H6324" t="str">
            <v>全基因组文库</v>
          </cell>
          <cell r="I6324" t="str">
            <v>HZK</v>
          </cell>
          <cell r="J6324">
            <v>4.72</v>
          </cell>
          <cell r="N6324" t="e">
            <v>#DIV/0!</v>
          </cell>
        </row>
        <row r="6325">
          <cell r="E6325" t="str">
            <v>HGC-Lib-2458844</v>
          </cell>
          <cell r="F6325" t="str">
            <v>T841-1</v>
          </cell>
          <cell r="G6325">
            <v>12</v>
          </cell>
          <cell r="H6325" t="str">
            <v>lncRNA文库</v>
          </cell>
          <cell r="I6325" t="str">
            <v>HZK</v>
          </cell>
          <cell r="J6325">
            <v>40.6</v>
          </cell>
          <cell r="N6325" t="e">
            <v>#DIV/0!</v>
          </cell>
        </row>
        <row r="6326">
          <cell r="E6326" t="str">
            <v>HGC-Lib-2458845</v>
          </cell>
          <cell r="F6326" t="str">
            <v>T841-2</v>
          </cell>
          <cell r="G6326">
            <v>12</v>
          </cell>
          <cell r="H6326" t="str">
            <v>lncRNA文库</v>
          </cell>
          <cell r="I6326" t="str">
            <v>HZK</v>
          </cell>
          <cell r="J6326">
            <v>32</v>
          </cell>
          <cell r="N6326" t="e">
            <v>#DIV/0!</v>
          </cell>
        </row>
        <row r="6327">
          <cell r="E6327" t="str">
            <v>HGC-Lib-2458846</v>
          </cell>
          <cell r="F6327" t="str">
            <v>T841-3</v>
          </cell>
          <cell r="G6327">
            <v>12</v>
          </cell>
          <cell r="H6327" t="str">
            <v>lncRNA文库</v>
          </cell>
          <cell r="I6327" t="str">
            <v>HZK</v>
          </cell>
          <cell r="J6327">
            <v>32.200000000000003</v>
          </cell>
          <cell r="N6327" t="e">
            <v>#DIV/0!</v>
          </cell>
        </row>
        <row r="6328">
          <cell r="E6328" t="str">
            <v>HGC-Lib-2458847</v>
          </cell>
          <cell r="F6328" t="str">
            <v>T841-4</v>
          </cell>
          <cell r="G6328">
            <v>12</v>
          </cell>
          <cell r="H6328" t="str">
            <v>lncRNA文库</v>
          </cell>
          <cell r="I6328" t="str">
            <v>HZK</v>
          </cell>
          <cell r="J6328">
            <v>29.8</v>
          </cell>
          <cell r="N6328" t="e">
            <v>#DIV/0!</v>
          </cell>
        </row>
        <row r="6329">
          <cell r="E6329" t="str">
            <v>HGC-Lib-2458848</v>
          </cell>
          <cell r="F6329" t="str">
            <v>T849-1</v>
          </cell>
          <cell r="G6329">
            <v>6</v>
          </cell>
          <cell r="H6329" t="str">
            <v>全基因组文库</v>
          </cell>
          <cell r="I6329" t="str">
            <v>HZK</v>
          </cell>
          <cell r="J6329">
            <v>9.7799999999999994</v>
          </cell>
          <cell r="N6329" t="e">
            <v>#DIV/0!</v>
          </cell>
        </row>
        <row r="6330">
          <cell r="E6330" t="str">
            <v>HGC-Lib-2458849</v>
          </cell>
          <cell r="F6330" t="str">
            <v>T849-2</v>
          </cell>
          <cell r="G6330">
            <v>6</v>
          </cell>
          <cell r="H6330" t="str">
            <v>全基因组文库</v>
          </cell>
          <cell r="I6330" t="str">
            <v>HZK</v>
          </cell>
          <cell r="J6330">
            <v>12.5</v>
          </cell>
          <cell r="N6330" t="e">
            <v>#DIV/0!</v>
          </cell>
        </row>
        <row r="6331">
          <cell r="E6331" t="str">
            <v>HGC-Lib-2458850</v>
          </cell>
          <cell r="F6331" t="str">
            <v>T860-1</v>
          </cell>
          <cell r="G6331">
            <v>10</v>
          </cell>
          <cell r="H6331" t="str">
            <v>lncRNA文库</v>
          </cell>
          <cell r="I6331" t="str">
            <v>HZK</v>
          </cell>
          <cell r="J6331">
            <v>15</v>
          </cell>
          <cell r="N6331" t="e">
            <v>#DIV/0!</v>
          </cell>
        </row>
        <row r="6332">
          <cell r="E6332" t="str">
            <v>HGC-Lib-2458851</v>
          </cell>
          <cell r="F6332" t="str">
            <v>T860-2</v>
          </cell>
          <cell r="G6332">
            <v>10</v>
          </cell>
          <cell r="H6332" t="str">
            <v>lncRNA文库</v>
          </cell>
          <cell r="I6332" t="str">
            <v>HZK</v>
          </cell>
          <cell r="J6332">
            <v>32.4</v>
          </cell>
          <cell r="N6332" t="e">
            <v>#DIV/0!</v>
          </cell>
        </row>
        <row r="6333">
          <cell r="E6333" t="str">
            <v>HGC-Lib-2458852</v>
          </cell>
          <cell r="F6333" t="str">
            <v>T860-3</v>
          </cell>
          <cell r="G6333">
            <v>10</v>
          </cell>
          <cell r="H6333" t="str">
            <v>lncRNA文库</v>
          </cell>
          <cell r="I6333" t="str">
            <v>HZK</v>
          </cell>
          <cell r="J6333">
            <v>26.2</v>
          </cell>
          <cell r="N6333" t="e">
            <v>#DIV/0!</v>
          </cell>
        </row>
        <row r="6334">
          <cell r="E6334" t="str">
            <v>HGC-Lib-2458853</v>
          </cell>
          <cell r="F6334" t="str">
            <v>T860-4</v>
          </cell>
          <cell r="G6334">
            <v>10</v>
          </cell>
          <cell r="H6334" t="str">
            <v>lncRNA文库</v>
          </cell>
          <cell r="I6334" t="str">
            <v>HZK</v>
          </cell>
          <cell r="J6334">
            <v>26.4</v>
          </cell>
          <cell r="N6334" t="e">
            <v>#DIV/0!</v>
          </cell>
        </row>
        <row r="6335">
          <cell r="E6335" t="str">
            <v>HGC-Lib-2458854</v>
          </cell>
          <cell r="F6335" t="str">
            <v>T860-5</v>
          </cell>
          <cell r="G6335">
            <v>10</v>
          </cell>
          <cell r="H6335" t="str">
            <v>lncRNA文库</v>
          </cell>
          <cell r="I6335" t="str">
            <v>HZK</v>
          </cell>
          <cell r="J6335">
            <v>12.6</v>
          </cell>
          <cell r="N6335" t="e">
            <v>#DIV/0!</v>
          </cell>
        </row>
        <row r="6336">
          <cell r="E6336" t="str">
            <v>HGC-Lib-2458855</v>
          </cell>
          <cell r="F6336" t="str">
            <v>T860-6</v>
          </cell>
          <cell r="G6336">
            <v>10</v>
          </cell>
          <cell r="H6336" t="str">
            <v>lncRNA文库</v>
          </cell>
          <cell r="I6336" t="str">
            <v>HZK</v>
          </cell>
          <cell r="J6336">
            <v>24.2</v>
          </cell>
          <cell r="N6336" t="e">
            <v>#DIV/0!</v>
          </cell>
        </row>
        <row r="6337">
          <cell r="E6337" t="str">
            <v>HGC-Lib-2458856</v>
          </cell>
          <cell r="F6337" t="str">
            <v>T860-7</v>
          </cell>
          <cell r="G6337">
            <v>10</v>
          </cell>
          <cell r="H6337" t="str">
            <v>lncRNA文库</v>
          </cell>
          <cell r="I6337" t="str">
            <v>HZK</v>
          </cell>
          <cell r="J6337">
            <v>29</v>
          </cell>
          <cell r="N6337" t="e">
            <v>#DIV/0!</v>
          </cell>
        </row>
        <row r="6338">
          <cell r="E6338" t="str">
            <v>HGC-Lib-2458857</v>
          </cell>
          <cell r="F6338" t="str">
            <v>T860-8</v>
          </cell>
          <cell r="G6338">
            <v>10</v>
          </cell>
          <cell r="H6338" t="str">
            <v>lncRNA文库</v>
          </cell>
          <cell r="I6338" t="str">
            <v>HZK</v>
          </cell>
          <cell r="J6338">
            <v>27.4</v>
          </cell>
          <cell r="N6338" t="e">
            <v>#DIV/0!</v>
          </cell>
        </row>
        <row r="6339">
          <cell r="E6339" t="str">
            <v>HGC-Lib-2458870</v>
          </cell>
          <cell r="F6339" t="str">
            <v>20240717BDCA2-LIB</v>
          </cell>
          <cell r="G6339">
            <v>15</v>
          </cell>
          <cell r="H6339" t="str">
            <v>10× 3'单细胞</v>
          </cell>
          <cell r="I6339" t="str">
            <v>HZK</v>
          </cell>
          <cell r="J6339">
            <v>97.4</v>
          </cell>
          <cell r="K6339">
            <v>356</v>
          </cell>
          <cell r="L6339" t="str">
            <v>HZK</v>
          </cell>
          <cell r="N6339">
            <v>420.91616248919598</v>
          </cell>
        </row>
        <row r="6340">
          <cell r="E6340" t="str">
            <v>HGC-POOL-2458877</v>
          </cell>
          <cell r="F6340" t="str">
            <v>NPM1-K27-CUT-tag</v>
          </cell>
          <cell r="G6340">
            <v>24</v>
          </cell>
          <cell r="H6340" t="str">
            <v>cut&amp;tag文库</v>
          </cell>
          <cell r="I6340" t="str">
            <v>HZK</v>
          </cell>
          <cell r="J6340">
            <v>0.94</v>
          </cell>
          <cell r="K6340">
            <v>540</v>
          </cell>
          <cell r="L6340" t="str">
            <v>HZK</v>
          </cell>
          <cell r="N6340">
            <v>2.6780626780626799</v>
          </cell>
        </row>
        <row r="6341">
          <cell r="E6341" t="str">
            <v>HGC-POOL-2458878</v>
          </cell>
          <cell r="F6341" t="str">
            <v>2024-0724-L1</v>
          </cell>
          <cell r="G6341">
            <v>24</v>
          </cell>
          <cell r="H6341" t="str">
            <v>PCR产物文库</v>
          </cell>
          <cell r="I6341" t="str">
            <v>HZK</v>
          </cell>
          <cell r="J6341">
            <v>44.4</v>
          </cell>
          <cell r="K6341">
            <v>417</v>
          </cell>
          <cell r="L6341" t="str">
            <v>HZK</v>
          </cell>
          <cell r="N6341">
            <v>163.80741560597701</v>
          </cell>
        </row>
        <row r="6342">
          <cell r="E6342" t="str">
            <v>HGC-POOL-2458879</v>
          </cell>
          <cell r="F6342" t="str">
            <v>2024-0724-L2</v>
          </cell>
          <cell r="G6342">
            <v>24</v>
          </cell>
          <cell r="H6342" t="str">
            <v>PCR产物文库</v>
          </cell>
          <cell r="I6342" t="str">
            <v>HZK</v>
          </cell>
          <cell r="J6342">
            <v>49.6</v>
          </cell>
          <cell r="K6342">
            <v>396</v>
          </cell>
          <cell r="L6342" t="str">
            <v>HZK</v>
          </cell>
          <cell r="N6342">
            <v>192.69619269619301</v>
          </cell>
        </row>
        <row r="6343">
          <cell r="E6343" t="str">
            <v>HGC-Lib-2458922</v>
          </cell>
          <cell r="F6343" t="str">
            <v>LD240331O-0027A</v>
          </cell>
          <cell r="G6343">
            <v>3</v>
          </cell>
          <cell r="H6343" t="str">
            <v>DNA宏基因组文库</v>
          </cell>
          <cell r="I6343" t="str">
            <v>GZQ</v>
          </cell>
          <cell r="J6343">
            <v>34.799999999999997</v>
          </cell>
          <cell r="N6343" t="e">
            <v>#DIV/0!</v>
          </cell>
        </row>
        <row r="6344">
          <cell r="E6344" t="str">
            <v>HGC-Lib-2458923</v>
          </cell>
          <cell r="F6344" t="str">
            <v>LD240331O-0028A</v>
          </cell>
          <cell r="G6344">
            <v>3</v>
          </cell>
          <cell r="H6344" t="str">
            <v>DNA宏基因组文库</v>
          </cell>
          <cell r="I6344" t="str">
            <v>GZQ</v>
          </cell>
          <cell r="J6344">
            <v>33.799999999999997</v>
          </cell>
          <cell r="N6344" t="e">
            <v>#DIV/0!</v>
          </cell>
        </row>
        <row r="6345">
          <cell r="E6345" t="str">
            <v>HGC-Lib-2458924</v>
          </cell>
          <cell r="F6345" t="str">
            <v>LD240331O-0029A</v>
          </cell>
          <cell r="G6345">
            <v>3</v>
          </cell>
          <cell r="H6345" t="str">
            <v>DNA宏基因组文库</v>
          </cell>
          <cell r="I6345" t="str">
            <v>GZQ</v>
          </cell>
          <cell r="J6345">
            <v>28.6</v>
          </cell>
          <cell r="N6345" t="e">
            <v>#DIV/0!</v>
          </cell>
        </row>
        <row r="6346">
          <cell r="E6346" t="str">
            <v>HGC-Lib-2458925</v>
          </cell>
          <cell r="F6346" t="str">
            <v>LD240331O-0030A</v>
          </cell>
          <cell r="G6346">
            <v>3</v>
          </cell>
          <cell r="H6346" t="str">
            <v>DNA宏基因组文库</v>
          </cell>
          <cell r="I6346" t="str">
            <v>GZQ</v>
          </cell>
          <cell r="J6346">
            <v>31.2</v>
          </cell>
          <cell r="N6346" t="e">
            <v>#DIV/0!</v>
          </cell>
        </row>
        <row r="6347">
          <cell r="E6347" t="str">
            <v>HGC-Lib-2458926</v>
          </cell>
          <cell r="F6347" t="str">
            <v>LD240715O-3056A</v>
          </cell>
          <cell r="G6347">
            <v>1</v>
          </cell>
          <cell r="H6347" t="str">
            <v>DNA基因组文库</v>
          </cell>
          <cell r="I6347" t="str">
            <v>GZQ</v>
          </cell>
          <cell r="J6347">
            <v>83.4</v>
          </cell>
          <cell r="N6347" t="e">
            <v>#DIV/0!</v>
          </cell>
        </row>
        <row r="6348">
          <cell r="E6348" t="str">
            <v>HGC-Lib-2458927</v>
          </cell>
          <cell r="F6348" t="str">
            <v>LD240715O-3057A</v>
          </cell>
          <cell r="G6348">
            <v>1</v>
          </cell>
          <cell r="H6348" t="str">
            <v>DNA基因组文库</v>
          </cell>
          <cell r="I6348" t="str">
            <v>GZQ</v>
          </cell>
          <cell r="J6348">
            <v>48.2</v>
          </cell>
          <cell r="N6348" t="e">
            <v>#DIV/0!</v>
          </cell>
        </row>
        <row r="6349">
          <cell r="E6349" t="str">
            <v>HGC-Lib-2458928</v>
          </cell>
          <cell r="F6349" t="str">
            <v>LD240716O-3855A</v>
          </cell>
          <cell r="G6349">
            <v>1</v>
          </cell>
          <cell r="H6349" t="str">
            <v>DNA基因组文库</v>
          </cell>
          <cell r="I6349" t="str">
            <v>GZQ</v>
          </cell>
          <cell r="J6349">
            <v>87.2</v>
          </cell>
          <cell r="N6349" t="e">
            <v>#DIV/0!</v>
          </cell>
        </row>
        <row r="6350">
          <cell r="E6350" t="str">
            <v>HGC-Lib-2458929</v>
          </cell>
          <cell r="F6350" t="str">
            <v>LD240716O-3856A</v>
          </cell>
          <cell r="G6350">
            <v>1</v>
          </cell>
          <cell r="H6350" t="str">
            <v>DNA基因组文库</v>
          </cell>
          <cell r="I6350" t="str">
            <v>GZQ</v>
          </cell>
          <cell r="J6350">
            <v>67</v>
          </cell>
          <cell r="N6350" t="e">
            <v>#DIV/0!</v>
          </cell>
        </row>
        <row r="6351">
          <cell r="E6351" t="str">
            <v>HGC-Lib-2458930</v>
          </cell>
          <cell r="F6351" t="str">
            <v>LD240717D-0342A</v>
          </cell>
          <cell r="G6351">
            <v>1</v>
          </cell>
          <cell r="H6351" t="str">
            <v>DNA基因组文库</v>
          </cell>
          <cell r="I6351" t="str">
            <v>GZQ</v>
          </cell>
          <cell r="J6351">
            <v>68.2</v>
          </cell>
          <cell r="N6351" t="e">
            <v>#DIV/0!</v>
          </cell>
        </row>
        <row r="6352">
          <cell r="E6352" t="str">
            <v>HGC-Lib-2458931</v>
          </cell>
          <cell r="F6352" t="str">
            <v>LD240717D-0343A</v>
          </cell>
          <cell r="G6352">
            <v>10</v>
          </cell>
          <cell r="H6352" t="str">
            <v>DNA宏基因组文库</v>
          </cell>
          <cell r="I6352" t="str">
            <v>GZQ</v>
          </cell>
          <cell r="J6352">
            <v>67.2</v>
          </cell>
          <cell r="N6352" t="e">
            <v>#DIV/0!</v>
          </cell>
        </row>
        <row r="6353">
          <cell r="E6353" t="str">
            <v>HGC-Lib-2458932</v>
          </cell>
          <cell r="F6353" t="str">
            <v>LD240717D-0344A</v>
          </cell>
          <cell r="G6353">
            <v>10</v>
          </cell>
          <cell r="H6353" t="str">
            <v>DNA宏基因组文库</v>
          </cell>
          <cell r="I6353" t="str">
            <v>GZQ</v>
          </cell>
          <cell r="J6353">
            <v>112</v>
          </cell>
          <cell r="N6353" t="e">
            <v>#DIV/0!</v>
          </cell>
        </row>
        <row r="6354">
          <cell r="E6354" t="str">
            <v>HGC-Lib-2458933</v>
          </cell>
          <cell r="F6354" t="str">
            <v>LD240717O-2305A</v>
          </cell>
          <cell r="G6354">
            <v>10</v>
          </cell>
          <cell r="H6354" t="str">
            <v>DNA宏基因组文库</v>
          </cell>
          <cell r="I6354" t="str">
            <v>GZQ</v>
          </cell>
          <cell r="J6354">
            <v>92.8</v>
          </cell>
          <cell r="N6354" t="e">
            <v>#DIV/0!</v>
          </cell>
        </row>
        <row r="6355">
          <cell r="E6355" t="str">
            <v>HGC-Lib-2458934</v>
          </cell>
          <cell r="F6355" t="str">
            <v>LD240717O-2306A</v>
          </cell>
          <cell r="G6355">
            <v>10</v>
          </cell>
          <cell r="H6355" t="str">
            <v>DNA宏基因组文库</v>
          </cell>
          <cell r="I6355" t="str">
            <v>GZQ</v>
          </cell>
          <cell r="J6355">
            <v>85</v>
          </cell>
          <cell r="N6355" t="e">
            <v>#DIV/0!</v>
          </cell>
        </row>
        <row r="6356">
          <cell r="E6356" t="str">
            <v>HGC-Lib-2458935</v>
          </cell>
          <cell r="F6356" t="str">
            <v>LD240717O-2307A</v>
          </cell>
          <cell r="G6356">
            <v>10</v>
          </cell>
          <cell r="H6356" t="str">
            <v>DNA宏基因组文库</v>
          </cell>
          <cell r="I6356" t="str">
            <v>GZQ</v>
          </cell>
          <cell r="J6356">
            <v>102</v>
          </cell>
          <cell r="N6356" t="e">
            <v>#DIV/0!</v>
          </cell>
        </row>
        <row r="6357">
          <cell r="E6357" t="str">
            <v>HGC-Lib-2458936</v>
          </cell>
          <cell r="F6357" t="str">
            <v>LD240710O-1417A</v>
          </cell>
          <cell r="G6357">
            <v>10</v>
          </cell>
          <cell r="H6357" t="str">
            <v>DNA病毒组文库</v>
          </cell>
          <cell r="I6357" t="str">
            <v>GZQ</v>
          </cell>
          <cell r="J6357">
            <v>102</v>
          </cell>
          <cell r="N6357" t="e">
            <v>#DIV/0!</v>
          </cell>
        </row>
        <row r="6358">
          <cell r="E6358" t="str">
            <v>HGC-Lib-2458937</v>
          </cell>
          <cell r="F6358" t="str">
            <v>LD240710O-1418A</v>
          </cell>
          <cell r="G6358">
            <v>10</v>
          </cell>
          <cell r="H6358" t="str">
            <v>DNA病毒组文库</v>
          </cell>
          <cell r="I6358" t="str">
            <v>GZQ</v>
          </cell>
          <cell r="J6358">
            <v>83.6</v>
          </cell>
          <cell r="N6358" t="e">
            <v>#DIV/0!</v>
          </cell>
        </row>
        <row r="6359">
          <cell r="E6359" t="str">
            <v>HGC-Lib-2458938</v>
          </cell>
          <cell r="F6359" t="str">
            <v>LD240710O-1419A</v>
          </cell>
          <cell r="G6359">
            <v>10</v>
          </cell>
          <cell r="H6359" t="str">
            <v>DNA病毒组文库</v>
          </cell>
          <cell r="I6359" t="str">
            <v>GZQ</v>
          </cell>
          <cell r="J6359">
            <v>83.8</v>
          </cell>
          <cell r="N6359" t="e">
            <v>#DIV/0!</v>
          </cell>
        </row>
        <row r="6360">
          <cell r="E6360" t="str">
            <v>HGC-Lib-2458939</v>
          </cell>
          <cell r="F6360" t="str">
            <v>LD240710O-1420A</v>
          </cell>
          <cell r="G6360">
            <v>10</v>
          </cell>
          <cell r="H6360" t="str">
            <v>DNA病毒组文库</v>
          </cell>
          <cell r="I6360" t="str">
            <v>GZQ</v>
          </cell>
          <cell r="J6360">
            <v>72.8</v>
          </cell>
          <cell r="N6360" t="e">
            <v>#DIV/0!</v>
          </cell>
        </row>
        <row r="6361">
          <cell r="E6361" t="str">
            <v>HGC-Lib-2458940</v>
          </cell>
          <cell r="F6361" t="str">
            <v>LD240710O-1421A</v>
          </cell>
          <cell r="G6361">
            <v>10</v>
          </cell>
          <cell r="H6361" t="str">
            <v>DNA病毒组文库</v>
          </cell>
          <cell r="I6361" t="str">
            <v>GZQ</v>
          </cell>
          <cell r="J6361">
            <v>76.599999999999994</v>
          </cell>
          <cell r="N6361" t="e">
            <v>#DIV/0!</v>
          </cell>
        </row>
        <row r="6362">
          <cell r="E6362" t="str">
            <v>HGC-Lib-2458941</v>
          </cell>
          <cell r="F6362" t="str">
            <v>LD240710O-1422A</v>
          </cell>
          <cell r="G6362">
            <v>10</v>
          </cell>
          <cell r="H6362" t="str">
            <v>DNA病毒组文库</v>
          </cell>
          <cell r="I6362" t="str">
            <v>GZQ</v>
          </cell>
          <cell r="J6362">
            <v>102</v>
          </cell>
          <cell r="N6362" t="e">
            <v>#DIV/0!</v>
          </cell>
        </row>
        <row r="6363">
          <cell r="E6363" t="str">
            <v>HGC-Lib-2458942</v>
          </cell>
          <cell r="F6363" t="str">
            <v>LD240710O-1423A</v>
          </cell>
          <cell r="G6363">
            <v>10</v>
          </cell>
          <cell r="H6363" t="str">
            <v>DNA病毒组文库</v>
          </cell>
          <cell r="I6363" t="str">
            <v>GZQ</v>
          </cell>
          <cell r="J6363">
            <v>104</v>
          </cell>
          <cell r="N6363" t="e">
            <v>#DIV/0!</v>
          </cell>
        </row>
        <row r="6364">
          <cell r="E6364" t="str">
            <v>HGC-Lib-2458943</v>
          </cell>
          <cell r="F6364" t="str">
            <v>LD240710O-1424A</v>
          </cell>
          <cell r="G6364">
            <v>10</v>
          </cell>
          <cell r="H6364" t="str">
            <v>DNA病毒组文库</v>
          </cell>
          <cell r="I6364" t="str">
            <v>GZQ</v>
          </cell>
          <cell r="J6364">
            <v>104</v>
          </cell>
          <cell r="N6364" t="e">
            <v>#DIV/0!</v>
          </cell>
        </row>
        <row r="6365">
          <cell r="E6365" t="str">
            <v>HGC-Lib-2458944</v>
          </cell>
          <cell r="F6365" t="str">
            <v>LD240710O-1425A</v>
          </cell>
          <cell r="G6365">
            <v>10</v>
          </cell>
          <cell r="H6365" t="str">
            <v>DNA病毒组文库</v>
          </cell>
          <cell r="I6365" t="str">
            <v>GZQ</v>
          </cell>
          <cell r="J6365">
            <v>102</v>
          </cell>
          <cell r="N6365" t="e">
            <v>#DIV/0!</v>
          </cell>
        </row>
        <row r="6366">
          <cell r="E6366" t="str">
            <v>HGC-Lib-2458945</v>
          </cell>
          <cell r="F6366" t="str">
            <v>LD240710O-1426A</v>
          </cell>
          <cell r="G6366">
            <v>10</v>
          </cell>
          <cell r="H6366" t="str">
            <v>DNA病毒组文库</v>
          </cell>
          <cell r="I6366" t="str">
            <v>GZQ</v>
          </cell>
          <cell r="J6366">
            <v>108</v>
          </cell>
          <cell r="N6366" t="e">
            <v>#DIV/0!</v>
          </cell>
        </row>
        <row r="6367">
          <cell r="E6367" t="str">
            <v>HGC-Lib-2458946</v>
          </cell>
          <cell r="F6367" t="str">
            <v>LD240710O-1427A</v>
          </cell>
          <cell r="G6367">
            <v>10</v>
          </cell>
          <cell r="H6367" t="str">
            <v>DNA病毒组文库</v>
          </cell>
          <cell r="I6367" t="str">
            <v>GZQ</v>
          </cell>
          <cell r="J6367">
            <v>89.2</v>
          </cell>
          <cell r="N6367" t="e">
            <v>#DIV/0!</v>
          </cell>
        </row>
        <row r="6368">
          <cell r="E6368" t="str">
            <v>HGC-Lib-2458947</v>
          </cell>
          <cell r="F6368" t="str">
            <v>LD240710O-1428A</v>
          </cell>
          <cell r="G6368">
            <v>10</v>
          </cell>
          <cell r="H6368" t="str">
            <v>DNA病毒组文库</v>
          </cell>
          <cell r="I6368" t="str">
            <v>GZQ</v>
          </cell>
          <cell r="J6368">
            <v>57.2</v>
          </cell>
          <cell r="N6368" t="e">
            <v>#DIV/0!</v>
          </cell>
        </row>
        <row r="6369">
          <cell r="E6369" t="str">
            <v>HGC-Lib-2458948</v>
          </cell>
          <cell r="F6369" t="str">
            <v>LD240710O-1429A</v>
          </cell>
          <cell r="G6369">
            <v>10</v>
          </cell>
          <cell r="H6369" t="str">
            <v>DNA病毒组文库</v>
          </cell>
          <cell r="I6369" t="str">
            <v>GZQ</v>
          </cell>
          <cell r="J6369">
            <v>94</v>
          </cell>
          <cell r="N6369" t="e">
            <v>#DIV/0!</v>
          </cell>
        </row>
        <row r="6370">
          <cell r="E6370" t="str">
            <v>HGC-Lib-2458949</v>
          </cell>
          <cell r="F6370" t="str">
            <v>LD240710O-1430A</v>
          </cell>
          <cell r="G6370">
            <v>10</v>
          </cell>
          <cell r="H6370" t="str">
            <v>DNA病毒组文库</v>
          </cell>
          <cell r="I6370" t="str">
            <v>GZQ</v>
          </cell>
          <cell r="J6370">
            <v>86.8</v>
          </cell>
          <cell r="N6370" t="e">
            <v>#DIV/0!</v>
          </cell>
        </row>
        <row r="6371">
          <cell r="E6371" t="str">
            <v>HGC-Lib-2458950</v>
          </cell>
          <cell r="F6371" t="str">
            <v>LD240710O-1431A</v>
          </cell>
          <cell r="G6371">
            <v>10</v>
          </cell>
          <cell r="H6371" t="str">
            <v>DNA病毒组文库</v>
          </cell>
          <cell r="I6371" t="str">
            <v>GZQ</v>
          </cell>
          <cell r="J6371">
            <v>104</v>
          </cell>
          <cell r="N6371" t="e">
            <v>#DIV/0!</v>
          </cell>
        </row>
        <row r="6372">
          <cell r="E6372" t="str">
            <v>HGC-Lib-2458951</v>
          </cell>
          <cell r="F6372" t="str">
            <v>LD240710O-1432A</v>
          </cell>
          <cell r="G6372">
            <v>10</v>
          </cell>
          <cell r="H6372" t="str">
            <v>DNA病毒组文库</v>
          </cell>
          <cell r="I6372" t="str">
            <v>GZQ</v>
          </cell>
          <cell r="J6372">
            <v>93.2</v>
          </cell>
          <cell r="N6372" t="e">
            <v>#DIV/0!</v>
          </cell>
        </row>
        <row r="6373">
          <cell r="E6373" t="str">
            <v>HGC-Lib-2458952</v>
          </cell>
          <cell r="F6373" t="str">
            <v>LD240710O-1433A</v>
          </cell>
          <cell r="G6373">
            <v>10</v>
          </cell>
          <cell r="H6373" t="str">
            <v>DNA病毒组文库</v>
          </cell>
          <cell r="I6373" t="str">
            <v>GZQ</v>
          </cell>
          <cell r="J6373">
            <v>81</v>
          </cell>
          <cell r="N6373" t="e">
            <v>#DIV/0!</v>
          </cell>
        </row>
        <row r="6374">
          <cell r="E6374" t="str">
            <v>HGC-Lib-2458953</v>
          </cell>
          <cell r="F6374" t="str">
            <v>LD240710O-1434A</v>
          </cell>
          <cell r="G6374">
            <v>10</v>
          </cell>
          <cell r="H6374" t="str">
            <v>DNA病毒组文库</v>
          </cell>
          <cell r="I6374" t="str">
            <v>GZQ</v>
          </cell>
          <cell r="J6374">
            <v>95</v>
          </cell>
          <cell r="N6374" t="e">
            <v>#DIV/0!</v>
          </cell>
        </row>
        <row r="6375">
          <cell r="E6375" t="str">
            <v>HGC-Lib-2458954</v>
          </cell>
          <cell r="F6375" t="str">
            <v>LD240710O-1435A</v>
          </cell>
          <cell r="G6375">
            <v>10</v>
          </cell>
          <cell r="H6375" t="str">
            <v>DNA病毒组文库</v>
          </cell>
          <cell r="I6375" t="str">
            <v>GZQ</v>
          </cell>
          <cell r="J6375">
            <v>61.6</v>
          </cell>
          <cell r="N6375" t="e">
            <v>#DIV/0!</v>
          </cell>
        </row>
        <row r="6376">
          <cell r="E6376" t="str">
            <v>HGC-Lib-2458955</v>
          </cell>
          <cell r="F6376" t="str">
            <v>LD240710O-1436A</v>
          </cell>
          <cell r="G6376">
            <v>10</v>
          </cell>
          <cell r="H6376" t="str">
            <v>DNA病毒组文库</v>
          </cell>
          <cell r="I6376" t="str">
            <v>GZQ</v>
          </cell>
          <cell r="J6376">
            <v>108</v>
          </cell>
          <cell r="N6376" t="e">
            <v>#DIV/0!</v>
          </cell>
        </row>
        <row r="6377">
          <cell r="E6377" t="str">
            <v>HGC-Lib-2458956</v>
          </cell>
          <cell r="F6377" t="str">
            <v>LD240710O-1437A</v>
          </cell>
          <cell r="G6377">
            <v>10</v>
          </cell>
          <cell r="H6377" t="str">
            <v>DNA病毒组文库</v>
          </cell>
          <cell r="I6377" t="str">
            <v>GZQ</v>
          </cell>
          <cell r="J6377">
            <v>72.8</v>
          </cell>
          <cell r="N6377" t="e">
            <v>#DIV/0!</v>
          </cell>
        </row>
        <row r="6378">
          <cell r="E6378" t="str">
            <v>HGC-Lib-2458957</v>
          </cell>
          <cell r="F6378" t="str">
            <v>LD240713O-1323A</v>
          </cell>
          <cell r="G6378">
            <v>10</v>
          </cell>
          <cell r="H6378" t="str">
            <v>DNA病毒组文库</v>
          </cell>
          <cell r="I6378" t="str">
            <v>GZQ</v>
          </cell>
          <cell r="J6378">
            <v>29.8</v>
          </cell>
          <cell r="N6378" t="e">
            <v>#DIV/0!</v>
          </cell>
        </row>
        <row r="6379">
          <cell r="E6379" t="str">
            <v>HGC-Lib-2458958</v>
          </cell>
          <cell r="F6379" t="str">
            <v>LR240708O-9055A</v>
          </cell>
          <cell r="G6379">
            <v>10</v>
          </cell>
          <cell r="H6379" t="str">
            <v>RNA病毒组文库</v>
          </cell>
          <cell r="I6379" t="str">
            <v>GZQ</v>
          </cell>
          <cell r="J6379">
            <v>55</v>
          </cell>
          <cell r="N6379" t="e">
            <v>#DIV/0!</v>
          </cell>
        </row>
        <row r="6380">
          <cell r="E6380" t="str">
            <v>HGC-Lib-2458959</v>
          </cell>
          <cell r="F6380" t="str">
            <v>LR240708O-9056A</v>
          </cell>
          <cell r="G6380">
            <v>10</v>
          </cell>
          <cell r="H6380" t="str">
            <v>RNA病毒组文库</v>
          </cell>
          <cell r="I6380" t="str">
            <v>GZQ</v>
          </cell>
          <cell r="J6380">
            <v>72</v>
          </cell>
          <cell r="N6380" t="e">
            <v>#DIV/0!</v>
          </cell>
        </row>
        <row r="6381">
          <cell r="E6381" t="str">
            <v>HGC-Lib-2458960</v>
          </cell>
          <cell r="F6381" t="str">
            <v>LR240708O-9057A</v>
          </cell>
          <cell r="G6381">
            <v>10</v>
          </cell>
          <cell r="H6381" t="str">
            <v>RNA病毒组文库</v>
          </cell>
          <cell r="I6381" t="str">
            <v>GZQ</v>
          </cell>
          <cell r="J6381">
            <v>65.2</v>
          </cell>
          <cell r="N6381" t="e">
            <v>#DIV/0!</v>
          </cell>
        </row>
        <row r="6382">
          <cell r="E6382" t="str">
            <v>HGC-Lib-2458961</v>
          </cell>
          <cell r="F6382" t="str">
            <v>LR240708O-9058A</v>
          </cell>
          <cell r="G6382">
            <v>10</v>
          </cell>
          <cell r="H6382" t="str">
            <v>RNA病毒组文库</v>
          </cell>
          <cell r="I6382" t="str">
            <v>GZQ</v>
          </cell>
          <cell r="J6382">
            <v>49.6</v>
          </cell>
          <cell r="N6382" t="e">
            <v>#DIV/0!</v>
          </cell>
        </row>
        <row r="6383">
          <cell r="E6383" t="str">
            <v>HGC-Lib-2458962</v>
          </cell>
          <cell r="F6383" t="str">
            <v>LR240708R-0115A</v>
          </cell>
          <cell r="G6383">
            <v>2</v>
          </cell>
          <cell r="H6383" t="str">
            <v>原核链特异性转录组文库</v>
          </cell>
          <cell r="I6383" t="str">
            <v>GZQ</v>
          </cell>
          <cell r="J6383">
            <v>10.1</v>
          </cell>
          <cell r="N6383" t="e">
            <v>#DIV/0!</v>
          </cell>
        </row>
        <row r="6384">
          <cell r="E6384" t="str">
            <v>HGC-Lib-2458963</v>
          </cell>
          <cell r="F6384" t="str">
            <v>LR240708R-0116A</v>
          </cell>
          <cell r="G6384">
            <v>2</v>
          </cell>
          <cell r="H6384" t="str">
            <v>原核链特异性转录组文库</v>
          </cell>
          <cell r="I6384" t="str">
            <v>GZQ</v>
          </cell>
          <cell r="J6384">
            <v>10.1</v>
          </cell>
          <cell r="N6384" t="e">
            <v>#DIV/0!</v>
          </cell>
        </row>
        <row r="6385">
          <cell r="E6385" t="str">
            <v>HGC-Lib-2458964</v>
          </cell>
          <cell r="F6385" t="str">
            <v>LR240708R-0117A</v>
          </cell>
          <cell r="G6385">
            <v>2</v>
          </cell>
          <cell r="H6385" t="str">
            <v>原核链特异性转录组文库</v>
          </cell>
          <cell r="I6385" t="str">
            <v>GZQ</v>
          </cell>
          <cell r="J6385">
            <v>9.1999999999999993</v>
          </cell>
          <cell r="N6385" t="e">
            <v>#DIV/0!</v>
          </cell>
        </row>
        <row r="6386">
          <cell r="E6386" t="str">
            <v>HGC-Lib-2458965</v>
          </cell>
          <cell r="F6386" t="str">
            <v>LR240708R-0118A</v>
          </cell>
          <cell r="G6386">
            <v>2</v>
          </cell>
          <cell r="H6386" t="str">
            <v>原核链特异性转录组文库</v>
          </cell>
          <cell r="I6386" t="str">
            <v>GZQ</v>
          </cell>
          <cell r="J6386">
            <v>15.2</v>
          </cell>
          <cell r="N6386" t="e">
            <v>#DIV/0!</v>
          </cell>
        </row>
        <row r="6387">
          <cell r="E6387" t="str">
            <v>HGC-Lib-2458966</v>
          </cell>
          <cell r="F6387" t="str">
            <v>LR240708R-0119A</v>
          </cell>
          <cell r="G6387">
            <v>2</v>
          </cell>
          <cell r="H6387" t="str">
            <v>原核链特异性转录组文库</v>
          </cell>
          <cell r="I6387" t="str">
            <v>GZQ</v>
          </cell>
          <cell r="J6387">
            <v>13.5</v>
          </cell>
          <cell r="N6387" t="e">
            <v>#DIV/0!</v>
          </cell>
        </row>
        <row r="6388">
          <cell r="E6388" t="str">
            <v>HGC-Lib-2458967</v>
          </cell>
          <cell r="F6388" t="str">
            <v>LR240708R-0120A</v>
          </cell>
          <cell r="G6388">
            <v>2</v>
          </cell>
          <cell r="H6388" t="str">
            <v>原核链特异性转录组文库</v>
          </cell>
          <cell r="I6388" t="str">
            <v>GZQ</v>
          </cell>
          <cell r="J6388">
            <v>6.46</v>
          </cell>
          <cell r="N6388" t="e">
            <v>#DIV/0!</v>
          </cell>
        </row>
        <row r="6389">
          <cell r="E6389" t="str">
            <v>HGC-Lib-2458968</v>
          </cell>
          <cell r="F6389" t="str">
            <v>LR240708R-0123A</v>
          </cell>
          <cell r="G6389">
            <v>2</v>
          </cell>
          <cell r="H6389" t="str">
            <v>原核链特异性转录组文库</v>
          </cell>
          <cell r="I6389" t="str">
            <v>GZQ</v>
          </cell>
          <cell r="J6389">
            <v>5.36</v>
          </cell>
          <cell r="N6389" t="e">
            <v>#DIV/0!</v>
          </cell>
        </row>
        <row r="6390">
          <cell r="E6390" t="str">
            <v>HGC-Lib-2458969</v>
          </cell>
          <cell r="F6390" t="str">
            <v>LR240708R-0124A</v>
          </cell>
          <cell r="G6390">
            <v>2</v>
          </cell>
          <cell r="H6390" t="str">
            <v>原核链特异性转录组文库</v>
          </cell>
          <cell r="I6390" t="str">
            <v>GZQ</v>
          </cell>
          <cell r="J6390">
            <v>67.400000000000006</v>
          </cell>
          <cell r="N6390" t="e">
            <v>#DIV/0!</v>
          </cell>
        </row>
        <row r="6391">
          <cell r="E6391" t="str">
            <v>HGC-Lib-2458970</v>
          </cell>
          <cell r="F6391" t="str">
            <v>LR240708R-0125A</v>
          </cell>
          <cell r="G6391">
            <v>2</v>
          </cell>
          <cell r="H6391" t="str">
            <v>原核链特异性转录组文库</v>
          </cell>
          <cell r="I6391" t="str">
            <v>ZZ</v>
          </cell>
          <cell r="J6391">
            <v>51.6</v>
          </cell>
          <cell r="N6391" t="e">
            <v>#DIV/0!</v>
          </cell>
        </row>
        <row r="6392">
          <cell r="E6392" t="str">
            <v>HGC-Lib-2458971</v>
          </cell>
          <cell r="F6392" t="str">
            <v>LR240708R-0126A</v>
          </cell>
          <cell r="G6392">
            <v>2</v>
          </cell>
          <cell r="H6392" t="str">
            <v>原核链特异性转录组文库</v>
          </cell>
          <cell r="I6392" t="str">
            <v>ZZ</v>
          </cell>
          <cell r="J6392">
            <v>9.5399999999999991</v>
          </cell>
          <cell r="N6392" t="e">
            <v>#DIV/0!</v>
          </cell>
        </row>
        <row r="6393">
          <cell r="E6393" t="str">
            <v>HGC-Lib-2458972</v>
          </cell>
          <cell r="F6393" t="str">
            <v>LR240708R-0127A</v>
          </cell>
          <cell r="G6393">
            <v>2</v>
          </cell>
          <cell r="H6393" t="str">
            <v>原核链特异性转录组文库</v>
          </cell>
          <cell r="I6393" t="str">
            <v>ZZ</v>
          </cell>
          <cell r="J6393">
            <v>32</v>
          </cell>
          <cell r="N6393" t="e">
            <v>#DIV/0!</v>
          </cell>
        </row>
        <row r="6394">
          <cell r="E6394" t="str">
            <v>HGC-Lib-2458973</v>
          </cell>
          <cell r="F6394" t="str">
            <v>LR240708R-0128A</v>
          </cell>
          <cell r="G6394">
            <v>2</v>
          </cell>
          <cell r="H6394" t="str">
            <v>原核链特异性转录组文库</v>
          </cell>
          <cell r="I6394" t="str">
            <v>ZZ</v>
          </cell>
          <cell r="J6394">
            <v>31.6</v>
          </cell>
          <cell r="N6394" t="e">
            <v>#DIV/0!</v>
          </cell>
        </row>
        <row r="6395">
          <cell r="E6395" t="str">
            <v>HGC-Lib-2458974</v>
          </cell>
          <cell r="F6395" t="str">
            <v>LR240708R-0130A</v>
          </cell>
          <cell r="G6395">
            <v>2</v>
          </cell>
          <cell r="H6395" t="str">
            <v>原核链特异性转录组文库</v>
          </cell>
          <cell r="I6395" t="str">
            <v>ZZ</v>
          </cell>
          <cell r="J6395">
            <v>4.88</v>
          </cell>
          <cell r="N6395" t="e">
            <v>#DIV/0!</v>
          </cell>
        </row>
        <row r="6396">
          <cell r="E6396" t="str">
            <v>HGC-Lib-2458975</v>
          </cell>
          <cell r="F6396" t="str">
            <v>LR240708R-0131A</v>
          </cell>
          <cell r="G6396">
            <v>2</v>
          </cell>
          <cell r="H6396" t="str">
            <v>原核链特异性转录组文库</v>
          </cell>
          <cell r="I6396" t="str">
            <v>ZZ</v>
          </cell>
          <cell r="J6396">
            <v>11.3</v>
          </cell>
          <cell r="N6396" t="e">
            <v>#DIV/0!</v>
          </cell>
        </row>
        <row r="6397">
          <cell r="E6397" t="str">
            <v>HGC-Lib-2458976</v>
          </cell>
          <cell r="F6397" t="str">
            <v>LR240708R-0132A</v>
          </cell>
          <cell r="G6397">
            <v>2</v>
          </cell>
          <cell r="H6397" t="str">
            <v>原核链特异性转录组文库</v>
          </cell>
          <cell r="I6397" t="str">
            <v>ZZ</v>
          </cell>
          <cell r="J6397">
            <v>13.9</v>
          </cell>
          <cell r="N6397" t="e">
            <v>#DIV/0!</v>
          </cell>
        </row>
        <row r="6398">
          <cell r="E6398" t="str">
            <v>HGC-Lib-2458977</v>
          </cell>
          <cell r="F6398" t="str">
            <v>LR240708R-0133A</v>
          </cell>
          <cell r="G6398">
            <v>2</v>
          </cell>
          <cell r="H6398" t="str">
            <v>原核链特异性转录组文库</v>
          </cell>
          <cell r="I6398" t="str">
            <v>ZZ</v>
          </cell>
          <cell r="J6398">
            <v>9.16</v>
          </cell>
          <cell r="N6398" t="e">
            <v>#DIV/0!</v>
          </cell>
        </row>
        <row r="6399">
          <cell r="E6399" t="str">
            <v>HGC-Lib-2458978</v>
          </cell>
          <cell r="F6399" t="str">
            <v>LR240708R-0134A</v>
          </cell>
          <cell r="G6399">
            <v>2</v>
          </cell>
          <cell r="H6399" t="str">
            <v>原核链特异性转录组文库</v>
          </cell>
          <cell r="I6399" t="str">
            <v>ZZ</v>
          </cell>
          <cell r="J6399">
            <v>8.6199999999999992</v>
          </cell>
          <cell r="N6399" t="e">
            <v>#DIV/0!</v>
          </cell>
        </row>
        <row r="6400">
          <cell r="E6400" t="str">
            <v>HGC-Lib-2458979</v>
          </cell>
          <cell r="F6400" t="str">
            <v>LR240708R-0135A</v>
          </cell>
          <cell r="G6400">
            <v>2</v>
          </cell>
          <cell r="H6400" t="str">
            <v>原核链特异性转录组文库</v>
          </cell>
          <cell r="I6400" t="str">
            <v>ZZ</v>
          </cell>
          <cell r="J6400">
            <v>27.8</v>
          </cell>
          <cell r="N6400" t="e">
            <v>#DIV/0!</v>
          </cell>
        </row>
        <row r="6401">
          <cell r="E6401" t="str">
            <v>HGC-Lib-2458980</v>
          </cell>
          <cell r="F6401" t="str">
            <v>LR240708R-0137A</v>
          </cell>
          <cell r="G6401">
            <v>2</v>
          </cell>
          <cell r="H6401" t="str">
            <v>原核链特异性转录组文库</v>
          </cell>
          <cell r="I6401" t="str">
            <v>ZZ</v>
          </cell>
          <cell r="J6401">
            <v>17.899999999999999</v>
          </cell>
          <cell r="N6401" t="e">
            <v>#DIV/0!</v>
          </cell>
        </row>
        <row r="6402">
          <cell r="E6402" t="str">
            <v>HGC-Lib-2458981</v>
          </cell>
          <cell r="F6402" t="str">
            <v>LR240708R-0138A</v>
          </cell>
          <cell r="G6402">
            <v>2</v>
          </cell>
          <cell r="H6402" t="str">
            <v>原核链特异性转录组文库</v>
          </cell>
          <cell r="I6402" t="str">
            <v>ZZ</v>
          </cell>
          <cell r="J6402">
            <v>90.2</v>
          </cell>
          <cell r="N6402" t="e">
            <v>#DIV/0!</v>
          </cell>
        </row>
        <row r="6403">
          <cell r="E6403" t="str">
            <v>HGC-Lib-2458982</v>
          </cell>
          <cell r="F6403" t="str">
            <v>LR240708R-0139A</v>
          </cell>
          <cell r="G6403">
            <v>2</v>
          </cell>
          <cell r="H6403" t="str">
            <v>原核链特异性转录组文库</v>
          </cell>
          <cell r="I6403" t="str">
            <v>ZZ</v>
          </cell>
          <cell r="J6403">
            <v>48.8</v>
          </cell>
          <cell r="N6403" t="e">
            <v>#DIV/0!</v>
          </cell>
        </row>
        <row r="6404">
          <cell r="E6404" t="str">
            <v>HGC-Lib-2458983</v>
          </cell>
          <cell r="F6404" t="str">
            <v>LR240708R-0140A</v>
          </cell>
          <cell r="G6404">
            <v>2</v>
          </cell>
          <cell r="H6404" t="str">
            <v>原核链特异性转录组文库</v>
          </cell>
          <cell r="I6404" t="str">
            <v>ZZ</v>
          </cell>
          <cell r="J6404">
            <v>68.8</v>
          </cell>
          <cell r="N6404" t="e">
            <v>#DIV/0!</v>
          </cell>
        </row>
        <row r="6405">
          <cell r="E6405" t="str">
            <v>HGC-Lib-2458984</v>
          </cell>
          <cell r="F6405" t="str">
            <v>LR240708R-0141A</v>
          </cell>
          <cell r="G6405">
            <v>2</v>
          </cell>
          <cell r="H6405" t="str">
            <v>原核链特异性转录组文库</v>
          </cell>
          <cell r="I6405" t="str">
            <v>ZZ</v>
          </cell>
          <cell r="J6405">
            <v>8.56</v>
          </cell>
          <cell r="N6405" t="e">
            <v>#DIV/0!</v>
          </cell>
        </row>
        <row r="6406">
          <cell r="E6406" t="str">
            <v>HGC-Lib-2458985</v>
          </cell>
          <cell r="F6406" t="str">
            <v>LR240708R-0142A</v>
          </cell>
          <cell r="G6406">
            <v>2</v>
          </cell>
          <cell r="H6406" t="str">
            <v>原核链特异性转录组文库</v>
          </cell>
          <cell r="I6406" t="str">
            <v>ZZ</v>
          </cell>
          <cell r="J6406">
            <v>4.0999999999999996</v>
          </cell>
          <cell r="N6406" t="e">
            <v>#DIV/0!</v>
          </cell>
        </row>
        <row r="6407">
          <cell r="E6407" t="str">
            <v>HGC-Lib-2458986</v>
          </cell>
          <cell r="F6407" t="str">
            <v>LR240708R-0143A</v>
          </cell>
          <cell r="G6407">
            <v>2</v>
          </cell>
          <cell r="H6407" t="str">
            <v>原核链特异性转录组文库</v>
          </cell>
          <cell r="I6407" t="str">
            <v>ZZ</v>
          </cell>
          <cell r="J6407">
            <v>3.04</v>
          </cell>
          <cell r="N6407" t="e">
            <v>#DIV/0!</v>
          </cell>
        </row>
        <row r="6408">
          <cell r="E6408" t="str">
            <v>HGC-Lib-2458987</v>
          </cell>
          <cell r="F6408" t="str">
            <v>LR240708R-0144A</v>
          </cell>
          <cell r="G6408">
            <v>2</v>
          </cell>
          <cell r="H6408" t="str">
            <v>原核链特异性转录组文库</v>
          </cell>
          <cell r="I6408" t="str">
            <v>ZZ</v>
          </cell>
          <cell r="J6408">
            <v>17.2</v>
          </cell>
          <cell r="N6408" t="e">
            <v>#DIV/0!</v>
          </cell>
        </row>
        <row r="6409">
          <cell r="E6409" t="str">
            <v>HGC-Lib-2458988</v>
          </cell>
          <cell r="F6409" t="str">
            <v>LR240708R-0145A</v>
          </cell>
          <cell r="G6409">
            <v>2</v>
          </cell>
          <cell r="H6409" t="str">
            <v>原核链特异性转录组文库</v>
          </cell>
          <cell r="I6409" t="str">
            <v>ZZ</v>
          </cell>
          <cell r="J6409">
            <v>16.899999999999999</v>
          </cell>
          <cell r="N6409" t="e">
            <v>#DIV/0!</v>
          </cell>
        </row>
        <row r="6410">
          <cell r="E6410" t="str">
            <v>HGC-Lib-2458989</v>
          </cell>
          <cell r="F6410" t="str">
            <v>LR240708R-0146A</v>
          </cell>
          <cell r="G6410">
            <v>2</v>
          </cell>
          <cell r="H6410" t="str">
            <v>原核链特异性转录组文库</v>
          </cell>
          <cell r="I6410" t="str">
            <v>ZZ</v>
          </cell>
          <cell r="J6410">
            <v>22.8</v>
          </cell>
          <cell r="N6410" t="e">
            <v>#DIV/0!</v>
          </cell>
        </row>
        <row r="6411">
          <cell r="E6411" t="str">
            <v>HGC-Lib-2458990</v>
          </cell>
          <cell r="F6411" t="str">
            <v>LR240708R-0147A</v>
          </cell>
          <cell r="G6411">
            <v>2</v>
          </cell>
          <cell r="H6411" t="str">
            <v>原核链特异性转录组文库</v>
          </cell>
          <cell r="I6411" t="str">
            <v>ZZ</v>
          </cell>
          <cell r="J6411">
            <v>15.2</v>
          </cell>
          <cell r="N6411" t="e">
            <v>#DIV/0!</v>
          </cell>
        </row>
        <row r="6412">
          <cell r="E6412" t="str">
            <v>HGC-Lib-2458991</v>
          </cell>
          <cell r="F6412" t="str">
            <v>LR240708R-0148A</v>
          </cell>
          <cell r="G6412">
            <v>2</v>
          </cell>
          <cell r="H6412" t="str">
            <v>原核链特异性转录组文库</v>
          </cell>
          <cell r="I6412" t="str">
            <v>ZZ</v>
          </cell>
          <cell r="J6412">
            <v>20.8</v>
          </cell>
          <cell r="N6412" t="e">
            <v>#DIV/0!</v>
          </cell>
        </row>
        <row r="6413">
          <cell r="E6413" t="str">
            <v>HGC-Lib-2458992</v>
          </cell>
          <cell r="F6413" t="str">
            <v>LR240708R-0149A</v>
          </cell>
          <cell r="G6413">
            <v>2</v>
          </cell>
          <cell r="H6413" t="str">
            <v>原核链特异性转录组文库</v>
          </cell>
          <cell r="I6413" t="str">
            <v>ZZ</v>
          </cell>
          <cell r="J6413">
            <v>34.200000000000003</v>
          </cell>
          <cell r="N6413" t="e">
            <v>#DIV/0!</v>
          </cell>
        </row>
        <row r="6414">
          <cell r="E6414" t="str">
            <v>HGC-Lib-2458993</v>
          </cell>
          <cell r="F6414" t="str">
            <v>LR240708R-0150A</v>
          </cell>
          <cell r="G6414">
            <v>2</v>
          </cell>
          <cell r="H6414" t="str">
            <v>原核链特异性转录组文库</v>
          </cell>
          <cell r="I6414" t="str">
            <v>ZZ</v>
          </cell>
          <cell r="J6414">
            <v>11.5</v>
          </cell>
          <cell r="N6414" t="e">
            <v>#DIV/0!</v>
          </cell>
        </row>
        <row r="6415">
          <cell r="E6415" t="str">
            <v>HGC-Lib-2458994</v>
          </cell>
          <cell r="F6415" t="str">
            <v>LR240708R-0152A</v>
          </cell>
          <cell r="G6415">
            <v>2</v>
          </cell>
          <cell r="H6415" t="str">
            <v>原核链特异性转录组文库</v>
          </cell>
          <cell r="I6415" t="str">
            <v>ZZ</v>
          </cell>
          <cell r="J6415">
            <v>11.8</v>
          </cell>
          <cell r="N6415" t="e">
            <v>#DIV/0!</v>
          </cell>
        </row>
        <row r="6416">
          <cell r="E6416" t="str">
            <v>HGC-Lib-2458995</v>
          </cell>
          <cell r="F6416" t="str">
            <v>LR240708R-0162A</v>
          </cell>
          <cell r="G6416">
            <v>2</v>
          </cell>
          <cell r="H6416" t="str">
            <v>原核链特异性转录组文库</v>
          </cell>
          <cell r="I6416" t="str">
            <v>ZZ</v>
          </cell>
          <cell r="J6416">
            <v>27.4</v>
          </cell>
          <cell r="N6416" t="e">
            <v>#DIV/0!</v>
          </cell>
        </row>
        <row r="6417">
          <cell r="E6417" t="str">
            <v>HGC-Lib-2458996</v>
          </cell>
          <cell r="F6417" t="str">
            <v>LR240708R-0163A</v>
          </cell>
          <cell r="G6417">
            <v>2</v>
          </cell>
          <cell r="H6417" t="str">
            <v>原核链特异性转录组文库</v>
          </cell>
          <cell r="I6417" t="str">
            <v>ZZ</v>
          </cell>
          <cell r="J6417">
            <v>20.399999999999999</v>
          </cell>
          <cell r="N6417" t="e">
            <v>#DIV/0!</v>
          </cell>
        </row>
        <row r="6418">
          <cell r="E6418" t="str">
            <v>HGC-Lib-2458997</v>
          </cell>
          <cell r="F6418" t="str">
            <v>LR240708R-0164A</v>
          </cell>
          <cell r="G6418">
            <v>2</v>
          </cell>
          <cell r="H6418" t="str">
            <v>原核链特异性转录组文库</v>
          </cell>
          <cell r="I6418" t="str">
            <v>ZZ</v>
          </cell>
          <cell r="J6418">
            <v>20.2</v>
          </cell>
          <cell r="N6418" t="e">
            <v>#DIV/0!</v>
          </cell>
        </row>
        <row r="6419">
          <cell r="E6419" t="str">
            <v>HGC-Lib-2458998</v>
          </cell>
          <cell r="F6419" t="str">
            <v>LR240708R-0165A</v>
          </cell>
          <cell r="G6419">
            <v>2</v>
          </cell>
          <cell r="H6419" t="str">
            <v>原核链特异性转录组文库</v>
          </cell>
          <cell r="I6419" t="str">
            <v>ZZ</v>
          </cell>
          <cell r="J6419">
            <v>36</v>
          </cell>
          <cell r="N6419" t="e">
            <v>#DIV/0!</v>
          </cell>
        </row>
        <row r="6420">
          <cell r="E6420" t="str">
            <v>HGC-Lib-2458999</v>
          </cell>
          <cell r="F6420" t="str">
            <v>LR240708R-0166A</v>
          </cell>
          <cell r="G6420">
            <v>2</v>
          </cell>
          <cell r="H6420" t="str">
            <v>原核链特异性转录组文库</v>
          </cell>
          <cell r="I6420" t="str">
            <v>ZZ</v>
          </cell>
          <cell r="J6420">
            <v>3.66</v>
          </cell>
          <cell r="N6420" t="e">
            <v>#DIV/0!</v>
          </cell>
        </row>
        <row r="6421">
          <cell r="E6421" t="str">
            <v>HGC-Lib-2459000</v>
          </cell>
          <cell r="F6421" t="str">
            <v>LR240708R-0167A</v>
          </cell>
          <cell r="G6421">
            <v>2</v>
          </cell>
          <cell r="H6421" t="str">
            <v>原核链特异性转录组文库</v>
          </cell>
          <cell r="I6421" t="str">
            <v>ZZ</v>
          </cell>
          <cell r="J6421">
            <v>2.58</v>
          </cell>
          <cell r="N6421" t="e">
            <v>#DIV/0!</v>
          </cell>
        </row>
        <row r="6422">
          <cell r="E6422" t="str">
            <v>HGC-Lib-2459001</v>
          </cell>
          <cell r="F6422" t="str">
            <v>LR240708R-0168A</v>
          </cell>
          <cell r="G6422">
            <v>2</v>
          </cell>
          <cell r="H6422" t="str">
            <v>原核链特异性转录组文库</v>
          </cell>
          <cell r="I6422" t="str">
            <v>ZZ</v>
          </cell>
          <cell r="J6422">
            <v>21.4</v>
          </cell>
          <cell r="N6422" t="e">
            <v>#DIV/0!</v>
          </cell>
        </row>
        <row r="6423">
          <cell r="E6423" t="str">
            <v>HGC-Lib-2459002</v>
          </cell>
          <cell r="F6423" t="str">
            <v>LR240708R-0169A</v>
          </cell>
          <cell r="G6423">
            <v>2</v>
          </cell>
          <cell r="H6423" t="str">
            <v>原核链特异性转录组文库</v>
          </cell>
          <cell r="I6423" t="str">
            <v>ZZ</v>
          </cell>
          <cell r="J6423">
            <v>36.200000000000003</v>
          </cell>
          <cell r="N6423" t="e">
            <v>#DIV/0!</v>
          </cell>
        </row>
        <row r="6424">
          <cell r="E6424" t="str">
            <v>HGC-Lib-2459003</v>
          </cell>
          <cell r="F6424" t="str">
            <v>LR240708R-0170A</v>
          </cell>
          <cell r="G6424">
            <v>2</v>
          </cell>
          <cell r="H6424" t="str">
            <v>原核链特异性转录组文库</v>
          </cell>
          <cell r="I6424" t="str">
            <v>YHT</v>
          </cell>
          <cell r="J6424">
            <v>31.4</v>
          </cell>
          <cell r="N6424" t="e">
            <v>#DIV/0!</v>
          </cell>
        </row>
        <row r="6425">
          <cell r="E6425" t="str">
            <v>HGC-Lib-2459004</v>
          </cell>
          <cell r="F6425" t="str">
            <v>LR240708R-0174A</v>
          </cell>
          <cell r="G6425">
            <v>2</v>
          </cell>
          <cell r="H6425" t="str">
            <v>原核链特异性转录组文库</v>
          </cell>
          <cell r="I6425" t="str">
            <v>YHT</v>
          </cell>
          <cell r="J6425">
            <v>32.799999999999997</v>
          </cell>
          <cell r="N6425" t="e">
            <v>#DIV/0!</v>
          </cell>
        </row>
        <row r="6426">
          <cell r="E6426" t="str">
            <v>HGC-Lib-2459005</v>
          </cell>
          <cell r="F6426" t="str">
            <v>LR240708R-0175A</v>
          </cell>
          <cell r="G6426">
            <v>2</v>
          </cell>
          <cell r="H6426" t="str">
            <v>原核链特异性转录组文库</v>
          </cell>
          <cell r="I6426" t="str">
            <v>YHT</v>
          </cell>
          <cell r="J6426">
            <v>24.8</v>
          </cell>
          <cell r="N6426" t="e">
            <v>#DIV/0!</v>
          </cell>
        </row>
        <row r="6427">
          <cell r="E6427" t="str">
            <v>HGC-Lib-2459006</v>
          </cell>
          <cell r="F6427" t="str">
            <v>LR240708R-0176A</v>
          </cell>
          <cell r="G6427">
            <v>2</v>
          </cell>
          <cell r="H6427" t="str">
            <v>原核链特异性转录组文库</v>
          </cell>
          <cell r="I6427" t="str">
            <v>YHT</v>
          </cell>
          <cell r="J6427">
            <v>20.8</v>
          </cell>
          <cell r="N6427" t="e">
            <v>#DIV/0!</v>
          </cell>
        </row>
        <row r="6428">
          <cell r="E6428" t="str">
            <v>HGC-Lib-2459007</v>
          </cell>
          <cell r="F6428" t="str">
            <v>LR240708R-0181A</v>
          </cell>
          <cell r="G6428">
            <v>2</v>
          </cell>
          <cell r="H6428" t="str">
            <v>原核链特异性转录组文库</v>
          </cell>
          <cell r="I6428" t="str">
            <v>YHT</v>
          </cell>
          <cell r="J6428">
            <v>3.56</v>
          </cell>
          <cell r="N6428" t="e">
            <v>#DIV/0!</v>
          </cell>
        </row>
        <row r="6429">
          <cell r="E6429" t="str">
            <v>HGC-Lib-2459008</v>
          </cell>
          <cell r="F6429" t="str">
            <v>LR240708R-0182A</v>
          </cell>
          <cell r="G6429">
            <v>2</v>
          </cell>
          <cell r="H6429" t="str">
            <v>原核链特异性转录组文库</v>
          </cell>
          <cell r="I6429" t="str">
            <v>YHT</v>
          </cell>
          <cell r="J6429">
            <v>2.84</v>
          </cell>
          <cell r="N6429" t="e">
            <v>#DIV/0!</v>
          </cell>
        </row>
        <row r="6430">
          <cell r="E6430" t="str">
            <v>HGC-Lib-2459009</v>
          </cell>
          <cell r="F6430" t="str">
            <v>LR240708R-0183A</v>
          </cell>
          <cell r="G6430">
            <v>2</v>
          </cell>
          <cell r="H6430" t="str">
            <v>原核链特异性转录组文库</v>
          </cell>
          <cell r="I6430" t="str">
            <v>YHT</v>
          </cell>
          <cell r="J6430">
            <v>33.6</v>
          </cell>
          <cell r="N6430" t="e">
            <v>#DIV/0!</v>
          </cell>
        </row>
        <row r="6431">
          <cell r="E6431" t="str">
            <v>HGC-Lib-2459010</v>
          </cell>
          <cell r="F6431" t="str">
            <v>LR240708R-0184A</v>
          </cell>
          <cell r="G6431">
            <v>2</v>
          </cell>
          <cell r="H6431" t="str">
            <v>原核链特异性转录组文库</v>
          </cell>
          <cell r="I6431" t="str">
            <v>YHT</v>
          </cell>
          <cell r="J6431">
            <v>25.6</v>
          </cell>
          <cell r="N6431" t="e">
            <v>#DIV/0!</v>
          </cell>
        </row>
        <row r="6432">
          <cell r="E6432" t="str">
            <v>HGC-Lib-2459011</v>
          </cell>
          <cell r="F6432" t="str">
            <v>LR240708R-0185A</v>
          </cell>
          <cell r="G6432">
            <v>2</v>
          </cell>
          <cell r="H6432" t="str">
            <v>原核链特异性转录组文库</v>
          </cell>
          <cell r="I6432" t="str">
            <v>YHT</v>
          </cell>
          <cell r="J6432">
            <v>10.4</v>
          </cell>
          <cell r="N6432" t="e">
            <v>#DIV/0!</v>
          </cell>
        </row>
        <row r="6433">
          <cell r="E6433" t="str">
            <v>HGC-Lib-2459012</v>
          </cell>
          <cell r="F6433" t="str">
            <v>LR240708R-0186A</v>
          </cell>
          <cell r="G6433">
            <v>2</v>
          </cell>
          <cell r="H6433" t="str">
            <v>原核链特异性转录组文库</v>
          </cell>
          <cell r="I6433" t="str">
            <v>YHT</v>
          </cell>
          <cell r="J6433">
            <v>9.4600000000000009</v>
          </cell>
          <cell r="N6433" t="e">
            <v>#DIV/0!</v>
          </cell>
        </row>
        <row r="6434">
          <cell r="E6434" t="str">
            <v>HGC-Lib-2459013</v>
          </cell>
          <cell r="F6434" t="str">
            <v>LR240708R-0187A</v>
          </cell>
          <cell r="G6434">
            <v>2</v>
          </cell>
          <cell r="H6434" t="str">
            <v>原核链特异性转录组文库</v>
          </cell>
          <cell r="I6434" t="str">
            <v>YHT</v>
          </cell>
          <cell r="J6434">
            <v>14.8</v>
          </cell>
          <cell r="N6434" t="e">
            <v>#DIV/0!</v>
          </cell>
        </row>
        <row r="6435">
          <cell r="E6435" t="str">
            <v>HGC-Lib-2459014</v>
          </cell>
          <cell r="F6435" t="str">
            <v>LR240708R-0188A</v>
          </cell>
          <cell r="G6435">
            <v>2</v>
          </cell>
          <cell r="H6435" t="str">
            <v>原核链特异性转录组文库</v>
          </cell>
          <cell r="I6435" t="str">
            <v>YHT</v>
          </cell>
          <cell r="J6435">
            <v>116</v>
          </cell>
          <cell r="N6435" t="e">
            <v>#DIV/0!</v>
          </cell>
        </row>
        <row r="6436">
          <cell r="E6436" t="str">
            <v>HGC-Lib-2459015</v>
          </cell>
          <cell r="F6436" t="str">
            <v>LR240708R-0189A</v>
          </cell>
          <cell r="G6436">
            <v>2</v>
          </cell>
          <cell r="H6436" t="str">
            <v>原核链特异性转录组文库</v>
          </cell>
          <cell r="I6436" t="str">
            <v>YHT</v>
          </cell>
          <cell r="J6436">
            <v>56</v>
          </cell>
          <cell r="N6436" t="e">
            <v>#DIV/0!</v>
          </cell>
        </row>
        <row r="6437">
          <cell r="E6437" t="str">
            <v>HGC-Lib-2459016</v>
          </cell>
          <cell r="F6437" t="str">
            <v>LR240708R-0190A</v>
          </cell>
          <cell r="G6437">
            <v>2</v>
          </cell>
          <cell r="H6437" t="str">
            <v>原核链特异性转录组文库</v>
          </cell>
          <cell r="I6437" t="str">
            <v>YHT</v>
          </cell>
          <cell r="J6437">
            <v>81.2</v>
          </cell>
          <cell r="N6437" t="e">
            <v>#DIV/0!</v>
          </cell>
        </row>
        <row r="6438">
          <cell r="E6438" t="str">
            <v>HGC-Lib-2459017</v>
          </cell>
          <cell r="F6438" t="str">
            <v>LR240708R-0191A</v>
          </cell>
          <cell r="G6438">
            <v>2</v>
          </cell>
          <cell r="H6438" t="str">
            <v>原核链特异性转录组文库</v>
          </cell>
          <cell r="I6438" t="str">
            <v>YHT</v>
          </cell>
          <cell r="J6438">
            <v>106</v>
          </cell>
          <cell r="N6438" t="e">
            <v>#DIV/0!</v>
          </cell>
        </row>
        <row r="6439">
          <cell r="E6439" t="str">
            <v>HGC-Lib-2459018</v>
          </cell>
          <cell r="F6439" t="str">
            <v>LD240708D-0693B</v>
          </cell>
          <cell r="G6439">
            <v>1</v>
          </cell>
          <cell r="H6439" t="str">
            <v>DNA基因组文库</v>
          </cell>
          <cell r="I6439" t="str">
            <v>YHT</v>
          </cell>
          <cell r="J6439">
            <v>56.4</v>
          </cell>
          <cell r="N6439" t="e">
            <v>#DIV/0!</v>
          </cell>
        </row>
        <row r="6440">
          <cell r="E6440" t="str">
            <v>HGC-Lib-2459019</v>
          </cell>
          <cell r="F6440" t="str">
            <v>LR240705O-3280A</v>
          </cell>
          <cell r="G6440">
            <v>6</v>
          </cell>
          <cell r="H6440" t="str">
            <v>普通真核转录组文库</v>
          </cell>
          <cell r="I6440" t="str">
            <v>YHT</v>
          </cell>
          <cell r="J6440">
            <v>7.92</v>
          </cell>
          <cell r="N6440" t="e">
            <v>#DIV/0!</v>
          </cell>
        </row>
        <row r="6441">
          <cell r="E6441" t="str">
            <v>HGC-Lib-2459020</v>
          </cell>
          <cell r="F6441" t="str">
            <v>LR240705O-3281A</v>
          </cell>
          <cell r="G6441">
            <v>6</v>
          </cell>
          <cell r="H6441" t="str">
            <v>普通真核转录组文库</v>
          </cell>
          <cell r="I6441" t="str">
            <v>YHT</v>
          </cell>
          <cell r="J6441">
            <v>6.94</v>
          </cell>
          <cell r="N6441" t="e">
            <v>#DIV/0!</v>
          </cell>
        </row>
        <row r="6442">
          <cell r="E6442" t="str">
            <v>HGC-Lib-2459021</v>
          </cell>
          <cell r="F6442" t="str">
            <v>LR240705O-3282A</v>
          </cell>
          <cell r="G6442">
            <v>6</v>
          </cell>
          <cell r="H6442" t="str">
            <v>普通真核转录组文库</v>
          </cell>
          <cell r="I6442" t="str">
            <v>YHT</v>
          </cell>
          <cell r="J6442">
            <v>13.9</v>
          </cell>
          <cell r="N6442" t="e">
            <v>#DIV/0!</v>
          </cell>
        </row>
        <row r="6443">
          <cell r="E6443" t="str">
            <v>HGC-Lib-2459022</v>
          </cell>
          <cell r="F6443" t="str">
            <v>LR240705O-3283A</v>
          </cell>
          <cell r="G6443">
            <v>6</v>
          </cell>
          <cell r="H6443" t="str">
            <v>普通真核转录组文库</v>
          </cell>
          <cell r="I6443" t="str">
            <v>YHT</v>
          </cell>
          <cell r="J6443">
            <v>15.1</v>
          </cell>
          <cell r="N6443" t="e">
            <v>#DIV/0!</v>
          </cell>
        </row>
        <row r="6444">
          <cell r="E6444" t="str">
            <v>HGC-Lib-2459023</v>
          </cell>
          <cell r="F6444" t="str">
            <v>LR240705O-3284A</v>
          </cell>
          <cell r="G6444">
            <v>6</v>
          </cell>
          <cell r="H6444" t="str">
            <v>普通真核转录组文库</v>
          </cell>
          <cell r="I6444" t="str">
            <v>YHT</v>
          </cell>
          <cell r="J6444">
            <v>9.76</v>
          </cell>
          <cell r="N6444" t="e">
            <v>#DIV/0!</v>
          </cell>
        </row>
        <row r="6445">
          <cell r="E6445" t="str">
            <v>HGC-Lib-2459024</v>
          </cell>
          <cell r="F6445" t="str">
            <v>LR240705O-3285A</v>
          </cell>
          <cell r="G6445">
            <v>6</v>
          </cell>
          <cell r="H6445" t="str">
            <v>普通真核转录组文库</v>
          </cell>
          <cell r="I6445" t="str">
            <v>YHT</v>
          </cell>
          <cell r="J6445">
            <v>13.9</v>
          </cell>
          <cell r="N6445" t="e">
            <v>#DIV/0!</v>
          </cell>
        </row>
        <row r="6446">
          <cell r="E6446" t="str">
            <v>HGC-Lib-2459025</v>
          </cell>
          <cell r="F6446" t="str">
            <v>LR240705O-3286A</v>
          </cell>
          <cell r="G6446">
            <v>6</v>
          </cell>
          <cell r="H6446" t="str">
            <v>普通真核转录组文库</v>
          </cell>
          <cell r="I6446" t="str">
            <v>YHT</v>
          </cell>
          <cell r="J6446">
            <v>10.4</v>
          </cell>
          <cell r="N6446" t="e">
            <v>#DIV/0!</v>
          </cell>
        </row>
        <row r="6447">
          <cell r="E6447" t="str">
            <v>HGC-Lib-2459026</v>
          </cell>
          <cell r="F6447" t="str">
            <v>LR240705O-3287A</v>
          </cell>
          <cell r="G6447">
            <v>6</v>
          </cell>
          <cell r="H6447" t="str">
            <v>普通真核转录组文库</v>
          </cell>
          <cell r="I6447" t="str">
            <v>YHT</v>
          </cell>
          <cell r="J6447">
            <v>4.5</v>
          </cell>
          <cell r="N6447" t="e">
            <v>#DIV/0!</v>
          </cell>
        </row>
        <row r="6448">
          <cell r="E6448" t="str">
            <v>HGC-Lib-2459027</v>
          </cell>
          <cell r="F6448" t="str">
            <v>LR240705O-3288A</v>
          </cell>
          <cell r="G6448">
            <v>6</v>
          </cell>
          <cell r="H6448" t="str">
            <v>普通真核转录组文库</v>
          </cell>
          <cell r="I6448" t="str">
            <v>YHT</v>
          </cell>
          <cell r="J6448">
            <v>3.64</v>
          </cell>
          <cell r="N6448" t="e">
            <v>#DIV/0!</v>
          </cell>
        </row>
        <row r="6449">
          <cell r="E6449" t="str">
            <v>HGC-Lib-2459028</v>
          </cell>
          <cell r="F6449" t="str">
            <v>LR240705O-3289A</v>
          </cell>
          <cell r="G6449">
            <v>6</v>
          </cell>
          <cell r="H6449" t="str">
            <v>普通真核转录组文库</v>
          </cell>
          <cell r="I6449" t="str">
            <v>YHT</v>
          </cell>
          <cell r="J6449">
            <v>19.899999999999999</v>
          </cell>
          <cell r="N6449" t="e">
            <v>#DIV/0!</v>
          </cell>
        </row>
        <row r="6450">
          <cell r="E6450" t="str">
            <v>HGC-Lib-2459029</v>
          </cell>
          <cell r="F6450" t="str">
            <v>LR240705O-3290A</v>
          </cell>
          <cell r="G6450">
            <v>6</v>
          </cell>
          <cell r="H6450" t="str">
            <v>普通真核转录组文库</v>
          </cell>
          <cell r="I6450" t="str">
            <v>YHT</v>
          </cell>
          <cell r="J6450">
            <v>10.8</v>
          </cell>
          <cell r="N6450" t="e">
            <v>#DIV/0!</v>
          </cell>
        </row>
        <row r="6451">
          <cell r="E6451" t="str">
            <v>HGC-Lib-2459030</v>
          </cell>
          <cell r="F6451" t="str">
            <v>LR240705O-3291A</v>
          </cell>
          <cell r="G6451">
            <v>6</v>
          </cell>
          <cell r="H6451" t="str">
            <v>普通真核转录组文库</v>
          </cell>
          <cell r="I6451" t="str">
            <v>YHT</v>
          </cell>
          <cell r="J6451">
            <v>16.3</v>
          </cell>
          <cell r="N6451" t="e">
            <v>#DIV/0!</v>
          </cell>
        </row>
        <row r="6452">
          <cell r="E6452" t="str">
            <v>HGC-Lib-2459031</v>
          </cell>
          <cell r="F6452" t="str">
            <v>LR240705O-3292A</v>
          </cell>
          <cell r="G6452">
            <v>6</v>
          </cell>
          <cell r="H6452" t="str">
            <v>普通真核转录组文库</v>
          </cell>
          <cell r="I6452" t="str">
            <v>YHT</v>
          </cell>
          <cell r="J6452">
            <v>4.82</v>
          </cell>
          <cell r="N6452" t="e">
            <v>#DIV/0!</v>
          </cell>
        </row>
        <row r="6453">
          <cell r="E6453" t="str">
            <v>HGC-Lib-2459032</v>
          </cell>
          <cell r="F6453" t="str">
            <v>LR240705O-3293A</v>
          </cell>
          <cell r="G6453">
            <v>6</v>
          </cell>
          <cell r="H6453" t="str">
            <v>普通真核转录组文库</v>
          </cell>
          <cell r="I6453" t="str">
            <v>YHT</v>
          </cell>
          <cell r="J6453">
            <v>9.3000000000000007</v>
          </cell>
          <cell r="N6453" t="e">
            <v>#DIV/0!</v>
          </cell>
        </row>
        <row r="6454">
          <cell r="E6454" t="str">
            <v>HGC-Lib-2459033</v>
          </cell>
          <cell r="F6454" t="str">
            <v>LR240705O-3294A</v>
          </cell>
          <cell r="G6454">
            <v>6</v>
          </cell>
          <cell r="H6454" t="str">
            <v>普通真核转录组文库</v>
          </cell>
          <cell r="I6454" t="str">
            <v>YHT</v>
          </cell>
          <cell r="J6454">
            <v>11.4</v>
          </cell>
          <cell r="N6454" t="e">
            <v>#DIV/0!</v>
          </cell>
        </row>
        <row r="6455">
          <cell r="E6455" t="str">
            <v>HGC-Lib-2459034</v>
          </cell>
          <cell r="F6455" t="str">
            <v>LR240705O-3295A</v>
          </cell>
          <cell r="G6455">
            <v>6</v>
          </cell>
          <cell r="H6455" t="str">
            <v>普通真核转录组文库</v>
          </cell>
          <cell r="I6455" t="str">
            <v>YHT</v>
          </cell>
          <cell r="J6455">
            <v>6.74</v>
          </cell>
          <cell r="N6455" t="e">
            <v>#DIV/0!</v>
          </cell>
        </row>
        <row r="6456">
          <cell r="E6456" t="str">
            <v>HGC-Lib-2459035</v>
          </cell>
          <cell r="F6456" t="str">
            <v>LR240705O-3296A</v>
          </cell>
          <cell r="G6456">
            <v>6</v>
          </cell>
          <cell r="H6456" t="str">
            <v>普通真核转录组文库</v>
          </cell>
          <cell r="I6456" t="str">
            <v>YHT</v>
          </cell>
          <cell r="J6456">
            <v>5.9</v>
          </cell>
          <cell r="N6456" t="e">
            <v>#DIV/0!</v>
          </cell>
        </row>
        <row r="6457">
          <cell r="E6457" t="str">
            <v>HGC-Lib-2459036</v>
          </cell>
          <cell r="F6457" t="str">
            <v>LR240705O-3297A</v>
          </cell>
          <cell r="G6457">
            <v>6</v>
          </cell>
          <cell r="H6457" t="str">
            <v>普通真核转录组文库</v>
          </cell>
          <cell r="I6457" t="str">
            <v>YHT</v>
          </cell>
          <cell r="J6457">
            <v>9.68</v>
          </cell>
          <cell r="N6457" t="e">
            <v>#DIV/0!</v>
          </cell>
        </row>
        <row r="6458">
          <cell r="E6458" t="str">
            <v>HGC-Lib-2459037</v>
          </cell>
          <cell r="F6458" t="str">
            <v>LR240705O-3298A</v>
          </cell>
          <cell r="G6458">
            <v>6</v>
          </cell>
          <cell r="H6458" t="str">
            <v>普通真核转录组文库</v>
          </cell>
          <cell r="I6458" t="str">
            <v>YHT</v>
          </cell>
          <cell r="J6458">
            <v>9.32</v>
          </cell>
          <cell r="N6458" t="e">
            <v>#DIV/0!</v>
          </cell>
        </row>
        <row r="6459">
          <cell r="E6459" t="str">
            <v>HGC-Lib-2459038</v>
          </cell>
          <cell r="F6459" t="str">
            <v>LR240705O-3299A</v>
          </cell>
          <cell r="G6459">
            <v>6</v>
          </cell>
          <cell r="H6459" t="str">
            <v>普通真核转录组文库</v>
          </cell>
          <cell r="I6459" t="str">
            <v>YHT</v>
          </cell>
          <cell r="J6459">
            <v>9.1999999999999993</v>
          </cell>
          <cell r="N6459" t="e">
            <v>#DIV/0!</v>
          </cell>
        </row>
        <row r="6460">
          <cell r="E6460" t="str">
            <v>HGC-Lib-2459039</v>
          </cell>
          <cell r="F6460" t="str">
            <v>LR240705O-3300A</v>
          </cell>
          <cell r="G6460">
            <v>6</v>
          </cell>
          <cell r="H6460" t="str">
            <v>普通真核转录组文库</v>
          </cell>
          <cell r="I6460" t="str">
            <v>YHT</v>
          </cell>
          <cell r="J6460">
            <v>10.9</v>
          </cell>
          <cell r="N6460" t="e">
            <v>#DIV/0!</v>
          </cell>
        </row>
        <row r="6461">
          <cell r="E6461" t="str">
            <v>HGC-Lib-2459040</v>
          </cell>
          <cell r="F6461" t="str">
            <v>LR240705O-3301A</v>
          </cell>
          <cell r="G6461">
            <v>6</v>
          </cell>
          <cell r="H6461" t="str">
            <v>普通真核转录组文库</v>
          </cell>
          <cell r="I6461" t="str">
            <v>YHT</v>
          </cell>
          <cell r="J6461">
            <v>6.88</v>
          </cell>
          <cell r="N6461" t="e">
            <v>#DIV/0!</v>
          </cell>
        </row>
        <row r="6462">
          <cell r="E6462" t="str">
            <v>HGC-Lib-2459041</v>
          </cell>
          <cell r="F6462" t="str">
            <v>LR240705O-3302A</v>
          </cell>
          <cell r="G6462">
            <v>6</v>
          </cell>
          <cell r="H6462" t="str">
            <v>普通真核转录组文库</v>
          </cell>
          <cell r="I6462" t="str">
            <v>YHT</v>
          </cell>
          <cell r="J6462">
            <v>12.3</v>
          </cell>
          <cell r="N6462" t="e">
            <v>#DIV/0!</v>
          </cell>
        </row>
        <row r="6463">
          <cell r="E6463" t="str">
            <v>HGC-Lib-2459042</v>
          </cell>
          <cell r="F6463" t="str">
            <v>LR240705O-3303A</v>
          </cell>
          <cell r="G6463">
            <v>6</v>
          </cell>
          <cell r="H6463" t="str">
            <v>普通真核转录组文库</v>
          </cell>
          <cell r="I6463" t="str">
            <v>YHT</v>
          </cell>
          <cell r="J6463">
            <v>4.96</v>
          </cell>
          <cell r="N6463" t="e">
            <v>#DIV/0!</v>
          </cell>
        </row>
        <row r="6464">
          <cell r="E6464" t="str">
            <v>HGC-Lib-2459043</v>
          </cell>
          <cell r="F6464" t="str">
            <v>LR240705O-3304A</v>
          </cell>
          <cell r="G6464">
            <v>6</v>
          </cell>
          <cell r="H6464" t="str">
            <v>普通真核转录组文库</v>
          </cell>
          <cell r="I6464" t="str">
            <v>YHT</v>
          </cell>
          <cell r="J6464">
            <v>5.36</v>
          </cell>
          <cell r="N6464" t="e">
            <v>#DIV/0!</v>
          </cell>
        </row>
        <row r="6465">
          <cell r="E6465" t="str">
            <v>HGC-Lib-2459044</v>
          </cell>
          <cell r="F6465" t="str">
            <v>LR240705O-3305A</v>
          </cell>
          <cell r="G6465">
            <v>6</v>
          </cell>
          <cell r="H6465" t="str">
            <v>普通真核转录组文库</v>
          </cell>
          <cell r="I6465" t="str">
            <v>YHT</v>
          </cell>
          <cell r="J6465">
            <v>4.96</v>
          </cell>
          <cell r="N6465" t="e">
            <v>#DIV/0!</v>
          </cell>
        </row>
        <row r="6466">
          <cell r="E6466" t="str">
            <v>HGC-Lib-2459045</v>
          </cell>
          <cell r="F6466" t="str">
            <v>LR240705O-3306A</v>
          </cell>
          <cell r="G6466">
            <v>6</v>
          </cell>
          <cell r="H6466" t="str">
            <v>普通真核转录组文库</v>
          </cell>
          <cell r="I6466" t="str">
            <v>YHT</v>
          </cell>
          <cell r="J6466">
            <v>6.08</v>
          </cell>
          <cell r="N6466" t="e">
            <v>#DIV/0!</v>
          </cell>
        </row>
        <row r="6467">
          <cell r="E6467" t="str">
            <v>HGC-Lib-2459046</v>
          </cell>
          <cell r="F6467" t="str">
            <v>LR240705O-3307A</v>
          </cell>
          <cell r="G6467">
            <v>6</v>
          </cell>
          <cell r="H6467" t="str">
            <v>普通真核转录组文库</v>
          </cell>
          <cell r="I6467" t="str">
            <v>YHT</v>
          </cell>
          <cell r="J6467">
            <v>2.86</v>
          </cell>
          <cell r="N6467" t="e">
            <v>#DIV/0!</v>
          </cell>
        </row>
        <row r="6468">
          <cell r="E6468" t="str">
            <v>HGC-Lib-2459047</v>
          </cell>
          <cell r="F6468" t="str">
            <v>LR240705O-3308A</v>
          </cell>
          <cell r="G6468">
            <v>6</v>
          </cell>
          <cell r="H6468" t="str">
            <v>普通真核转录组文库</v>
          </cell>
          <cell r="I6468" t="str">
            <v>YHT</v>
          </cell>
          <cell r="J6468">
            <v>3.28</v>
          </cell>
          <cell r="N6468" t="e">
            <v>#DIV/0!</v>
          </cell>
        </row>
        <row r="6469">
          <cell r="E6469" t="str">
            <v>HGC-Lib-2459048</v>
          </cell>
          <cell r="F6469" t="str">
            <v>LR240705O-3309A</v>
          </cell>
          <cell r="G6469">
            <v>6</v>
          </cell>
          <cell r="H6469" t="str">
            <v>普通真核转录组文库</v>
          </cell>
          <cell r="I6469" t="str">
            <v>YHT</v>
          </cell>
          <cell r="J6469">
            <v>7.52</v>
          </cell>
          <cell r="N6469" t="e">
            <v>#DIV/0!</v>
          </cell>
        </row>
        <row r="6470">
          <cell r="E6470" t="str">
            <v>HGC-Lib-2459049</v>
          </cell>
          <cell r="F6470" t="str">
            <v>LR240705O-3310A</v>
          </cell>
          <cell r="G6470">
            <v>6</v>
          </cell>
          <cell r="H6470" t="str">
            <v>普通真核转录组文库</v>
          </cell>
          <cell r="I6470" t="str">
            <v>YHT</v>
          </cell>
          <cell r="J6470">
            <v>6.76</v>
          </cell>
          <cell r="N6470" t="e">
            <v>#DIV/0!</v>
          </cell>
        </row>
        <row r="6471">
          <cell r="E6471" t="str">
            <v>HGC-Lib-2459050</v>
          </cell>
          <cell r="F6471" t="str">
            <v>LR240705O-3311A</v>
          </cell>
          <cell r="G6471">
            <v>6</v>
          </cell>
          <cell r="H6471" t="str">
            <v>普通真核转录组文库</v>
          </cell>
          <cell r="I6471" t="str">
            <v>YHT</v>
          </cell>
          <cell r="J6471">
            <v>5.3</v>
          </cell>
          <cell r="N6471" t="e">
            <v>#DIV/0!</v>
          </cell>
        </row>
        <row r="6472">
          <cell r="E6472" t="str">
            <v>HGC-Lib-2459051</v>
          </cell>
          <cell r="F6472" t="str">
            <v>LR240705O-3312A</v>
          </cell>
          <cell r="G6472">
            <v>6</v>
          </cell>
          <cell r="H6472" t="str">
            <v>普通真核转录组文库</v>
          </cell>
          <cell r="I6472" t="str">
            <v>WWH</v>
          </cell>
          <cell r="J6472">
            <v>6.82</v>
          </cell>
          <cell r="N6472" t="e">
            <v>#DIV/0!</v>
          </cell>
        </row>
        <row r="6473">
          <cell r="E6473" t="str">
            <v>HGC-Lib-2459052</v>
          </cell>
          <cell r="F6473" t="str">
            <v>LR240705O-3313A</v>
          </cell>
          <cell r="G6473">
            <v>6</v>
          </cell>
          <cell r="H6473" t="str">
            <v>普通真核转录组文库</v>
          </cell>
          <cell r="I6473" t="str">
            <v>WWH</v>
          </cell>
          <cell r="J6473">
            <v>19.600000000000001</v>
          </cell>
          <cell r="N6473" t="e">
            <v>#DIV/0!</v>
          </cell>
        </row>
        <row r="6474">
          <cell r="E6474" t="str">
            <v>HGC-Lib-2459053</v>
          </cell>
          <cell r="F6474" t="str">
            <v>LR240705O-3314A</v>
          </cell>
          <cell r="G6474">
            <v>6</v>
          </cell>
          <cell r="H6474" t="str">
            <v>普通真核转录组文库</v>
          </cell>
          <cell r="I6474" t="str">
            <v>WWH</v>
          </cell>
          <cell r="J6474">
            <v>13.6</v>
          </cell>
          <cell r="N6474" t="e">
            <v>#DIV/0!</v>
          </cell>
        </row>
        <row r="6475">
          <cell r="E6475" t="str">
            <v>HGC-Lib-2459054</v>
          </cell>
          <cell r="F6475" t="str">
            <v>LR240705O-3315A</v>
          </cell>
          <cell r="G6475">
            <v>6</v>
          </cell>
          <cell r="H6475" t="str">
            <v>普通真核转录组文库</v>
          </cell>
          <cell r="I6475" t="str">
            <v>WWH</v>
          </cell>
          <cell r="J6475">
            <v>9.1199999999999992</v>
          </cell>
          <cell r="N6475" t="e">
            <v>#DIV/0!</v>
          </cell>
        </row>
        <row r="6476">
          <cell r="E6476" t="str">
            <v>HGC-Lib-2459055</v>
          </cell>
          <cell r="F6476" t="str">
            <v>LR240705O-3316A</v>
          </cell>
          <cell r="G6476">
            <v>6</v>
          </cell>
          <cell r="H6476" t="str">
            <v>普通真核转录组文库</v>
          </cell>
          <cell r="I6476" t="str">
            <v>WWH</v>
          </cell>
          <cell r="J6476">
            <v>4.8</v>
          </cell>
          <cell r="N6476" t="e">
            <v>#DIV/0!</v>
          </cell>
        </row>
        <row r="6477">
          <cell r="E6477" t="str">
            <v>HGC-Lib-2459056</v>
          </cell>
          <cell r="F6477" t="str">
            <v>LR240705O-3317A</v>
          </cell>
          <cell r="G6477">
            <v>6</v>
          </cell>
          <cell r="H6477" t="str">
            <v>普通真核转录组文库</v>
          </cell>
          <cell r="I6477" t="str">
            <v>WWH</v>
          </cell>
          <cell r="J6477">
            <v>7.22</v>
          </cell>
          <cell r="N6477" t="e">
            <v>#DIV/0!</v>
          </cell>
        </row>
        <row r="6478">
          <cell r="E6478" t="str">
            <v>HGC-Lib-2459057</v>
          </cell>
          <cell r="F6478" t="str">
            <v>LR240705O-3318A</v>
          </cell>
          <cell r="G6478">
            <v>6</v>
          </cell>
          <cell r="H6478" t="str">
            <v>普通真核转录组文库</v>
          </cell>
          <cell r="I6478" t="str">
            <v>WWH</v>
          </cell>
          <cell r="J6478">
            <v>5.22</v>
          </cell>
          <cell r="N6478" t="e">
            <v>#DIV/0!</v>
          </cell>
        </row>
        <row r="6479">
          <cell r="E6479" t="str">
            <v>HGC-Lib-2459058</v>
          </cell>
          <cell r="F6479" t="str">
            <v>LR240705O-3319A</v>
          </cell>
          <cell r="G6479">
            <v>6</v>
          </cell>
          <cell r="H6479" t="str">
            <v>普通真核转录组文库</v>
          </cell>
          <cell r="I6479" t="str">
            <v>WWH</v>
          </cell>
          <cell r="J6479">
            <v>5.84</v>
          </cell>
          <cell r="N6479" t="e">
            <v>#DIV/0!</v>
          </cell>
        </row>
        <row r="6480">
          <cell r="E6480" t="str">
            <v>HGC-Lib-2459059</v>
          </cell>
          <cell r="F6480" t="str">
            <v>LR240705O-3320A</v>
          </cell>
          <cell r="G6480">
            <v>6</v>
          </cell>
          <cell r="H6480" t="str">
            <v>普通真核转录组文库</v>
          </cell>
          <cell r="I6480" t="str">
            <v>WWH</v>
          </cell>
          <cell r="J6480">
            <v>17.100000000000001</v>
          </cell>
          <cell r="N6480" t="e">
            <v>#DIV/0!</v>
          </cell>
        </row>
        <row r="6481">
          <cell r="E6481" t="str">
            <v>HGC-Lib-2459060</v>
          </cell>
          <cell r="F6481" t="str">
            <v>LR240705O-3321A</v>
          </cell>
          <cell r="G6481">
            <v>6</v>
          </cell>
          <cell r="H6481" t="str">
            <v>普通真核转录组文库</v>
          </cell>
          <cell r="I6481" t="str">
            <v>WWH</v>
          </cell>
          <cell r="J6481">
            <v>4.3</v>
          </cell>
          <cell r="N6481" t="e">
            <v>#DIV/0!</v>
          </cell>
        </row>
        <row r="6482">
          <cell r="E6482" t="str">
            <v>HGC-Lib-2459061</v>
          </cell>
          <cell r="F6482" t="str">
            <v>LR240705O-3322A</v>
          </cell>
          <cell r="G6482">
            <v>6</v>
          </cell>
          <cell r="H6482" t="str">
            <v>普通真核转录组文库</v>
          </cell>
          <cell r="I6482" t="str">
            <v>WWH</v>
          </cell>
          <cell r="J6482">
            <v>11.2</v>
          </cell>
          <cell r="N6482" t="e">
            <v>#DIV/0!</v>
          </cell>
        </row>
        <row r="6483">
          <cell r="E6483" t="str">
            <v>HGC-Lib-2459062</v>
          </cell>
          <cell r="F6483" t="str">
            <v>LR240705O-3323A</v>
          </cell>
          <cell r="G6483">
            <v>6</v>
          </cell>
          <cell r="H6483" t="str">
            <v>普通真核转录组文库</v>
          </cell>
          <cell r="I6483" t="str">
            <v>WWH</v>
          </cell>
          <cell r="J6483">
            <v>23.2</v>
          </cell>
          <cell r="N6483" t="e">
            <v>#DIV/0!</v>
          </cell>
        </row>
        <row r="6484">
          <cell r="E6484" t="str">
            <v>HGC-Lib-2459063</v>
          </cell>
          <cell r="F6484" t="str">
            <v>LR240705O-3324A</v>
          </cell>
          <cell r="G6484">
            <v>6</v>
          </cell>
          <cell r="H6484" t="str">
            <v>普通真核转录组文库</v>
          </cell>
          <cell r="I6484" t="str">
            <v>WWH</v>
          </cell>
          <cell r="J6484">
            <v>6.02</v>
          </cell>
          <cell r="N6484" t="e">
            <v>#DIV/0!</v>
          </cell>
        </row>
        <row r="6485">
          <cell r="E6485" t="str">
            <v>HGC-Lib-2459064</v>
          </cell>
          <cell r="F6485" t="str">
            <v>LR240705O-3325A</v>
          </cell>
          <cell r="G6485">
            <v>6</v>
          </cell>
          <cell r="H6485" t="str">
            <v>普通真核转录组文库</v>
          </cell>
          <cell r="I6485" t="str">
            <v>WWH</v>
          </cell>
          <cell r="J6485">
            <v>3.66</v>
          </cell>
          <cell r="N6485" t="e">
            <v>#DIV/0!</v>
          </cell>
        </row>
        <row r="6486">
          <cell r="E6486" t="str">
            <v>HGC-Lib-2459065</v>
          </cell>
          <cell r="F6486" t="str">
            <v>LR240705O-3326A</v>
          </cell>
          <cell r="G6486">
            <v>6</v>
          </cell>
          <cell r="H6486" t="str">
            <v>普通真核转录组文库</v>
          </cell>
          <cell r="I6486" t="str">
            <v>WWH</v>
          </cell>
          <cell r="J6486">
            <v>5</v>
          </cell>
          <cell r="N6486" t="e">
            <v>#DIV/0!</v>
          </cell>
        </row>
        <row r="6487">
          <cell r="E6487" t="str">
            <v>HGC-Lib-2459066</v>
          </cell>
          <cell r="F6487" t="str">
            <v>LR240705O-3327A</v>
          </cell>
          <cell r="G6487">
            <v>6</v>
          </cell>
          <cell r="H6487" t="str">
            <v>普通真核转录组文库</v>
          </cell>
          <cell r="I6487" t="str">
            <v>WWH</v>
          </cell>
          <cell r="J6487">
            <v>9.4</v>
          </cell>
          <cell r="N6487" t="e">
            <v>#DIV/0!</v>
          </cell>
        </row>
        <row r="6488">
          <cell r="E6488" t="str">
            <v>HGC-Lib-2459067</v>
          </cell>
          <cell r="F6488" t="str">
            <v>LR240705O-3328A</v>
          </cell>
          <cell r="G6488">
            <v>6</v>
          </cell>
          <cell r="H6488" t="str">
            <v>普通真核转录组文库</v>
          </cell>
          <cell r="I6488" t="str">
            <v>WWH</v>
          </cell>
          <cell r="J6488">
            <v>3.72</v>
          </cell>
          <cell r="N6488" t="e">
            <v>#DIV/0!</v>
          </cell>
        </row>
        <row r="6489">
          <cell r="E6489" t="str">
            <v>HGC-Lib-2459068</v>
          </cell>
          <cell r="F6489" t="str">
            <v>LR240705O-3329A</v>
          </cell>
          <cell r="G6489">
            <v>6</v>
          </cell>
          <cell r="H6489" t="str">
            <v>普通真核转录组文库</v>
          </cell>
          <cell r="I6489" t="str">
            <v>WWH</v>
          </cell>
          <cell r="J6489">
            <v>8</v>
          </cell>
          <cell r="N6489" t="e">
            <v>#DIV/0!</v>
          </cell>
        </row>
        <row r="6490">
          <cell r="E6490" t="str">
            <v>HGC-Lib-2459069</v>
          </cell>
          <cell r="F6490" t="str">
            <v>LR240705O-3330A</v>
          </cell>
          <cell r="G6490">
            <v>6</v>
          </cell>
          <cell r="H6490" t="str">
            <v>普通真核转录组文库</v>
          </cell>
          <cell r="I6490" t="str">
            <v>WWH</v>
          </cell>
          <cell r="J6490">
            <v>7.02</v>
          </cell>
          <cell r="N6490" t="e">
            <v>#DIV/0!</v>
          </cell>
        </row>
        <row r="6491">
          <cell r="E6491" t="str">
            <v>HGC-Lib-2459070</v>
          </cell>
          <cell r="F6491" t="str">
            <v>LR240705O-3331A</v>
          </cell>
          <cell r="G6491">
            <v>6</v>
          </cell>
          <cell r="H6491" t="str">
            <v>普通真核转录组文库</v>
          </cell>
          <cell r="I6491" t="str">
            <v>WWH</v>
          </cell>
          <cell r="J6491">
            <v>4.9000000000000004</v>
          </cell>
          <cell r="N6491" t="e">
            <v>#DIV/0!</v>
          </cell>
        </row>
        <row r="6492">
          <cell r="E6492" t="str">
            <v>HGC-Lib-2459071</v>
          </cell>
          <cell r="F6492" t="str">
            <v>LR240705O-3332A</v>
          </cell>
          <cell r="G6492">
            <v>6</v>
          </cell>
          <cell r="H6492" t="str">
            <v>普通真核转录组文库</v>
          </cell>
          <cell r="I6492" t="str">
            <v>WWH</v>
          </cell>
          <cell r="J6492">
            <v>4.54</v>
          </cell>
          <cell r="N6492" t="e">
            <v>#DIV/0!</v>
          </cell>
        </row>
        <row r="6493">
          <cell r="E6493" t="str">
            <v>HGC-Lib-2459072</v>
          </cell>
          <cell r="F6493" t="str">
            <v>LR240705O-3333A</v>
          </cell>
          <cell r="G6493">
            <v>6</v>
          </cell>
          <cell r="H6493" t="str">
            <v>普通真核转录组文库</v>
          </cell>
          <cell r="I6493" t="str">
            <v>WWH</v>
          </cell>
          <cell r="J6493">
            <v>5.9</v>
          </cell>
          <cell r="N6493" t="e">
            <v>#DIV/0!</v>
          </cell>
        </row>
        <row r="6494">
          <cell r="E6494" t="str">
            <v>HGC-Lib-2459073</v>
          </cell>
          <cell r="F6494" t="str">
            <v>LR240705O-3334A</v>
          </cell>
          <cell r="G6494">
            <v>6</v>
          </cell>
          <cell r="H6494" t="str">
            <v>普通真核转录组文库</v>
          </cell>
          <cell r="I6494" t="str">
            <v>WWH</v>
          </cell>
          <cell r="J6494">
            <v>11</v>
          </cell>
          <cell r="N6494" t="e">
            <v>#DIV/0!</v>
          </cell>
        </row>
        <row r="6495">
          <cell r="E6495" t="str">
            <v>HGC-Lib-2459074</v>
          </cell>
          <cell r="F6495" t="str">
            <v>LR240715O-2497A</v>
          </cell>
          <cell r="G6495">
            <v>6</v>
          </cell>
          <cell r="H6495" t="str">
            <v>普通真核转录组文库</v>
          </cell>
          <cell r="I6495" t="str">
            <v>WWH</v>
          </cell>
          <cell r="J6495">
            <v>5.58</v>
          </cell>
          <cell r="N6495" t="e">
            <v>#DIV/0!</v>
          </cell>
        </row>
        <row r="6496">
          <cell r="E6496" t="str">
            <v>HGC-Lib-2459075</v>
          </cell>
          <cell r="F6496" t="str">
            <v>LR240715O-2498A</v>
          </cell>
          <cell r="G6496">
            <v>6</v>
          </cell>
          <cell r="H6496" t="str">
            <v>普通真核转录组文库</v>
          </cell>
          <cell r="I6496" t="str">
            <v>WWH</v>
          </cell>
          <cell r="J6496">
            <v>3.22</v>
          </cell>
          <cell r="N6496" t="e">
            <v>#DIV/0!</v>
          </cell>
        </row>
        <row r="6497">
          <cell r="E6497" t="str">
            <v>HGC-Lib-2459076</v>
          </cell>
          <cell r="F6497" t="str">
            <v>LR240715O-2499A</v>
          </cell>
          <cell r="G6497">
            <v>6</v>
          </cell>
          <cell r="H6497" t="str">
            <v>普通真核转录组文库</v>
          </cell>
          <cell r="I6497" t="str">
            <v>WWH</v>
          </cell>
          <cell r="J6497">
            <v>4.0599999999999996</v>
          </cell>
          <cell r="N6497" t="e">
            <v>#DIV/0!</v>
          </cell>
        </row>
        <row r="6498">
          <cell r="E6498" t="str">
            <v>HGC-Lib-2459077</v>
          </cell>
          <cell r="F6498" t="str">
            <v>LR240715O-2500A</v>
          </cell>
          <cell r="G6498">
            <v>6</v>
          </cell>
          <cell r="H6498" t="str">
            <v>普通真核转录组文库</v>
          </cell>
          <cell r="I6498" t="str">
            <v>WWH</v>
          </cell>
          <cell r="J6498">
            <v>3.28</v>
          </cell>
          <cell r="N6498" t="e">
            <v>#DIV/0!</v>
          </cell>
        </row>
        <row r="6499">
          <cell r="E6499" t="str">
            <v>HGC-Lib-2459078</v>
          </cell>
          <cell r="F6499" t="str">
            <v>LR240715O-2501A</v>
          </cell>
          <cell r="G6499">
            <v>6</v>
          </cell>
          <cell r="H6499" t="str">
            <v>普通真核转录组文库</v>
          </cell>
          <cell r="I6499" t="str">
            <v>WWH</v>
          </cell>
          <cell r="J6499">
            <v>5.9</v>
          </cell>
          <cell r="N6499" t="e">
            <v>#DIV/0!</v>
          </cell>
        </row>
        <row r="6500">
          <cell r="E6500" t="str">
            <v>HGC-Lib-2459079</v>
          </cell>
          <cell r="F6500" t="str">
            <v>LR240715O-2502A</v>
          </cell>
          <cell r="G6500">
            <v>6</v>
          </cell>
          <cell r="H6500" t="str">
            <v>普通真核转录组文库</v>
          </cell>
          <cell r="I6500" t="str">
            <v>WWH</v>
          </cell>
          <cell r="J6500">
            <v>12.4</v>
          </cell>
          <cell r="N6500" t="e">
            <v>#DIV/0!</v>
          </cell>
        </row>
        <row r="6501">
          <cell r="E6501" t="str">
            <v>HGC-Lib-2459080</v>
          </cell>
          <cell r="F6501" t="str">
            <v>LR240708O-9024A</v>
          </cell>
          <cell r="G6501">
            <v>8</v>
          </cell>
          <cell r="H6501" t="str">
            <v>普通真核转录组文库</v>
          </cell>
          <cell r="I6501" t="str">
            <v>WWH</v>
          </cell>
          <cell r="J6501">
            <v>2.36</v>
          </cell>
          <cell r="N6501" t="e">
            <v>#DIV/0!</v>
          </cell>
        </row>
        <row r="6502">
          <cell r="E6502" t="str">
            <v>HGC-Lib-2459081</v>
          </cell>
          <cell r="F6502" t="str">
            <v>LR240708O-9025A</v>
          </cell>
          <cell r="G6502">
            <v>8</v>
          </cell>
          <cell r="H6502" t="str">
            <v>普通真核转录组文库</v>
          </cell>
          <cell r="I6502" t="str">
            <v>WWH</v>
          </cell>
          <cell r="J6502">
            <v>2.2999999999999998</v>
          </cell>
          <cell r="N6502" t="e">
            <v>#DIV/0!</v>
          </cell>
        </row>
        <row r="6503">
          <cell r="E6503" t="str">
            <v>HGC-Lib-2459082</v>
          </cell>
          <cell r="F6503" t="str">
            <v>LR240708O-9026A</v>
          </cell>
          <cell r="G6503">
            <v>8</v>
          </cell>
          <cell r="H6503" t="str">
            <v>普通真核转录组文库</v>
          </cell>
          <cell r="I6503" t="str">
            <v>WWH</v>
          </cell>
          <cell r="J6503">
            <v>1.49</v>
          </cell>
          <cell r="N6503" t="e">
            <v>#DIV/0!</v>
          </cell>
        </row>
        <row r="6504">
          <cell r="E6504" t="str">
            <v>HGC-Lib-2459083</v>
          </cell>
          <cell r="F6504" t="str">
            <v>LR240708O-9027A</v>
          </cell>
          <cell r="G6504">
            <v>8</v>
          </cell>
          <cell r="H6504" t="str">
            <v>普通真核转录组文库</v>
          </cell>
          <cell r="I6504" t="str">
            <v>WWH</v>
          </cell>
          <cell r="J6504">
            <v>2.8</v>
          </cell>
          <cell r="N6504" t="e">
            <v>#DIV/0!</v>
          </cell>
        </row>
        <row r="6505">
          <cell r="E6505" t="str">
            <v>HGC-Lib-2459084</v>
          </cell>
          <cell r="F6505" t="str">
            <v>LR240708O-9028A</v>
          </cell>
          <cell r="G6505">
            <v>8</v>
          </cell>
          <cell r="H6505" t="str">
            <v>普通真核转录组文库</v>
          </cell>
          <cell r="I6505" t="str">
            <v>WWH</v>
          </cell>
          <cell r="J6505">
            <v>2.6</v>
          </cell>
          <cell r="N6505" t="e">
            <v>#DIV/0!</v>
          </cell>
        </row>
        <row r="6506">
          <cell r="E6506" t="str">
            <v>HGC-Lib-2459085</v>
          </cell>
          <cell r="F6506" t="str">
            <v>LR240708O-9029A</v>
          </cell>
          <cell r="G6506">
            <v>8</v>
          </cell>
          <cell r="H6506" t="str">
            <v>普通真核转录组文库</v>
          </cell>
          <cell r="I6506" t="str">
            <v>WWH</v>
          </cell>
          <cell r="J6506">
            <v>2.12</v>
          </cell>
          <cell r="N6506" t="e">
            <v>#DIV/0!</v>
          </cell>
        </row>
        <row r="6507">
          <cell r="E6507" t="str">
            <v>HGC-Lib-2459086</v>
          </cell>
          <cell r="F6507" t="str">
            <v>LR240708O-9030A</v>
          </cell>
          <cell r="G6507">
            <v>8</v>
          </cell>
          <cell r="H6507" t="str">
            <v>普通真核转录组文库</v>
          </cell>
          <cell r="I6507" t="str">
            <v>WWH</v>
          </cell>
          <cell r="J6507">
            <v>3.16</v>
          </cell>
          <cell r="N6507" t="e">
            <v>#DIV/0!</v>
          </cell>
        </row>
        <row r="6508">
          <cell r="E6508" t="str">
            <v>HGC-Lib-2459087</v>
          </cell>
          <cell r="F6508" t="str">
            <v>LR240708O-9031A</v>
          </cell>
          <cell r="G6508">
            <v>8</v>
          </cell>
          <cell r="H6508" t="str">
            <v>普通真核转录组文库</v>
          </cell>
          <cell r="I6508" t="str">
            <v>WWH</v>
          </cell>
          <cell r="J6508">
            <v>4.3</v>
          </cell>
          <cell r="N6508" t="e">
            <v>#DIV/0!</v>
          </cell>
        </row>
        <row r="6509">
          <cell r="E6509" t="str">
            <v>HGC-Lib-2459088</v>
          </cell>
          <cell r="F6509" t="str">
            <v>LR240708O-9032A</v>
          </cell>
          <cell r="G6509">
            <v>8</v>
          </cell>
          <cell r="H6509" t="str">
            <v>普通真核转录组文库</v>
          </cell>
          <cell r="I6509" t="str">
            <v>WWH</v>
          </cell>
          <cell r="J6509">
            <v>4.4400000000000004</v>
          </cell>
          <cell r="N6509" t="e">
            <v>#DIV/0!</v>
          </cell>
        </row>
        <row r="6510">
          <cell r="E6510" t="str">
            <v>HGC-Lib-2459089</v>
          </cell>
          <cell r="F6510" t="str">
            <v>LR240712O-2475A</v>
          </cell>
          <cell r="G6510">
            <v>6</v>
          </cell>
          <cell r="H6510" t="str">
            <v>普通真核转录组文库</v>
          </cell>
          <cell r="I6510" t="str">
            <v>WWH</v>
          </cell>
          <cell r="J6510">
            <v>3.88</v>
          </cell>
          <cell r="N6510" t="e">
            <v>#DIV/0!</v>
          </cell>
        </row>
        <row r="6511">
          <cell r="E6511" t="str">
            <v>HGC-Lib-2459090</v>
          </cell>
          <cell r="F6511" t="str">
            <v>LR240712O-2476A</v>
          </cell>
          <cell r="G6511">
            <v>6</v>
          </cell>
          <cell r="H6511" t="str">
            <v>普通真核转录组文库</v>
          </cell>
          <cell r="I6511" t="str">
            <v>WWH</v>
          </cell>
          <cell r="J6511">
            <v>1.92</v>
          </cell>
          <cell r="N6511" t="e">
            <v>#DIV/0!</v>
          </cell>
        </row>
        <row r="6512">
          <cell r="E6512" t="str">
            <v>HGC-Lib-2459091</v>
          </cell>
          <cell r="F6512" t="str">
            <v>LR240712O-2477A</v>
          </cell>
          <cell r="G6512">
            <v>6</v>
          </cell>
          <cell r="H6512" t="str">
            <v>普通真核转录组文库</v>
          </cell>
          <cell r="I6512" t="str">
            <v>WWH</v>
          </cell>
          <cell r="J6512">
            <v>4.8</v>
          </cell>
          <cell r="N6512" t="e">
            <v>#DIV/0!</v>
          </cell>
        </row>
        <row r="6513">
          <cell r="E6513" t="str">
            <v>HGC-Lib-2459092</v>
          </cell>
          <cell r="F6513" t="str">
            <v>LR240712O-2478A</v>
          </cell>
          <cell r="G6513">
            <v>6</v>
          </cell>
          <cell r="H6513" t="str">
            <v>普通真核转录组文库</v>
          </cell>
          <cell r="I6513" t="str">
            <v>WWH</v>
          </cell>
          <cell r="J6513">
            <v>2.62</v>
          </cell>
          <cell r="N6513" t="e">
            <v>#DIV/0!</v>
          </cell>
        </row>
        <row r="6514">
          <cell r="E6514" t="str">
            <v>HGC-Lib-2459093</v>
          </cell>
          <cell r="F6514" t="str">
            <v>LR240712O-2479A</v>
          </cell>
          <cell r="G6514">
            <v>6</v>
          </cell>
          <cell r="H6514" t="str">
            <v>普通真核转录组文库</v>
          </cell>
          <cell r="I6514" t="str">
            <v>WWH</v>
          </cell>
          <cell r="J6514">
            <v>5.78</v>
          </cell>
          <cell r="N6514" t="e">
            <v>#DIV/0!</v>
          </cell>
        </row>
        <row r="6515">
          <cell r="E6515" t="str">
            <v>HGC-Lib-2459094</v>
          </cell>
          <cell r="F6515" t="str">
            <v>LR240712O-2480A</v>
          </cell>
          <cell r="G6515">
            <v>6</v>
          </cell>
          <cell r="H6515" t="str">
            <v>普通真核转录组文库</v>
          </cell>
          <cell r="I6515" t="str">
            <v>WWH</v>
          </cell>
          <cell r="J6515">
            <v>5.0999999999999996</v>
          </cell>
          <cell r="N6515" t="e">
            <v>#DIV/0!</v>
          </cell>
        </row>
        <row r="6516">
          <cell r="E6516" t="str">
            <v>HGC-Lib-2459095</v>
          </cell>
          <cell r="F6516" t="str">
            <v>LR240712O-2481A</v>
          </cell>
          <cell r="G6516">
            <v>6</v>
          </cell>
          <cell r="H6516" t="str">
            <v>普通真核转录组文库</v>
          </cell>
          <cell r="I6516" t="str">
            <v>WWH</v>
          </cell>
          <cell r="J6516">
            <v>1.55</v>
          </cell>
          <cell r="N6516" t="e">
            <v>#DIV/0!</v>
          </cell>
        </row>
        <row r="6517">
          <cell r="E6517" t="str">
            <v>HGC-Lib-2459096</v>
          </cell>
          <cell r="F6517" t="str">
            <v>LR240712O-2482A</v>
          </cell>
          <cell r="G6517">
            <v>6</v>
          </cell>
          <cell r="H6517" t="str">
            <v>普通真核转录组文库</v>
          </cell>
          <cell r="I6517" t="str">
            <v>WWH</v>
          </cell>
          <cell r="J6517">
            <v>5.5</v>
          </cell>
          <cell r="N6517" t="e">
            <v>#DIV/0!</v>
          </cell>
        </row>
        <row r="6518">
          <cell r="E6518" t="str">
            <v>HGC-Lib-2459097</v>
          </cell>
          <cell r="F6518" t="str">
            <v>LR240712O-2483A</v>
          </cell>
          <cell r="G6518">
            <v>6</v>
          </cell>
          <cell r="H6518" t="str">
            <v>普通真核转录组文库</v>
          </cell>
          <cell r="I6518" t="str">
            <v>WWH</v>
          </cell>
          <cell r="J6518">
            <v>7.36</v>
          </cell>
          <cell r="N6518" t="e">
            <v>#DIV/0!</v>
          </cell>
        </row>
        <row r="6519">
          <cell r="E6519" t="str">
            <v>HGC-Lib-2459098</v>
          </cell>
          <cell r="F6519" t="str">
            <v>LR240712O-2484A</v>
          </cell>
          <cell r="G6519">
            <v>6</v>
          </cell>
          <cell r="H6519" t="str">
            <v>普通真核转录组文库</v>
          </cell>
          <cell r="I6519" t="str">
            <v>WWH</v>
          </cell>
          <cell r="J6519">
            <v>6.84</v>
          </cell>
          <cell r="N6519" t="e">
            <v>#DIV/0!</v>
          </cell>
        </row>
        <row r="6520">
          <cell r="E6520" t="str">
            <v>HGC-Lib-2459099</v>
          </cell>
          <cell r="F6520" t="str">
            <v>LR240712O-2485A</v>
          </cell>
          <cell r="G6520">
            <v>6</v>
          </cell>
          <cell r="H6520" t="str">
            <v>普通真核转录组文库</v>
          </cell>
          <cell r="I6520" t="str">
            <v>HZK</v>
          </cell>
          <cell r="J6520">
            <v>3.62</v>
          </cell>
          <cell r="N6520" t="e">
            <v>#DIV/0!</v>
          </cell>
        </row>
        <row r="6521">
          <cell r="E6521" t="str">
            <v>HGC-Lib-2459100</v>
          </cell>
          <cell r="F6521" t="str">
            <v>LR240712O-2486A</v>
          </cell>
          <cell r="G6521">
            <v>6</v>
          </cell>
          <cell r="H6521" t="str">
            <v>普通真核转录组文库</v>
          </cell>
          <cell r="I6521" t="str">
            <v>HZK</v>
          </cell>
          <cell r="J6521">
            <v>5.04</v>
          </cell>
          <cell r="N6521" t="e">
            <v>#DIV/0!</v>
          </cell>
        </row>
        <row r="6522">
          <cell r="E6522" t="str">
            <v>HGC-Lib-2459101</v>
          </cell>
          <cell r="F6522" t="str">
            <v>LR240712O-2487A</v>
          </cell>
          <cell r="G6522">
            <v>6</v>
          </cell>
          <cell r="H6522" t="str">
            <v>普通真核转录组文库</v>
          </cell>
          <cell r="I6522" t="str">
            <v>HZK</v>
          </cell>
          <cell r="J6522">
            <v>7.44</v>
          </cell>
          <cell r="N6522" t="e">
            <v>#DIV/0!</v>
          </cell>
        </row>
        <row r="6523">
          <cell r="E6523" t="str">
            <v>HGC-Lib-2459102</v>
          </cell>
          <cell r="F6523" t="str">
            <v>LR240712O-2488A</v>
          </cell>
          <cell r="G6523">
            <v>6</v>
          </cell>
          <cell r="H6523" t="str">
            <v>普通真核转录组文库</v>
          </cell>
          <cell r="I6523" t="str">
            <v>HZK</v>
          </cell>
          <cell r="J6523">
            <v>3.76</v>
          </cell>
          <cell r="N6523" t="e">
            <v>#DIV/0!</v>
          </cell>
        </row>
        <row r="6524">
          <cell r="E6524" t="str">
            <v>HGC-Lib-2459103</v>
          </cell>
          <cell r="F6524" t="str">
            <v>LR240712O-2489A</v>
          </cell>
          <cell r="G6524">
            <v>6</v>
          </cell>
          <cell r="H6524" t="str">
            <v>普通真核转录组文库</v>
          </cell>
          <cell r="I6524" t="str">
            <v>HZK</v>
          </cell>
          <cell r="J6524">
            <v>4.9400000000000004</v>
          </cell>
          <cell r="N6524" t="e">
            <v>#DIV/0!</v>
          </cell>
        </row>
        <row r="6525">
          <cell r="E6525" t="str">
            <v>HGC-Lib-2459104</v>
          </cell>
          <cell r="F6525" t="str">
            <v>LR240712O-2490A</v>
          </cell>
          <cell r="G6525">
            <v>6</v>
          </cell>
          <cell r="H6525" t="str">
            <v>普通真核转录组文库</v>
          </cell>
          <cell r="I6525" t="str">
            <v>HZK</v>
          </cell>
          <cell r="J6525">
            <v>4</v>
          </cell>
          <cell r="N6525" t="e">
            <v>#DIV/0!</v>
          </cell>
        </row>
        <row r="6526">
          <cell r="E6526" t="str">
            <v>HGC-Lib-2459105</v>
          </cell>
          <cell r="F6526" t="str">
            <v>LM240514O-3137A</v>
          </cell>
          <cell r="G6526">
            <v>2</v>
          </cell>
          <cell r="H6526" t="str">
            <v>扩增子文库</v>
          </cell>
          <cell r="I6526" t="str">
            <v>HZK</v>
          </cell>
          <cell r="J6526">
            <v>33.200000000000003</v>
          </cell>
          <cell r="N6526" t="e">
            <v>#DIV/0!</v>
          </cell>
        </row>
        <row r="6527">
          <cell r="E6527" t="str">
            <v>HGC-Lib-2459106</v>
          </cell>
          <cell r="F6527" t="str">
            <v>LD240708D-0709A</v>
          </cell>
          <cell r="G6527">
            <v>2</v>
          </cell>
          <cell r="H6527" t="str">
            <v>DNA基因组文库</v>
          </cell>
          <cell r="I6527" t="str">
            <v>HZK</v>
          </cell>
          <cell r="J6527">
            <v>60.8</v>
          </cell>
          <cell r="N6527" t="e">
            <v>#DIV/0!</v>
          </cell>
        </row>
        <row r="6528">
          <cell r="E6528" t="str">
            <v>HGC-Lib-2459107</v>
          </cell>
          <cell r="F6528" t="str">
            <v>LD240708D-0710A</v>
          </cell>
          <cell r="G6528">
            <v>2</v>
          </cell>
          <cell r="H6528" t="str">
            <v>DNA基因组文库</v>
          </cell>
          <cell r="I6528" t="str">
            <v>HZK</v>
          </cell>
          <cell r="J6528">
            <v>56.4</v>
          </cell>
          <cell r="N6528" t="e">
            <v>#DIV/0!</v>
          </cell>
        </row>
        <row r="6529">
          <cell r="E6529" t="str">
            <v>HGC-Lib-2459108</v>
          </cell>
          <cell r="F6529" t="str">
            <v>LD240708D-0711A</v>
          </cell>
          <cell r="G6529">
            <v>2</v>
          </cell>
          <cell r="H6529" t="str">
            <v>DNA基因组文库</v>
          </cell>
          <cell r="I6529" t="str">
            <v>HZK</v>
          </cell>
          <cell r="J6529">
            <v>87.8</v>
          </cell>
          <cell r="N6529" t="e">
            <v>#DIV/0!</v>
          </cell>
        </row>
        <row r="6530">
          <cell r="E6530" t="str">
            <v>HGC-Lib-2459109</v>
          </cell>
          <cell r="F6530" t="str">
            <v>LD240708D-0712A</v>
          </cell>
          <cell r="G6530">
            <v>2</v>
          </cell>
          <cell r="H6530" t="str">
            <v>DNA基因组文库</v>
          </cell>
          <cell r="I6530" t="str">
            <v>HZK</v>
          </cell>
          <cell r="J6530">
            <v>94</v>
          </cell>
          <cell r="N6530" t="e">
            <v>#DIV/0!</v>
          </cell>
        </row>
        <row r="6531">
          <cell r="E6531" t="str">
            <v>HGC-Lib-2459110</v>
          </cell>
          <cell r="F6531" t="str">
            <v>LD240708D-0713A</v>
          </cell>
          <cell r="G6531">
            <v>2</v>
          </cell>
          <cell r="H6531" t="str">
            <v>DNA基因组文库</v>
          </cell>
          <cell r="I6531" t="str">
            <v>HZK</v>
          </cell>
          <cell r="J6531">
            <v>46.6</v>
          </cell>
          <cell r="N6531" t="e">
            <v>#DIV/0!</v>
          </cell>
        </row>
        <row r="6532">
          <cell r="E6532" t="str">
            <v>HGC-Lib-2459111</v>
          </cell>
          <cell r="F6532" t="str">
            <v>LD240708D-0714A</v>
          </cell>
          <cell r="G6532">
            <v>2</v>
          </cell>
          <cell r="H6532" t="str">
            <v>DNA基因组文库</v>
          </cell>
          <cell r="I6532" t="str">
            <v>HZK</v>
          </cell>
          <cell r="J6532">
            <v>66.599999999999994</v>
          </cell>
          <cell r="N6532" t="e">
            <v>#DIV/0!</v>
          </cell>
        </row>
        <row r="6533">
          <cell r="E6533" t="str">
            <v>HGC-Lib-2459112</v>
          </cell>
          <cell r="F6533" t="str">
            <v>Liver1</v>
          </cell>
          <cell r="G6533">
            <v>10</v>
          </cell>
          <cell r="H6533" t="str">
            <v>ATAC-Seq文库</v>
          </cell>
          <cell r="I6533" t="str">
            <v>ZZ</v>
          </cell>
          <cell r="J6533">
            <v>13.2</v>
          </cell>
          <cell r="K6533">
            <v>489</v>
          </cell>
          <cell r="L6533" t="str">
            <v>GZQ</v>
          </cell>
          <cell r="N6533">
            <v>41.529023124115099</v>
          </cell>
        </row>
        <row r="6534">
          <cell r="E6534" t="str">
            <v>HGC-Lib-2459113</v>
          </cell>
          <cell r="F6534" t="str">
            <v>Liver2</v>
          </cell>
          <cell r="G6534">
            <v>10</v>
          </cell>
          <cell r="H6534" t="str">
            <v>ATAC-Seq文库</v>
          </cell>
          <cell r="I6534" t="str">
            <v>ZZ</v>
          </cell>
          <cell r="J6534">
            <v>12.4</v>
          </cell>
          <cell r="K6534">
            <v>524</v>
          </cell>
          <cell r="L6534" t="str">
            <v>GZQ</v>
          </cell>
          <cell r="N6534">
            <v>36.406341749853198</v>
          </cell>
        </row>
        <row r="6535">
          <cell r="E6535" t="str">
            <v>HGC-Lib-2459114</v>
          </cell>
          <cell r="F6535" t="str">
            <v>Brain1</v>
          </cell>
          <cell r="G6535">
            <v>10</v>
          </cell>
          <cell r="H6535" t="str">
            <v>ATAC-Seq文库</v>
          </cell>
          <cell r="I6535" t="str">
            <v>ZZ</v>
          </cell>
          <cell r="J6535">
            <v>14.3</v>
          </cell>
          <cell r="K6535">
            <v>515</v>
          </cell>
          <cell r="L6535" t="str">
            <v>GZQ</v>
          </cell>
          <cell r="N6535">
            <v>42.7184466019417</v>
          </cell>
        </row>
        <row r="6536">
          <cell r="E6536" t="str">
            <v>HGC-Lib-2459115</v>
          </cell>
          <cell r="F6536" t="str">
            <v>Brain2</v>
          </cell>
          <cell r="G6536">
            <v>10</v>
          </cell>
          <cell r="H6536" t="str">
            <v>ATAC-Seq文库</v>
          </cell>
          <cell r="I6536" t="str">
            <v>ZZ</v>
          </cell>
          <cell r="J6536">
            <v>13.9</v>
          </cell>
          <cell r="K6536">
            <v>519</v>
          </cell>
          <cell r="L6536" t="str">
            <v>GZQ</v>
          </cell>
          <cell r="N6536">
            <v>41.203497850896703</v>
          </cell>
        </row>
        <row r="6537">
          <cell r="E6537" t="str">
            <v>HGC-Lib-2459119</v>
          </cell>
          <cell r="F6537" t="str">
            <v>YX20</v>
          </cell>
          <cell r="G6537">
            <v>10</v>
          </cell>
          <cell r="H6537" t="str">
            <v>mRNA文库</v>
          </cell>
          <cell r="I6537" t="str">
            <v>ZZ</v>
          </cell>
          <cell r="J6537">
            <v>93</v>
          </cell>
          <cell r="K6537">
            <v>413</v>
          </cell>
          <cell r="L6537" t="str">
            <v>GZQ</v>
          </cell>
          <cell r="N6537">
            <v>346.43322778916001</v>
          </cell>
        </row>
        <row r="6538">
          <cell r="E6538" t="str">
            <v>HGC-Lib-2459120</v>
          </cell>
          <cell r="F6538" t="str">
            <v>YX21</v>
          </cell>
          <cell r="G6538">
            <v>10</v>
          </cell>
          <cell r="H6538" t="str">
            <v>mRNA文库</v>
          </cell>
          <cell r="I6538" t="str">
            <v>ZZ</v>
          </cell>
          <cell r="J6538">
            <v>102</v>
          </cell>
          <cell r="K6538">
            <v>456</v>
          </cell>
          <cell r="L6538" t="str">
            <v>GZQ</v>
          </cell>
          <cell r="N6538">
            <v>344.12955465586998</v>
          </cell>
        </row>
        <row r="6539">
          <cell r="E6539" t="str">
            <v>HGC-Lib-2459121</v>
          </cell>
          <cell r="F6539" t="str">
            <v>YX22</v>
          </cell>
          <cell r="G6539">
            <v>10</v>
          </cell>
          <cell r="H6539" t="str">
            <v>mRNA文库</v>
          </cell>
          <cell r="I6539" t="str">
            <v>ZZ</v>
          </cell>
          <cell r="J6539">
            <v>108</v>
          </cell>
          <cell r="K6539">
            <v>455</v>
          </cell>
          <cell r="L6539" t="str">
            <v>GZQ</v>
          </cell>
          <cell r="N6539">
            <v>365.17328825021099</v>
          </cell>
        </row>
        <row r="6540">
          <cell r="E6540" t="str">
            <v>HGC-Lib-2459122</v>
          </cell>
          <cell r="F6540" t="str">
            <v>YX23</v>
          </cell>
          <cell r="G6540">
            <v>10</v>
          </cell>
          <cell r="H6540" t="str">
            <v>mRNA文库</v>
          </cell>
          <cell r="I6540" t="str">
            <v>ZZ</v>
          </cell>
          <cell r="J6540">
            <v>97.6</v>
          </cell>
          <cell r="K6540">
            <v>456</v>
          </cell>
          <cell r="L6540" t="str">
            <v>GZQ</v>
          </cell>
          <cell r="N6540">
            <v>329.28475033738198</v>
          </cell>
        </row>
        <row r="6541">
          <cell r="E6541" t="str">
            <v>HGC-Lib-2459123</v>
          </cell>
          <cell r="F6541" t="str">
            <v>YX24</v>
          </cell>
          <cell r="G6541">
            <v>10</v>
          </cell>
          <cell r="H6541" t="str">
            <v>mRNA文库</v>
          </cell>
          <cell r="I6541" t="str">
            <v>ZZ</v>
          </cell>
          <cell r="J6541">
            <v>98.6</v>
          </cell>
          <cell r="K6541">
            <v>466</v>
          </cell>
          <cell r="L6541" t="str">
            <v>GZQ</v>
          </cell>
          <cell r="N6541">
            <v>325.51997358864298</v>
          </cell>
        </row>
        <row r="6542">
          <cell r="E6542" t="str">
            <v>HGC-Lib-2459124</v>
          </cell>
          <cell r="F6542" t="str">
            <v>YX26</v>
          </cell>
          <cell r="G6542">
            <v>10</v>
          </cell>
          <cell r="H6542" t="str">
            <v>mRNA文库</v>
          </cell>
          <cell r="I6542" t="str">
            <v>ZZ</v>
          </cell>
          <cell r="J6542">
            <v>120</v>
          </cell>
          <cell r="K6542">
            <v>454</v>
          </cell>
          <cell r="L6542" t="str">
            <v>GZQ</v>
          </cell>
          <cell r="N6542">
            <v>406.641816333446</v>
          </cell>
        </row>
        <row r="6543">
          <cell r="E6543" t="str">
            <v>HGC-POOL-2459125</v>
          </cell>
          <cell r="F6543" t="str">
            <v>JYZ-HT240725A</v>
          </cell>
          <cell r="G6543">
            <v>264</v>
          </cell>
          <cell r="H6543" t="str">
            <v>mRNA文库</v>
          </cell>
          <cell r="I6543" t="str">
            <v>ZZ</v>
          </cell>
          <cell r="J6543">
            <v>19.5</v>
          </cell>
          <cell r="K6543">
            <v>368</v>
          </cell>
          <cell r="L6543" t="str">
            <v>GZQ</v>
          </cell>
          <cell r="N6543">
            <v>81.521739130434796</v>
          </cell>
        </row>
        <row r="6544">
          <cell r="E6544" t="str">
            <v>HGC-POOL-2459126</v>
          </cell>
          <cell r="F6544" t="str">
            <v>JYZ-HT240725B</v>
          </cell>
          <cell r="G6544">
            <v>264</v>
          </cell>
          <cell r="H6544" t="str">
            <v>mRNA文库</v>
          </cell>
          <cell r="I6544" t="str">
            <v>ZZ</v>
          </cell>
          <cell r="J6544">
            <v>5.34</v>
          </cell>
          <cell r="K6544">
            <v>445</v>
          </cell>
          <cell r="L6544" t="str">
            <v>GZQ</v>
          </cell>
          <cell r="N6544">
            <v>18.461538461538499</v>
          </cell>
        </row>
        <row r="6545">
          <cell r="E6545" t="str">
            <v>HGC-POOL-2459127</v>
          </cell>
          <cell r="F6545" t="str">
            <v>ZLZ-HT240725C</v>
          </cell>
          <cell r="G6545">
            <v>158</v>
          </cell>
          <cell r="H6545" t="str">
            <v>mRNA文库</v>
          </cell>
          <cell r="I6545" t="str">
            <v>ZZ</v>
          </cell>
          <cell r="J6545">
            <v>19.100000000000001</v>
          </cell>
          <cell r="K6545">
            <v>459</v>
          </cell>
          <cell r="L6545" t="str">
            <v>GZQ</v>
          </cell>
          <cell r="N6545">
            <v>64.018769901122795</v>
          </cell>
        </row>
        <row r="6546">
          <cell r="E6546" t="str">
            <v>HGC-POOL-2459128</v>
          </cell>
          <cell r="F6546" t="str">
            <v>ZLZ-HT240725I</v>
          </cell>
          <cell r="G6546">
            <v>139</v>
          </cell>
          <cell r="H6546" t="str">
            <v>mRNA文库</v>
          </cell>
          <cell r="I6546" t="str">
            <v>ZZ</v>
          </cell>
          <cell r="J6546">
            <v>18.5</v>
          </cell>
          <cell r="K6546">
            <v>483</v>
          </cell>
          <cell r="L6546" t="str">
            <v>GZQ</v>
          </cell>
          <cell r="N6546">
            <v>58.9265806657111</v>
          </cell>
        </row>
        <row r="6547">
          <cell r="E6547" t="str">
            <v>HGC-Lib-2459129</v>
          </cell>
          <cell r="F6547" t="str">
            <v>F22-1</v>
          </cell>
          <cell r="G6547">
            <v>10</v>
          </cell>
          <cell r="H6547" t="str">
            <v>cut&amp;tag文库</v>
          </cell>
          <cell r="I6547" t="str">
            <v>ZZ</v>
          </cell>
          <cell r="J6547">
            <v>15.6</v>
          </cell>
          <cell r="K6547">
            <v>530</v>
          </cell>
          <cell r="L6547" t="str">
            <v>GZQ</v>
          </cell>
          <cell r="N6547">
            <v>45.283018867924497</v>
          </cell>
        </row>
        <row r="6548">
          <cell r="E6548" t="str">
            <v>HGC-Lib-2459130</v>
          </cell>
          <cell r="F6548" t="str">
            <v>F22-2</v>
          </cell>
          <cell r="G6548">
            <v>10</v>
          </cell>
          <cell r="H6548" t="str">
            <v>cut&amp;tag文库</v>
          </cell>
          <cell r="I6548" t="str">
            <v>ZZ</v>
          </cell>
          <cell r="J6548">
            <v>15.4</v>
          </cell>
          <cell r="K6548">
            <v>528</v>
          </cell>
          <cell r="L6548" t="str">
            <v>GZQ</v>
          </cell>
          <cell r="N6548">
            <v>44.871794871794897</v>
          </cell>
        </row>
        <row r="6549">
          <cell r="E6549" t="str">
            <v>HGC-Lib-2459131</v>
          </cell>
          <cell r="F6549" t="str">
            <v>F31-1</v>
          </cell>
          <cell r="G6549">
            <v>10</v>
          </cell>
          <cell r="H6549" t="str">
            <v>cut&amp;tag文库</v>
          </cell>
          <cell r="I6549" t="str">
            <v>ZZ</v>
          </cell>
          <cell r="J6549">
            <v>26.4</v>
          </cell>
          <cell r="K6549">
            <v>500</v>
          </cell>
          <cell r="L6549" t="str">
            <v>GZQ</v>
          </cell>
          <cell r="N6549">
            <v>81.230769230769198</v>
          </cell>
        </row>
        <row r="6550">
          <cell r="E6550" t="str">
            <v>HGC-Lib-2459132</v>
          </cell>
          <cell r="F6550" t="str">
            <v>F31-2</v>
          </cell>
          <cell r="G6550">
            <v>10</v>
          </cell>
          <cell r="H6550" t="str">
            <v>cut&amp;tag文库</v>
          </cell>
          <cell r="I6550" t="str">
            <v>ZZ</v>
          </cell>
          <cell r="J6550">
            <v>25</v>
          </cell>
          <cell r="K6550">
            <v>498</v>
          </cell>
          <cell r="L6550" t="str">
            <v>GZQ</v>
          </cell>
          <cell r="N6550">
            <v>77.232004942848306</v>
          </cell>
        </row>
        <row r="6551">
          <cell r="E6551" t="str">
            <v>HGC-Lib-2459133</v>
          </cell>
          <cell r="F6551" t="str">
            <v>KO RNA-seq lib</v>
          </cell>
          <cell r="G6551">
            <v>6</v>
          </cell>
          <cell r="H6551" t="str">
            <v>mRNA文库</v>
          </cell>
          <cell r="I6551" t="str">
            <v>ZZ</v>
          </cell>
          <cell r="J6551">
            <v>31.4</v>
          </cell>
          <cell r="K6551">
            <v>356</v>
          </cell>
          <cell r="L6551" t="str">
            <v>GZQ</v>
          </cell>
          <cell r="N6551">
            <v>135.695764909248</v>
          </cell>
        </row>
        <row r="6552">
          <cell r="E6552" t="str">
            <v>HGC-Lib-2459134</v>
          </cell>
          <cell r="F6552" t="str">
            <v>WT RNA-seq lib</v>
          </cell>
          <cell r="G6552">
            <v>6</v>
          </cell>
          <cell r="H6552" t="str">
            <v>mRNA文库</v>
          </cell>
          <cell r="I6552" t="str">
            <v>ZZ</v>
          </cell>
          <cell r="J6552">
            <v>21.6</v>
          </cell>
          <cell r="K6552">
            <v>318</v>
          </cell>
          <cell r="L6552" t="str">
            <v>GZQ</v>
          </cell>
          <cell r="N6552">
            <v>104.499274310595</v>
          </cell>
        </row>
        <row r="6553">
          <cell r="E6553" t="str">
            <v>HGC-Lib-2459163</v>
          </cell>
          <cell r="F6553" t="str">
            <v>B67-Liver-dUTP</v>
          </cell>
          <cell r="G6553">
            <v>6</v>
          </cell>
          <cell r="H6553" t="str">
            <v>mRNA文库</v>
          </cell>
          <cell r="I6553" t="str">
            <v>ZZ</v>
          </cell>
          <cell r="J6553">
            <v>9.5</v>
          </cell>
          <cell r="K6553">
            <v>396</v>
          </cell>
          <cell r="L6553" t="str">
            <v>GZQ</v>
          </cell>
          <cell r="N6553">
            <v>36.907536907536901</v>
          </cell>
        </row>
        <row r="6554">
          <cell r="E6554" t="str">
            <v>HGC-Lib-2459164</v>
          </cell>
          <cell r="F6554" t="str">
            <v>S880-Liver-dUTP</v>
          </cell>
          <cell r="G6554">
            <v>6</v>
          </cell>
          <cell r="H6554" t="str">
            <v>mRNA文库</v>
          </cell>
          <cell r="I6554" t="str">
            <v>ZZ</v>
          </cell>
          <cell r="J6554">
            <v>17.399999999999999</v>
          </cell>
          <cell r="K6554">
            <v>393</v>
          </cell>
          <cell r="L6554" t="str">
            <v>GZQ</v>
          </cell>
          <cell r="N6554">
            <v>68.115091015854404</v>
          </cell>
        </row>
        <row r="6555">
          <cell r="E6555" t="str">
            <v>HGC-Lib-2459165</v>
          </cell>
          <cell r="F6555" t="str">
            <v>B69-Liver-dUTP</v>
          </cell>
          <cell r="G6555">
            <v>6</v>
          </cell>
          <cell r="H6555" t="str">
            <v>mRNA文库</v>
          </cell>
          <cell r="I6555" t="str">
            <v>ZZ</v>
          </cell>
          <cell r="J6555">
            <v>16.399999999999999</v>
          </cell>
          <cell r="K6555">
            <v>396</v>
          </cell>
          <cell r="L6555" t="str">
            <v>GZQ</v>
          </cell>
          <cell r="N6555">
            <v>63.714063714063698</v>
          </cell>
        </row>
        <row r="6556">
          <cell r="E6556" t="str">
            <v>HGC-Lib-2459166</v>
          </cell>
          <cell r="F6556" t="str">
            <v>B70-Liver-dUTP</v>
          </cell>
          <cell r="G6556">
            <v>6</v>
          </cell>
          <cell r="H6556" t="str">
            <v>mRNA文库</v>
          </cell>
          <cell r="I6556" t="str">
            <v>ZZ</v>
          </cell>
          <cell r="J6556">
            <v>14.7</v>
          </cell>
          <cell r="K6556">
            <v>379</v>
          </cell>
          <cell r="L6556" t="str">
            <v>GZQ</v>
          </cell>
          <cell r="N6556">
            <v>59.671199512888201</v>
          </cell>
        </row>
        <row r="6557">
          <cell r="E6557" t="str">
            <v>HGC-Lib-2459167</v>
          </cell>
          <cell r="F6557" t="str">
            <v>B71-Liver-dUTP</v>
          </cell>
          <cell r="G6557">
            <v>6</v>
          </cell>
          <cell r="H6557" t="str">
            <v>mRNA文库</v>
          </cell>
          <cell r="I6557" t="str">
            <v>ZZ</v>
          </cell>
          <cell r="J6557">
            <v>6.68</v>
          </cell>
          <cell r="K6557">
            <v>365</v>
          </cell>
          <cell r="L6557" t="str">
            <v>GZQ</v>
          </cell>
          <cell r="N6557">
            <v>28.155953635405702</v>
          </cell>
        </row>
        <row r="6558">
          <cell r="E6558" t="str">
            <v>HGC-Lib-2459168</v>
          </cell>
          <cell r="F6558" t="str">
            <v>B72-Liver-dUTP</v>
          </cell>
          <cell r="G6558">
            <v>6</v>
          </cell>
          <cell r="H6558" t="str">
            <v>mRNA文库</v>
          </cell>
          <cell r="I6558" t="str">
            <v>ZZ</v>
          </cell>
          <cell r="J6558">
            <v>12.5</v>
          </cell>
          <cell r="K6558">
            <v>385</v>
          </cell>
          <cell r="L6558" t="str">
            <v>GZQ</v>
          </cell>
          <cell r="N6558">
            <v>49.950049950049902</v>
          </cell>
        </row>
        <row r="6559">
          <cell r="E6559" t="str">
            <v>HGC-Lib-2459169</v>
          </cell>
          <cell r="F6559" t="str">
            <v>B73-Liver-dUTP</v>
          </cell>
          <cell r="G6559">
            <v>6</v>
          </cell>
          <cell r="H6559" t="str">
            <v>mRNA文库</v>
          </cell>
          <cell r="I6559" t="str">
            <v>ZZ</v>
          </cell>
          <cell r="J6559">
            <v>13.3</v>
          </cell>
          <cell r="K6559">
            <v>375</v>
          </cell>
          <cell r="L6559" t="str">
            <v>GZQ</v>
          </cell>
          <cell r="N6559">
            <v>54.564102564102598</v>
          </cell>
        </row>
        <row r="6560">
          <cell r="E6560" t="str">
            <v>HGC-Lib-2459170</v>
          </cell>
          <cell r="F6560" t="str">
            <v>B74-Liver-dUTP</v>
          </cell>
          <cell r="G6560">
            <v>6</v>
          </cell>
          <cell r="H6560" t="str">
            <v>mRNA文库</v>
          </cell>
          <cell r="I6560" t="str">
            <v>ZZ</v>
          </cell>
          <cell r="J6560">
            <v>12.6</v>
          </cell>
          <cell r="K6560">
            <v>367</v>
          </cell>
          <cell r="L6560" t="str">
            <v>GZQ</v>
          </cell>
          <cell r="N6560">
            <v>52.819115489415204</v>
          </cell>
        </row>
        <row r="6561">
          <cell r="E6561" t="str">
            <v>HGC-Lib-2459171</v>
          </cell>
          <cell r="F6561" t="str">
            <v>CS4585-Liver-dUTP</v>
          </cell>
          <cell r="G6561">
            <v>6</v>
          </cell>
          <cell r="H6561" t="str">
            <v>mRNA文库</v>
          </cell>
          <cell r="I6561" t="str">
            <v>ZZ</v>
          </cell>
          <cell r="J6561">
            <v>5.0599999999999996</v>
          </cell>
          <cell r="K6561">
            <v>404</v>
          </cell>
          <cell r="L6561" t="str">
            <v>GZQ</v>
          </cell>
          <cell r="N6561">
            <v>19.268849961919301</v>
          </cell>
        </row>
        <row r="6562">
          <cell r="E6562" t="str">
            <v>HGC-Lib-2459172</v>
          </cell>
          <cell r="F6562" t="str">
            <v>CS4586-Liver-dUTP</v>
          </cell>
          <cell r="G6562">
            <v>6</v>
          </cell>
          <cell r="H6562" t="str">
            <v>mRNA文库</v>
          </cell>
          <cell r="I6562" t="str">
            <v>ZZ</v>
          </cell>
          <cell r="J6562">
            <v>14.9</v>
          </cell>
          <cell r="K6562">
            <v>352</v>
          </cell>
          <cell r="L6562" t="str">
            <v>GZQ</v>
          </cell>
          <cell r="N6562">
            <v>65.122377622377599</v>
          </cell>
        </row>
        <row r="6563">
          <cell r="E6563" t="str">
            <v>HGC-Lib-2459173</v>
          </cell>
          <cell r="F6563" t="str">
            <v>CS4587-Liver-dUTP</v>
          </cell>
          <cell r="G6563">
            <v>6</v>
          </cell>
          <cell r="H6563" t="str">
            <v>mRNA文库</v>
          </cell>
          <cell r="I6563" t="str">
            <v>ZZ</v>
          </cell>
          <cell r="J6563">
            <v>8.64</v>
          </cell>
          <cell r="K6563">
            <v>313</v>
          </cell>
          <cell r="L6563" t="str">
            <v>GZQ</v>
          </cell>
          <cell r="N6563">
            <v>42.467436716637998</v>
          </cell>
        </row>
        <row r="6564">
          <cell r="E6564" t="str">
            <v>HGC-2459222</v>
          </cell>
          <cell r="F6564" t="str">
            <v>1000H</v>
          </cell>
          <cell r="G6564">
            <v>10</v>
          </cell>
          <cell r="H6564" t="str">
            <v>cut&amp;tag文库</v>
          </cell>
          <cell r="I6564" t="str">
            <v>ZZ</v>
          </cell>
          <cell r="J6564">
            <v>12.6</v>
          </cell>
          <cell r="K6564">
            <v>462</v>
          </cell>
          <cell r="L6564" t="str">
            <v>GZQ</v>
          </cell>
          <cell r="N6564">
            <v>41.958041958042003</v>
          </cell>
        </row>
        <row r="6565">
          <cell r="E6565" t="str">
            <v>HGC-2459223</v>
          </cell>
          <cell r="F6565" t="str">
            <v>1000C</v>
          </cell>
          <cell r="G6565">
            <v>10</v>
          </cell>
          <cell r="H6565" t="str">
            <v>cut&amp;tag文库</v>
          </cell>
          <cell r="I6565" t="str">
            <v>ZZ</v>
          </cell>
          <cell r="J6565">
            <v>17.100000000000001</v>
          </cell>
          <cell r="K6565">
            <v>381</v>
          </cell>
          <cell r="L6565" t="str">
            <v>GZQ</v>
          </cell>
          <cell r="N6565">
            <v>69.049061175045395</v>
          </cell>
        </row>
        <row r="6566">
          <cell r="E6566" t="str">
            <v>HGC-POOL-2459224</v>
          </cell>
          <cell r="F6566" t="str">
            <v>240724-FUCCI</v>
          </cell>
          <cell r="G6566">
            <v>96</v>
          </cell>
          <cell r="H6566" t="str">
            <v>mRNA文库</v>
          </cell>
          <cell r="I6566" t="str">
            <v>ZZ</v>
          </cell>
          <cell r="J6566">
            <v>43.4</v>
          </cell>
          <cell r="K6566">
            <v>449</v>
          </cell>
          <cell r="L6566" t="str">
            <v>GZQ</v>
          </cell>
          <cell r="N6566">
            <v>148.70652732568101</v>
          </cell>
        </row>
        <row r="6567">
          <cell r="E6567" t="str">
            <v>HGC-Lib-2459189</v>
          </cell>
          <cell r="F6567" t="str">
            <v>LC240706003X1</v>
          </cell>
          <cell r="G6567">
            <v>30</v>
          </cell>
          <cell r="H6567" t="str">
            <v>singleron-3'转录组文库</v>
          </cell>
          <cell r="I6567" t="str">
            <v>GZQ</v>
          </cell>
          <cell r="J6567">
            <v>17.100000000000001</v>
          </cell>
          <cell r="N6567" t="e">
            <v>#DIV/0!</v>
          </cell>
        </row>
        <row r="6568">
          <cell r="E6568" t="str">
            <v>HGC-Lib-2459190</v>
          </cell>
          <cell r="F6568" t="str">
            <v>LC240706004X1</v>
          </cell>
          <cell r="G6568">
            <v>30</v>
          </cell>
          <cell r="H6568" t="str">
            <v>singleron-3'转录组文库</v>
          </cell>
          <cell r="I6568" t="str">
            <v>GZQ</v>
          </cell>
          <cell r="J6568">
            <v>20.6</v>
          </cell>
          <cell r="N6568" t="e">
            <v>#DIV/0!</v>
          </cell>
        </row>
        <row r="6569">
          <cell r="E6569" t="str">
            <v>HGC-Lib-2459191</v>
          </cell>
          <cell r="F6569" t="str">
            <v>LC240706003CT</v>
          </cell>
          <cell r="G6569">
            <v>30</v>
          </cell>
          <cell r="H6569" t="str">
            <v>singleron-3'转录组文库</v>
          </cell>
          <cell r="I6569" t="str">
            <v>GZQ</v>
          </cell>
          <cell r="J6569">
            <v>17.8</v>
          </cell>
          <cell r="N6569" t="e">
            <v>#DIV/0!</v>
          </cell>
        </row>
        <row r="6570">
          <cell r="E6570" t="str">
            <v>HGC-Lib-2459192</v>
          </cell>
          <cell r="F6570" t="str">
            <v>LC240706004CTX2</v>
          </cell>
          <cell r="G6570">
            <v>30</v>
          </cell>
          <cell r="H6570" t="str">
            <v>singleron-3'转录组文库</v>
          </cell>
          <cell r="I6570" t="str">
            <v>GZQ</v>
          </cell>
          <cell r="J6570">
            <v>16</v>
          </cell>
          <cell r="N6570" t="e">
            <v>#DIV/0!</v>
          </cell>
        </row>
        <row r="6571">
          <cell r="E6571" t="str">
            <v>HGC-Lib-2459193</v>
          </cell>
          <cell r="F6571" t="str">
            <v>LC240721001</v>
          </cell>
          <cell r="G6571">
            <v>90</v>
          </cell>
          <cell r="H6571" t="str">
            <v>singleron-3'转录组文库</v>
          </cell>
          <cell r="I6571" t="str">
            <v>GZQ</v>
          </cell>
          <cell r="J6571">
            <v>15.4</v>
          </cell>
          <cell r="N6571" t="e">
            <v>#DIV/0!</v>
          </cell>
        </row>
        <row r="6572">
          <cell r="E6572" t="str">
            <v>HGC-Lib-2459194</v>
          </cell>
          <cell r="F6572" t="str">
            <v>LC240721002</v>
          </cell>
          <cell r="G6572">
            <v>90</v>
          </cell>
          <cell r="H6572" t="str">
            <v>singleron-3'转录组文库</v>
          </cell>
          <cell r="I6572" t="str">
            <v>GZQ</v>
          </cell>
          <cell r="J6572">
            <v>12</v>
          </cell>
          <cell r="N6572" t="e">
            <v>#DIV/0!</v>
          </cell>
        </row>
        <row r="6573">
          <cell r="E6573" t="str">
            <v>HGC-Lib-2459195</v>
          </cell>
          <cell r="F6573" t="str">
            <v>LC240721018</v>
          </cell>
          <cell r="G6573">
            <v>150</v>
          </cell>
          <cell r="H6573" t="str">
            <v>singleron-3'转录组文库</v>
          </cell>
          <cell r="I6573" t="str">
            <v>GZQ</v>
          </cell>
          <cell r="J6573">
            <v>14</v>
          </cell>
          <cell r="N6573" t="e">
            <v>#DIV/0!</v>
          </cell>
        </row>
        <row r="6574">
          <cell r="E6574" t="str">
            <v>HGC-Lib-2459196</v>
          </cell>
          <cell r="F6574" t="str">
            <v>LTBA240719063</v>
          </cell>
          <cell r="G6574">
            <v>100</v>
          </cell>
          <cell r="H6574" t="str">
            <v>singleron-3'转录组文库</v>
          </cell>
          <cell r="I6574" t="str">
            <v>GZQ</v>
          </cell>
          <cell r="J6574">
            <v>7.44</v>
          </cell>
          <cell r="N6574" t="e">
            <v>#DIV/0!</v>
          </cell>
        </row>
        <row r="6575">
          <cell r="E6575" t="str">
            <v>HGC-Lib-2459197</v>
          </cell>
          <cell r="F6575" t="str">
            <v>LA240719068</v>
          </cell>
          <cell r="G6575">
            <v>100</v>
          </cell>
          <cell r="H6575" t="str">
            <v>singleron-3'转录组文库</v>
          </cell>
          <cell r="I6575" t="str">
            <v>GZQ</v>
          </cell>
          <cell r="J6575">
            <v>19.100000000000001</v>
          </cell>
          <cell r="N6575" t="e">
            <v>#DIV/0!</v>
          </cell>
        </row>
        <row r="6576">
          <cell r="E6576" t="str">
            <v>HGC-Lib-2459198</v>
          </cell>
          <cell r="F6576" t="str">
            <v>LTBA240719064X1</v>
          </cell>
          <cell r="G6576">
            <v>100</v>
          </cell>
          <cell r="H6576" t="str">
            <v>singleron-3'转录组文库</v>
          </cell>
          <cell r="I6576" t="str">
            <v>GZQ</v>
          </cell>
          <cell r="J6576">
            <v>9.14</v>
          </cell>
          <cell r="N6576" t="e">
            <v>#DIV/0!</v>
          </cell>
        </row>
        <row r="6577">
          <cell r="E6577" t="str">
            <v>HGC-Lib-2459199</v>
          </cell>
          <cell r="F6577" t="str">
            <v>LTBA240719065X1</v>
          </cell>
          <cell r="G6577">
            <v>100</v>
          </cell>
          <cell r="H6577" t="str">
            <v>singleron-3'转录组文库</v>
          </cell>
          <cell r="I6577" t="str">
            <v>GZQ</v>
          </cell>
          <cell r="J6577">
            <v>10.5</v>
          </cell>
          <cell r="N6577" t="e">
            <v>#DIV/0!</v>
          </cell>
        </row>
        <row r="6578">
          <cell r="E6578" t="str">
            <v>HGC-Lib-2459200</v>
          </cell>
          <cell r="F6578" t="str">
            <v>LTBA240719066X1</v>
          </cell>
          <cell r="G6578">
            <v>100</v>
          </cell>
          <cell r="H6578" t="str">
            <v>singleron-3'转录组文库</v>
          </cell>
          <cell r="I6578" t="str">
            <v>GZQ</v>
          </cell>
          <cell r="J6578">
            <v>9.52</v>
          </cell>
          <cell r="N6578" t="e">
            <v>#DIV/0!</v>
          </cell>
        </row>
        <row r="6579">
          <cell r="E6579" t="str">
            <v>HGC-Lib-2459201</v>
          </cell>
          <cell r="F6579" t="str">
            <v>LC240719172</v>
          </cell>
          <cell r="G6579">
            <v>100</v>
          </cell>
          <cell r="H6579" t="str">
            <v>singleron-3'转录组文库</v>
          </cell>
          <cell r="I6579" t="str">
            <v>GZQ</v>
          </cell>
          <cell r="J6579">
            <v>9.6</v>
          </cell>
          <cell r="N6579" t="e">
            <v>#DIV/0!</v>
          </cell>
        </row>
        <row r="6580">
          <cell r="E6580" t="str">
            <v>HGC-Lib-2459202</v>
          </cell>
          <cell r="F6580" t="str">
            <v>LC240720001</v>
          </cell>
          <cell r="G6580">
            <v>100</v>
          </cell>
          <cell r="H6580" t="str">
            <v>singleron-3'转录组文库</v>
          </cell>
          <cell r="I6580" t="str">
            <v>GZQ</v>
          </cell>
          <cell r="J6580">
            <v>8.86</v>
          </cell>
          <cell r="N6580" t="e">
            <v>#DIV/0!</v>
          </cell>
        </row>
        <row r="6581">
          <cell r="E6581" t="str">
            <v>HGC-Lib-2459203</v>
          </cell>
          <cell r="F6581" t="str">
            <v>LC240720094</v>
          </cell>
          <cell r="G6581">
            <v>100</v>
          </cell>
          <cell r="H6581" t="str">
            <v>singleron-3'转录组文库</v>
          </cell>
          <cell r="I6581" t="str">
            <v>GZQ</v>
          </cell>
          <cell r="J6581">
            <v>12.7</v>
          </cell>
          <cell r="N6581" t="e">
            <v>#DIV/0!</v>
          </cell>
        </row>
        <row r="6582">
          <cell r="E6582" t="str">
            <v>HGC-Lib-2459204</v>
          </cell>
          <cell r="F6582" t="str">
            <v>LHC240720095</v>
          </cell>
          <cell r="G6582">
            <v>200</v>
          </cell>
          <cell r="H6582" t="str">
            <v>singleron-3'转录组文库</v>
          </cell>
          <cell r="I6582" t="str">
            <v>GZQ</v>
          </cell>
          <cell r="J6582">
            <v>12.5</v>
          </cell>
          <cell r="N6582" t="e">
            <v>#DIV/0!</v>
          </cell>
        </row>
        <row r="6583">
          <cell r="E6583" t="str">
            <v>HGC-Lib-2459205</v>
          </cell>
          <cell r="F6583" t="str">
            <v>LC240720096</v>
          </cell>
          <cell r="G6583">
            <v>100</v>
          </cell>
          <cell r="H6583" t="str">
            <v>singleron-3'转录组文库</v>
          </cell>
          <cell r="I6583" t="str">
            <v>GZQ</v>
          </cell>
          <cell r="J6583">
            <v>10.199999999999999</v>
          </cell>
          <cell r="N6583" t="e">
            <v>#DIV/0!</v>
          </cell>
        </row>
        <row r="6584">
          <cell r="E6584" t="str">
            <v>HGC-Lib-2459206</v>
          </cell>
          <cell r="F6584" t="str">
            <v>LHC240720097</v>
          </cell>
          <cell r="G6584">
            <v>200</v>
          </cell>
          <cell r="H6584" t="str">
            <v>singleron-3'转录组文库</v>
          </cell>
          <cell r="I6584" t="str">
            <v>GZQ</v>
          </cell>
          <cell r="J6584">
            <v>9.34</v>
          </cell>
          <cell r="N6584" t="e">
            <v>#DIV/0!</v>
          </cell>
        </row>
        <row r="6585">
          <cell r="E6585" t="str">
            <v>HGC-Lib-2459207</v>
          </cell>
          <cell r="F6585" t="str">
            <v>LC240720054</v>
          </cell>
          <cell r="G6585">
            <v>120</v>
          </cell>
          <cell r="H6585" t="str">
            <v>singleron-3'转录组文库</v>
          </cell>
          <cell r="I6585" t="str">
            <v>GZQ</v>
          </cell>
          <cell r="J6585">
            <v>7</v>
          </cell>
          <cell r="N6585" t="e">
            <v>#DIV/0!</v>
          </cell>
        </row>
        <row r="6586">
          <cell r="E6586" t="str">
            <v>HGC-Lib-2459208</v>
          </cell>
          <cell r="F6586" t="str">
            <v>LC240721009</v>
          </cell>
          <cell r="G6586">
            <v>100</v>
          </cell>
          <cell r="H6586" t="str">
            <v>singleron-3'转录组文库</v>
          </cell>
          <cell r="I6586" t="str">
            <v>GZQ</v>
          </cell>
          <cell r="J6586">
            <v>10.7</v>
          </cell>
          <cell r="N6586" t="e">
            <v>#DIV/0!</v>
          </cell>
        </row>
        <row r="6587">
          <cell r="E6587" t="str">
            <v>HGC-Lib-2459209</v>
          </cell>
          <cell r="F6587" t="str">
            <v>LC240721010</v>
          </cell>
          <cell r="G6587">
            <v>100</v>
          </cell>
          <cell r="H6587" t="str">
            <v>singleron-3'转录组文库</v>
          </cell>
          <cell r="I6587" t="str">
            <v>GZQ</v>
          </cell>
          <cell r="J6587">
            <v>14.4</v>
          </cell>
          <cell r="N6587" t="e">
            <v>#DIV/0!</v>
          </cell>
        </row>
        <row r="6588">
          <cell r="E6588" t="str">
            <v>HGC-Lib-2459210</v>
          </cell>
          <cell r="F6588" t="str">
            <v>LC240721011</v>
          </cell>
          <cell r="G6588">
            <v>100</v>
          </cell>
          <cell r="H6588" t="str">
            <v>singleron-3'转录组文库</v>
          </cell>
          <cell r="I6588" t="str">
            <v>GZQ</v>
          </cell>
          <cell r="J6588">
            <v>7.04</v>
          </cell>
          <cell r="N6588" t="e">
            <v>#DIV/0!</v>
          </cell>
        </row>
        <row r="6589">
          <cell r="E6589" t="str">
            <v>HGC-Lib-2459211</v>
          </cell>
          <cell r="F6589" t="str">
            <v>LC240721012</v>
          </cell>
          <cell r="G6589">
            <v>100</v>
          </cell>
          <cell r="H6589" t="str">
            <v>singleron-3'转录组文库</v>
          </cell>
          <cell r="I6589" t="str">
            <v>GZQ</v>
          </cell>
          <cell r="J6589">
            <v>14.2</v>
          </cell>
          <cell r="N6589" t="e">
            <v>#DIV/0!</v>
          </cell>
        </row>
        <row r="6590">
          <cell r="E6590" t="str">
            <v>HGC-Lib-2459212</v>
          </cell>
          <cell r="F6590" t="str">
            <v>ATACLC240721013</v>
          </cell>
          <cell r="G6590">
            <v>40</v>
          </cell>
          <cell r="H6590" t="str">
            <v>singleron-ATAC文库</v>
          </cell>
          <cell r="I6590" t="str">
            <v>GZQ</v>
          </cell>
          <cell r="J6590">
            <v>34</v>
          </cell>
          <cell r="N6590" t="e">
            <v>#DIV/0!</v>
          </cell>
        </row>
        <row r="6591">
          <cell r="E6591" t="str">
            <v>HGC-POOL-2459213</v>
          </cell>
          <cell r="F6591" t="str">
            <v>PCRD-240725-006</v>
          </cell>
          <cell r="G6591">
            <v>30</v>
          </cell>
          <cell r="H6591" t="str">
            <v>singleron-3'转录组文库</v>
          </cell>
          <cell r="I6591" t="str">
            <v>GZQ</v>
          </cell>
          <cell r="J6591">
            <v>14.4</v>
          </cell>
          <cell r="N6591" t="e">
            <v>#DIV/0!</v>
          </cell>
        </row>
        <row r="6592">
          <cell r="E6592" t="str">
            <v>HGC-POOL-2459214</v>
          </cell>
          <cell r="F6592" t="str">
            <v>PCRD-240725-007</v>
          </cell>
          <cell r="G6592">
            <v>30</v>
          </cell>
          <cell r="H6592" t="str">
            <v>singleron-3'转录组文库</v>
          </cell>
          <cell r="I6592" t="str">
            <v>GZQ</v>
          </cell>
          <cell r="J6592">
            <v>12.2</v>
          </cell>
          <cell r="N6592" t="e">
            <v>#DIV/0!</v>
          </cell>
        </row>
        <row r="6593">
          <cell r="E6593" t="str">
            <v>HGC-POOL-2459215</v>
          </cell>
          <cell r="F6593" t="str">
            <v>PCRD-240725-008</v>
          </cell>
          <cell r="G6593">
            <v>50</v>
          </cell>
          <cell r="H6593" t="str">
            <v>singleron-3'转录组文库</v>
          </cell>
          <cell r="I6593" t="str">
            <v>GZQ</v>
          </cell>
          <cell r="J6593">
            <v>8.02</v>
          </cell>
          <cell r="N6593" t="e">
            <v>#DIV/0!</v>
          </cell>
        </row>
        <row r="6594">
          <cell r="E6594" t="str">
            <v>HGC-POOL-2459216</v>
          </cell>
          <cell r="F6594" t="str">
            <v>PCRD-240725-001</v>
          </cell>
          <cell r="G6594">
            <v>10</v>
          </cell>
          <cell r="H6594" t="str">
            <v>singleron-单细胞TCR文库</v>
          </cell>
          <cell r="I6594" t="str">
            <v>GZQ</v>
          </cell>
          <cell r="J6594">
            <v>4.4800000000000004</v>
          </cell>
          <cell r="N6594" t="e">
            <v>#DIV/0!</v>
          </cell>
        </row>
        <row r="6595">
          <cell r="E6595" t="str">
            <v>HGC-POOL-2459217</v>
          </cell>
          <cell r="F6595" t="str">
            <v>PCRD-240725-002</v>
          </cell>
          <cell r="G6595">
            <v>10</v>
          </cell>
          <cell r="H6595" t="str">
            <v>singleron-3'转录组文库</v>
          </cell>
          <cell r="I6595" t="str">
            <v>GZQ</v>
          </cell>
          <cell r="J6595">
            <v>4.84</v>
          </cell>
          <cell r="N6595" t="e">
            <v>#DIV/0!</v>
          </cell>
        </row>
        <row r="6596">
          <cell r="E6596" t="str">
            <v>HGC-POOL-2459218</v>
          </cell>
          <cell r="F6596" t="str">
            <v>PCRD-240725-003</v>
          </cell>
          <cell r="G6596">
            <v>40</v>
          </cell>
          <cell r="H6596" t="str">
            <v>mRNA文库</v>
          </cell>
          <cell r="I6596" t="str">
            <v>GZQ</v>
          </cell>
          <cell r="J6596">
            <v>11.5</v>
          </cell>
          <cell r="N6596" t="e">
            <v>#DIV/0!</v>
          </cell>
        </row>
        <row r="6597">
          <cell r="E6597" t="str">
            <v>HGC-POOL-2459219</v>
          </cell>
          <cell r="F6597" t="str">
            <v>PCRD-240725-004</v>
          </cell>
          <cell r="G6597">
            <v>20</v>
          </cell>
          <cell r="H6597" t="str">
            <v>mRNA文库</v>
          </cell>
          <cell r="I6597" t="str">
            <v>GZQ</v>
          </cell>
          <cell r="J6597">
            <v>6.48</v>
          </cell>
          <cell r="N6597" t="e">
            <v>#DIV/0!</v>
          </cell>
        </row>
        <row r="6598">
          <cell r="E6598" t="str">
            <v>HGC-POOL-2459220</v>
          </cell>
          <cell r="F6598" t="str">
            <v>PCRD-240725-005</v>
          </cell>
          <cell r="G6598">
            <v>50</v>
          </cell>
          <cell r="H6598" t="str">
            <v>mRNA文库</v>
          </cell>
          <cell r="I6598" t="str">
            <v>GZQ</v>
          </cell>
          <cell r="J6598">
            <v>5.6</v>
          </cell>
          <cell r="N6598" t="e">
            <v>#DIV/0!</v>
          </cell>
        </row>
        <row r="6599">
          <cell r="E6599" t="str">
            <v>HGC-POOL-2459226</v>
          </cell>
          <cell r="F6599" t="str">
            <v>SAR4Rlibs6</v>
          </cell>
          <cell r="G6599">
            <v>400</v>
          </cell>
          <cell r="H6599" t="str">
            <v>10× 3'单细胞</v>
          </cell>
          <cell r="I6599" t="str">
            <v>WWH</v>
          </cell>
          <cell r="J6599">
            <v>1.49</v>
          </cell>
          <cell r="K6599">
            <v>527</v>
          </cell>
          <cell r="L6599" t="str">
            <v>WWH</v>
          </cell>
          <cell r="N6599">
            <v>4.34972996642826</v>
          </cell>
        </row>
        <row r="6600">
          <cell r="E6600" t="str">
            <v>HGC-POOL-2459227</v>
          </cell>
          <cell r="F6600" t="str">
            <v>YX-0725-KY25</v>
          </cell>
          <cell r="G6600">
            <v>6</v>
          </cell>
          <cell r="H6600" t="str">
            <v>宏基因组文库</v>
          </cell>
          <cell r="I6600" t="str">
            <v>WWH</v>
          </cell>
          <cell r="J6600">
            <v>34.6</v>
          </cell>
          <cell r="K6600">
            <v>343</v>
          </cell>
          <cell r="L6600" t="str">
            <v>GZQ</v>
          </cell>
          <cell r="N6600">
            <v>155.19174702848201</v>
          </cell>
        </row>
        <row r="6601">
          <cell r="E6601" t="str">
            <v>HGC-Lib-2459228</v>
          </cell>
          <cell r="F6601" t="str">
            <v>T815-1</v>
          </cell>
          <cell r="G6601">
            <v>2</v>
          </cell>
          <cell r="H6601" t="str">
            <v>mRNA文库</v>
          </cell>
          <cell r="I6601" t="str">
            <v>WWH</v>
          </cell>
          <cell r="J6601">
            <v>39.799999999999997</v>
          </cell>
          <cell r="N6601" t="e">
            <v>#DIV/0!</v>
          </cell>
        </row>
        <row r="6602">
          <cell r="E6602" t="str">
            <v>HGC-Lib-2459229</v>
          </cell>
          <cell r="F6602" t="str">
            <v>T815-2</v>
          </cell>
          <cell r="G6602">
            <v>2</v>
          </cell>
          <cell r="H6602" t="str">
            <v>mRNA文库</v>
          </cell>
          <cell r="I6602" t="str">
            <v>WWH</v>
          </cell>
          <cell r="J6602">
            <v>54.4</v>
          </cell>
          <cell r="N6602" t="e">
            <v>#DIV/0!</v>
          </cell>
        </row>
        <row r="6603">
          <cell r="E6603" t="str">
            <v>HGC-Lib-2459230</v>
          </cell>
          <cell r="F6603" t="str">
            <v>T815-3</v>
          </cell>
          <cell r="G6603">
            <v>2</v>
          </cell>
          <cell r="H6603" t="str">
            <v>mRNA文库</v>
          </cell>
          <cell r="I6603" t="str">
            <v>WWH</v>
          </cell>
          <cell r="J6603">
            <v>52.8</v>
          </cell>
          <cell r="N6603" t="e">
            <v>#DIV/0!</v>
          </cell>
        </row>
        <row r="6604">
          <cell r="E6604" t="str">
            <v>HGC-Lib-2459231</v>
          </cell>
          <cell r="F6604" t="str">
            <v>T815-4</v>
          </cell>
          <cell r="G6604">
            <v>2</v>
          </cell>
          <cell r="H6604" t="str">
            <v>mRNA文库</v>
          </cell>
          <cell r="I6604" t="str">
            <v>WWH</v>
          </cell>
          <cell r="J6604">
            <v>57.6</v>
          </cell>
          <cell r="N6604" t="e">
            <v>#DIV/0!</v>
          </cell>
        </row>
        <row r="6605">
          <cell r="E6605" t="str">
            <v>HGC-Lib-2459232</v>
          </cell>
          <cell r="F6605" t="str">
            <v>T815-5</v>
          </cell>
          <cell r="G6605">
            <v>2</v>
          </cell>
          <cell r="H6605" t="str">
            <v>mRNA文库</v>
          </cell>
          <cell r="I6605" t="str">
            <v>WWH</v>
          </cell>
          <cell r="J6605">
            <v>47.8</v>
          </cell>
          <cell r="N6605" t="e">
            <v>#DIV/0!</v>
          </cell>
        </row>
        <row r="6606">
          <cell r="E6606" t="str">
            <v>HGC-Lib-2459233</v>
          </cell>
          <cell r="F6606" t="str">
            <v>T815-6</v>
          </cell>
          <cell r="G6606">
            <v>2</v>
          </cell>
          <cell r="H6606" t="str">
            <v>mRNA文库</v>
          </cell>
          <cell r="I6606" t="str">
            <v>WWH</v>
          </cell>
          <cell r="J6606">
            <v>57</v>
          </cell>
          <cell r="N6606" t="e">
            <v>#DIV/0!</v>
          </cell>
        </row>
        <row r="6607">
          <cell r="E6607" t="str">
            <v>HGC-Lib-2459234</v>
          </cell>
          <cell r="F6607" t="str">
            <v>T846-1</v>
          </cell>
          <cell r="G6607">
            <v>6</v>
          </cell>
          <cell r="H6607" t="str">
            <v>Chip-Seq</v>
          </cell>
          <cell r="I6607" t="str">
            <v>WWH</v>
          </cell>
          <cell r="J6607">
            <v>8.8000000000000007</v>
          </cell>
          <cell r="N6607" t="e">
            <v>#DIV/0!</v>
          </cell>
        </row>
        <row r="6608">
          <cell r="E6608" t="str">
            <v>HGC-Lib-2459235</v>
          </cell>
          <cell r="F6608" t="str">
            <v>T846-2</v>
          </cell>
          <cell r="G6608">
            <v>6</v>
          </cell>
          <cell r="H6608" t="str">
            <v>Chip-Seq</v>
          </cell>
          <cell r="I6608" t="str">
            <v>WWH</v>
          </cell>
          <cell r="J6608">
            <v>6.88</v>
          </cell>
          <cell r="N6608" t="e">
            <v>#DIV/0!</v>
          </cell>
        </row>
        <row r="6609">
          <cell r="E6609" t="str">
            <v>HGC-Lib-2459236</v>
          </cell>
          <cell r="F6609" t="str">
            <v>T846-3</v>
          </cell>
          <cell r="G6609">
            <v>6</v>
          </cell>
          <cell r="H6609" t="str">
            <v>Chip-Seq</v>
          </cell>
          <cell r="I6609" t="str">
            <v>WWH</v>
          </cell>
          <cell r="J6609">
            <v>10.8</v>
          </cell>
          <cell r="N6609" t="e">
            <v>#DIV/0!</v>
          </cell>
        </row>
        <row r="6610">
          <cell r="E6610" t="str">
            <v>HGC-Lib-2459237</v>
          </cell>
          <cell r="F6610" t="str">
            <v>T846-4</v>
          </cell>
          <cell r="G6610">
            <v>6</v>
          </cell>
          <cell r="H6610" t="str">
            <v>Chip-Seq</v>
          </cell>
          <cell r="I6610" t="str">
            <v>WWH</v>
          </cell>
          <cell r="J6610">
            <v>11.1</v>
          </cell>
          <cell r="N6610" t="e">
            <v>#DIV/0!</v>
          </cell>
        </row>
        <row r="6611">
          <cell r="E6611" t="str">
            <v>HGC-Lib-2459238</v>
          </cell>
          <cell r="F6611" t="str">
            <v>sdg703-2</v>
          </cell>
          <cell r="G6611" t="str">
            <v>6G</v>
          </cell>
          <cell r="H6611" t="str">
            <v>RNA-seq文库</v>
          </cell>
          <cell r="I6611" t="str">
            <v>WWH</v>
          </cell>
          <cell r="J6611">
            <v>27.4</v>
          </cell>
          <cell r="K6611">
            <v>314</v>
          </cell>
          <cell r="L6611" t="str">
            <v>GZQ</v>
          </cell>
          <cell r="N6611">
            <v>134.24791768740801</v>
          </cell>
        </row>
        <row r="6612">
          <cell r="E6612" t="str">
            <v>HGC-Lib-2459239</v>
          </cell>
          <cell r="F6612" t="str">
            <v>sdg703-3</v>
          </cell>
          <cell r="G6612" t="str">
            <v>6G</v>
          </cell>
          <cell r="H6612" t="str">
            <v>RNA-seq文库</v>
          </cell>
          <cell r="I6612" t="str">
            <v>WWH</v>
          </cell>
          <cell r="J6612">
            <v>22</v>
          </cell>
          <cell r="K6612">
            <v>328</v>
          </cell>
          <cell r="L6612" t="str">
            <v>GZQ</v>
          </cell>
          <cell r="N6612">
            <v>103.189493433396</v>
          </cell>
        </row>
        <row r="6613">
          <cell r="E6613" t="str">
            <v>HGC-Lib-2459240</v>
          </cell>
          <cell r="F6613" t="str">
            <v>cmt3b-1</v>
          </cell>
          <cell r="G6613" t="str">
            <v>6G</v>
          </cell>
          <cell r="H6613" t="str">
            <v>RNA-seq文库</v>
          </cell>
          <cell r="I6613" t="str">
            <v>WWH</v>
          </cell>
          <cell r="J6613">
            <v>19</v>
          </cell>
          <cell r="K6613">
            <v>317</v>
          </cell>
          <cell r="L6613" t="str">
            <v>GZQ</v>
          </cell>
          <cell r="N6613">
            <v>92.210628488230995</v>
          </cell>
        </row>
        <row r="6614">
          <cell r="E6614" t="str">
            <v>HGC-Lib-2459241</v>
          </cell>
          <cell r="F6614" t="str">
            <v>cmt3b-2</v>
          </cell>
          <cell r="G6614" t="str">
            <v>6G</v>
          </cell>
          <cell r="H6614" t="str">
            <v>RNA-seq文库</v>
          </cell>
          <cell r="I6614" t="str">
            <v>WWH</v>
          </cell>
          <cell r="J6614">
            <v>19.2</v>
          </cell>
          <cell r="K6614">
            <v>321</v>
          </cell>
          <cell r="L6614" t="str">
            <v>GZQ</v>
          </cell>
          <cell r="N6614">
            <v>92.020129403306996</v>
          </cell>
        </row>
        <row r="6615">
          <cell r="E6615" t="str">
            <v>HGC-Lib-2459242</v>
          </cell>
          <cell r="F6615" t="str">
            <v>cmt3b-3</v>
          </cell>
          <cell r="G6615" t="str">
            <v>6G</v>
          </cell>
          <cell r="H6615" t="str">
            <v>RNA-seq文库</v>
          </cell>
          <cell r="I6615" t="str">
            <v>WWH</v>
          </cell>
          <cell r="J6615">
            <v>17.600000000000001</v>
          </cell>
          <cell r="K6615">
            <v>309</v>
          </cell>
          <cell r="L6615" t="str">
            <v>GZQ</v>
          </cell>
          <cell r="N6615">
            <v>87.627582773213803</v>
          </cell>
        </row>
        <row r="6616">
          <cell r="E6616" t="str">
            <v>HGC-Lib-2459243</v>
          </cell>
          <cell r="F6616" t="str">
            <v>pollen-1</v>
          </cell>
          <cell r="G6616" t="str">
            <v>10G</v>
          </cell>
          <cell r="H6616" t="str">
            <v>RNA-seq文库</v>
          </cell>
          <cell r="I6616" t="str">
            <v>WWH</v>
          </cell>
          <cell r="J6616">
            <v>5.0599999999999996</v>
          </cell>
          <cell r="K6616">
            <v>271</v>
          </cell>
          <cell r="L6616" t="str">
            <v>WWH</v>
          </cell>
          <cell r="N6616">
            <v>28.725518024410999</v>
          </cell>
        </row>
        <row r="6617">
          <cell r="E6617" t="str">
            <v>HGC-Lib-2459244</v>
          </cell>
          <cell r="F6617" t="str">
            <v>pollen-2</v>
          </cell>
          <cell r="G6617" t="str">
            <v>10G</v>
          </cell>
          <cell r="H6617" t="str">
            <v>RNA-seq文库</v>
          </cell>
          <cell r="I6617" t="str">
            <v>WWH</v>
          </cell>
          <cell r="J6617" t="str">
            <v>/</v>
          </cell>
          <cell r="K6617" t="str">
            <v>/</v>
          </cell>
          <cell r="L6617" t="str">
            <v>WWH</v>
          </cell>
          <cell r="N6617" t="e">
            <v>#VALUE!</v>
          </cell>
        </row>
        <row r="6618">
          <cell r="E6618" t="str">
            <v>HGC-Lib-2459245</v>
          </cell>
          <cell r="F6618" t="str">
            <v>pollen-3</v>
          </cell>
          <cell r="G6618" t="str">
            <v>10G</v>
          </cell>
          <cell r="H6618" t="str">
            <v>RNA-seq文库</v>
          </cell>
          <cell r="I6618" t="str">
            <v>WWH</v>
          </cell>
          <cell r="J6618">
            <v>29.4</v>
          </cell>
          <cell r="K6618">
            <v>300</v>
          </cell>
          <cell r="L6618" t="str">
            <v>GZQ</v>
          </cell>
          <cell r="N6618">
            <v>150.769230769231</v>
          </cell>
        </row>
        <row r="6619">
          <cell r="E6619" t="str">
            <v>HGC-Lib-2459246</v>
          </cell>
          <cell r="F6619" t="str">
            <v>RIP-WF4d</v>
          </cell>
          <cell r="G6619" t="str">
            <v>10G</v>
          </cell>
          <cell r="H6619" t="str">
            <v>RNA-seq文库</v>
          </cell>
          <cell r="I6619" t="str">
            <v>WWH</v>
          </cell>
          <cell r="J6619" t="str">
            <v>/</v>
          </cell>
          <cell r="K6619" t="str">
            <v>/</v>
          </cell>
          <cell r="L6619" t="str">
            <v>WWH</v>
          </cell>
          <cell r="N6619" t="e">
            <v>#VALUE!</v>
          </cell>
        </row>
        <row r="6620">
          <cell r="E6620" t="str">
            <v>HGC-POOL-2459251</v>
          </cell>
          <cell r="F6620" t="str">
            <v>WK0726-1</v>
          </cell>
          <cell r="G6620">
            <v>40</v>
          </cell>
          <cell r="H6620" t="str">
            <v>WES/panel捕获文库</v>
          </cell>
          <cell r="I6620" t="str">
            <v>GZQ</v>
          </cell>
          <cell r="J6620">
            <v>2.78</v>
          </cell>
          <cell r="K6620">
            <v>399</v>
          </cell>
          <cell r="L6620" t="str">
            <v>WWH</v>
          </cell>
          <cell r="N6620">
            <v>10.7191054559476</v>
          </cell>
        </row>
        <row r="6621">
          <cell r="E6621" t="str">
            <v>HGC-POOL-2459252</v>
          </cell>
          <cell r="F6621" t="str">
            <v>WK0726-2</v>
          </cell>
          <cell r="G6621">
            <v>40</v>
          </cell>
          <cell r="H6621" t="str">
            <v>WES/panel捕获文库</v>
          </cell>
          <cell r="I6621" t="str">
            <v>GZQ</v>
          </cell>
          <cell r="J6621">
            <v>2.78</v>
          </cell>
          <cell r="K6621">
            <v>394</v>
          </cell>
          <cell r="L6621" t="str">
            <v>WWH</v>
          </cell>
          <cell r="N6621">
            <v>10.8551347130027</v>
          </cell>
        </row>
        <row r="6622">
          <cell r="E6622" t="str">
            <v>HGC-POOL-2459253</v>
          </cell>
          <cell r="F6622" t="str">
            <v>WK0726-3</v>
          </cell>
          <cell r="G6622">
            <v>40</v>
          </cell>
          <cell r="H6622" t="str">
            <v>WES/panel捕获文库</v>
          </cell>
          <cell r="I6622" t="str">
            <v>GZQ</v>
          </cell>
          <cell r="J6622">
            <v>2.58</v>
          </cell>
          <cell r="K6622">
            <v>406</v>
          </cell>
          <cell r="L6622" t="str">
            <v>WWH</v>
          </cell>
          <cell r="N6622">
            <v>9.7764304660856407</v>
          </cell>
        </row>
        <row r="6623">
          <cell r="E6623" t="str">
            <v>HGC-POOL-2459254</v>
          </cell>
          <cell r="F6623" t="str">
            <v>WK0726-4</v>
          </cell>
          <cell r="G6623">
            <v>40</v>
          </cell>
          <cell r="H6623" t="str">
            <v>WES/panel捕获文库</v>
          </cell>
          <cell r="I6623" t="str">
            <v>GZQ</v>
          </cell>
          <cell r="J6623">
            <v>3.2</v>
          </cell>
          <cell r="K6623">
            <v>382</v>
          </cell>
          <cell r="L6623" t="str">
            <v>WWH</v>
          </cell>
          <cell r="N6623">
            <v>12.8876359242851</v>
          </cell>
        </row>
        <row r="6624">
          <cell r="E6624" t="str">
            <v>HGC-POOL-2459255</v>
          </cell>
          <cell r="F6624" t="str">
            <v>WK0726-5</v>
          </cell>
          <cell r="G6624">
            <v>40</v>
          </cell>
          <cell r="H6624" t="str">
            <v>WES/panel捕获文库</v>
          </cell>
          <cell r="I6624" t="str">
            <v>GZQ</v>
          </cell>
          <cell r="J6624">
            <v>2.1800000000000002</v>
          </cell>
          <cell r="K6624">
            <v>429</v>
          </cell>
          <cell r="L6624" t="str">
            <v>WWH</v>
          </cell>
          <cell r="N6624">
            <v>7.8178232024385901</v>
          </cell>
        </row>
        <row r="6625">
          <cell r="E6625" t="str">
            <v>HGC-Lib-2459256</v>
          </cell>
          <cell r="F6625" t="str">
            <v>WK0726-6</v>
          </cell>
          <cell r="G6625">
            <v>10</v>
          </cell>
          <cell r="H6625" t="str">
            <v>WES/panel捕获文库</v>
          </cell>
          <cell r="I6625" t="str">
            <v>GZQ</v>
          </cell>
          <cell r="J6625">
            <v>1.75</v>
          </cell>
          <cell r="K6625">
            <v>378</v>
          </cell>
          <cell r="L6625" t="str">
            <v>WWH</v>
          </cell>
          <cell r="N6625">
            <v>7.1225071225071197</v>
          </cell>
        </row>
        <row r="6626">
          <cell r="E6626" t="str">
            <v>HGC-POOL-2459257</v>
          </cell>
          <cell r="F6626" t="str">
            <v>WK0726-7</v>
          </cell>
          <cell r="G6626">
            <v>40</v>
          </cell>
          <cell r="H6626" t="str">
            <v>WES/panel捕获文库</v>
          </cell>
          <cell r="I6626" t="str">
            <v>GZQ</v>
          </cell>
          <cell r="J6626">
            <v>2.1</v>
          </cell>
          <cell r="K6626">
            <v>405</v>
          </cell>
          <cell r="L6626" t="str">
            <v>WWH</v>
          </cell>
          <cell r="N6626">
            <v>7.9772079772079802</v>
          </cell>
        </row>
        <row r="6627">
          <cell r="E6627" t="str">
            <v>HGC-POOL-2459258</v>
          </cell>
          <cell r="F6627" t="str">
            <v>WK0726-8</v>
          </cell>
          <cell r="G6627">
            <v>40</v>
          </cell>
          <cell r="H6627" t="str">
            <v>WES/panel捕获文库</v>
          </cell>
          <cell r="I6627" t="str">
            <v>GZQ</v>
          </cell>
          <cell r="J6627">
            <v>2.42</v>
          </cell>
          <cell r="K6627">
            <v>397</v>
          </cell>
          <cell r="L6627" t="str">
            <v>WWH</v>
          </cell>
          <cell r="N6627">
            <v>9.3780275140476608</v>
          </cell>
        </row>
        <row r="6628">
          <cell r="E6628" t="str">
            <v>HGC-Lib-2459259</v>
          </cell>
          <cell r="F6628" t="str">
            <v>XGSZ059</v>
          </cell>
          <cell r="G6628">
            <v>10</v>
          </cell>
          <cell r="H6628" t="str">
            <v>cut&amp;tag文库</v>
          </cell>
          <cell r="I6628" t="str">
            <v>GZQ</v>
          </cell>
          <cell r="J6628">
            <v>20.399999999999999</v>
          </cell>
          <cell r="K6628">
            <v>521</v>
          </cell>
          <cell r="L6628" t="str">
            <v>GZQ</v>
          </cell>
          <cell r="N6628">
            <v>60.239184999261802</v>
          </cell>
        </row>
        <row r="6629">
          <cell r="E6629" t="str">
            <v>HGC-Lib-2459260</v>
          </cell>
          <cell r="F6629" t="str">
            <v>XGSZ060</v>
          </cell>
          <cell r="G6629">
            <v>10</v>
          </cell>
          <cell r="H6629" t="str">
            <v>cut&amp;tag文库</v>
          </cell>
          <cell r="I6629" t="str">
            <v>GZQ</v>
          </cell>
          <cell r="J6629">
            <v>14.9</v>
          </cell>
          <cell r="K6629">
            <v>494</v>
          </cell>
          <cell r="L6629" t="str">
            <v>GZQ</v>
          </cell>
          <cell r="N6629">
            <v>46.402989722827797</v>
          </cell>
        </row>
        <row r="6630">
          <cell r="E6630" t="str">
            <v>HGC-Lib-2459261</v>
          </cell>
          <cell r="F6630" t="str">
            <v>XGSZ061</v>
          </cell>
          <cell r="G6630">
            <v>10</v>
          </cell>
          <cell r="H6630" t="str">
            <v>cut&amp;tag文库</v>
          </cell>
          <cell r="I6630" t="str">
            <v>GZQ</v>
          </cell>
          <cell r="J6630">
            <v>21</v>
          </cell>
          <cell r="K6630">
            <v>553</v>
          </cell>
          <cell r="L6630" t="str">
            <v>GZQ</v>
          </cell>
          <cell r="N6630">
            <v>58.4225900681597</v>
          </cell>
        </row>
        <row r="6631">
          <cell r="E6631" t="str">
            <v>HGC-Lib-2459262</v>
          </cell>
          <cell r="F6631" t="str">
            <v>XGSZ062</v>
          </cell>
          <cell r="G6631">
            <v>10</v>
          </cell>
          <cell r="H6631" t="str">
            <v>cut&amp;tag文库</v>
          </cell>
          <cell r="I6631" t="str">
            <v>GZQ</v>
          </cell>
          <cell r="J6631">
            <v>18.100000000000001</v>
          </cell>
          <cell r="K6631">
            <v>567</v>
          </cell>
          <cell r="L6631" t="str">
            <v>GZQ</v>
          </cell>
          <cell r="N6631">
            <v>49.111382444715801</v>
          </cell>
        </row>
        <row r="6632">
          <cell r="E6632" t="str">
            <v>HGC-Lib-2459263</v>
          </cell>
          <cell r="F6632" t="str">
            <v>XGSZ063</v>
          </cell>
          <cell r="G6632">
            <v>10</v>
          </cell>
          <cell r="H6632" t="str">
            <v>cut&amp;tag文库</v>
          </cell>
          <cell r="I6632" t="str">
            <v>GZQ</v>
          </cell>
          <cell r="J6632">
            <v>14.9</v>
          </cell>
          <cell r="K6632">
            <v>514</v>
          </cell>
          <cell r="L6632" t="str">
            <v>GZQ</v>
          </cell>
          <cell r="N6632">
            <v>44.597425920383102</v>
          </cell>
        </row>
        <row r="6633">
          <cell r="E6633" t="str">
            <v>HGC-Lib-2459264</v>
          </cell>
          <cell r="F6633" t="str">
            <v>XGSZ064</v>
          </cell>
          <cell r="G6633">
            <v>10</v>
          </cell>
          <cell r="H6633" t="str">
            <v>cut&amp;tag文库</v>
          </cell>
          <cell r="I6633" t="str">
            <v>GZQ</v>
          </cell>
          <cell r="J6633">
            <v>14.6</v>
          </cell>
          <cell r="K6633">
            <v>519</v>
          </cell>
          <cell r="L6633" t="str">
            <v>GZQ</v>
          </cell>
          <cell r="N6633">
            <v>43.278494145546198</v>
          </cell>
        </row>
        <row r="6634">
          <cell r="E6634" t="str">
            <v>HGC-Lib-2459265</v>
          </cell>
          <cell r="F6634" t="str">
            <v>XGSZ065</v>
          </cell>
          <cell r="G6634">
            <v>10</v>
          </cell>
          <cell r="H6634" t="str">
            <v>cut&amp;tag文库</v>
          </cell>
          <cell r="I6634" t="str">
            <v>GZQ</v>
          </cell>
          <cell r="J6634">
            <v>34.799999999999997</v>
          </cell>
          <cell r="K6634">
            <v>575</v>
          </cell>
          <cell r="L6634" t="str">
            <v>GZQ</v>
          </cell>
          <cell r="N6634">
            <v>93.110367892976598</v>
          </cell>
        </row>
        <row r="6635">
          <cell r="E6635" t="str">
            <v>HGC-Lib-2459266</v>
          </cell>
          <cell r="F6635" t="str">
            <v>XGSZ066</v>
          </cell>
          <cell r="G6635">
            <v>10</v>
          </cell>
          <cell r="H6635" t="str">
            <v>cut&amp;tag文库</v>
          </cell>
          <cell r="I6635" t="str">
            <v>GZQ</v>
          </cell>
          <cell r="J6635">
            <v>25.8</v>
          </cell>
          <cell r="K6635">
            <v>597</v>
          </cell>
          <cell r="L6635" t="str">
            <v>GZQ</v>
          </cell>
          <cell r="N6635">
            <v>66.486277541553903</v>
          </cell>
        </row>
        <row r="6636">
          <cell r="E6636" t="str">
            <v>HGC-Lib-2459267</v>
          </cell>
          <cell r="F6636" t="str">
            <v>XGSZ067</v>
          </cell>
          <cell r="G6636">
            <v>10</v>
          </cell>
          <cell r="H6636" t="str">
            <v>cut&amp;tag文库</v>
          </cell>
          <cell r="I6636" t="str">
            <v>GZQ</v>
          </cell>
          <cell r="J6636">
            <v>26.8</v>
          </cell>
          <cell r="K6636">
            <v>610</v>
          </cell>
          <cell r="L6636" t="str">
            <v>GZQ</v>
          </cell>
          <cell r="N6636">
            <v>67.591424968474101</v>
          </cell>
        </row>
        <row r="6637">
          <cell r="E6637" t="str">
            <v>HGC-Lib-2459268</v>
          </cell>
          <cell r="F6637" t="str">
            <v>XGSZ068</v>
          </cell>
          <cell r="G6637">
            <v>10</v>
          </cell>
          <cell r="H6637" t="str">
            <v>cut&amp;tag文库</v>
          </cell>
          <cell r="I6637" t="str">
            <v>GZQ</v>
          </cell>
          <cell r="J6637">
            <v>24</v>
          </cell>
          <cell r="K6637">
            <v>619</v>
          </cell>
          <cell r="L6637" t="str">
            <v>GZQ</v>
          </cell>
          <cell r="N6637">
            <v>59.649558841804399</v>
          </cell>
        </row>
        <row r="6638">
          <cell r="E6638" t="str">
            <v>HGC-Lib-2459269</v>
          </cell>
          <cell r="F6638" t="str">
            <v>XGSZ069</v>
          </cell>
          <cell r="G6638">
            <v>10</v>
          </cell>
          <cell r="H6638" t="str">
            <v>cut&amp;tag文库</v>
          </cell>
          <cell r="I6638" t="str">
            <v>GZQ</v>
          </cell>
          <cell r="J6638">
            <v>11.3</v>
          </cell>
          <cell r="K6638">
            <v>598</v>
          </cell>
          <cell r="L6638" t="str">
            <v>GZQ</v>
          </cell>
          <cell r="N6638">
            <v>29.071263184975599</v>
          </cell>
        </row>
        <row r="6639">
          <cell r="E6639" t="str">
            <v>HGC-Lib-2459270</v>
          </cell>
          <cell r="F6639" t="str">
            <v>XGSZ070</v>
          </cell>
          <cell r="G6639">
            <v>10</v>
          </cell>
          <cell r="H6639" t="str">
            <v>cut&amp;tag文库</v>
          </cell>
          <cell r="I6639" t="str">
            <v>GZQ</v>
          </cell>
          <cell r="J6639">
            <v>4.32</v>
          </cell>
          <cell r="K6639">
            <v>591</v>
          </cell>
          <cell r="L6639" t="str">
            <v>WWH</v>
          </cell>
          <cell r="N6639">
            <v>11.245607184693499</v>
          </cell>
        </row>
        <row r="6640">
          <cell r="E6640" t="str">
            <v>HGC-Lib-2459271</v>
          </cell>
          <cell r="F6640" t="str">
            <v>XGSZ071</v>
          </cell>
          <cell r="G6640">
            <v>10</v>
          </cell>
          <cell r="H6640" t="str">
            <v>cut&amp;tag文库</v>
          </cell>
          <cell r="I6640" t="str">
            <v>GZQ</v>
          </cell>
          <cell r="J6640">
            <v>23</v>
          </cell>
          <cell r="K6640">
            <v>612</v>
          </cell>
          <cell r="L6640" t="str">
            <v>GZQ</v>
          </cell>
          <cell r="N6640">
            <v>57.817998994469598</v>
          </cell>
        </row>
        <row r="6641">
          <cell r="E6641" t="str">
            <v>HGC-Lib-2459272</v>
          </cell>
          <cell r="F6641" t="str">
            <v>XGSZ072</v>
          </cell>
          <cell r="G6641">
            <v>10</v>
          </cell>
          <cell r="H6641" t="str">
            <v>cut&amp;tag文库</v>
          </cell>
          <cell r="I6641" t="str">
            <v>GZQ</v>
          </cell>
          <cell r="J6641">
            <v>43.6</v>
          </cell>
          <cell r="K6641">
            <v>613</v>
          </cell>
          <cell r="L6641" t="str">
            <v>GZQ</v>
          </cell>
          <cell r="N6641">
            <v>109.42401807002101</v>
          </cell>
        </row>
        <row r="6642">
          <cell r="E6642" t="str">
            <v>HGC-Lib-2459273</v>
          </cell>
          <cell r="F6642" t="str">
            <v>XGSZ073</v>
          </cell>
          <cell r="G6642">
            <v>10</v>
          </cell>
          <cell r="H6642" t="str">
            <v>cut&amp;tag文库</v>
          </cell>
          <cell r="I6642" t="str">
            <v>GZQ</v>
          </cell>
          <cell r="J6642">
            <v>17.600000000000001</v>
          </cell>
          <cell r="K6642">
            <v>635</v>
          </cell>
          <cell r="L6642" t="str">
            <v>GZQ</v>
          </cell>
          <cell r="N6642">
            <v>42.640823743185997</v>
          </cell>
        </row>
        <row r="6643">
          <cell r="E6643" t="str">
            <v>HGC-Lib-2459274</v>
          </cell>
          <cell r="F6643" t="str">
            <v>XGSZ074</v>
          </cell>
          <cell r="G6643">
            <v>10</v>
          </cell>
          <cell r="H6643" t="str">
            <v>cut&amp;tag文库</v>
          </cell>
          <cell r="I6643" t="str">
            <v>GZQ</v>
          </cell>
          <cell r="J6643">
            <v>12.1</v>
          </cell>
          <cell r="K6643">
            <v>643</v>
          </cell>
          <cell r="L6643" t="str">
            <v>GZQ</v>
          </cell>
          <cell r="N6643">
            <v>28.950831439167398</v>
          </cell>
        </row>
        <row r="6644">
          <cell r="E6644" t="str">
            <v>HGC-Lib-2459275</v>
          </cell>
          <cell r="F6644" t="str">
            <v>LTSZ165</v>
          </cell>
          <cell r="G6644">
            <v>8</v>
          </cell>
          <cell r="H6644" t="str">
            <v>small RNA文库</v>
          </cell>
          <cell r="I6644" t="str">
            <v>GZQ</v>
          </cell>
          <cell r="J6644">
            <v>0.61599999999999999</v>
          </cell>
          <cell r="K6644">
            <v>269</v>
          </cell>
          <cell r="L6644" t="str">
            <v>WWH</v>
          </cell>
          <cell r="N6644">
            <v>3.5230197311981701</v>
          </cell>
        </row>
        <row r="6645">
          <cell r="E6645" t="str">
            <v>HGC-Lib-2459276</v>
          </cell>
          <cell r="F6645" t="str">
            <v>CH-2</v>
          </cell>
          <cell r="G6645">
            <v>5</v>
          </cell>
          <cell r="H6645" t="str">
            <v>PCR产物文库</v>
          </cell>
          <cell r="I6645" t="str">
            <v>GZQ</v>
          </cell>
          <cell r="J6645">
            <v>83</v>
          </cell>
          <cell r="K6645">
            <v>440</v>
          </cell>
          <cell r="L6645" t="str">
            <v>GZQ</v>
          </cell>
          <cell r="N6645">
            <v>290.20979020979001</v>
          </cell>
        </row>
        <row r="6646">
          <cell r="E6646" t="str">
            <v>HGC-Lib-2459277</v>
          </cell>
          <cell r="F6646" t="str">
            <v>NL-3</v>
          </cell>
          <cell r="G6646">
            <v>5</v>
          </cell>
          <cell r="H6646" t="str">
            <v>PCR产物文库</v>
          </cell>
          <cell r="I6646" t="str">
            <v>GZQ</v>
          </cell>
          <cell r="J6646">
            <v>83</v>
          </cell>
          <cell r="K6646">
            <v>437</v>
          </cell>
          <cell r="L6646" t="str">
            <v>GZQ</v>
          </cell>
          <cell r="N6646">
            <v>292.20207709910198</v>
          </cell>
        </row>
        <row r="6647">
          <cell r="E6647" t="str">
            <v>HGC-Lib-2459278</v>
          </cell>
          <cell r="F6647" t="str">
            <v>5Z-4</v>
          </cell>
          <cell r="G6647">
            <v>5</v>
          </cell>
          <cell r="H6647" t="str">
            <v>PCR产物文库</v>
          </cell>
          <cell r="I6647" t="str">
            <v>GZQ</v>
          </cell>
          <cell r="J6647">
            <v>112</v>
          </cell>
          <cell r="K6647">
            <v>435</v>
          </cell>
          <cell r="L6647" t="str">
            <v>GZQ</v>
          </cell>
          <cell r="N6647">
            <v>396.10963748894801</v>
          </cell>
        </row>
        <row r="6648">
          <cell r="E6648" t="str">
            <v>HGC-Lib-2459279</v>
          </cell>
          <cell r="F6648" t="str">
            <v>5Z-5</v>
          </cell>
          <cell r="G6648">
            <v>5</v>
          </cell>
          <cell r="H6648" t="str">
            <v>PCR产物文库</v>
          </cell>
          <cell r="I6648" t="str">
            <v>GZQ</v>
          </cell>
          <cell r="J6648">
            <v>32</v>
          </cell>
          <cell r="K6648">
            <v>426</v>
          </cell>
          <cell r="L6648" t="str">
            <v>GZQ</v>
          </cell>
          <cell r="N6648">
            <v>115.56518598772099</v>
          </cell>
        </row>
        <row r="6649">
          <cell r="E6649" t="str">
            <v>HGC-Lib-2459280</v>
          </cell>
          <cell r="F6649" t="str">
            <v>wt-36h</v>
          </cell>
          <cell r="G6649">
            <v>6</v>
          </cell>
          <cell r="H6649" t="str">
            <v>mRNA文库</v>
          </cell>
          <cell r="I6649" t="str">
            <v>GZQ</v>
          </cell>
          <cell r="J6649">
            <v>11.2</v>
          </cell>
          <cell r="K6649">
            <v>342</v>
          </cell>
          <cell r="L6649" t="str">
            <v>WWH</v>
          </cell>
          <cell r="N6649">
            <v>50.382366171839799</v>
          </cell>
        </row>
        <row r="6650">
          <cell r="E6650" t="str">
            <v>HGC-Lib-2459281</v>
          </cell>
          <cell r="F6650" t="str">
            <v>dcas-36h</v>
          </cell>
          <cell r="G6650">
            <v>6</v>
          </cell>
          <cell r="H6650" t="str">
            <v>mRNA文库</v>
          </cell>
          <cell r="I6650" t="str">
            <v>GZQ</v>
          </cell>
          <cell r="J6650">
            <v>2.62</v>
          </cell>
          <cell r="K6650">
            <v>431</v>
          </cell>
          <cell r="L6650" t="str">
            <v>WWH</v>
          </cell>
          <cell r="N6650">
            <v>9.3521327860075001</v>
          </cell>
        </row>
        <row r="6651">
          <cell r="E6651" t="str">
            <v>HGC-Lib-2459282</v>
          </cell>
          <cell r="F6651" t="str">
            <v>wt-48h</v>
          </cell>
          <cell r="G6651">
            <v>6</v>
          </cell>
          <cell r="H6651" t="str">
            <v>mRNA文库</v>
          </cell>
          <cell r="I6651" t="str">
            <v>GZQ</v>
          </cell>
          <cell r="J6651">
            <v>3.72</v>
          </cell>
          <cell r="K6651">
            <v>388</v>
          </cell>
          <cell r="L6651" t="str">
            <v>WWH</v>
          </cell>
          <cell r="N6651">
            <v>14.750198255352901</v>
          </cell>
        </row>
        <row r="6652">
          <cell r="E6652" t="str">
            <v>HGC-Lib-2459283</v>
          </cell>
          <cell r="F6652" t="str">
            <v>dcas-48h</v>
          </cell>
          <cell r="G6652">
            <v>6</v>
          </cell>
          <cell r="H6652" t="str">
            <v>mRNA文库</v>
          </cell>
          <cell r="I6652" t="str">
            <v>GZQ</v>
          </cell>
          <cell r="J6652">
            <v>4.5199999999999996</v>
          </cell>
          <cell r="K6652">
            <v>355</v>
          </cell>
          <cell r="L6652" t="str">
            <v>WWH</v>
          </cell>
          <cell r="N6652">
            <v>19.588299024918701</v>
          </cell>
        </row>
        <row r="6653">
          <cell r="E6653" t="str">
            <v>HGC-Lib-2459284</v>
          </cell>
          <cell r="F6653" t="str">
            <v>wt-60h</v>
          </cell>
          <cell r="G6653">
            <v>6</v>
          </cell>
          <cell r="H6653" t="str">
            <v>mRNA文库</v>
          </cell>
          <cell r="I6653" t="str">
            <v>GZQ</v>
          </cell>
          <cell r="J6653">
            <v>4.88</v>
          </cell>
          <cell r="K6653">
            <v>359</v>
          </cell>
          <cell r="L6653" t="str">
            <v>WWH</v>
          </cell>
          <cell r="N6653">
            <v>20.912791943432602</v>
          </cell>
        </row>
        <row r="6654">
          <cell r="E6654" t="str">
            <v>HGC-Lib-2459285</v>
          </cell>
          <cell r="F6654" t="str">
            <v>dcas-60h</v>
          </cell>
          <cell r="G6654">
            <v>6</v>
          </cell>
          <cell r="H6654" t="str">
            <v>mRNA文库</v>
          </cell>
          <cell r="I6654" t="str">
            <v>GZQ</v>
          </cell>
          <cell r="J6654">
            <v>5.0599999999999996</v>
          </cell>
          <cell r="K6654">
            <v>355</v>
          </cell>
          <cell r="L6654" t="str">
            <v>WWH</v>
          </cell>
          <cell r="N6654">
            <v>21.928494041170101</v>
          </cell>
        </row>
        <row r="6655">
          <cell r="E6655" t="str">
            <v>HGC-Lib-2459286</v>
          </cell>
          <cell r="F6655" t="str">
            <v>wt-72h</v>
          </cell>
          <cell r="G6655">
            <v>6</v>
          </cell>
          <cell r="H6655" t="str">
            <v>mRNA文库</v>
          </cell>
          <cell r="I6655" t="str">
            <v>GZQ</v>
          </cell>
          <cell r="J6655">
            <v>6.8</v>
          </cell>
          <cell r="K6655">
            <v>353</v>
          </cell>
          <cell r="L6655" t="str">
            <v>WWH</v>
          </cell>
          <cell r="N6655">
            <v>29.6360862933101</v>
          </cell>
        </row>
        <row r="6656">
          <cell r="E6656" t="str">
            <v>HGC-Lib-2459287</v>
          </cell>
          <cell r="F6656" t="str">
            <v>dcas-72h</v>
          </cell>
          <cell r="G6656">
            <v>6</v>
          </cell>
          <cell r="H6656" t="str">
            <v>mRNA文库</v>
          </cell>
          <cell r="I6656" t="str">
            <v>GZQ</v>
          </cell>
          <cell r="J6656">
            <v>2.36</v>
          </cell>
          <cell r="K6656">
            <v>581</v>
          </cell>
          <cell r="L6656" t="str">
            <v>WWH</v>
          </cell>
          <cell r="N6656">
            <v>6.2491725142327503</v>
          </cell>
        </row>
        <row r="6657">
          <cell r="E6657" t="str">
            <v>HGC-POOL-2459288</v>
          </cell>
          <cell r="F6657" t="str">
            <v>0726A</v>
          </cell>
          <cell r="G6657">
            <v>72</v>
          </cell>
          <cell r="H6657" t="str">
            <v>eccDNA测序</v>
          </cell>
          <cell r="I6657" t="str">
            <v>GZQ</v>
          </cell>
          <cell r="J6657">
            <v>7.36</v>
          </cell>
          <cell r="K6657">
            <v>347</v>
          </cell>
          <cell r="L6657" t="str">
            <v>WWH</v>
          </cell>
          <cell r="N6657">
            <v>32.6313455996453</v>
          </cell>
        </row>
        <row r="6658">
          <cell r="E6658" t="str">
            <v>HGC-POOL-2459289</v>
          </cell>
          <cell r="F6658" t="str">
            <v>0726B</v>
          </cell>
          <cell r="G6658">
            <v>72</v>
          </cell>
          <cell r="H6658" t="str">
            <v>eccDNA测序</v>
          </cell>
          <cell r="I6658" t="str">
            <v>GZQ</v>
          </cell>
          <cell r="J6658">
            <v>6.3</v>
          </cell>
          <cell r="K6658">
            <v>362</v>
          </cell>
          <cell r="L6658" t="str">
            <v>WWH</v>
          </cell>
          <cell r="N6658">
            <v>26.774330641734</v>
          </cell>
        </row>
        <row r="6659">
          <cell r="E6659" t="str">
            <v>HGC-POOL-2459290</v>
          </cell>
          <cell r="F6659" t="str">
            <v>0726C</v>
          </cell>
          <cell r="G6659">
            <v>72</v>
          </cell>
          <cell r="H6659" t="str">
            <v>eccDNA测序</v>
          </cell>
          <cell r="I6659" t="str">
            <v>GZQ</v>
          </cell>
          <cell r="J6659">
            <v>8.7200000000000006</v>
          </cell>
          <cell r="K6659">
            <v>318</v>
          </cell>
          <cell r="L6659" t="str">
            <v>WWH</v>
          </cell>
          <cell r="N6659">
            <v>42.186744073536502</v>
          </cell>
        </row>
        <row r="6660">
          <cell r="E6660" t="str">
            <v>HGC-POOL-2459291</v>
          </cell>
          <cell r="F6660" t="str">
            <v>0726D</v>
          </cell>
          <cell r="G6660">
            <v>72</v>
          </cell>
          <cell r="H6660" t="str">
            <v>eccDNA测序</v>
          </cell>
          <cell r="I6660" t="str">
            <v>GZQ</v>
          </cell>
          <cell r="J6660">
            <v>7.24</v>
          </cell>
          <cell r="K6660">
            <v>316</v>
          </cell>
          <cell r="L6660" t="str">
            <v>WWH</v>
          </cell>
          <cell r="N6660">
            <v>35.248296007789698</v>
          </cell>
        </row>
        <row r="6661">
          <cell r="E6661" t="str">
            <v>HGC-POOL-2459292</v>
          </cell>
          <cell r="F6661" t="str">
            <v>0726E</v>
          </cell>
          <cell r="G6661">
            <v>72</v>
          </cell>
          <cell r="H6661" t="str">
            <v>eccDNA测序</v>
          </cell>
          <cell r="I6661" t="str">
            <v>GZQ</v>
          </cell>
          <cell r="J6661">
            <v>8.9</v>
          </cell>
          <cell r="K6661">
            <v>309</v>
          </cell>
          <cell r="L6661" t="str">
            <v>WWH</v>
          </cell>
          <cell r="N6661">
            <v>44.311675379636497</v>
          </cell>
        </row>
        <row r="6662">
          <cell r="E6662" t="str">
            <v>HGC-POOL-2459293</v>
          </cell>
          <cell r="F6662" t="str">
            <v>0726F</v>
          </cell>
          <cell r="G6662">
            <v>72</v>
          </cell>
          <cell r="H6662" t="str">
            <v>eccDNA测序</v>
          </cell>
          <cell r="I6662" t="str">
            <v>GZQ</v>
          </cell>
          <cell r="J6662">
            <v>6.32</v>
          </cell>
          <cell r="K6662">
            <v>336</v>
          </cell>
          <cell r="L6662" t="str">
            <v>WWH</v>
          </cell>
          <cell r="N6662">
            <v>28.937728937728899</v>
          </cell>
        </row>
        <row r="6663">
          <cell r="E6663" t="str">
            <v>HGC-POOL-2459294</v>
          </cell>
          <cell r="F6663" t="str">
            <v>0726G</v>
          </cell>
          <cell r="G6663">
            <v>72</v>
          </cell>
          <cell r="H6663" t="str">
            <v>eccDNA测序</v>
          </cell>
          <cell r="I6663" t="str">
            <v>GZQ</v>
          </cell>
          <cell r="J6663">
            <v>6.02</v>
          </cell>
          <cell r="K6663">
            <v>311</v>
          </cell>
          <cell r="L6663" t="str">
            <v>WWH</v>
          </cell>
          <cell r="N6663">
            <v>29.779866435814998</v>
          </cell>
        </row>
        <row r="6664">
          <cell r="E6664" t="str">
            <v>HGC-POOL-2459295</v>
          </cell>
          <cell r="F6664" t="str">
            <v>0726H</v>
          </cell>
          <cell r="G6664">
            <v>72</v>
          </cell>
          <cell r="H6664" t="str">
            <v>eccDNA测序</v>
          </cell>
          <cell r="I6664" t="str">
            <v>GZQ</v>
          </cell>
          <cell r="J6664">
            <v>10.1</v>
          </cell>
          <cell r="K6664">
            <v>362</v>
          </cell>
          <cell r="L6664" t="str">
            <v>WWH</v>
          </cell>
          <cell r="N6664">
            <v>42.9239269018275</v>
          </cell>
        </row>
        <row r="6665">
          <cell r="E6665" t="str">
            <v>HGC-POOL-2459296</v>
          </cell>
          <cell r="F6665" t="str">
            <v>0726I</v>
          </cell>
          <cell r="G6665">
            <v>72</v>
          </cell>
          <cell r="H6665" t="str">
            <v>eccDNA测序</v>
          </cell>
          <cell r="I6665" t="str">
            <v>GZQ</v>
          </cell>
          <cell r="J6665">
            <v>10.3</v>
          </cell>
          <cell r="K6665">
            <v>399</v>
          </cell>
          <cell r="L6665" t="str">
            <v>WWH</v>
          </cell>
          <cell r="N6665">
            <v>39.7146712936187</v>
          </cell>
        </row>
        <row r="6666">
          <cell r="E6666" t="str">
            <v>HGC-POOL-2459297</v>
          </cell>
          <cell r="F6666" t="str">
            <v>0726J</v>
          </cell>
          <cell r="G6666">
            <v>72</v>
          </cell>
          <cell r="H6666" t="str">
            <v>eccDNA测序</v>
          </cell>
          <cell r="I6666" t="str">
            <v>GZQ</v>
          </cell>
          <cell r="J6666">
            <v>10.8</v>
          </cell>
          <cell r="K6666">
            <v>470</v>
          </cell>
          <cell r="L6666" t="str">
            <v>WWH</v>
          </cell>
          <cell r="N6666">
            <v>35.351882160392798</v>
          </cell>
        </row>
        <row r="6667">
          <cell r="E6667" t="str">
            <v>HGC-POOL-2459298</v>
          </cell>
          <cell r="F6667" t="str">
            <v>0726K</v>
          </cell>
          <cell r="G6667">
            <v>72</v>
          </cell>
          <cell r="H6667" t="str">
            <v>eccDNA测序</v>
          </cell>
          <cell r="I6667" t="str">
            <v>GZQ</v>
          </cell>
          <cell r="J6667">
            <v>8.64</v>
          </cell>
          <cell r="K6667">
            <v>336</v>
          </cell>
          <cell r="L6667" t="str">
            <v>WWH</v>
          </cell>
          <cell r="N6667">
            <v>39.560439560439598</v>
          </cell>
        </row>
        <row r="6668">
          <cell r="E6668" t="str">
            <v>HGC-POOL-2459299</v>
          </cell>
          <cell r="F6668" t="str">
            <v>0726L</v>
          </cell>
          <cell r="G6668">
            <v>72</v>
          </cell>
          <cell r="H6668" t="str">
            <v>eccDNA测序</v>
          </cell>
          <cell r="I6668" t="str">
            <v>TY</v>
          </cell>
          <cell r="J6668">
            <v>10.3</v>
          </cell>
          <cell r="K6668">
            <v>357</v>
          </cell>
          <cell r="L6668" t="str">
            <v>WWH</v>
          </cell>
          <cell r="N6668">
            <v>44.3869855634562</v>
          </cell>
        </row>
        <row r="6669">
          <cell r="E6669" t="str">
            <v>HGC-POOL-2459300</v>
          </cell>
          <cell r="F6669" t="str">
            <v>0726M</v>
          </cell>
          <cell r="G6669">
            <v>72</v>
          </cell>
          <cell r="H6669" t="str">
            <v>eccDNA测序</v>
          </cell>
          <cell r="I6669" t="str">
            <v>TY</v>
          </cell>
          <cell r="J6669">
            <v>8.98</v>
          </cell>
          <cell r="K6669">
            <v>296</v>
          </cell>
          <cell r="L6669" t="str">
            <v>WWH</v>
          </cell>
          <cell r="N6669">
            <v>46.673596673596698</v>
          </cell>
        </row>
        <row r="6670">
          <cell r="E6670" t="str">
            <v>HGC-POOL-2459301</v>
          </cell>
          <cell r="F6670" t="str">
            <v>0726N</v>
          </cell>
          <cell r="G6670">
            <v>72</v>
          </cell>
          <cell r="H6670" t="str">
            <v>eccDNA测序</v>
          </cell>
          <cell r="I6670" t="str">
            <v>TY</v>
          </cell>
          <cell r="J6670">
            <v>8.8800000000000008</v>
          </cell>
          <cell r="K6670">
            <v>298</v>
          </cell>
          <cell r="L6670" t="str">
            <v>WWH</v>
          </cell>
          <cell r="N6670">
            <v>45.844088797108903</v>
          </cell>
        </row>
        <row r="6671">
          <cell r="E6671" t="str">
            <v>HGC-POOL-2459302</v>
          </cell>
          <cell r="F6671" t="str">
            <v>0726O</v>
          </cell>
          <cell r="G6671">
            <v>72</v>
          </cell>
          <cell r="H6671" t="str">
            <v>eccDNA测序</v>
          </cell>
          <cell r="I6671" t="str">
            <v>TY</v>
          </cell>
          <cell r="J6671">
            <v>7.04</v>
          </cell>
          <cell r="K6671">
            <v>312</v>
          </cell>
          <cell r="L6671" t="str">
            <v>WWH</v>
          </cell>
          <cell r="N6671">
            <v>34.714003944773197</v>
          </cell>
        </row>
        <row r="6672">
          <cell r="E6672" t="str">
            <v>HGC-POOL-2459303</v>
          </cell>
          <cell r="F6672" t="str">
            <v>0726P</v>
          </cell>
          <cell r="G6672">
            <v>72</v>
          </cell>
          <cell r="H6672" t="str">
            <v>eccDNA测序</v>
          </cell>
          <cell r="I6672" t="str">
            <v>TY</v>
          </cell>
          <cell r="J6672">
            <v>13</v>
          </cell>
          <cell r="K6672">
            <v>341</v>
          </cell>
          <cell r="L6672" t="str">
            <v>WWH</v>
          </cell>
          <cell r="N6672">
            <v>58.651026392961903</v>
          </cell>
        </row>
        <row r="6673">
          <cell r="E6673" t="str">
            <v>HGC-POOL-2459304</v>
          </cell>
          <cell r="F6673" t="str">
            <v>0726Q</v>
          </cell>
          <cell r="G6673">
            <v>58</v>
          </cell>
          <cell r="H6673" t="str">
            <v>eccDNA测序</v>
          </cell>
          <cell r="I6673" t="str">
            <v>TY</v>
          </cell>
          <cell r="J6673">
            <v>11.8</v>
          </cell>
          <cell r="K6673">
            <v>350</v>
          </cell>
          <cell r="L6673" t="str">
            <v>WWH</v>
          </cell>
          <cell r="N6673">
            <v>51.868131868131897</v>
          </cell>
        </row>
        <row r="6674">
          <cell r="E6674" t="str">
            <v>HGC-POOL-2459305</v>
          </cell>
          <cell r="F6674" t="str">
            <v>0726R</v>
          </cell>
          <cell r="G6674">
            <v>30</v>
          </cell>
          <cell r="H6674" t="str">
            <v>eccDNA测序</v>
          </cell>
          <cell r="I6674" t="str">
            <v>TY</v>
          </cell>
          <cell r="J6674">
            <v>9.94</v>
          </cell>
          <cell r="K6674">
            <v>322</v>
          </cell>
          <cell r="L6674" t="str">
            <v>WWH</v>
          </cell>
          <cell r="N6674">
            <v>47.491638795986603</v>
          </cell>
        </row>
        <row r="6675">
          <cell r="E6675" t="str">
            <v>HGC-POOL-2459306</v>
          </cell>
          <cell r="F6675" t="str">
            <v>0726S</v>
          </cell>
          <cell r="G6675">
            <v>63</v>
          </cell>
          <cell r="H6675" t="str">
            <v>chip测序-Input</v>
          </cell>
          <cell r="I6675" t="str">
            <v>TY</v>
          </cell>
          <cell r="J6675">
            <v>2.1800000000000002</v>
          </cell>
          <cell r="K6675">
            <v>304</v>
          </cell>
          <cell r="L6675" t="str">
            <v>WWH</v>
          </cell>
          <cell r="N6675">
            <v>11.0323886639676</v>
          </cell>
        </row>
        <row r="6676">
          <cell r="E6676" t="str">
            <v>HGC-Lib-2459307</v>
          </cell>
          <cell r="F6676" t="str">
            <v>D8_20</v>
          </cell>
          <cell r="G6676">
            <v>18</v>
          </cell>
          <cell r="H6676" t="str">
            <v>ATAC-Seq文库</v>
          </cell>
          <cell r="I6676" t="str">
            <v>TY</v>
          </cell>
          <cell r="J6676">
            <v>29.6</v>
          </cell>
          <cell r="K6676">
            <v>690</v>
          </cell>
          <cell r="L6676" t="str">
            <v>WWH</v>
          </cell>
          <cell r="N6676">
            <v>65.997770345596393</v>
          </cell>
        </row>
        <row r="6677">
          <cell r="E6677" t="str">
            <v>HGC-Lib-2459308</v>
          </cell>
          <cell r="F6677" t="str">
            <v>LATSIN_13</v>
          </cell>
          <cell r="G6677">
            <v>18</v>
          </cell>
          <cell r="H6677" t="str">
            <v>ATAC-Seq文库</v>
          </cell>
          <cell r="I6677" t="str">
            <v>TY</v>
          </cell>
          <cell r="J6677">
            <v>47.6</v>
          </cell>
          <cell r="K6677">
            <v>325</v>
          </cell>
          <cell r="L6677" t="str">
            <v>WWH</v>
          </cell>
          <cell r="N6677">
            <v>225.32544378698199</v>
          </cell>
        </row>
        <row r="6678">
          <cell r="E6678" t="str">
            <v>HGC-Lib-2459309</v>
          </cell>
          <cell r="F6678" t="str">
            <v>LATSIN_20</v>
          </cell>
          <cell r="G6678">
            <v>18</v>
          </cell>
          <cell r="H6678" t="str">
            <v>ATAC-Seq文库</v>
          </cell>
          <cell r="I6678" t="str">
            <v>TY</v>
          </cell>
          <cell r="J6678">
            <v>28</v>
          </cell>
          <cell r="K6678">
            <v>647</v>
          </cell>
          <cell r="L6678" t="str">
            <v>WWH</v>
          </cell>
          <cell r="N6678">
            <v>66.579479253358699</v>
          </cell>
        </row>
        <row r="6679">
          <cell r="E6679" t="str">
            <v>HGC-POOL-2459316</v>
          </cell>
          <cell r="F6679" t="str">
            <v>RX20240726-1</v>
          </cell>
          <cell r="G6679">
            <v>18</v>
          </cell>
          <cell r="H6679" t="str">
            <v>mRNA文库</v>
          </cell>
          <cell r="I6679" t="str">
            <v>TY</v>
          </cell>
          <cell r="J6679">
            <v>8.68</v>
          </cell>
          <cell r="K6679">
            <v>343</v>
          </cell>
          <cell r="L6679" t="str">
            <v>WWH</v>
          </cell>
          <cell r="N6679">
            <v>38.9324960753532</v>
          </cell>
        </row>
        <row r="6680">
          <cell r="E6680" t="str">
            <v>HGC-POOL-2459317</v>
          </cell>
          <cell r="F6680" t="str">
            <v>RX20240726-2</v>
          </cell>
          <cell r="G6680">
            <v>26</v>
          </cell>
          <cell r="H6680" t="str">
            <v>mRNA文库</v>
          </cell>
          <cell r="I6680" t="str">
            <v>TY</v>
          </cell>
          <cell r="J6680">
            <v>8.74</v>
          </cell>
          <cell r="K6680">
            <v>339</v>
          </cell>
          <cell r="L6680" t="str">
            <v>WWH</v>
          </cell>
          <cell r="N6680">
            <v>39.664170637622</v>
          </cell>
        </row>
        <row r="6681">
          <cell r="E6681" t="str">
            <v>HGC-POOL-2459318</v>
          </cell>
          <cell r="F6681" t="str">
            <v>RX20240726-3</v>
          </cell>
          <cell r="G6681">
            <v>39</v>
          </cell>
          <cell r="H6681" t="str">
            <v>mRNA文库</v>
          </cell>
          <cell r="I6681" t="str">
            <v>TY</v>
          </cell>
          <cell r="J6681">
            <v>27</v>
          </cell>
          <cell r="K6681">
            <v>346</v>
          </cell>
          <cell r="L6681" t="str">
            <v>WWH</v>
          </cell>
          <cell r="N6681">
            <v>120.05335704757699</v>
          </cell>
        </row>
        <row r="6682">
          <cell r="E6682" t="str">
            <v>HGC-POOL-2459319</v>
          </cell>
          <cell r="F6682" t="str">
            <v>pool-4563-72-xplus</v>
          </cell>
          <cell r="G6682">
            <v>72</v>
          </cell>
          <cell r="H6682" t="str">
            <v>cut&amp;tang文库,100%</v>
          </cell>
          <cell r="I6682" t="str">
            <v>TY</v>
          </cell>
          <cell r="J6682">
            <v>4.24</v>
          </cell>
          <cell r="K6682">
            <v>313</v>
          </cell>
          <cell r="L6682" t="str">
            <v>WWH</v>
          </cell>
          <cell r="N6682">
            <v>20.8405013516835</v>
          </cell>
        </row>
        <row r="6683">
          <cell r="E6683" t="str">
            <v>HGC-POOL-2459320</v>
          </cell>
          <cell r="F6683" t="str">
            <v>pool-4564-24-xplus</v>
          </cell>
          <cell r="G6683">
            <v>24</v>
          </cell>
          <cell r="H6683" t="str">
            <v>cut&amp;tang文库,100%</v>
          </cell>
          <cell r="I6683" t="str">
            <v>TY</v>
          </cell>
          <cell r="J6683">
            <v>40.6</v>
          </cell>
          <cell r="K6683">
            <v>363</v>
          </cell>
          <cell r="L6683" t="str">
            <v>WWH</v>
          </cell>
          <cell r="N6683">
            <v>172.070353888536</v>
          </cell>
        </row>
        <row r="6684">
          <cell r="E6684" t="str">
            <v>HGC-POOL-2459321</v>
          </cell>
          <cell r="F6684" t="str">
            <v>pool-4565-24-xplus</v>
          </cell>
          <cell r="G6684">
            <v>24</v>
          </cell>
          <cell r="H6684" t="str">
            <v>cut&amp;tang文库,100%</v>
          </cell>
          <cell r="I6684" t="str">
            <v>TY</v>
          </cell>
          <cell r="J6684">
            <v>1.24</v>
          </cell>
          <cell r="K6684">
            <v>361</v>
          </cell>
          <cell r="L6684" t="str">
            <v>WWH</v>
          </cell>
          <cell r="N6684">
            <v>5.2844662262944802</v>
          </cell>
        </row>
        <row r="6685">
          <cell r="E6685" t="str">
            <v>HGC-Lib-2459356</v>
          </cell>
          <cell r="F6685" t="str">
            <v>FW2023-482-23-HPZ</v>
          </cell>
          <cell r="G6685">
            <v>100</v>
          </cell>
          <cell r="H6685" t="str">
            <v>10× 3'单细胞</v>
          </cell>
          <cell r="I6685" t="str">
            <v>TY</v>
          </cell>
          <cell r="J6685">
            <v>15.8</v>
          </cell>
          <cell r="K6685">
            <v>499</v>
          </cell>
          <cell r="L6685" t="str">
            <v>GZQ</v>
          </cell>
          <cell r="N6685">
            <v>48.712810235856303</v>
          </cell>
        </row>
        <row r="6686">
          <cell r="E6686" t="str">
            <v>HGC-Lib-2459357</v>
          </cell>
          <cell r="F6686" t="str">
            <v>FWSC20240362-03-PRI-P-2</v>
          </cell>
          <cell r="G6686">
            <v>100</v>
          </cell>
          <cell r="H6686" t="str">
            <v>10× 3'单细胞</v>
          </cell>
          <cell r="I6686" t="str">
            <v>TY</v>
          </cell>
          <cell r="J6686">
            <v>17.3</v>
          </cell>
          <cell r="K6686">
            <v>491</v>
          </cell>
          <cell r="L6686" t="str">
            <v>GZQ</v>
          </cell>
          <cell r="N6686">
            <v>54.206485978380101</v>
          </cell>
        </row>
        <row r="6687">
          <cell r="E6687" t="str">
            <v>HGC-Lib-2459358</v>
          </cell>
          <cell r="F6687" t="str">
            <v>FWSC20240362-03-PRI-T-2</v>
          </cell>
          <cell r="G6687">
            <v>100</v>
          </cell>
          <cell r="H6687" t="str">
            <v>10× 3'单细胞</v>
          </cell>
          <cell r="I6687" t="str">
            <v>TY</v>
          </cell>
          <cell r="J6687">
            <v>23.8</v>
          </cell>
          <cell r="K6687">
            <v>498</v>
          </cell>
          <cell r="L6687" t="str">
            <v>GZQ</v>
          </cell>
          <cell r="N6687">
            <v>73.524868705591601</v>
          </cell>
        </row>
        <row r="6688">
          <cell r="E6688" t="str">
            <v>HGC-Lib-2459359</v>
          </cell>
          <cell r="F6688" t="str">
            <v>FWSC20240501-Se3</v>
          </cell>
          <cell r="G6688">
            <v>100</v>
          </cell>
          <cell r="H6688" t="str">
            <v>10× 3'单细胞</v>
          </cell>
          <cell r="I6688" t="str">
            <v>TY</v>
          </cell>
          <cell r="J6688">
            <v>17.8</v>
          </cell>
          <cell r="K6688">
            <v>505</v>
          </cell>
          <cell r="L6688" t="str">
            <v>GZQ</v>
          </cell>
          <cell r="N6688">
            <v>54.226961157654202</v>
          </cell>
        </row>
        <row r="6689">
          <cell r="E6689" t="str">
            <v>HGC-Lib-2459360</v>
          </cell>
          <cell r="F6689" t="str">
            <v>FW2024-225-15-yangjianliu0724</v>
          </cell>
          <cell r="G6689">
            <v>100</v>
          </cell>
          <cell r="H6689" t="str">
            <v>10× 3'单细胞</v>
          </cell>
          <cell r="I6689" t="str">
            <v>TY</v>
          </cell>
          <cell r="J6689">
            <v>19.7</v>
          </cell>
          <cell r="K6689">
            <v>510</v>
          </cell>
          <cell r="L6689" t="str">
            <v>GZQ</v>
          </cell>
          <cell r="N6689">
            <v>59.426847662141803</v>
          </cell>
        </row>
        <row r="6690">
          <cell r="E6690" t="str">
            <v>HGC-Lib-2459361</v>
          </cell>
          <cell r="F6690" t="str">
            <v>FW2024-576-02-GXL-HC</v>
          </cell>
          <cell r="G6690">
            <v>100</v>
          </cell>
          <cell r="H6690" t="str">
            <v>10× 3'单细胞</v>
          </cell>
          <cell r="I6690" t="str">
            <v>TY</v>
          </cell>
          <cell r="J6690">
            <v>12.3</v>
          </cell>
          <cell r="K6690">
            <v>508</v>
          </cell>
          <cell r="L6690" t="str">
            <v>GZQ</v>
          </cell>
          <cell r="N6690">
            <v>37.250151423379798</v>
          </cell>
        </row>
        <row r="6691">
          <cell r="E6691" t="str">
            <v>HGC-Lib-2459362</v>
          </cell>
          <cell r="F6691" t="str">
            <v>FW2024-576-02-WDH-HC</v>
          </cell>
          <cell r="G6691">
            <v>100</v>
          </cell>
          <cell r="H6691" t="str">
            <v>10× 3'单细胞</v>
          </cell>
          <cell r="I6691" t="str">
            <v>TY</v>
          </cell>
          <cell r="J6691">
            <v>13.6</v>
          </cell>
          <cell r="K6691">
            <v>504</v>
          </cell>
          <cell r="L6691" t="str">
            <v>GZQ</v>
          </cell>
          <cell r="N6691">
            <v>41.514041514041502</v>
          </cell>
        </row>
        <row r="6692">
          <cell r="E6692" t="str">
            <v>HGC-Lib-2459363</v>
          </cell>
          <cell r="F6692" t="str">
            <v>FW2024-576-02-XJY-HC</v>
          </cell>
          <cell r="G6692">
            <v>100</v>
          </cell>
          <cell r="H6692" t="str">
            <v>10× 3'单细胞</v>
          </cell>
          <cell r="I6692" t="str">
            <v>TY</v>
          </cell>
          <cell r="J6692">
            <v>16.2</v>
          </cell>
          <cell r="K6692">
            <v>509</v>
          </cell>
          <cell r="L6692" t="str">
            <v>GZQ</v>
          </cell>
          <cell r="N6692">
            <v>48.964787668127499</v>
          </cell>
        </row>
        <row r="6693">
          <cell r="E6693" t="str">
            <v>HGC-Lib-2459364</v>
          </cell>
          <cell r="F6693" t="str">
            <v>FW2024-576-02-CZJ-sepsis</v>
          </cell>
          <cell r="G6693">
            <v>100</v>
          </cell>
          <cell r="H6693" t="str">
            <v>10× 3'单细胞</v>
          </cell>
          <cell r="I6693" t="str">
            <v>TY</v>
          </cell>
          <cell r="J6693">
            <v>16.600000000000001</v>
          </cell>
          <cell r="K6693">
            <v>509</v>
          </cell>
          <cell r="L6693" t="str">
            <v>GZQ</v>
          </cell>
          <cell r="N6693">
            <v>50.1737947710443</v>
          </cell>
        </row>
        <row r="6694">
          <cell r="E6694" t="str">
            <v>HGC-Lib-2459365</v>
          </cell>
          <cell r="F6694" t="str">
            <v>FW2024-576-02-WHF-sepsis</v>
          </cell>
          <cell r="G6694">
            <v>100</v>
          </cell>
          <cell r="H6694" t="str">
            <v>10× 3'单细胞</v>
          </cell>
          <cell r="I6694" t="str">
            <v>TY</v>
          </cell>
          <cell r="J6694">
            <v>14.2</v>
          </cell>
          <cell r="K6694">
            <v>502</v>
          </cell>
          <cell r="L6694" t="str">
            <v>GZQ</v>
          </cell>
          <cell r="N6694">
            <v>43.5182347532945</v>
          </cell>
        </row>
        <row r="6695">
          <cell r="E6695" t="str">
            <v>HGC-Lib-2459366</v>
          </cell>
          <cell r="F6695" t="str">
            <v>FWSC20240517-E1</v>
          </cell>
          <cell r="G6695">
            <v>100</v>
          </cell>
          <cell r="H6695" t="str">
            <v>10× 3'单细胞</v>
          </cell>
          <cell r="I6695" t="str">
            <v>TY</v>
          </cell>
          <cell r="J6695">
            <v>28.4</v>
          </cell>
          <cell r="K6695">
            <v>504</v>
          </cell>
          <cell r="L6695" t="str">
            <v>GZQ</v>
          </cell>
          <cell r="N6695">
            <v>86.691086691086696</v>
          </cell>
        </row>
        <row r="6696">
          <cell r="E6696" t="str">
            <v>HGC-Lib-2459367</v>
          </cell>
          <cell r="F6696" t="str">
            <v>FWSC20240471-HGF1</v>
          </cell>
          <cell r="G6696">
            <v>100</v>
          </cell>
          <cell r="H6696" t="str">
            <v>寻因3'单细胞</v>
          </cell>
          <cell r="I6696" t="str">
            <v>TY</v>
          </cell>
          <cell r="J6696">
            <v>10.199999999999999</v>
          </cell>
          <cell r="K6696">
            <v>518</v>
          </cell>
          <cell r="L6696" t="str">
            <v>GZQ</v>
          </cell>
          <cell r="N6696">
            <v>30.2940302940303</v>
          </cell>
        </row>
        <row r="6697">
          <cell r="E6697" t="str">
            <v>HGC-Lib-2459368</v>
          </cell>
          <cell r="F6697" t="str">
            <v>FWSC20240471-HGF2</v>
          </cell>
          <cell r="G6697">
            <v>100</v>
          </cell>
          <cell r="H6697" t="str">
            <v>寻因3'单细胞</v>
          </cell>
          <cell r="I6697" t="str">
            <v>TY</v>
          </cell>
          <cell r="J6697">
            <v>5.14</v>
          </cell>
          <cell r="K6697">
            <v>473</v>
          </cell>
          <cell r="L6697" t="str">
            <v>GZQ</v>
          </cell>
          <cell r="N6697">
            <v>16.718165555374899</v>
          </cell>
        </row>
        <row r="6698">
          <cell r="E6698" t="str">
            <v>HGC-Lib-2459369</v>
          </cell>
          <cell r="F6698" t="str">
            <v>FWSC20240471-HGF3</v>
          </cell>
          <cell r="G6698">
            <v>100</v>
          </cell>
          <cell r="H6698" t="str">
            <v>寻因3'单细胞</v>
          </cell>
          <cell r="I6698" t="str">
            <v>TY</v>
          </cell>
          <cell r="J6698">
            <v>6.88</v>
          </cell>
          <cell r="K6698">
            <v>518</v>
          </cell>
          <cell r="L6698" t="str">
            <v>GZQ</v>
          </cell>
          <cell r="N6698">
            <v>20.433620433620401</v>
          </cell>
        </row>
        <row r="6699">
          <cell r="E6699" t="str">
            <v>HGC-Lib-2459370</v>
          </cell>
          <cell r="F6699" t="str">
            <v>FWSC20240471-HGF4</v>
          </cell>
          <cell r="G6699">
            <v>100</v>
          </cell>
          <cell r="H6699" t="str">
            <v>寻因3'单细胞</v>
          </cell>
          <cell r="I6699" t="str">
            <v>TY</v>
          </cell>
          <cell r="J6699">
            <v>6.54</v>
          </cell>
          <cell r="K6699">
            <v>501</v>
          </cell>
          <cell r="L6699" t="str">
            <v>GZQ</v>
          </cell>
          <cell r="N6699">
            <v>20.082911100875201</v>
          </cell>
        </row>
        <row r="6700">
          <cell r="E6700" t="str">
            <v>HGC-Lib-2459371</v>
          </cell>
          <cell r="F6700" t="str">
            <v>FWSC20240471-HGF5</v>
          </cell>
          <cell r="G6700">
            <v>100</v>
          </cell>
          <cell r="H6700" t="str">
            <v>寻因3'单细胞</v>
          </cell>
          <cell r="I6700" t="str">
            <v>TY</v>
          </cell>
          <cell r="J6700">
            <v>11.2</v>
          </cell>
          <cell r="K6700">
            <v>489</v>
          </cell>
          <cell r="L6700" t="str">
            <v>GZQ</v>
          </cell>
          <cell r="N6700">
            <v>35.236746893188602</v>
          </cell>
        </row>
        <row r="6701">
          <cell r="E6701" t="str">
            <v>HGC-Lib-2459372</v>
          </cell>
          <cell r="F6701" t="str">
            <v>FWSC20240471-HGF6</v>
          </cell>
          <cell r="G6701">
            <v>100</v>
          </cell>
          <cell r="H6701" t="str">
            <v>寻因3'单细胞</v>
          </cell>
          <cell r="I6701" t="str">
            <v>TY</v>
          </cell>
          <cell r="J6701">
            <v>12.6</v>
          </cell>
          <cell r="K6701">
            <v>478</v>
          </cell>
          <cell r="L6701" t="str">
            <v>GZQ</v>
          </cell>
          <cell r="N6701">
            <v>40.553588670743501</v>
          </cell>
        </row>
        <row r="6702">
          <cell r="E6702" t="str">
            <v>HGC-Lib-2459373</v>
          </cell>
          <cell r="F6702" t="str">
            <v>FWSC20240471-HGF7</v>
          </cell>
          <cell r="G6702">
            <v>100</v>
          </cell>
          <cell r="H6702" t="str">
            <v>寻因3'单细胞</v>
          </cell>
          <cell r="I6702" t="str">
            <v>TY</v>
          </cell>
          <cell r="J6702">
            <v>11.7</v>
          </cell>
          <cell r="K6702">
            <v>462</v>
          </cell>
          <cell r="L6702" t="str">
            <v>GZQ</v>
          </cell>
          <cell r="N6702">
            <v>38.961038961039002</v>
          </cell>
        </row>
        <row r="6703">
          <cell r="E6703" t="str">
            <v>HGC-Lib-2459374</v>
          </cell>
          <cell r="F6703" t="str">
            <v>FWSC20240471-ELA1</v>
          </cell>
          <cell r="G6703">
            <v>100</v>
          </cell>
          <cell r="H6703" t="str">
            <v>寻因3'单细胞</v>
          </cell>
          <cell r="I6703" t="str">
            <v>TY</v>
          </cell>
          <cell r="J6703">
            <v>11.5</v>
          </cell>
          <cell r="K6703">
            <v>482</v>
          </cell>
          <cell r="L6703" t="str">
            <v>GZQ</v>
          </cell>
          <cell r="N6703">
            <v>36.706032556655003</v>
          </cell>
        </row>
        <row r="6704">
          <cell r="E6704" t="str">
            <v>HGC-Lib-2459375</v>
          </cell>
          <cell r="F6704" t="str">
            <v>FWSC20240471-ELA2</v>
          </cell>
          <cell r="G6704">
            <v>100</v>
          </cell>
          <cell r="H6704" t="str">
            <v>寻因3'单细胞</v>
          </cell>
          <cell r="I6704" t="str">
            <v>TY</v>
          </cell>
          <cell r="J6704">
            <v>11.4</v>
          </cell>
          <cell r="K6704">
            <v>484</v>
          </cell>
          <cell r="L6704" t="str">
            <v>GZQ</v>
          </cell>
          <cell r="N6704">
            <v>36.236490781945299</v>
          </cell>
        </row>
        <row r="6705">
          <cell r="E6705" t="str">
            <v>HGC-Lib-2459376</v>
          </cell>
          <cell r="F6705" t="str">
            <v>FWSC20240471-ELA3</v>
          </cell>
          <cell r="G6705">
            <v>100</v>
          </cell>
          <cell r="H6705" t="str">
            <v>寻因3'单细胞</v>
          </cell>
          <cell r="I6705" t="str">
            <v>TY</v>
          </cell>
          <cell r="J6705">
            <v>11.4</v>
          </cell>
          <cell r="K6705">
            <v>485</v>
          </cell>
          <cell r="L6705" t="str">
            <v>GZQ</v>
          </cell>
          <cell r="N6705">
            <v>36.161776367961899</v>
          </cell>
        </row>
        <row r="6706">
          <cell r="E6706" t="str">
            <v>HGC-Lib-2459377</v>
          </cell>
          <cell r="F6706" t="str">
            <v>FWSC20240471-ELA4</v>
          </cell>
          <cell r="G6706">
            <v>100</v>
          </cell>
          <cell r="H6706" t="str">
            <v>寻因3'单细胞</v>
          </cell>
          <cell r="I6706" t="str">
            <v>TY</v>
          </cell>
          <cell r="J6706">
            <v>13.6</v>
          </cell>
          <cell r="K6706">
            <v>484</v>
          </cell>
          <cell r="L6706" t="str">
            <v>GZQ</v>
          </cell>
          <cell r="N6706">
            <v>43.2294977749523</v>
          </cell>
        </row>
        <row r="6707">
          <cell r="E6707" t="str">
            <v>HGC-Lib-2459378</v>
          </cell>
          <cell r="F6707" t="str">
            <v>FWSC20240471-ELA5</v>
          </cell>
          <cell r="G6707">
            <v>100</v>
          </cell>
          <cell r="H6707" t="str">
            <v>寻因3'单细胞</v>
          </cell>
          <cell r="I6707" t="str">
            <v>TY</v>
          </cell>
          <cell r="J6707">
            <v>20</v>
          </cell>
          <cell r="K6707">
            <v>471</v>
          </cell>
          <cell r="L6707" t="str">
            <v>GZQ</v>
          </cell>
          <cell r="N6707">
            <v>65.327453862485697</v>
          </cell>
        </row>
        <row r="6708">
          <cell r="E6708" t="str">
            <v>HGC-Lib-2459379</v>
          </cell>
          <cell r="F6708" t="str">
            <v>FWSC20240471-ELA6</v>
          </cell>
          <cell r="G6708">
            <v>100</v>
          </cell>
          <cell r="H6708" t="str">
            <v>寻因3'单细胞</v>
          </cell>
          <cell r="I6708" t="str">
            <v>TY</v>
          </cell>
          <cell r="J6708">
            <v>11.6</v>
          </cell>
          <cell r="K6708">
            <v>471</v>
          </cell>
          <cell r="L6708" t="str">
            <v>GZQ</v>
          </cell>
          <cell r="N6708">
            <v>37.8899232402417</v>
          </cell>
        </row>
        <row r="6709">
          <cell r="E6709" t="str">
            <v>HGC-Lib-2459380</v>
          </cell>
          <cell r="F6709" t="str">
            <v>FWSC20240471-control1</v>
          </cell>
          <cell r="G6709">
            <v>100</v>
          </cell>
          <cell r="H6709" t="str">
            <v>寻因3'单细胞</v>
          </cell>
          <cell r="I6709" t="str">
            <v>TY</v>
          </cell>
          <cell r="J6709">
            <v>8.7799999999999994</v>
          </cell>
          <cell r="K6709">
            <v>460</v>
          </cell>
          <cell r="L6709" t="str">
            <v>GZQ</v>
          </cell>
          <cell r="N6709">
            <v>29.3645484949833</v>
          </cell>
        </row>
        <row r="6710">
          <cell r="E6710" t="str">
            <v>HGC-Lib-2459381</v>
          </cell>
          <cell r="F6710" t="str">
            <v>FWSC20240471-control2</v>
          </cell>
          <cell r="G6710">
            <v>100</v>
          </cell>
          <cell r="H6710" t="str">
            <v>寻因3'单细胞</v>
          </cell>
          <cell r="I6710" t="str">
            <v>TY</v>
          </cell>
          <cell r="J6710">
            <v>10.9</v>
          </cell>
          <cell r="K6710">
            <v>472</v>
          </cell>
          <cell r="L6710" t="str">
            <v>GZQ</v>
          </cell>
          <cell r="N6710">
            <v>35.528031290743201</v>
          </cell>
        </row>
        <row r="6711">
          <cell r="E6711" t="str">
            <v>HGC-Lib-2459382</v>
          </cell>
          <cell r="F6711" t="str">
            <v>FWSC20240471-control3</v>
          </cell>
          <cell r="G6711">
            <v>100</v>
          </cell>
          <cell r="H6711" t="str">
            <v>寻因3'单细胞</v>
          </cell>
          <cell r="I6711" t="str">
            <v>TY</v>
          </cell>
          <cell r="J6711">
            <v>10.1</v>
          </cell>
          <cell r="K6711">
            <v>475</v>
          </cell>
          <cell r="L6711" t="str">
            <v>GZQ</v>
          </cell>
          <cell r="N6711">
            <v>32.712550607287397</v>
          </cell>
        </row>
        <row r="6712">
          <cell r="E6712" t="str">
            <v>HGC-Lib-2459383</v>
          </cell>
          <cell r="F6712" t="str">
            <v>FWSC20240471-control1-CS1</v>
          </cell>
          <cell r="G6712">
            <v>100</v>
          </cell>
          <cell r="H6712" t="str">
            <v>寻因3'单细胞</v>
          </cell>
          <cell r="I6712" t="str">
            <v>TY</v>
          </cell>
          <cell r="J6712">
            <v>14</v>
          </cell>
          <cell r="K6712">
            <v>473</v>
          </cell>
          <cell r="L6712" t="str">
            <v>GZQ</v>
          </cell>
          <cell r="N6712">
            <v>45.535859489347899</v>
          </cell>
        </row>
        <row r="6713">
          <cell r="E6713" t="str">
            <v>HGC-Lib-2459384</v>
          </cell>
          <cell r="F6713" t="str">
            <v>FWSC20240471-control12-CS2</v>
          </cell>
          <cell r="G6713">
            <v>100</v>
          </cell>
          <cell r="H6713" t="str">
            <v>寻因3'单细胞</v>
          </cell>
          <cell r="I6713" t="str">
            <v>TY</v>
          </cell>
          <cell r="J6713">
            <v>11.8</v>
          </cell>
          <cell r="K6713">
            <v>488</v>
          </cell>
          <cell r="L6713" t="str">
            <v>GZQ</v>
          </cell>
          <cell r="N6713">
            <v>37.2005044136192</v>
          </cell>
        </row>
        <row r="6714">
          <cell r="E6714" t="str">
            <v>HGC-POOL-2459406</v>
          </cell>
          <cell r="F6714" t="str">
            <v>ZTT_0725_L1</v>
          </cell>
          <cell r="G6714">
            <v>27</v>
          </cell>
          <cell r="H6714" t="str">
            <v>PCR产物文库</v>
          </cell>
          <cell r="I6714" t="str">
            <v>TY</v>
          </cell>
          <cell r="J6714">
            <v>24.8</v>
          </cell>
          <cell r="K6714">
            <v>501</v>
          </cell>
          <cell r="L6714" t="str">
            <v>GZQ</v>
          </cell>
          <cell r="N6714">
            <v>76.155381544603102</v>
          </cell>
        </row>
        <row r="6715">
          <cell r="E6715" t="str">
            <v>HGC-POOL-2459407</v>
          </cell>
          <cell r="F6715" t="str">
            <v>ZTT_0725_L2</v>
          </cell>
          <cell r="G6715">
            <v>27</v>
          </cell>
          <cell r="H6715" t="str">
            <v>PCR产物文库</v>
          </cell>
          <cell r="I6715" t="str">
            <v>TY</v>
          </cell>
          <cell r="J6715">
            <v>23.4</v>
          </cell>
          <cell r="K6715">
            <v>496</v>
          </cell>
          <cell r="L6715" t="str">
            <v>GZQ</v>
          </cell>
          <cell r="N6715">
            <v>72.580645161290306</v>
          </cell>
        </row>
        <row r="6716">
          <cell r="E6716" t="str">
            <v>HGC-POOL-2459408</v>
          </cell>
          <cell r="F6716" t="str">
            <v>ZTT_0725_L3</v>
          </cell>
          <cell r="G6716">
            <v>27</v>
          </cell>
          <cell r="H6716" t="str">
            <v>PCR产物文库</v>
          </cell>
          <cell r="I6716" t="str">
            <v>WWH</v>
          </cell>
          <cell r="J6716">
            <v>22.4</v>
          </cell>
          <cell r="K6716">
            <v>496</v>
          </cell>
          <cell r="L6716" t="str">
            <v>GZQ</v>
          </cell>
          <cell r="N6716">
            <v>69.478908188585606</v>
          </cell>
        </row>
        <row r="6717">
          <cell r="E6717" t="str">
            <v>HGC-Lib-2459415</v>
          </cell>
          <cell r="F6717" t="str">
            <v>2TFsort</v>
          </cell>
          <cell r="G6717">
            <v>2</v>
          </cell>
          <cell r="H6717" t="str">
            <v>全基因组文库</v>
          </cell>
          <cell r="I6717" t="str">
            <v>WWH</v>
          </cell>
          <cell r="J6717">
            <v>9.16</v>
          </cell>
          <cell r="K6717">
            <v>346</v>
          </cell>
          <cell r="L6717" t="str">
            <v>WWH</v>
          </cell>
          <cell r="N6717">
            <v>40.729212983548202</v>
          </cell>
        </row>
        <row r="6718">
          <cell r="E6718" t="str">
            <v>HGC-POOL-2459416</v>
          </cell>
          <cell r="F6718" t="str">
            <v>LGG13542-GW131187</v>
          </cell>
          <cell r="G6718">
            <v>60</v>
          </cell>
          <cell r="H6718" t="str">
            <v>转录组/小RNA</v>
          </cell>
          <cell r="I6718" t="str">
            <v>HZK</v>
          </cell>
          <cell r="J6718">
            <v>43</v>
          </cell>
          <cell r="K6718">
            <v>304</v>
          </cell>
          <cell r="L6718" t="str">
            <v>GZQ</v>
          </cell>
          <cell r="N6718">
            <v>217.611336032389</v>
          </cell>
        </row>
        <row r="6719">
          <cell r="E6719" t="str">
            <v>HGC-POOL-2459417</v>
          </cell>
          <cell r="F6719" t="str">
            <v>LGG13543-GW131187</v>
          </cell>
          <cell r="G6719">
            <v>80</v>
          </cell>
          <cell r="H6719" t="str">
            <v>转录组/小RNA</v>
          </cell>
          <cell r="I6719" t="str">
            <v>HZK</v>
          </cell>
          <cell r="J6719">
            <v>22.2</v>
          </cell>
          <cell r="K6719">
            <v>416</v>
          </cell>
          <cell r="L6719" t="str">
            <v>GZQ</v>
          </cell>
          <cell r="N6719">
            <v>82.100591715976293</v>
          </cell>
        </row>
        <row r="6720">
          <cell r="E6720" t="str">
            <v>HGC-POOL-2459418</v>
          </cell>
          <cell r="F6720" t="str">
            <v>LGG16715-GW131187</v>
          </cell>
          <cell r="G6720">
            <v>36</v>
          </cell>
          <cell r="H6720" t="str">
            <v>小RNA</v>
          </cell>
          <cell r="I6720" t="str">
            <v>HZK</v>
          </cell>
          <cell r="J6720">
            <v>1.4</v>
          </cell>
          <cell r="K6720">
            <v>262</v>
          </cell>
          <cell r="L6720" t="str">
            <v>WWH</v>
          </cell>
          <cell r="N6720">
            <v>8.2207868467410492</v>
          </cell>
        </row>
        <row r="6721">
          <cell r="E6721" t="str">
            <v>HGC-POOL-2459419</v>
          </cell>
          <cell r="F6721" t="str">
            <v>ZTT_0726_L1</v>
          </cell>
          <cell r="G6721">
            <v>24</v>
          </cell>
          <cell r="H6721" t="str">
            <v>PCR产物文库</v>
          </cell>
          <cell r="I6721" t="str">
            <v>HZK</v>
          </cell>
          <cell r="J6721">
            <v>32</v>
          </cell>
          <cell r="K6721">
            <v>489</v>
          </cell>
          <cell r="L6721" t="str">
            <v>GZQ</v>
          </cell>
          <cell r="N6721">
            <v>100.676419694825</v>
          </cell>
        </row>
        <row r="6722">
          <cell r="E6722" t="str">
            <v>HGC-POOL-2459420</v>
          </cell>
          <cell r="F6722" t="str">
            <v>ZTT_0726_L2</v>
          </cell>
          <cell r="G6722">
            <v>24</v>
          </cell>
          <cell r="H6722" t="str">
            <v>PCR产物文库</v>
          </cell>
          <cell r="I6722" t="str">
            <v>HZK</v>
          </cell>
          <cell r="J6722">
            <v>32.799999999999997</v>
          </cell>
          <cell r="K6722">
            <v>499</v>
          </cell>
          <cell r="L6722" t="str">
            <v>GZQ</v>
          </cell>
          <cell r="N6722">
            <v>101.125327578233</v>
          </cell>
        </row>
        <row r="6723">
          <cell r="E6723" t="str">
            <v>HGC-POOL-2459421</v>
          </cell>
          <cell r="F6723" t="str">
            <v>ZTT_0726_L3</v>
          </cell>
          <cell r="G6723">
            <v>24</v>
          </cell>
          <cell r="H6723" t="str">
            <v>PCR产物文库</v>
          </cell>
          <cell r="I6723" t="str">
            <v>HZK</v>
          </cell>
          <cell r="J6723">
            <v>27</v>
          </cell>
          <cell r="K6723">
            <v>497</v>
          </cell>
          <cell r="L6723" t="str">
            <v>GZQ</v>
          </cell>
          <cell r="N6723">
            <v>83.578393437548399</v>
          </cell>
        </row>
        <row r="6724">
          <cell r="E6724" t="str">
            <v>HGC-Lib-2459422</v>
          </cell>
          <cell r="F6724" t="str">
            <v>EZS0156-0uM-3</v>
          </cell>
          <cell r="G6724">
            <v>2</v>
          </cell>
          <cell r="H6724" t="str">
            <v>small RNA文库</v>
          </cell>
          <cell r="I6724" t="str">
            <v>HZK</v>
          </cell>
          <cell r="J6724">
            <v>1.96</v>
          </cell>
          <cell r="K6724">
            <v>333</v>
          </cell>
          <cell r="L6724" t="str">
            <v>WWH</v>
          </cell>
          <cell r="N6724">
            <v>9.0552090552090601</v>
          </cell>
        </row>
        <row r="6725">
          <cell r="E6725" t="str">
            <v>HGC-Lib-2459423</v>
          </cell>
          <cell r="F6725" t="str">
            <v>EZS0156-50uM-3</v>
          </cell>
          <cell r="G6725">
            <v>2</v>
          </cell>
          <cell r="H6725" t="str">
            <v>small RNA文库</v>
          </cell>
          <cell r="I6725" t="str">
            <v>HZK</v>
          </cell>
          <cell r="J6725">
            <v>2.76</v>
          </cell>
          <cell r="K6725">
            <v>179</v>
          </cell>
          <cell r="L6725" t="str">
            <v>WWH</v>
          </cell>
          <cell r="N6725">
            <v>23.721529866781299</v>
          </cell>
        </row>
        <row r="6726">
          <cell r="E6726" t="str">
            <v>HGC-Lib-2459424</v>
          </cell>
          <cell r="F6726" t="str">
            <v>EZS0156-350uM-3</v>
          </cell>
          <cell r="G6726">
            <v>2</v>
          </cell>
          <cell r="H6726" t="str">
            <v>small RNA文库</v>
          </cell>
          <cell r="I6726" t="str">
            <v>HZK</v>
          </cell>
          <cell r="J6726">
            <v>1.87</v>
          </cell>
          <cell r="K6726">
            <v>335</v>
          </cell>
          <cell r="L6726" t="str">
            <v>WWH</v>
          </cell>
          <cell r="N6726">
            <v>8.5878300803673895</v>
          </cell>
        </row>
        <row r="6727">
          <cell r="E6727" t="str">
            <v>HGC-Lib-2459425</v>
          </cell>
          <cell r="F6727" t="str">
            <v>EZS0156-500uM-3</v>
          </cell>
          <cell r="G6727">
            <v>2</v>
          </cell>
          <cell r="H6727" t="str">
            <v>small RNA文库</v>
          </cell>
          <cell r="I6727" t="str">
            <v>HZK</v>
          </cell>
          <cell r="J6727">
            <v>1.78</v>
          </cell>
          <cell r="K6727">
            <v>333</v>
          </cell>
          <cell r="L6727" t="str">
            <v>GZQ</v>
          </cell>
          <cell r="N6727">
            <v>8.2236082236082293</v>
          </cell>
        </row>
        <row r="6728">
          <cell r="E6728" t="str">
            <v>HGC-Lib-2459426</v>
          </cell>
          <cell r="F6728" t="str">
            <v>LC240723048</v>
          </cell>
          <cell r="G6728">
            <v>150</v>
          </cell>
          <cell r="H6728" t="str">
            <v>singleron-3'转录组文库</v>
          </cell>
          <cell r="I6728" t="str">
            <v>HZK</v>
          </cell>
          <cell r="J6728">
            <v>20.399999999999999</v>
          </cell>
          <cell r="N6728" t="e">
            <v>#DIV/0!</v>
          </cell>
        </row>
        <row r="6729">
          <cell r="E6729" t="str">
            <v>HGC-Lib-2459427</v>
          </cell>
          <cell r="F6729" t="str">
            <v>LA240723008</v>
          </cell>
          <cell r="G6729">
            <v>100</v>
          </cell>
          <cell r="H6729" t="str">
            <v>singleron-3'转录组文库</v>
          </cell>
          <cell r="I6729" t="str">
            <v>HZK</v>
          </cell>
          <cell r="J6729">
            <v>18</v>
          </cell>
          <cell r="N6729" t="e">
            <v>#DIV/0!</v>
          </cell>
        </row>
        <row r="6730">
          <cell r="E6730" t="str">
            <v>HGC-Lib-2459428</v>
          </cell>
          <cell r="F6730" t="str">
            <v>LC240723006</v>
          </cell>
          <cell r="G6730">
            <v>100</v>
          </cell>
          <cell r="H6730" t="str">
            <v>singleron-3'转录组文库</v>
          </cell>
          <cell r="I6730" t="str">
            <v>HZK</v>
          </cell>
          <cell r="J6730">
            <v>23.6</v>
          </cell>
          <cell r="N6730" t="e">
            <v>#DIV/0!</v>
          </cell>
        </row>
        <row r="6731">
          <cell r="E6731" t="str">
            <v>HGC-Lib-2459429</v>
          </cell>
          <cell r="F6731" t="str">
            <v>LHC240723001</v>
          </cell>
          <cell r="G6731">
            <v>50</v>
          </cell>
          <cell r="H6731" t="str">
            <v>singleron-3'转录组文库</v>
          </cell>
          <cell r="I6731" t="str">
            <v>HZK</v>
          </cell>
          <cell r="J6731">
            <v>15.8</v>
          </cell>
          <cell r="N6731" t="e">
            <v>#DIV/0!</v>
          </cell>
        </row>
        <row r="6732">
          <cell r="E6732" t="str">
            <v>HGC-Lib-2459430</v>
          </cell>
          <cell r="F6732" t="str">
            <v>LHC240723002</v>
          </cell>
          <cell r="G6732">
            <v>200</v>
          </cell>
          <cell r="H6732" t="str">
            <v>singleron-3'转录组文库</v>
          </cell>
          <cell r="I6732" t="str">
            <v>HZK</v>
          </cell>
          <cell r="J6732">
            <v>19</v>
          </cell>
          <cell r="N6732" t="e">
            <v>#DIV/0!</v>
          </cell>
        </row>
        <row r="6733">
          <cell r="E6733" t="str">
            <v>HGC-Lib-2459431</v>
          </cell>
          <cell r="F6733" t="str">
            <v>LHC240723003</v>
          </cell>
          <cell r="G6733">
            <v>200</v>
          </cell>
          <cell r="H6733" t="str">
            <v>singleron-3'转录组文库</v>
          </cell>
          <cell r="I6733" t="str">
            <v>HZK</v>
          </cell>
          <cell r="J6733">
            <v>18.5</v>
          </cell>
          <cell r="N6733" t="e">
            <v>#DIV/0!</v>
          </cell>
        </row>
        <row r="6734">
          <cell r="E6734" t="str">
            <v>HGC-Lib-2459432</v>
          </cell>
          <cell r="F6734" t="str">
            <v>LA240723026</v>
          </cell>
          <cell r="G6734">
            <v>90</v>
          </cell>
          <cell r="H6734" t="str">
            <v>singleron-3'转录组文库</v>
          </cell>
          <cell r="I6734" t="str">
            <v>HZK</v>
          </cell>
          <cell r="J6734">
            <v>21</v>
          </cell>
          <cell r="N6734" t="e">
            <v>#DIV/0!</v>
          </cell>
        </row>
        <row r="6735">
          <cell r="E6735" t="str">
            <v>HGC-Lib-2459433</v>
          </cell>
          <cell r="F6735" t="str">
            <v>LA240723027</v>
          </cell>
          <cell r="G6735">
            <v>90</v>
          </cell>
          <cell r="H6735" t="str">
            <v>singleron-3'转录组文库</v>
          </cell>
          <cell r="I6735" t="str">
            <v>HZK</v>
          </cell>
          <cell r="J6735">
            <v>20.6</v>
          </cell>
          <cell r="N6735" t="e">
            <v>#DIV/0!</v>
          </cell>
        </row>
        <row r="6736">
          <cell r="E6736" t="str">
            <v>HGC-Lib-2459434</v>
          </cell>
          <cell r="F6736" t="str">
            <v>LA240723028</v>
          </cell>
          <cell r="G6736">
            <v>90</v>
          </cell>
          <cell r="H6736" t="str">
            <v>singleron-3'转录组文库</v>
          </cell>
          <cell r="I6736" t="str">
            <v>HZK</v>
          </cell>
          <cell r="J6736">
            <v>24.2</v>
          </cell>
          <cell r="N6736" t="e">
            <v>#DIV/0!</v>
          </cell>
        </row>
        <row r="6737">
          <cell r="E6737" t="str">
            <v>HGC-Lib-2459435</v>
          </cell>
          <cell r="F6737" t="str">
            <v>LA240723029</v>
          </cell>
          <cell r="G6737">
            <v>90</v>
          </cell>
          <cell r="H6737" t="str">
            <v>singleron-3'转录组文库</v>
          </cell>
          <cell r="I6737" t="str">
            <v>HZK</v>
          </cell>
          <cell r="J6737">
            <v>17</v>
          </cell>
          <cell r="N6737" t="e">
            <v>#DIV/0!</v>
          </cell>
        </row>
        <row r="6738">
          <cell r="E6738" t="str">
            <v>HGC-Lib-2459436</v>
          </cell>
          <cell r="F6738" t="str">
            <v>LA240723030</v>
          </cell>
          <cell r="G6738">
            <v>90</v>
          </cell>
          <cell r="H6738" t="str">
            <v>singleron-3'转录组文库</v>
          </cell>
          <cell r="I6738" t="str">
            <v>HZK</v>
          </cell>
          <cell r="J6738">
            <v>28.2</v>
          </cell>
          <cell r="N6738" t="e">
            <v>#DIV/0!</v>
          </cell>
        </row>
        <row r="6739">
          <cell r="E6739" t="str">
            <v>HGC-Lib-2459437</v>
          </cell>
          <cell r="F6739" t="str">
            <v>LA240723049</v>
          </cell>
          <cell r="G6739">
            <v>100</v>
          </cell>
          <cell r="H6739" t="str">
            <v>singleron-3'转录组文库</v>
          </cell>
          <cell r="I6739" t="str">
            <v>HZK</v>
          </cell>
          <cell r="J6739">
            <v>17</v>
          </cell>
          <cell r="N6739" t="e">
            <v>#DIV/0!</v>
          </cell>
        </row>
        <row r="6740">
          <cell r="E6740" t="str">
            <v>HGC-Lib-2459438</v>
          </cell>
          <cell r="F6740" t="str">
            <v>LA240723050</v>
          </cell>
          <cell r="G6740">
            <v>100</v>
          </cell>
          <cell r="H6740" t="str">
            <v>singleron-3'转录组文库</v>
          </cell>
          <cell r="I6740" t="str">
            <v>HZK</v>
          </cell>
          <cell r="J6740">
            <v>24</v>
          </cell>
          <cell r="N6740" t="e">
            <v>#DIV/0!</v>
          </cell>
        </row>
        <row r="6741">
          <cell r="E6741" t="str">
            <v>HGC-Lib-2459439</v>
          </cell>
          <cell r="F6741" t="str">
            <v>LA240723051</v>
          </cell>
          <cell r="G6741">
            <v>100</v>
          </cell>
          <cell r="H6741" t="str">
            <v>singleron-3'转录组文库</v>
          </cell>
          <cell r="I6741" t="str">
            <v>HZK</v>
          </cell>
          <cell r="J6741">
            <v>22.4</v>
          </cell>
          <cell r="N6741" t="e">
            <v>#DIV/0!</v>
          </cell>
        </row>
        <row r="6742">
          <cell r="E6742" t="str">
            <v>HGC-Lib-2459440</v>
          </cell>
          <cell r="F6742" t="str">
            <v>LEBVC240723067</v>
          </cell>
          <cell r="G6742">
            <v>80</v>
          </cell>
          <cell r="H6742" t="str">
            <v>singleron-3'转录组文库</v>
          </cell>
          <cell r="I6742" t="str">
            <v>HZK</v>
          </cell>
          <cell r="J6742">
            <v>15.3</v>
          </cell>
          <cell r="N6742" t="e">
            <v>#DIV/0!</v>
          </cell>
        </row>
        <row r="6743">
          <cell r="E6743" t="str">
            <v>HGC-Lib-2459441</v>
          </cell>
          <cell r="F6743" t="str">
            <v>LFTBC240723069</v>
          </cell>
          <cell r="G6743">
            <v>70</v>
          </cell>
          <cell r="H6743" t="str">
            <v>singleron-3'全长转录组文库</v>
          </cell>
          <cell r="I6743" t="str">
            <v>HZK</v>
          </cell>
          <cell r="J6743">
            <v>19.7</v>
          </cell>
          <cell r="N6743" t="e">
            <v>#DIV/0!</v>
          </cell>
        </row>
        <row r="6744">
          <cell r="E6744" t="str">
            <v>HGC-Lib-2459442</v>
          </cell>
          <cell r="F6744" t="str">
            <v>LA240723063</v>
          </cell>
          <cell r="G6744">
            <v>100</v>
          </cell>
          <cell r="H6744" t="str">
            <v>singleron-3'转录组文库</v>
          </cell>
          <cell r="I6744" t="str">
            <v>HZK</v>
          </cell>
          <cell r="J6744">
            <v>19.100000000000001</v>
          </cell>
          <cell r="N6744" t="e">
            <v>#DIV/0!</v>
          </cell>
        </row>
        <row r="6745">
          <cell r="E6745" t="str">
            <v>HGC-Lib-2459443</v>
          </cell>
          <cell r="F6745" t="str">
            <v>LA240723064</v>
          </cell>
          <cell r="G6745">
            <v>100</v>
          </cell>
          <cell r="H6745" t="str">
            <v>singleron-3'转录组文库</v>
          </cell>
          <cell r="I6745" t="str">
            <v>HZK</v>
          </cell>
          <cell r="J6745">
            <v>17.899999999999999</v>
          </cell>
          <cell r="N6745" t="e">
            <v>#DIV/0!</v>
          </cell>
        </row>
        <row r="6746">
          <cell r="E6746" t="str">
            <v>HGC-Lib-2459444</v>
          </cell>
          <cell r="F6746" t="str">
            <v>LC240722030</v>
          </cell>
          <cell r="G6746">
            <v>100</v>
          </cell>
          <cell r="H6746" t="str">
            <v>singleron-3'转录组文库</v>
          </cell>
          <cell r="I6746" t="str">
            <v>HZK</v>
          </cell>
          <cell r="J6746">
            <v>16.399999999999999</v>
          </cell>
          <cell r="N6746" t="e">
            <v>#DIV/0!</v>
          </cell>
        </row>
        <row r="6747">
          <cell r="E6747" t="str">
            <v>HGC-Lib-2459445</v>
          </cell>
          <cell r="F6747" t="str">
            <v>LA240722001</v>
          </cell>
          <cell r="G6747">
            <v>10</v>
          </cell>
          <cell r="H6747" t="str">
            <v>singleron-3'转录组文库</v>
          </cell>
          <cell r="I6747" t="str">
            <v>HZK</v>
          </cell>
          <cell r="J6747">
            <v>20.399999999999999</v>
          </cell>
          <cell r="N6747" t="e">
            <v>#DIV/0!</v>
          </cell>
        </row>
        <row r="6748">
          <cell r="E6748" t="str">
            <v>HGC-Lib-2459446</v>
          </cell>
          <cell r="F6748" t="str">
            <v>LA240722002</v>
          </cell>
          <cell r="G6748">
            <v>10</v>
          </cell>
          <cell r="H6748" t="str">
            <v>singleron-3'转录组文库</v>
          </cell>
          <cell r="I6748" t="str">
            <v>HZK</v>
          </cell>
          <cell r="J6748">
            <v>15.8</v>
          </cell>
          <cell r="N6748" t="e">
            <v>#DIV/0!</v>
          </cell>
        </row>
        <row r="6749">
          <cell r="E6749" t="str">
            <v>HGC-Lib-2459447</v>
          </cell>
          <cell r="F6749" t="str">
            <v>LA240719144</v>
          </cell>
          <cell r="G6749">
            <v>100</v>
          </cell>
          <cell r="H6749" t="str">
            <v>singleron-3'转录组文库</v>
          </cell>
          <cell r="I6749" t="str">
            <v>HZK</v>
          </cell>
          <cell r="J6749">
            <v>24</v>
          </cell>
          <cell r="N6749" t="e">
            <v>#DIV/0!</v>
          </cell>
        </row>
        <row r="6750">
          <cell r="E6750" t="str">
            <v>HGC-Lib-2459448</v>
          </cell>
          <cell r="F6750" t="str">
            <v>LA240718065</v>
          </cell>
          <cell r="G6750">
            <v>100</v>
          </cell>
          <cell r="H6750" t="str">
            <v>singleron-3'转录组文库</v>
          </cell>
          <cell r="I6750" t="str">
            <v>HZK</v>
          </cell>
          <cell r="J6750">
            <v>19.600000000000001</v>
          </cell>
          <cell r="N6750" t="e">
            <v>#DIV/0!</v>
          </cell>
        </row>
        <row r="6751">
          <cell r="E6751" t="str">
            <v>HGC-Lib-2459449</v>
          </cell>
          <cell r="F6751" t="str">
            <v>LA240722037</v>
          </cell>
          <cell r="G6751">
            <v>100</v>
          </cell>
          <cell r="H6751" t="str">
            <v>singleron-3'转录组文库</v>
          </cell>
          <cell r="I6751" t="str">
            <v>HZK</v>
          </cell>
          <cell r="J6751">
            <v>21.6</v>
          </cell>
          <cell r="N6751" t="e">
            <v>#DIV/0!</v>
          </cell>
        </row>
        <row r="6752">
          <cell r="E6752" t="str">
            <v>HGC-Lib-2459450</v>
          </cell>
          <cell r="F6752" t="str">
            <v>LA240722038</v>
          </cell>
          <cell r="G6752">
            <v>100</v>
          </cell>
          <cell r="H6752" t="str">
            <v>singleron-3'转录组文库</v>
          </cell>
          <cell r="I6752" t="str">
            <v>HZK</v>
          </cell>
          <cell r="J6752">
            <v>17.8</v>
          </cell>
          <cell r="N6752" t="e">
            <v>#DIV/0!</v>
          </cell>
        </row>
        <row r="6753">
          <cell r="E6753" t="str">
            <v>HGC-Lib-2459451</v>
          </cell>
          <cell r="F6753" t="str">
            <v>LA240722039</v>
          </cell>
          <cell r="G6753">
            <v>100</v>
          </cell>
          <cell r="H6753" t="str">
            <v>singleron-3'转录组文库</v>
          </cell>
          <cell r="I6753" t="str">
            <v>HZK</v>
          </cell>
          <cell r="J6753">
            <v>17.399999999999999</v>
          </cell>
          <cell r="N6753" t="e">
            <v>#DIV/0!</v>
          </cell>
        </row>
        <row r="6754">
          <cell r="E6754" t="str">
            <v>HGC-Lib-2459452</v>
          </cell>
          <cell r="F6754" t="str">
            <v>LA240721023</v>
          </cell>
          <cell r="G6754">
            <v>100</v>
          </cell>
          <cell r="H6754" t="str">
            <v>singleron-3'转录组文库</v>
          </cell>
          <cell r="I6754" t="str">
            <v>HZK</v>
          </cell>
          <cell r="J6754">
            <v>18.899999999999999</v>
          </cell>
          <cell r="N6754" t="e">
            <v>#DIV/0!</v>
          </cell>
        </row>
        <row r="6755">
          <cell r="E6755" t="str">
            <v>HGC-Lib-2459453</v>
          </cell>
          <cell r="F6755" t="str">
            <v>LA240721025</v>
          </cell>
          <cell r="G6755">
            <v>100</v>
          </cell>
          <cell r="H6755" t="str">
            <v>singleron-3'转录组文库</v>
          </cell>
          <cell r="I6755" t="str">
            <v>HZK</v>
          </cell>
          <cell r="J6755">
            <v>19.5</v>
          </cell>
          <cell r="N6755" t="e">
            <v>#DIV/0!</v>
          </cell>
        </row>
        <row r="6756">
          <cell r="E6756" t="str">
            <v>HGC-Lib-2459454</v>
          </cell>
          <cell r="F6756" t="str">
            <v>LA240720067</v>
          </cell>
          <cell r="G6756">
            <v>100</v>
          </cell>
          <cell r="H6756" t="str">
            <v>singleron-3'转录组文库</v>
          </cell>
          <cell r="I6756" t="str">
            <v>HZK</v>
          </cell>
          <cell r="J6756">
            <v>18.399999999999999</v>
          </cell>
          <cell r="N6756" t="e">
            <v>#DIV/0!</v>
          </cell>
        </row>
        <row r="6757">
          <cell r="E6757" t="str">
            <v>HGC-Lib-2459455</v>
          </cell>
          <cell r="F6757" t="str">
            <v>LC240724072</v>
          </cell>
          <cell r="G6757">
            <v>100</v>
          </cell>
          <cell r="H6757" t="str">
            <v>singleron-3'转录组文库</v>
          </cell>
          <cell r="I6757" t="str">
            <v>HZK</v>
          </cell>
          <cell r="J6757">
            <v>13.7</v>
          </cell>
          <cell r="N6757" t="e">
            <v>#DIV/0!</v>
          </cell>
        </row>
        <row r="6758">
          <cell r="E6758" t="str">
            <v>HGC-Lib-2459456</v>
          </cell>
          <cell r="F6758" t="str">
            <v>LC240720062</v>
          </cell>
          <cell r="G6758">
            <v>100</v>
          </cell>
          <cell r="H6758" t="str">
            <v>singleron-3'转录组文库</v>
          </cell>
          <cell r="I6758" t="str">
            <v>HZK</v>
          </cell>
          <cell r="J6758">
            <v>19.600000000000001</v>
          </cell>
          <cell r="N6758" t="e">
            <v>#DIV/0!</v>
          </cell>
        </row>
        <row r="6759">
          <cell r="E6759" t="str">
            <v>HGC-Lib-2459457</v>
          </cell>
          <cell r="F6759" t="str">
            <v>LC240721026</v>
          </cell>
          <cell r="G6759">
            <v>150</v>
          </cell>
          <cell r="H6759" t="str">
            <v>singleron-3'转录组文库</v>
          </cell>
          <cell r="I6759" t="str">
            <v>HZK</v>
          </cell>
          <cell r="J6759">
            <v>16.100000000000001</v>
          </cell>
          <cell r="N6759" t="e">
            <v>#DIV/0!</v>
          </cell>
        </row>
        <row r="6760">
          <cell r="E6760" t="str">
            <v>HGC-Lib-2459458</v>
          </cell>
          <cell r="F6760" t="str">
            <v>LA240722034</v>
          </cell>
          <cell r="G6760">
            <v>100</v>
          </cell>
          <cell r="H6760" t="str">
            <v>singleron-3'转录组文库</v>
          </cell>
          <cell r="I6760" t="str">
            <v>HZK</v>
          </cell>
          <cell r="J6760">
            <v>16.100000000000001</v>
          </cell>
          <cell r="N6760" t="e">
            <v>#DIV/0!</v>
          </cell>
        </row>
        <row r="6761">
          <cell r="E6761" t="str">
            <v>HGC-Lib-2459459</v>
          </cell>
          <cell r="F6761" t="str">
            <v>LA240722033</v>
          </cell>
          <cell r="G6761">
            <v>100</v>
          </cell>
          <cell r="H6761" t="str">
            <v>singleron-3'转录组文库</v>
          </cell>
          <cell r="I6761" t="str">
            <v>HZK</v>
          </cell>
          <cell r="J6761">
            <v>18.3</v>
          </cell>
          <cell r="N6761" t="e">
            <v>#DIV/0!</v>
          </cell>
        </row>
        <row r="6762">
          <cell r="E6762" t="str">
            <v>HGC-Lib-2459460</v>
          </cell>
          <cell r="F6762" t="str">
            <v>LA240722032</v>
          </cell>
          <cell r="G6762">
            <v>100</v>
          </cell>
          <cell r="H6762" t="str">
            <v>singleron-3'转录组文库</v>
          </cell>
          <cell r="I6762" t="str">
            <v>HZK</v>
          </cell>
          <cell r="J6762">
            <v>19</v>
          </cell>
          <cell r="N6762" t="e">
            <v>#DIV/0!</v>
          </cell>
        </row>
        <row r="6763">
          <cell r="E6763" t="str">
            <v>HGC-Lib-2459461</v>
          </cell>
          <cell r="F6763" t="str">
            <v>LFTBA240722040</v>
          </cell>
          <cell r="G6763">
            <v>70</v>
          </cell>
          <cell r="H6763" t="str">
            <v>singleron-3'全长转录组文库</v>
          </cell>
          <cell r="I6763" t="str">
            <v>HZK</v>
          </cell>
          <cell r="J6763">
            <v>22.6</v>
          </cell>
          <cell r="N6763" t="e">
            <v>#DIV/0!</v>
          </cell>
        </row>
        <row r="6764">
          <cell r="E6764" t="str">
            <v>HGC-POOL-2459462</v>
          </cell>
          <cell r="F6764" t="str">
            <v>PCRD-240726-002</v>
          </cell>
          <cell r="G6764">
            <v>30</v>
          </cell>
          <cell r="H6764" t="str">
            <v>singleron-3'转录组文库</v>
          </cell>
          <cell r="I6764" t="str">
            <v>HZK</v>
          </cell>
          <cell r="J6764">
            <v>21.2</v>
          </cell>
          <cell r="N6764" t="e">
            <v>#DIV/0!</v>
          </cell>
        </row>
        <row r="6765">
          <cell r="E6765" t="str">
            <v>HGC-Lib-2459463</v>
          </cell>
          <cell r="F6765" t="str">
            <v>R240726023</v>
          </cell>
          <cell r="G6765">
            <v>5</v>
          </cell>
          <cell r="H6765" t="str">
            <v>singleron-3'转录组文库</v>
          </cell>
          <cell r="I6765" t="str">
            <v>HZK</v>
          </cell>
          <cell r="J6765">
            <v>16.8</v>
          </cell>
          <cell r="N6765" t="e">
            <v>#DIV/0!</v>
          </cell>
        </row>
        <row r="6766">
          <cell r="E6766" t="str">
            <v>HGC-Lib-2459464</v>
          </cell>
          <cell r="F6766" t="str">
            <v>R240726024</v>
          </cell>
          <cell r="G6766">
            <v>5</v>
          </cell>
          <cell r="H6766" t="str">
            <v>singleron-3'转录组文库</v>
          </cell>
          <cell r="I6766" t="str">
            <v>WWH</v>
          </cell>
          <cell r="J6766">
            <v>17.3</v>
          </cell>
          <cell r="N6766" t="e">
            <v>#DIV/0!</v>
          </cell>
        </row>
        <row r="6767">
          <cell r="E6767" t="str">
            <v>HGC-Lib-2459465</v>
          </cell>
          <cell r="F6767" t="str">
            <v>R240726025</v>
          </cell>
          <cell r="G6767">
            <v>5</v>
          </cell>
          <cell r="H6767" t="str">
            <v>singleron-3'转录组文库</v>
          </cell>
          <cell r="I6767" t="str">
            <v>WWH</v>
          </cell>
          <cell r="J6767">
            <v>19.5</v>
          </cell>
          <cell r="N6767" t="e">
            <v>#DIV/0!</v>
          </cell>
        </row>
        <row r="6768">
          <cell r="E6768" t="str">
            <v>HGC-Lib-2459466</v>
          </cell>
          <cell r="F6768" t="str">
            <v>R240726026</v>
          </cell>
          <cell r="G6768">
            <v>5</v>
          </cell>
          <cell r="H6768" t="str">
            <v>singleron-3'转录组文库</v>
          </cell>
          <cell r="I6768" t="str">
            <v>WWH</v>
          </cell>
          <cell r="J6768">
            <v>18.5</v>
          </cell>
          <cell r="N6768" t="e">
            <v>#DIV/0!</v>
          </cell>
        </row>
        <row r="6769">
          <cell r="E6769" t="str">
            <v>HGC-Lib-2459475</v>
          </cell>
          <cell r="F6769" t="str">
            <v>GDM20240621-9</v>
          </cell>
          <cell r="G6769">
            <v>45</v>
          </cell>
          <cell r="H6769" t="str">
            <v>全基因组文库</v>
          </cell>
          <cell r="I6769" t="str">
            <v>WWH</v>
          </cell>
          <cell r="J6769">
            <v>3.92</v>
          </cell>
          <cell r="K6769">
            <v>209</v>
          </cell>
          <cell r="L6769" t="str">
            <v>WWH</v>
          </cell>
          <cell r="N6769">
            <v>28.855355171144598</v>
          </cell>
        </row>
        <row r="6770">
          <cell r="E6770" t="str">
            <v>HGC-Lib-2459476</v>
          </cell>
          <cell r="F6770" t="str">
            <v>GDM20240621-10</v>
          </cell>
          <cell r="G6770">
            <v>15</v>
          </cell>
          <cell r="H6770" t="str">
            <v>全基因组文库</v>
          </cell>
          <cell r="I6770" t="str">
            <v>WWH</v>
          </cell>
          <cell r="J6770">
            <v>4.8</v>
          </cell>
          <cell r="K6770">
            <v>223</v>
          </cell>
          <cell r="L6770" t="str">
            <v>WWH</v>
          </cell>
          <cell r="N6770">
            <v>33.114867195584701</v>
          </cell>
        </row>
        <row r="6771">
          <cell r="E6771" t="str">
            <v>HGC-Lib-2459477</v>
          </cell>
          <cell r="F6771" t="str">
            <v>GDM20240621-11</v>
          </cell>
          <cell r="G6771">
            <v>15</v>
          </cell>
          <cell r="H6771" t="str">
            <v>全基因组文库</v>
          </cell>
          <cell r="I6771" t="str">
            <v>WWH</v>
          </cell>
          <cell r="J6771">
            <v>0.29799999999999999</v>
          </cell>
          <cell r="K6771">
            <v>244</v>
          </cell>
          <cell r="L6771" t="str">
            <v>WWH</v>
          </cell>
          <cell r="N6771">
            <v>1.8789407313997499</v>
          </cell>
        </row>
        <row r="6772">
          <cell r="E6772" t="str">
            <v>HGC-Lib-2459322</v>
          </cell>
          <cell r="F6772" t="str">
            <v>N_B_N4705-5R-10X5025PBMC</v>
          </cell>
          <cell r="G6772">
            <v>100</v>
          </cell>
          <cell r="H6772" t="str">
            <v>10x 5'单细胞</v>
          </cell>
          <cell r="I6772" t="str">
            <v>HZK</v>
          </cell>
          <cell r="J6772">
            <v>36.6</v>
          </cell>
          <cell r="N6772" t="e">
            <v>#DIV/0!</v>
          </cell>
        </row>
        <row r="6773">
          <cell r="E6773" t="str">
            <v>HGC-Lib-2459323</v>
          </cell>
          <cell r="F6773" t="str">
            <v>N_B_N4705-5S-10X5025BM</v>
          </cell>
          <cell r="G6773">
            <v>100</v>
          </cell>
          <cell r="H6773" t="str">
            <v>10x 5'单细胞</v>
          </cell>
          <cell r="I6773" t="str">
            <v>HZK</v>
          </cell>
          <cell r="J6773">
            <v>26</v>
          </cell>
          <cell r="N6773" t="e">
            <v>#DIV/0!</v>
          </cell>
        </row>
        <row r="6774">
          <cell r="E6774" t="str">
            <v>HGC-Lib-2459324</v>
          </cell>
          <cell r="F6774" t="str">
            <v>N_B_N4705-5R-10X5TCR025PBMC-2</v>
          </cell>
          <cell r="G6774">
            <v>10</v>
          </cell>
          <cell r="H6774" t="str">
            <v>TCR文库</v>
          </cell>
          <cell r="I6774" t="str">
            <v>HZK</v>
          </cell>
          <cell r="J6774">
            <v>35.200000000000003</v>
          </cell>
          <cell r="N6774" t="e">
            <v>#DIV/0!</v>
          </cell>
        </row>
        <row r="6775">
          <cell r="E6775" t="str">
            <v>HGC-Lib-2459325</v>
          </cell>
          <cell r="F6775" t="str">
            <v>N_B_N4705-5S-10X5TCR025BM-2</v>
          </cell>
          <cell r="G6775">
            <v>10</v>
          </cell>
          <cell r="H6775" t="str">
            <v>TCR文库</v>
          </cell>
          <cell r="I6775" t="str">
            <v>HZK</v>
          </cell>
          <cell r="J6775">
            <v>19.899999999999999</v>
          </cell>
          <cell r="N6775" t="e">
            <v>#DIV/0!</v>
          </cell>
        </row>
        <row r="6776">
          <cell r="E6776" t="str">
            <v>HGC-Lib-2459326</v>
          </cell>
          <cell r="F6776" t="str">
            <v>N_B_N4705-5R-10X5BCR025PBMC-3</v>
          </cell>
          <cell r="G6776">
            <v>10</v>
          </cell>
          <cell r="H6776" t="str">
            <v>BCR文库</v>
          </cell>
          <cell r="I6776" t="str">
            <v>HZK</v>
          </cell>
          <cell r="J6776">
            <v>15.7</v>
          </cell>
          <cell r="N6776" t="e">
            <v>#DIV/0!</v>
          </cell>
        </row>
        <row r="6777">
          <cell r="E6777" t="str">
            <v>HGC-Lib-2459327</v>
          </cell>
          <cell r="F6777" t="str">
            <v>N_B_N4705-5S-10X5BCR025BM-3</v>
          </cell>
          <cell r="G6777">
            <v>10</v>
          </cell>
          <cell r="H6777" t="str">
            <v>BCR文库</v>
          </cell>
          <cell r="I6777" t="str">
            <v>HZK</v>
          </cell>
          <cell r="J6777">
            <v>19.7</v>
          </cell>
          <cell r="N6777" t="e">
            <v>#DIV/0!</v>
          </cell>
        </row>
        <row r="6778">
          <cell r="E6778" t="str">
            <v>HGC-Lib-2459328</v>
          </cell>
          <cell r="F6778" t="str">
            <v>N_B_N4705-5R-10X-cite025PBMC</v>
          </cell>
          <cell r="G6778">
            <v>10</v>
          </cell>
          <cell r="H6778" t="str">
            <v>表面蛋白文库</v>
          </cell>
          <cell r="I6778" t="str">
            <v>HZK</v>
          </cell>
          <cell r="J6778">
            <v>23.6</v>
          </cell>
          <cell r="N6778" t="e">
            <v>#DIV/0!</v>
          </cell>
        </row>
        <row r="6779">
          <cell r="E6779" t="str">
            <v>HGC-Lib-2459329</v>
          </cell>
          <cell r="F6779" t="str">
            <v>N_B_N4705-5S-10X-cite025BM</v>
          </cell>
          <cell r="G6779">
            <v>10</v>
          </cell>
          <cell r="H6779" t="str">
            <v>表面蛋白文库</v>
          </cell>
          <cell r="I6779" t="str">
            <v>HZK</v>
          </cell>
          <cell r="J6779">
            <v>20</v>
          </cell>
          <cell r="N6779" t="e">
            <v>#DIV/0!</v>
          </cell>
        </row>
        <row r="6780">
          <cell r="E6780" t="str">
            <v>HGC-Lib-2459330</v>
          </cell>
          <cell r="F6780" t="str">
            <v>N_B_N4708-0E-BDv2FJOA02</v>
          </cell>
          <cell r="G6780">
            <v>100</v>
          </cell>
          <cell r="H6780" t="str">
            <v>BD-单细胞</v>
          </cell>
          <cell r="I6780" t="str">
            <v>HZK</v>
          </cell>
          <cell r="J6780">
            <v>19.7</v>
          </cell>
          <cell r="N6780" t="e">
            <v>#DIV/0!</v>
          </cell>
        </row>
        <row r="6781">
          <cell r="E6781" t="str">
            <v>HGC-Lib-2459331</v>
          </cell>
          <cell r="F6781" t="str">
            <v>N_B_N4709-1M-BDv2zhangyidiliaoqianxue</v>
          </cell>
          <cell r="G6781">
            <v>100</v>
          </cell>
          <cell r="H6781" t="str">
            <v>BD-单细胞</v>
          </cell>
          <cell r="I6781" t="str">
            <v>HZK</v>
          </cell>
          <cell r="J6781">
            <v>18.5</v>
          </cell>
          <cell r="N6781" t="e">
            <v>#DIV/0!</v>
          </cell>
        </row>
        <row r="6782">
          <cell r="E6782" t="str">
            <v>HGC-Lib-2459332</v>
          </cell>
          <cell r="F6782" t="str">
            <v>N_B_N4709-2W-BDv2sham</v>
          </cell>
          <cell r="G6782">
            <v>100</v>
          </cell>
          <cell r="H6782" t="str">
            <v>BD-单细胞</v>
          </cell>
          <cell r="I6782" t="str">
            <v>HZK</v>
          </cell>
          <cell r="J6782">
            <v>21.8</v>
          </cell>
          <cell r="N6782" t="e">
            <v>#DIV/0!</v>
          </cell>
        </row>
        <row r="6783">
          <cell r="E6783" t="str">
            <v>HGC-Lib-2459333</v>
          </cell>
          <cell r="F6783" t="str">
            <v>N_B_N4709-2X-BDv2ovx-wt</v>
          </cell>
          <cell r="G6783">
            <v>100</v>
          </cell>
          <cell r="H6783" t="str">
            <v>BD-单细胞</v>
          </cell>
          <cell r="I6783" t="str">
            <v>HZK</v>
          </cell>
          <cell r="J6783">
            <v>18.600000000000001</v>
          </cell>
          <cell r="N6783" t="e">
            <v>#DIV/0!</v>
          </cell>
        </row>
        <row r="6784">
          <cell r="E6784" t="str">
            <v>HGC-Lib-2459334</v>
          </cell>
          <cell r="F6784" t="str">
            <v>N_B_N4709-2Y-BDv2ovx-ko</v>
          </cell>
          <cell r="G6784">
            <v>100</v>
          </cell>
          <cell r="H6784" t="str">
            <v>BD-单细胞</v>
          </cell>
          <cell r="I6784" t="str">
            <v>HZK</v>
          </cell>
          <cell r="J6784">
            <v>18.5</v>
          </cell>
          <cell r="N6784" t="e">
            <v>#DIV/0!</v>
          </cell>
        </row>
        <row r="6785">
          <cell r="E6785" t="str">
            <v>HGC-Lib-2459335</v>
          </cell>
          <cell r="F6785" t="str">
            <v>N_B_N4711-2B-BDv2s1722</v>
          </cell>
          <cell r="G6785">
            <v>100</v>
          </cell>
          <cell r="H6785" t="str">
            <v>BD-单细胞</v>
          </cell>
          <cell r="I6785" t="str">
            <v>HZK</v>
          </cell>
          <cell r="J6785">
            <v>18.2</v>
          </cell>
          <cell r="N6785" t="e">
            <v>#DIV/0!</v>
          </cell>
        </row>
        <row r="6786">
          <cell r="E6786" t="str">
            <v>HGC-Lib-2459336</v>
          </cell>
          <cell r="F6786" t="str">
            <v>N_B_N4711-2C-BDv2s1722p2</v>
          </cell>
          <cell r="G6786">
            <v>100</v>
          </cell>
          <cell r="H6786" t="str">
            <v>BD-单细胞</v>
          </cell>
          <cell r="I6786" t="str">
            <v>HZK</v>
          </cell>
          <cell r="J6786">
            <v>24.8</v>
          </cell>
          <cell r="N6786" t="e">
            <v>#DIV/0!</v>
          </cell>
        </row>
        <row r="6787">
          <cell r="E6787" t="str">
            <v>HGC-Lib-2459337</v>
          </cell>
          <cell r="F6787" t="str">
            <v>N_B_N4708-0K-10X31932249</v>
          </cell>
          <cell r="G6787">
            <v>100</v>
          </cell>
          <cell r="H6787" t="str">
            <v>10× 3'单细胞</v>
          </cell>
          <cell r="I6787" t="str">
            <v>HZK</v>
          </cell>
          <cell r="J6787">
            <v>62</v>
          </cell>
          <cell r="N6787" t="e">
            <v>#DIV/0!</v>
          </cell>
        </row>
        <row r="6788">
          <cell r="E6788" t="str">
            <v>HGC-Lib-2459338</v>
          </cell>
          <cell r="F6788" t="str">
            <v>N_B_N4709-2H-10X3sprt-0709</v>
          </cell>
          <cell r="G6788">
            <v>100</v>
          </cell>
          <cell r="H6788" t="str">
            <v>10× 3'单细胞</v>
          </cell>
          <cell r="I6788" t="str">
            <v>HZK</v>
          </cell>
          <cell r="J6788">
            <v>99.8</v>
          </cell>
          <cell r="N6788" t="e">
            <v>#DIV/0!</v>
          </cell>
        </row>
        <row r="6789">
          <cell r="E6789" t="str">
            <v>HGC-Lib-2459339</v>
          </cell>
          <cell r="F6789" t="str">
            <v>N_B_N4712-3R-10X3DP-E50-testis-2</v>
          </cell>
          <cell r="G6789">
            <v>100</v>
          </cell>
          <cell r="H6789" t="str">
            <v>10× 3'单细胞</v>
          </cell>
          <cell r="I6789" t="str">
            <v>HZK</v>
          </cell>
          <cell r="J6789">
            <v>76.2</v>
          </cell>
          <cell r="N6789" t="e">
            <v>#DIV/0!</v>
          </cell>
        </row>
        <row r="6790">
          <cell r="E6790" t="str">
            <v>HGC-Lib-2459340</v>
          </cell>
          <cell r="F6790" t="str">
            <v>N_B_N4712-3S-10X3DP-E50-testis-4</v>
          </cell>
          <cell r="G6790">
            <v>100</v>
          </cell>
          <cell r="H6790" t="str">
            <v>10× 3'单细胞</v>
          </cell>
          <cell r="I6790" t="str">
            <v>HZK</v>
          </cell>
          <cell r="J6790">
            <v>39.799999999999997</v>
          </cell>
          <cell r="N6790" t="e">
            <v>#DIV/0!</v>
          </cell>
        </row>
        <row r="6791">
          <cell r="E6791" t="str">
            <v>HGC-Lib-2459341</v>
          </cell>
          <cell r="F6791" t="str">
            <v>N_B_N4712-3T-10X3DP-E50-ovary-1</v>
          </cell>
          <cell r="G6791">
            <v>100</v>
          </cell>
          <cell r="H6791" t="str">
            <v>10× 3'单细胞</v>
          </cell>
          <cell r="I6791" t="str">
            <v>HZK</v>
          </cell>
          <cell r="J6791">
            <v>24.6</v>
          </cell>
          <cell r="N6791" t="e">
            <v>#DIV/0!</v>
          </cell>
        </row>
        <row r="6792">
          <cell r="E6792" t="str">
            <v>HGC-Lib-2459342</v>
          </cell>
          <cell r="F6792" t="str">
            <v>N_B_N4712-3U-10X3DP-E50-ovary-3</v>
          </cell>
          <cell r="G6792">
            <v>100</v>
          </cell>
          <cell r="H6792" t="str">
            <v>10× 3'单细胞</v>
          </cell>
          <cell r="I6792" t="str">
            <v>HZK</v>
          </cell>
          <cell r="J6792">
            <v>49.8</v>
          </cell>
          <cell r="N6792" t="e">
            <v>#DIV/0!</v>
          </cell>
        </row>
        <row r="6793">
          <cell r="E6793" t="str">
            <v>HGC-Lib-2459343</v>
          </cell>
          <cell r="F6793" t="str">
            <v>N_B_N4712-3V-10X3DP-E90-testis-1</v>
          </cell>
          <cell r="G6793">
            <v>100</v>
          </cell>
          <cell r="H6793" t="str">
            <v>10× 3'单细胞</v>
          </cell>
          <cell r="I6793" t="str">
            <v>HZK</v>
          </cell>
          <cell r="J6793">
            <v>34.4</v>
          </cell>
          <cell r="N6793" t="e">
            <v>#DIV/0!</v>
          </cell>
        </row>
        <row r="6794">
          <cell r="E6794" t="str">
            <v>HGC-Lib-2459344</v>
          </cell>
          <cell r="F6794" t="str">
            <v>N_B_N4712-3W-10X3DP-E90-testis-2</v>
          </cell>
          <cell r="G6794">
            <v>100</v>
          </cell>
          <cell r="H6794" t="str">
            <v>10× 3'单细胞</v>
          </cell>
          <cell r="I6794" t="str">
            <v>HZK</v>
          </cell>
          <cell r="J6794">
            <v>24.2</v>
          </cell>
          <cell r="N6794" t="e">
            <v>#DIV/0!</v>
          </cell>
        </row>
        <row r="6795">
          <cell r="E6795" t="str">
            <v>HGC-Lib-2459345</v>
          </cell>
          <cell r="F6795" t="str">
            <v>N_B_N4712-3X-10X3DP-E90-ovary-3</v>
          </cell>
          <cell r="G6795">
            <v>100</v>
          </cell>
          <cell r="H6795" t="str">
            <v>10× 3'单细胞</v>
          </cell>
          <cell r="I6795" t="str">
            <v>HZK</v>
          </cell>
          <cell r="J6795">
            <v>67</v>
          </cell>
          <cell r="N6795" t="e">
            <v>#DIV/0!</v>
          </cell>
        </row>
        <row r="6796">
          <cell r="E6796" t="str">
            <v>HGC-Lib-2459346</v>
          </cell>
          <cell r="F6796" t="str">
            <v>N_B_N4712-3Y-10X3DP-E90-ovary-4</v>
          </cell>
          <cell r="G6796">
            <v>100</v>
          </cell>
          <cell r="H6796" t="str">
            <v>10× 3'单细胞</v>
          </cell>
          <cell r="I6796" t="str">
            <v>HZK</v>
          </cell>
          <cell r="J6796">
            <v>24</v>
          </cell>
          <cell r="N6796" t="e">
            <v>#DIV/0!</v>
          </cell>
        </row>
        <row r="6797">
          <cell r="E6797" t="str">
            <v>HGC-Lib-2459347</v>
          </cell>
          <cell r="F6797" t="str">
            <v>N_B_N4711-0K-10X3CR-hHA194</v>
          </cell>
          <cell r="G6797">
            <v>100</v>
          </cell>
          <cell r="H6797" t="str">
            <v>10× 3'单细胞</v>
          </cell>
          <cell r="I6797" t="str">
            <v>HZK</v>
          </cell>
          <cell r="J6797">
            <v>83.2</v>
          </cell>
          <cell r="N6797" t="e">
            <v>#DIV/0!</v>
          </cell>
        </row>
        <row r="6798">
          <cell r="E6798" t="str">
            <v>HGC-Lib-2459348</v>
          </cell>
          <cell r="F6798" t="str">
            <v>N_B_N4711-0N-10X3CR-hBL269</v>
          </cell>
          <cell r="G6798">
            <v>100</v>
          </cell>
          <cell r="H6798" t="str">
            <v>10× 3'单细胞</v>
          </cell>
          <cell r="I6798" t="str">
            <v>HZK</v>
          </cell>
          <cell r="J6798">
            <v>60.4</v>
          </cell>
          <cell r="N6798" t="e">
            <v>#DIV/0!</v>
          </cell>
        </row>
        <row r="6799">
          <cell r="E6799" t="str">
            <v>HGC-Lib-2459349</v>
          </cell>
          <cell r="F6799" t="str">
            <v>N_B_N4711-0Q-10X3CR-hBL271</v>
          </cell>
          <cell r="G6799">
            <v>100</v>
          </cell>
          <cell r="H6799" t="str">
            <v>10× 3'单细胞</v>
          </cell>
          <cell r="I6799" t="str">
            <v>HZK</v>
          </cell>
          <cell r="J6799">
            <v>39.4</v>
          </cell>
          <cell r="N6799" t="e">
            <v>#DIV/0!</v>
          </cell>
        </row>
        <row r="6800">
          <cell r="E6800" t="str">
            <v>HGC-Lib-2459350</v>
          </cell>
          <cell r="F6800" t="str">
            <v>N_B_N4711-0R-10X3CR-hBL272</v>
          </cell>
          <cell r="G6800">
            <v>100</v>
          </cell>
          <cell r="H6800" t="str">
            <v>10× 3'单细胞</v>
          </cell>
          <cell r="I6800" t="str">
            <v>HZK</v>
          </cell>
          <cell r="J6800">
            <v>32.799999999999997</v>
          </cell>
          <cell r="N6800" t="e">
            <v>#DIV/0!</v>
          </cell>
        </row>
        <row r="6801">
          <cell r="E6801" t="str">
            <v>HGC-Lib-2459351</v>
          </cell>
          <cell r="F6801" t="str">
            <v>N_B_N4711-0S-10X3CR-hBL273</v>
          </cell>
          <cell r="G6801">
            <v>100</v>
          </cell>
          <cell r="H6801" t="str">
            <v>10× 3'单细胞</v>
          </cell>
          <cell r="I6801" t="str">
            <v>HZK</v>
          </cell>
          <cell r="J6801">
            <v>75.2</v>
          </cell>
          <cell r="N6801" t="e">
            <v>#DIV/0!</v>
          </cell>
        </row>
        <row r="6802">
          <cell r="E6802" t="str">
            <v>HGC-Lib-2459352</v>
          </cell>
          <cell r="F6802" t="str">
            <v>N_B_N4711-0T-10X3CR-hBL274</v>
          </cell>
          <cell r="G6802">
            <v>100</v>
          </cell>
          <cell r="H6802" t="str">
            <v>10× 3'单细胞</v>
          </cell>
          <cell r="I6802" t="str">
            <v>HZK</v>
          </cell>
          <cell r="J6802">
            <v>66.2</v>
          </cell>
          <cell r="N6802" t="e">
            <v>#DIV/0!</v>
          </cell>
        </row>
        <row r="6803">
          <cell r="E6803" t="str">
            <v>HGC-Lib-2459353</v>
          </cell>
          <cell r="F6803" t="str">
            <v>N_B_N4711-0X-10X3Ctss-KO-LSK</v>
          </cell>
          <cell r="G6803">
            <v>100</v>
          </cell>
          <cell r="H6803" t="str">
            <v>10× 3'单细胞</v>
          </cell>
          <cell r="I6803" t="str">
            <v>HZK</v>
          </cell>
          <cell r="J6803">
            <v>76.8</v>
          </cell>
          <cell r="N6803" t="e">
            <v>#DIV/0!</v>
          </cell>
        </row>
        <row r="6804">
          <cell r="E6804" t="str">
            <v>HGC-Lib-2459354</v>
          </cell>
          <cell r="F6804" t="str">
            <v>N_B_N4711-0Y-10X3WT-LSK</v>
          </cell>
          <cell r="G6804">
            <v>100</v>
          </cell>
          <cell r="H6804" t="str">
            <v>10× 3'单细胞</v>
          </cell>
          <cell r="I6804" t="str">
            <v>HZK</v>
          </cell>
          <cell r="J6804">
            <v>45.2</v>
          </cell>
          <cell r="N6804" t="e">
            <v>#DIV/0!</v>
          </cell>
        </row>
        <row r="6805">
          <cell r="E6805" t="str">
            <v>HGC-Lib-2459478</v>
          </cell>
          <cell r="F6805" t="str">
            <v>CRISPR gRNA library</v>
          </cell>
          <cell r="G6805">
            <v>50</v>
          </cell>
          <cell r="H6805" t="str">
            <v>PCR产物文库</v>
          </cell>
          <cell r="I6805" t="str">
            <v>HZK</v>
          </cell>
          <cell r="J6805">
            <v>65.2</v>
          </cell>
          <cell r="K6805">
            <v>742</v>
          </cell>
          <cell r="L6805" t="str">
            <v>GZQ</v>
          </cell>
          <cell r="N6805">
            <v>135.18556914783301</v>
          </cell>
        </row>
        <row r="6806">
          <cell r="E6806" t="str">
            <v>HGC-POOL-2459648</v>
          </cell>
          <cell r="F6806" t="str">
            <v>QX-ABA-24h</v>
          </cell>
          <cell r="G6806">
            <v>45</v>
          </cell>
          <cell r="H6806" t="str">
            <v>mRNA文库</v>
          </cell>
          <cell r="I6806" t="str">
            <v>HZK</v>
          </cell>
          <cell r="J6806">
            <v>8.5</v>
          </cell>
          <cell r="K6806">
            <v>350</v>
          </cell>
          <cell r="L6806" t="str">
            <v>WWH</v>
          </cell>
          <cell r="N6806">
            <v>37.3626373626374</v>
          </cell>
        </row>
        <row r="6807">
          <cell r="E6807" t="str">
            <v>HGC-POOL-2459681</v>
          </cell>
          <cell r="F6807" t="str">
            <v>ssq_rice_20240726</v>
          </cell>
          <cell r="G6807">
            <v>144</v>
          </cell>
          <cell r="H6807" t="str">
            <v>ChIP-seq</v>
          </cell>
          <cell r="I6807" t="str">
            <v>WWH</v>
          </cell>
          <cell r="J6807">
            <v>6.6</v>
          </cell>
          <cell r="K6807">
            <v>328</v>
          </cell>
          <cell r="N6807">
            <v>30.956848030018801</v>
          </cell>
        </row>
        <row r="6808">
          <cell r="E6808" t="str">
            <v>HGC-Lib-2459682</v>
          </cell>
          <cell r="F6808" t="str">
            <v>GDM20240621-3</v>
          </cell>
          <cell r="G6808">
            <v>30</v>
          </cell>
          <cell r="H6808" t="str">
            <v>全基因组文库</v>
          </cell>
          <cell r="I6808" t="str">
            <v>WWH</v>
          </cell>
          <cell r="J6808">
            <v>4.3</v>
          </cell>
          <cell r="K6808">
            <v>236</v>
          </cell>
          <cell r="N6808">
            <v>28.0312907431552</v>
          </cell>
        </row>
        <row r="6809">
          <cell r="E6809" t="str">
            <v>HGC-Lib-2459683</v>
          </cell>
          <cell r="F6809" t="str">
            <v>GDM20240621-4</v>
          </cell>
          <cell r="G6809">
            <v>25</v>
          </cell>
          <cell r="H6809" t="str">
            <v>全基因组文库</v>
          </cell>
          <cell r="I6809" t="str">
            <v>WWH</v>
          </cell>
          <cell r="J6809">
            <v>5.52</v>
          </cell>
          <cell r="K6809">
            <v>267</v>
          </cell>
          <cell r="N6809">
            <v>31.806395851339701</v>
          </cell>
        </row>
        <row r="6810">
          <cell r="E6810" t="str">
            <v>HGC-Lib-2459684</v>
          </cell>
          <cell r="F6810" t="str">
            <v>GDM20240621-7</v>
          </cell>
          <cell r="G6810">
            <v>25</v>
          </cell>
          <cell r="H6810" t="str">
            <v>全基因组文库</v>
          </cell>
          <cell r="I6810" t="str">
            <v>WWH</v>
          </cell>
          <cell r="J6810">
            <v>3.8</v>
          </cell>
          <cell r="K6810">
            <v>252</v>
          </cell>
          <cell r="N6810">
            <v>23.199023199023198</v>
          </cell>
        </row>
        <row r="6811">
          <cell r="E6811" t="str">
            <v>HGC-Lib-2459685</v>
          </cell>
          <cell r="F6811" t="str">
            <v>GDM20240621-8</v>
          </cell>
          <cell r="G6811">
            <v>15</v>
          </cell>
          <cell r="H6811" t="str">
            <v>全基因组文库</v>
          </cell>
          <cell r="I6811" t="str">
            <v>WWH</v>
          </cell>
          <cell r="J6811" t="str">
            <v>/</v>
          </cell>
          <cell r="K6811">
            <v>263</v>
          </cell>
          <cell r="N6811" t="e">
            <v>#VALUE!</v>
          </cell>
        </row>
        <row r="6812">
          <cell r="E6812" t="str">
            <v>HGC-POOL-2459686</v>
          </cell>
          <cell r="F6812" t="str">
            <v>SB95</v>
          </cell>
          <cell r="G6812">
            <v>6</v>
          </cell>
          <cell r="H6812" t="str">
            <v>10× 3'单细胞</v>
          </cell>
          <cell r="I6812" t="str">
            <v>WWH</v>
          </cell>
          <cell r="J6812">
            <v>2.08</v>
          </cell>
          <cell r="K6812">
            <v>411</v>
          </cell>
          <cell r="N6812">
            <v>7.7858880778588802</v>
          </cell>
        </row>
        <row r="6813">
          <cell r="E6813" t="str">
            <v>HGC-Lib-2459687</v>
          </cell>
          <cell r="F6813" t="str">
            <v>M+Belinostat-1</v>
          </cell>
          <cell r="G6813">
            <v>6</v>
          </cell>
          <cell r="H6813" t="str">
            <v>mRNA文库</v>
          </cell>
          <cell r="I6813" t="str">
            <v>WWH</v>
          </cell>
          <cell r="J6813">
            <v>28.8</v>
          </cell>
          <cell r="K6813">
            <v>449</v>
          </cell>
          <cell r="N6813">
            <v>98.680829193078594</v>
          </cell>
        </row>
        <row r="6814">
          <cell r="E6814" t="str">
            <v>HGC-Lib-2459688</v>
          </cell>
          <cell r="F6814" t="str">
            <v>M+Belinostat-2</v>
          </cell>
          <cell r="G6814">
            <v>6</v>
          </cell>
          <cell r="H6814" t="str">
            <v>mRNA文库</v>
          </cell>
          <cell r="I6814" t="str">
            <v>WWH</v>
          </cell>
          <cell r="J6814">
            <v>64.400000000000006</v>
          </cell>
          <cell r="K6814">
            <v>467</v>
          </cell>
          <cell r="N6814">
            <v>212.15615219897899</v>
          </cell>
        </row>
        <row r="6815">
          <cell r="E6815" t="str">
            <v>HGC-Lib-2459689</v>
          </cell>
          <cell r="F6815" t="str">
            <v>M+Belinostat-3</v>
          </cell>
          <cell r="G6815">
            <v>6</v>
          </cell>
          <cell r="H6815" t="str">
            <v>mRNA文库</v>
          </cell>
          <cell r="I6815" t="str">
            <v>WWH</v>
          </cell>
          <cell r="J6815">
            <v>44.6</v>
          </cell>
          <cell r="K6815">
            <v>475</v>
          </cell>
          <cell r="N6815">
            <v>144.45344129554701</v>
          </cell>
        </row>
        <row r="6816">
          <cell r="E6816" t="str">
            <v>HGC-Lib-2459690</v>
          </cell>
          <cell r="F6816" t="str">
            <v>siNC</v>
          </cell>
          <cell r="G6816">
            <v>6</v>
          </cell>
          <cell r="H6816" t="str">
            <v>mRNA文库</v>
          </cell>
          <cell r="I6816" t="str">
            <v>WWH</v>
          </cell>
          <cell r="J6816">
            <v>41.6</v>
          </cell>
          <cell r="K6816">
            <v>445</v>
          </cell>
          <cell r="N6816">
            <v>143.82022471910099</v>
          </cell>
        </row>
        <row r="6817">
          <cell r="E6817" t="str">
            <v>HGC-Lib-2459691</v>
          </cell>
          <cell r="F6817" t="str">
            <v>si233</v>
          </cell>
          <cell r="G6817">
            <v>6</v>
          </cell>
          <cell r="H6817" t="str">
            <v>mRNA文库</v>
          </cell>
          <cell r="I6817" t="str">
            <v>WWH</v>
          </cell>
          <cell r="J6817">
            <v>59</v>
          </cell>
          <cell r="K6817">
            <v>449</v>
          </cell>
          <cell r="N6817">
            <v>202.15864313859899</v>
          </cell>
        </row>
        <row r="6818">
          <cell r="E6818" t="str">
            <v>HGC-Lib-2459692</v>
          </cell>
          <cell r="F6818" t="str">
            <v>si608</v>
          </cell>
          <cell r="G6818">
            <v>6</v>
          </cell>
          <cell r="H6818" t="str">
            <v>mRNA文库</v>
          </cell>
          <cell r="I6818" t="str">
            <v>WWH</v>
          </cell>
          <cell r="J6818">
            <v>55.6</v>
          </cell>
          <cell r="K6818">
            <v>443</v>
          </cell>
          <cell r="N6818">
            <v>193.089077964924</v>
          </cell>
        </row>
        <row r="6819">
          <cell r="E6819" t="str">
            <v>HGC-Lib-2459693</v>
          </cell>
          <cell r="F6819" t="str">
            <v>蒋昊宇WGS</v>
          </cell>
          <cell r="G6819">
            <v>90</v>
          </cell>
          <cell r="H6819" t="str">
            <v>全基因组文库</v>
          </cell>
          <cell r="I6819" t="str">
            <v>WWH</v>
          </cell>
          <cell r="J6819">
            <v>3.84</v>
          </cell>
          <cell r="K6819">
            <v>394</v>
          </cell>
          <cell r="N6819">
            <v>14.9941429129246</v>
          </cell>
        </row>
        <row r="6820">
          <cell r="E6820" t="str">
            <v>HGC-Lib-2459694</v>
          </cell>
          <cell r="F6820" t="str">
            <v>HSS2GEL</v>
          </cell>
          <cell r="G6820">
            <v>120</v>
          </cell>
          <cell r="H6820" t="str">
            <v>10x 5'单细胞</v>
          </cell>
          <cell r="I6820" t="str">
            <v>WWH</v>
          </cell>
          <cell r="J6820">
            <v>58.4</v>
          </cell>
          <cell r="K6820">
            <v>524</v>
          </cell>
          <cell r="N6820">
            <v>171.46212566059901</v>
          </cell>
        </row>
        <row r="6821">
          <cell r="E6821" t="str">
            <v>HGC-Lib-2459695</v>
          </cell>
          <cell r="F6821" t="str">
            <v>HSS2TCR</v>
          </cell>
          <cell r="G6821">
            <v>15</v>
          </cell>
          <cell r="H6821" t="str">
            <v>10x 5'单细胞</v>
          </cell>
          <cell r="I6821" t="str">
            <v>WWH</v>
          </cell>
          <cell r="J6821">
            <v>75</v>
          </cell>
          <cell r="K6821">
            <v>567</v>
          </cell>
          <cell r="N6821">
            <v>203.50020350020301</v>
          </cell>
        </row>
        <row r="6822">
          <cell r="E6822" t="str">
            <v>HGC-Lib-2459696</v>
          </cell>
          <cell r="F6822" t="str">
            <v>HSS3GEL</v>
          </cell>
          <cell r="G6822">
            <v>120</v>
          </cell>
          <cell r="H6822" t="str">
            <v>10x 5'单细胞</v>
          </cell>
          <cell r="I6822" t="str">
            <v>WWH</v>
          </cell>
          <cell r="J6822">
            <v>51</v>
          </cell>
          <cell r="K6822">
            <v>542</v>
          </cell>
          <cell r="N6822">
            <v>144.762986091399</v>
          </cell>
        </row>
        <row r="6823">
          <cell r="E6823" t="str">
            <v>HGC-Lib-2459697</v>
          </cell>
          <cell r="F6823" t="str">
            <v>HSS3TCR</v>
          </cell>
          <cell r="G6823">
            <v>15</v>
          </cell>
          <cell r="H6823" t="str">
            <v>10x 5'单细胞</v>
          </cell>
          <cell r="I6823" t="str">
            <v>WWH</v>
          </cell>
          <cell r="J6823">
            <v>83</v>
          </cell>
          <cell r="K6823">
            <v>603</v>
          </cell>
          <cell r="N6823">
            <v>211.76170429901799</v>
          </cell>
        </row>
        <row r="6824">
          <cell r="E6824" t="str">
            <v>HGC-Lib-2459698</v>
          </cell>
          <cell r="F6824" t="str">
            <v>T873-1</v>
          </cell>
          <cell r="G6824">
            <v>6</v>
          </cell>
          <cell r="H6824" t="str">
            <v>mRNA文库</v>
          </cell>
          <cell r="I6824" t="str">
            <v>WWH</v>
          </cell>
          <cell r="J6824">
            <v>43.8</v>
          </cell>
          <cell r="N6824" t="e">
            <v>#DIV/0!</v>
          </cell>
        </row>
        <row r="6825">
          <cell r="E6825" t="str">
            <v>HGC-Lib-2459699</v>
          </cell>
          <cell r="F6825" t="str">
            <v>T873-2</v>
          </cell>
          <cell r="G6825">
            <v>6</v>
          </cell>
          <cell r="H6825" t="str">
            <v>mRNA文库</v>
          </cell>
          <cell r="I6825" t="str">
            <v>WWH</v>
          </cell>
          <cell r="J6825">
            <v>20.2</v>
          </cell>
          <cell r="N6825" t="e">
            <v>#DIV/0!</v>
          </cell>
        </row>
        <row r="6826">
          <cell r="E6826" t="str">
            <v>HGC-Lib-2459700</v>
          </cell>
          <cell r="F6826" t="str">
            <v>T873-3</v>
          </cell>
          <cell r="G6826">
            <v>6</v>
          </cell>
          <cell r="H6826" t="str">
            <v>mRNA文库</v>
          </cell>
          <cell r="I6826" t="str">
            <v>WWH</v>
          </cell>
          <cell r="J6826">
            <v>46.2</v>
          </cell>
          <cell r="N6826" t="e">
            <v>#DIV/0!</v>
          </cell>
        </row>
        <row r="6827">
          <cell r="E6827" t="str">
            <v>HGC-Lib-2459701</v>
          </cell>
          <cell r="F6827" t="str">
            <v>T873-4</v>
          </cell>
          <cell r="G6827">
            <v>6</v>
          </cell>
          <cell r="H6827" t="str">
            <v>mRNA文库</v>
          </cell>
          <cell r="I6827" t="str">
            <v>WWH</v>
          </cell>
          <cell r="J6827">
            <v>56.8</v>
          </cell>
          <cell r="N6827" t="e">
            <v>#DIV/0!</v>
          </cell>
        </row>
        <row r="6828">
          <cell r="E6828" t="str">
            <v>HGC-Lib-2459702</v>
          </cell>
          <cell r="F6828" t="str">
            <v>T873-5</v>
          </cell>
          <cell r="G6828">
            <v>6</v>
          </cell>
          <cell r="H6828" t="str">
            <v>mRNA文库</v>
          </cell>
          <cell r="I6828" t="str">
            <v>WWH</v>
          </cell>
          <cell r="J6828">
            <v>48.2</v>
          </cell>
          <cell r="N6828" t="e">
            <v>#DIV/0!</v>
          </cell>
        </row>
        <row r="6829">
          <cell r="E6829" t="str">
            <v>HGC-Lib-2459703</v>
          </cell>
          <cell r="F6829" t="str">
            <v>T873-6</v>
          </cell>
          <cell r="G6829">
            <v>6</v>
          </cell>
          <cell r="H6829" t="str">
            <v>mRNA文库</v>
          </cell>
          <cell r="I6829" t="str">
            <v>WWH</v>
          </cell>
          <cell r="J6829">
            <v>41.8</v>
          </cell>
          <cell r="N6829" t="e">
            <v>#DIV/0!</v>
          </cell>
        </row>
        <row r="6830">
          <cell r="E6830" t="str">
            <v>HGC-Lib-2459704</v>
          </cell>
          <cell r="F6830" t="str">
            <v>T873-7</v>
          </cell>
          <cell r="G6830">
            <v>6</v>
          </cell>
          <cell r="H6830" t="str">
            <v>mRNA文库</v>
          </cell>
          <cell r="I6830" t="str">
            <v>WWH</v>
          </cell>
          <cell r="J6830">
            <v>47.2</v>
          </cell>
          <cell r="N6830" t="e">
            <v>#DIV/0!</v>
          </cell>
        </row>
        <row r="6831">
          <cell r="E6831" t="str">
            <v>HGC-Lib-2459705</v>
          </cell>
          <cell r="F6831" t="str">
            <v>T873-8</v>
          </cell>
          <cell r="G6831">
            <v>6</v>
          </cell>
          <cell r="H6831" t="str">
            <v>mRNA文库</v>
          </cell>
          <cell r="I6831" t="str">
            <v>WWH</v>
          </cell>
          <cell r="J6831">
            <v>34.6</v>
          </cell>
          <cell r="N6831" t="e">
            <v>#DIV/0!</v>
          </cell>
        </row>
        <row r="6832">
          <cell r="E6832" t="str">
            <v>HGC-Lib-2459706</v>
          </cell>
          <cell r="F6832" t="str">
            <v>T873-9</v>
          </cell>
          <cell r="G6832">
            <v>6</v>
          </cell>
          <cell r="H6832" t="str">
            <v>mRNA文库</v>
          </cell>
          <cell r="I6832" t="str">
            <v>WWH</v>
          </cell>
          <cell r="J6832">
            <v>39.799999999999997</v>
          </cell>
          <cell r="N6832" t="e">
            <v>#DIV/0!</v>
          </cell>
        </row>
        <row r="6833">
          <cell r="E6833" t="str">
            <v>HGC-Lib-2459707</v>
          </cell>
          <cell r="F6833" t="str">
            <v>T873-10</v>
          </cell>
          <cell r="G6833">
            <v>6</v>
          </cell>
          <cell r="H6833" t="str">
            <v>mRNA文库</v>
          </cell>
          <cell r="I6833" t="str">
            <v>WWH</v>
          </cell>
          <cell r="J6833">
            <v>39.200000000000003</v>
          </cell>
          <cell r="N6833" t="e">
            <v>#DIV/0!</v>
          </cell>
        </row>
        <row r="6834">
          <cell r="E6834" t="str">
            <v>HGC-Lib-2459708</v>
          </cell>
          <cell r="F6834" t="str">
            <v>T873-11</v>
          </cell>
          <cell r="G6834">
            <v>6</v>
          </cell>
          <cell r="H6834" t="str">
            <v>mRNA文库</v>
          </cell>
          <cell r="I6834" t="str">
            <v>WWH</v>
          </cell>
          <cell r="J6834">
            <v>46.6</v>
          </cell>
          <cell r="N6834" t="e">
            <v>#DIV/0!</v>
          </cell>
        </row>
        <row r="6835">
          <cell r="E6835" t="str">
            <v>HGC-Lib-2459709</v>
          </cell>
          <cell r="F6835" t="str">
            <v>T873-12</v>
          </cell>
          <cell r="G6835">
            <v>6</v>
          </cell>
          <cell r="H6835" t="str">
            <v>mRNA文库</v>
          </cell>
          <cell r="I6835" t="str">
            <v>WWH</v>
          </cell>
          <cell r="J6835">
            <v>43</v>
          </cell>
          <cell r="N6835" t="e">
            <v>#DIV/0!</v>
          </cell>
        </row>
        <row r="6836">
          <cell r="E6836" t="str">
            <v>HGC-Lib-2459710</v>
          </cell>
          <cell r="F6836" t="str">
            <v>T857-1</v>
          </cell>
          <cell r="G6836">
            <v>6</v>
          </cell>
          <cell r="H6836" t="str">
            <v>mRNA文库</v>
          </cell>
          <cell r="I6836" t="str">
            <v>WWH</v>
          </cell>
          <cell r="J6836">
            <v>60</v>
          </cell>
          <cell r="N6836" t="e">
            <v>#DIV/0!</v>
          </cell>
        </row>
        <row r="6837">
          <cell r="E6837" t="str">
            <v>HGC-Lib-2459711</v>
          </cell>
          <cell r="F6837" t="str">
            <v>T857-2</v>
          </cell>
          <cell r="G6837">
            <v>6</v>
          </cell>
          <cell r="H6837" t="str">
            <v>mRNA文库</v>
          </cell>
          <cell r="I6837" t="str">
            <v>WWH</v>
          </cell>
          <cell r="J6837">
            <v>57.8</v>
          </cell>
          <cell r="N6837" t="e">
            <v>#DIV/0!</v>
          </cell>
        </row>
        <row r="6838">
          <cell r="E6838" t="str">
            <v>HGC-Lib-2459712</v>
          </cell>
          <cell r="F6838" t="str">
            <v>T857-3</v>
          </cell>
          <cell r="G6838">
            <v>6</v>
          </cell>
          <cell r="H6838" t="str">
            <v>mRNA文库</v>
          </cell>
          <cell r="I6838" t="str">
            <v>WWH</v>
          </cell>
          <cell r="J6838">
            <v>55.4</v>
          </cell>
          <cell r="N6838" t="e">
            <v>#DIV/0!</v>
          </cell>
        </row>
        <row r="6839">
          <cell r="E6839" t="str">
            <v>HGC-Lib-2459713</v>
          </cell>
          <cell r="F6839" t="str">
            <v>T857-4</v>
          </cell>
          <cell r="G6839">
            <v>6</v>
          </cell>
          <cell r="H6839" t="str">
            <v>mRNA文库</v>
          </cell>
          <cell r="I6839" t="str">
            <v>WWH</v>
          </cell>
          <cell r="J6839">
            <v>64</v>
          </cell>
          <cell r="N6839" t="e">
            <v>#DIV/0!</v>
          </cell>
        </row>
        <row r="6840">
          <cell r="E6840" t="str">
            <v>HGC-Lib-2459714</v>
          </cell>
          <cell r="F6840" t="str">
            <v>T857-5</v>
          </cell>
          <cell r="G6840">
            <v>6</v>
          </cell>
          <cell r="H6840" t="str">
            <v>mRNA文库</v>
          </cell>
          <cell r="I6840" t="str">
            <v>WWH</v>
          </cell>
          <cell r="J6840">
            <v>60.6</v>
          </cell>
          <cell r="N6840" t="e">
            <v>#DIV/0!</v>
          </cell>
        </row>
        <row r="6841">
          <cell r="E6841" t="str">
            <v>HGC-Lib-2459715</v>
          </cell>
          <cell r="F6841" t="str">
            <v>T857-6</v>
          </cell>
          <cell r="G6841">
            <v>6</v>
          </cell>
          <cell r="H6841" t="str">
            <v>mRNA文库</v>
          </cell>
          <cell r="I6841" t="str">
            <v>WWH</v>
          </cell>
          <cell r="J6841">
            <v>52.2</v>
          </cell>
          <cell r="N6841" t="e">
            <v>#DIV/0!</v>
          </cell>
        </row>
        <row r="6842">
          <cell r="E6842" t="str">
            <v>HGC-Lib-2459716</v>
          </cell>
          <cell r="F6842" t="str">
            <v>T857-7</v>
          </cell>
          <cell r="G6842">
            <v>6</v>
          </cell>
          <cell r="H6842" t="str">
            <v>mRNA文库</v>
          </cell>
          <cell r="I6842" t="str">
            <v>WWH</v>
          </cell>
          <cell r="J6842">
            <v>42.8</v>
          </cell>
          <cell r="N6842" t="e">
            <v>#DIV/0!</v>
          </cell>
        </row>
        <row r="6843">
          <cell r="E6843" t="str">
            <v>HGC-Lib-2459717</v>
          </cell>
          <cell r="F6843" t="str">
            <v>T857-8</v>
          </cell>
          <cell r="G6843">
            <v>6</v>
          </cell>
          <cell r="H6843" t="str">
            <v>mRNA文库</v>
          </cell>
          <cell r="I6843" t="str">
            <v>WWH</v>
          </cell>
          <cell r="J6843">
            <v>47.6</v>
          </cell>
          <cell r="N6843" t="e">
            <v>#DIV/0!</v>
          </cell>
        </row>
        <row r="6844">
          <cell r="E6844" t="str">
            <v>HGC-Lib-2459718</v>
          </cell>
          <cell r="F6844" t="str">
            <v>T857-9</v>
          </cell>
          <cell r="G6844">
            <v>6</v>
          </cell>
          <cell r="H6844" t="str">
            <v>mRNA文库</v>
          </cell>
          <cell r="I6844" t="str">
            <v>WWH</v>
          </cell>
          <cell r="J6844">
            <v>57.6</v>
          </cell>
          <cell r="N6844" t="e">
            <v>#DIV/0!</v>
          </cell>
        </row>
        <row r="6845">
          <cell r="E6845" t="str">
            <v>HGC-Lib-2459719</v>
          </cell>
          <cell r="F6845" t="str">
            <v>PHH4008</v>
          </cell>
          <cell r="G6845">
            <v>20</v>
          </cell>
          <cell r="H6845" t="str">
            <v>ATAC-Seq文库</v>
          </cell>
          <cell r="I6845" t="str">
            <v>WWH</v>
          </cell>
          <cell r="J6845">
            <v>0.48799999999999999</v>
          </cell>
          <cell r="K6845">
            <v>382</v>
          </cell>
          <cell r="N6845">
            <v>1.9653644784534801</v>
          </cell>
        </row>
        <row r="6846">
          <cell r="E6846" t="str">
            <v>HGC-Lib-2459720</v>
          </cell>
          <cell r="F6846" t="str">
            <v>20240725-WTA-PLT2+450</v>
          </cell>
          <cell r="G6846">
            <v>170</v>
          </cell>
          <cell r="H6846" t="str">
            <v>BD-单细胞</v>
          </cell>
          <cell r="I6846" t="str">
            <v>WWH</v>
          </cell>
          <cell r="J6846">
            <v>16.399999999999999</v>
          </cell>
          <cell r="K6846">
            <v>503</v>
          </cell>
          <cell r="N6846">
            <v>50.160575011469597</v>
          </cell>
        </row>
        <row r="6847">
          <cell r="E6847" t="str">
            <v>HGC-Lib-2459721</v>
          </cell>
          <cell r="F6847" t="str">
            <v>20240725-ST-PLT2+450</v>
          </cell>
          <cell r="G6847">
            <v>30</v>
          </cell>
          <cell r="H6847" t="str">
            <v>BD-单细胞</v>
          </cell>
          <cell r="I6847" t="str">
            <v>WWH</v>
          </cell>
          <cell r="J6847">
            <v>6.72</v>
          </cell>
          <cell r="K6847">
            <v>297</v>
          </cell>
          <cell r="N6847">
            <v>34.809634809634801</v>
          </cell>
        </row>
        <row r="6848">
          <cell r="E6848" t="str">
            <v>HGC-Lib-2459722</v>
          </cell>
          <cell r="F6848" t="str">
            <v>HitomXNN393</v>
          </cell>
          <cell r="G6848">
            <v>2</v>
          </cell>
          <cell r="H6848" t="str">
            <v>PCR片段文库</v>
          </cell>
          <cell r="I6848" t="str">
            <v>WWH</v>
          </cell>
          <cell r="J6848">
            <v>44</v>
          </cell>
          <cell r="K6848">
            <v>459</v>
          </cell>
          <cell r="N6848">
            <v>147.47779453661801</v>
          </cell>
        </row>
        <row r="6849">
          <cell r="E6849" t="str">
            <v>HGC-Lib-2459723</v>
          </cell>
          <cell r="F6849" t="str">
            <v>HitomXNN394</v>
          </cell>
          <cell r="G6849">
            <v>2</v>
          </cell>
          <cell r="H6849" t="str">
            <v>PCR片段文库</v>
          </cell>
          <cell r="I6849" t="str">
            <v>WWH</v>
          </cell>
          <cell r="J6849">
            <v>81.8</v>
          </cell>
          <cell r="K6849">
            <v>451</v>
          </cell>
          <cell r="N6849">
            <v>279.03803513559598</v>
          </cell>
        </row>
        <row r="6850">
          <cell r="E6850" t="str">
            <v>HGC-Lib-2459724</v>
          </cell>
          <cell r="F6850" t="str">
            <v>HitomXNN395</v>
          </cell>
          <cell r="G6850">
            <v>2</v>
          </cell>
          <cell r="H6850" t="str">
            <v>PCR片段文库</v>
          </cell>
          <cell r="I6850" t="str">
            <v>WWH</v>
          </cell>
          <cell r="J6850">
            <v>81.400000000000006</v>
          </cell>
          <cell r="K6850">
            <v>467</v>
          </cell>
          <cell r="N6850">
            <v>268.16010541920599</v>
          </cell>
        </row>
        <row r="6851">
          <cell r="E6851" t="str">
            <v>HGC-Lib-2459725</v>
          </cell>
          <cell r="F6851" t="str">
            <v>HitomXNN396</v>
          </cell>
          <cell r="G6851">
            <v>2</v>
          </cell>
          <cell r="H6851" t="str">
            <v>PCR片段文库</v>
          </cell>
          <cell r="I6851" t="str">
            <v>WWH</v>
          </cell>
          <cell r="J6851">
            <v>27.8</v>
          </cell>
          <cell r="K6851">
            <v>451</v>
          </cell>
          <cell r="N6851">
            <v>94.831997271021706</v>
          </cell>
        </row>
        <row r="6852">
          <cell r="E6852" t="str">
            <v>HGC-Lib-2459728</v>
          </cell>
          <cell r="F6852" t="str">
            <v>LEBVC240723066CT</v>
          </cell>
          <cell r="G6852">
            <v>50</v>
          </cell>
          <cell r="H6852" t="str">
            <v>singleron-3'转录组文库</v>
          </cell>
          <cell r="I6852" t="str">
            <v>WWH</v>
          </cell>
          <cell r="J6852">
            <v>11.9</v>
          </cell>
          <cell r="N6852" t="e">
            <v>#DIV/0!</v>
          </cell>
        </row>
        <row r="6853">
          <cell r="E6853" t="str">
            <v>HGC-Lib-2459729</v>
          </cell>
          <cell r="F6853" t="str">
            <v>LA240724030X2</v>
          </cell>
          <cell r="G6853">
            <v>90</v>
          </cell>
          <cell r="H6853" t="str">
            <v>singleron-3'转录组文库</v>
          </cell>
          <cell r="I6853" t="str">
            <v>WWH</v>
          </cell>
          <cell r="J6853">
            <v>15.7</v>
          </cell>
          <cell r="N6853" t="e">
            <v>#DIV/0!</v>
          </cell>
        </row>
        <row r="6854">
          <cell r="E6854" t="str">
            <v>HGC-Lib-2459730</v>
          </cell>
          <cell r="F6854" t="str">
            <v>LA240724031X1</v>
          </cell>
          <cell r="G6854">
            <v>90</v>
          </cell>
          <cell r="H6854" t="str">
            <v>singleron-3'转录组文库</v>
          </cell>
          <cell r="I6854" t="str">
            <v>WWH</v>
          </cell>
          <cell r="J6854">
            <v>18</v>
          </cell>
          <cell r="N6854" t="e">
            <v>#DIV/0!</v>
          </cell>
        </row>
        <row r="6855">
          <cell r="E6855" t="str">
            <v>HGC-Lib-2459731</v>
          </cell>
          <cell r="F6855" t="str">
            <v>LFTBA240724069</v>
          </cell>
          <cell r="G6855">
            <v>70</v>
          </cell>
          <cell r="H6855" t="str">
            <v>singleron-3'全长转录组文库</v>
          </cell>
          <cell r="I6855" t="str">
            <v>HZK</v>
          </cell>
          <cell r="J6855">
            <v>13.5</v>
          </cell>
          <cell r="N6855" t="e">
            <v>#DIV/0!</v>
          </cell>
        </row>
        <row r="6856">
          <cell r="E6856" t="str">
            <v>HGC-Lib-2459732</v>
          </cell>
          <cell r="F6856" t="str">
            <v>LA240724079</v>
          </cell>
          <cell r="G6856">
            <v>100</v>
          </cell>
          <cell r="H6856" t="str">
            <v>singleron-3'转录组文库</v>
          </cell>
          <cell r="I6856" t="str">
            <v>HZK</v>
          </cell>
          <cell r="J6856">
            <v>15.3</v>
          </cell>
          <cell r="N6856" t="e">
            <v>#DIV/0!</v>
          </cell>
        </row>
        <row r="6857">
          <cell r="E6857" t="str">
            <v>HGC-Lib-2459733</v>
          </cell>
          <cell r="F6857" t="str">
            <v>EBLEBVC240723067</v>
          </cell>
          <cell r="G6857">
            <v>12</v>
          </cell>
          <cell r="H6857" t="str">
            <v>其他碱基不平衡文库</v>
          </cell>
          <cell r="I6857" t="str">
            <v>HZK</v>
          </cell>
          <cell r="J6857">
            <v>9.66</v>
          </cell>
          <cell r="N6857" t="e">
            <v>#DIV/0!</v>
          </cell>
        </row>
        <row r="6858">
          <cell r="E6858" t="str">
            <v>HGC-Lib-2459734</v>
          </cell>
          <cell r="F6858" t="str">
            <v>EBLEBVC240723066CT</v>
          </cell>
          <cell r="G6858">
            <v>12</v>
          </cell>
          <cell r="H6858" t="str">
            <v>其他碱基不平衡文库</v>
          </cell>
          <cell r="I6858" t="str">
            <v>HZK</v>
          </cell>
          <cell r="J6858">
            <v>6.7</v>
          </cell>
          <cell r="N6858" t="e">
            <v>#DIV/0!</v>
          </cell>
        </row>
        <row r="6859">
          <cell r="E6859" t="str">
            <v>HGC-Lib-2459735</v>
          </cell>
          <cell r="F6859" t="str">
            <v>LA240723045</v>
          </cell>
          <cell r="G6859">
            <v>10</v>
          </cell>
          <cell r="H6859" t="str">
            <v>singleron-3'转录组文库</v>
          </cell>
          <cell r="I6859" t="str">
            <v>HZK</v>
          </cell>
          <cell r="J6859">
            <v>20.6</v>
          </cell>
          <cell r="N6859" t="e">
            <v>#DIV/0!</v>
          </cell>
        </row>
        <row r="6860">
          <cell r="E6860" t="str">
            <v>HGC-Lib-2459736</v>
          </cell>
          <cell r="F6860" t="str">
            <v>LA240723044</v>
          </cell>
          <cell r="G6860">
            <v>10</v>
          </cell>
          <cell r="H6860" t="str">
            <v>singleron-3'转录组文库</v>
          </cell>
          <cell r="I6860" t="str">
            <v>HZK</v>
          </cell>
          <cell r="J6860">
            <v>20.399999999999999</v>
          </cell>
          <cell r="N6860" t="e">
            <v>#DIV/0!</v>
          </cell>
        </row>
        <row r="6861">
          <cell r="E6861" t="str">
            <v>HGC-Lib-2459737</v>
          </cell>
          <cell r="F6861" t="str">
            <v>LFTA240723059</v>
          </cell>
          <cell r="G6861">
            <v>100</v>
          </cell>
          <cell r="H6861" t="str">
            <v>singleron-3'全长转录组文库</v>
          </cell>
          <cell r="I6861" t="str">
            <v>HZK</v>
          </cell>
          <cell r="J6861">
            <v>16.8</v>
          </cell>
          <cell r="N6861" t="e">
            <v>#DIV/0!</v>
          </cell>
        </row>
        <row r="6862">
          <cell r="E6862" t="str">
            <v>HGC-Lib-2459738</v>
          </cell>
          <cell r="F6862" t="str">
            <v>LA240721024</v>
          </cell>
          <cell r="G6862">
            <v>100</v>
          </cell>
          <cell r="H6862" t="str">
            <v>singleron-3'转录组文库</v>
          </cell>
          <cell r="I6862" t="str">
            <v>HZK</v>
          </cell>
          <cell r="J6862">
            <v>23.8</v>
          </cell>
          <cell r="N6862" t="e">
            <v>#DIV/0!</v>
          </cell>
        </row>
        <row r="6863">
          <cell r="E6863" t="str">
            <v>HGC-Lib-2459739</v>
          </cell>
          <cell r="F6863" t="str">
            <v>PMLPMA240723055</v>
          </cell>
          <cell r="G6863">
            <v>22</v>
          </cell>
          <cell r="H6863" t="str">
            <v>其他碱基不平衡文库</v>
          </cell>
          <cell r="I6863" t="str">
            <v>HZK</v>
          </cell>
          <cell r="J6863">
            <v>31.4</v>
          </cell>
          <cell r="N6863" t="e">
            <v>#DIV/0!</v>
          </cell>
        </row>
        <row r="6864">
          <cell r="E6864" t="str">
            <v>HGC-Lib-2459740</v>
          </cell>
          <cell r="F6864" t="str">
            <v>PMLPMA240723054</v>
          </cell>
          <cell r="G6864">
            <v>22</v>
          </cell>
          <cell r="H6864" t="str">
            <v>其他碱基不平衡文库</v>
          </cell>
          <cell r="I6864" t="str">
            <v>HZK</v>
          </cell>
          <cell r="J6864">
            <v>35.6</v>
          </cell>
          <cell r="N6864" t="e">
            <v>#DIV/0!</v>
          </cell>
        </row>
        <row r="6865">
          <cell r="E6865" t="str">
            <v>HGC-Lib-2459741</v>
          </cell>
          <cell r="F6865" t="str">
            <v>PMLPMA240723056</v>
          </cell>
          <cell r="G6865">
            <v>22</v>
          </cell>
          <cell r="H6865" t="str">
            <v>其他碱基不平衡文库</v>
          </cell>
          <cell r="I6865" t="str">
            <v>HZK</v>
          </cell>
          <cell r="J6865">
            <v>14</v>
          </cell>
          <cell r="N6865" t="e">
            <v>#DIV/0!</v>
          </cell>
        </row>
        <row r="6866">
          <cell r="E6866" t="str">
            <v>HGC-Lib-2459742</v>
          </cell>
          <cell r="F6866" t="str">
            <v>LPMA240723058</v>
          </cell>
          <cell r="G6866">
            <v>180</v>
          </cell>
          <cell r="H6866" t="str">
            <v>singleron-3'转录组文库</v>
          </cell>
          <cell r="I6866" t="str">
            <v>HZK</v>
          </cell>
          <cell r="J6866">
            <v>19.600000000000001</v>
          </cell>
          <cell r="N6866" t="e">
            <v>#DIV/0!</v>
          </cell>
        </row>
        <row r="6867">
          <cell r="E6867" t="str">
            <v>HGC-Lib-2459743</v>
          </cell>
          <cell r="F6867" t="str">
            <v>LPMA240723055</v>
          </cell>
          <cell r="G6867">
            <v>180</v>
          </cell>
          <cell r="H6867" t="str">
            <v>singleron-3'转录组文库</v>
          </cell>
          <cell r="I6867" t="str">
            <v>HZK</v>
          </cell>
          <cell r="J6867">
            <v>18.8</v>
          </cell>
          <cell r="N6867" t="e">
            <v>#DIV/0!</v>
          </cell>
        </row>
        <row r="6868">
          <cell r="E6868" t="str">
            <v>HGC-Lib-2459744</v>
          </cell>
          <cell r="F6868" t="str">
            <v>LPMA240723054</v>
          </cell>
          <cell r="G6868">
            <v>180</v>
          </cell>
          <cell r="H6868" t="str">
            <v>singleron-3'转录组文库</v>
          </cell>
          <cell r="I6868" t="str">
            <v>HZK</v>
          </cell>
          <cell r="J6868">
            <v>16.2</v>
          </cell>
          <cell r="N6868" t="e">
            <v>#DIV/0!</v>
          </cell>
        </row>
        <row r="6869">
          <cell r="E6869" t="str">
            <v>HGC-Lib-2459745</v>
          </cell>
          <cell r="F6869" t="str">
            <v>LPMA240723056</v>
          </cell>
          <cell r="G6869">
            <v>180</v>
          </cell>
          <cell r="H6869" t="str">
            <v>singleron-3'转录组文库</v>
          </cell>
          <cell r="I6869" t="str">
            <v>HZK</v>
          </cell>
          <cell r="J6869">
            <v>18.8</v>
          </cell>
          <cell r="N6869" t="e">
            <v>#DIV/0!</v>
          </cell>
        </row>
        <row r="6870">
          <cell r="E6870" t="str">
            <v>HGC-Lib-2459746</v>
          </cell>
          <cell r="F6870" t="str">
            <v>LC240719175</v>
          </cell>
          <cell r="G6870">
            <v>100</v>
          </cell>
          <cell r="H6870" t="str">
            <v>singleron-3'转录组文库</v>
          </cell>
          <cell r="I6870" t="str">
            <v>HZK</v>
          </cell>
          <cell r="J6870">
            <v>9.64</v>
          </cell>
          <cell r="N6870" t="e">
            <v>#DIV/0!</v>
          </cell>
        </row>
        <row r="6871">
          <cell r="E6871" t="str">
            <v>HGC-Lib-2459747</v>
          </cell>
          <cell r="F6871" t="str">
            <v>LA240719176</v>
          </cell>
          <cell r="G6871">
            <v>100</v>
          </cell>
          <cell r="H6871" t="str">
            <v>singleron-3'转录组文库</v>
          </cell>
          <cell r="I6871" t="str">
            <v>HZK</v>
          </cell>
          <cell r="J6871">
            <v>10.8</v>
          </cell>
          <cell r="N6871" t="e">
            <v>#DIV/0!</v>
          </cell>
        </row>
        <row r="6872">
          <cell r="E6872" t="str">
            <v>HGC-Lib-2459748</v>
          </cell>
          <cell r="F6872" t="str">
            <v>LA240620066CT</v>
          </cell>
          <cell r="G6872">
            <v>30</v>
          </cell>
          <cell r="H6872" t="str">
            <v>singleron-3'转录组文库</v>
          </cell>
          <cell r="I6872" t="str">
            <v>HZK</v>
          </cell>
          <cell r="J6872">
            <v>22</v>
          </cell>
          <cell r="N6872" t="e">
            <v>#DIV/0!</v>
          </cell>
        </row>
        <row r="6873">
          <cell r="E6873" t="str">
            <v>HGC-Lib-2459749</v>
          </cell>
          <cell r="F6873" t="str">
            <v>LA240620068CT</v>
          </cell>
          <cell r="G6873">
            <v>30</v>
          </cell>
          <cell r="H6873" t="str">
            <v>singleron-3'转录组文库</v>
          </cell>
          <cell r="I6873" t="str">
            <v>HZK</v>
          </cell>
          <cell r="J6873">
            <v>18.7</v>
          </cell>
          <cell r="N6873" t="e">
            <v>#DIV/0!</v>
          </cell>
        </row>
        <row r="6874">
          <cell r="E6874" t="str">
            <v>HGC-Lib-2459750</v>
          </cell>
          <cell r="F6874" t="str">
            <v>LHC240723079</v>
          </cell>
          <cell r="G6874">
            <v>200</v>
          </cell>
          <cell r="H6874" t="str">
            <v>singleron-3'转录组文库</v>
          </cell>
          <cell r="I6874" t="str">
            <v>HZK</v>
          </cell>
          <cell r="J6874">
            <v>19.2</v>
          </cell>
          <cell r="N6874" t="e">
            <v>#DIV/0!</v>
          </cell>
        </row>
        <row r="6875">
          <cell r="E6875" t="str">
            <v>HGC-Lib-2459751</v>
          </cell>
          <cell r="F6875" t="str">
            <v>LFTA240723009</v>
          </cell>
          <cell r="G6875">
            <v>100</v>
          </cell>
          <cell r="H6875" t="str">
            <v>singleron-3'全长转录组文库</v>
          </cell>
          <cell r="I6875" t="str">
            <v>HZK</v>
          </cell>
          <cell r="J6875">
            <v>16.8</v>
          </cell>
          <cell r="N6875" t="e">
            <v>#DIV/0!</v>
          </cell>
        </row>
        <row r="6876">
          <cell r="E6876" t="str">
            <v>HGC-Lib-2459752</v>
          </cell>
          <cell r="F6876" t="str">
            <v>LA240720059</v>
          </cell>
          <cell r="G6876">
            <v>100</v>
          </cell>
          <cell r="H6876" t="str">
            <v>singleron-3'转录组文库</v>
          </cell>
          <cell r="I6876" t="str">
            <v>HZK</v>
          </cell>
          <cell r="J6876">
            <v>10.199999999999999</v>
          </cell>
          <cell r="N6876" t="e">
            <v>#DIV/0!</v>
          </cell>
        </row>
        <row r="6877">
          <cell r="E6877" t="str">
            <v>HGC-Lib-2459753</v>
          </cell>
          <cell r="F6877" t="str">
            <v>LA240720060</v>
          </cell>
          <cell r="G6877">
            <v>100</v>
          </cell>
          <cell r="H6877" t="str">
            <v>singleron-3'转录组文库</v>
          </cell>
          <cell r="I6877" t="str">
            <v>HZK</v>
          </cell>
          <cell r="J6877">
            <v>9.94</v>
          </cell>
          <cell r="N6877" t="e">
            <v>#DIV/0!</v>
          </cell>
        </row>
        <row r="6878">
          <cell r="E6878" t="str">
            <v>HGC-Lib-2459754</v>
          </cell>
          <cell r="F6878" t="str">
            <v>LC240723036</v>
          </cell>
          <cell r="G6878">
            <v>100</v>
          </cell>
          <cell r="H6878" t="str">
            <v>singleron-3'转录组文库</v>
          </cell>
          <cell r="I6878" t="str">
            <v>HZK</v>
          </cell>
          <cell r="J6878">
            <v>34.6</v>
          </cell>
          <cell r="N6878" t="e">
            <v>#DIV/0!</v>
          </cell>
        </row>
        <row r="6879">
          <cell r="E6879" t="str">
            <v>HGC-Lib-2459755</v>
          </cell>
          <cell r="F6879" t="str">
            <v>LC240723040</v>
          </cell>
          <cell r="G6879">
            <v>100</v>
          </cell>
          <cell r="H6879" t="str">
            <v>singleron-3'转录组文库</v>
          </cell>
          <cell r="I6879" t="str">
            <v>HZK</v>
          </cell>
          <cell r="J6879">
            <v>23.4</v>
          </cell>
          <cell r="N6879" t="e">
            <v>#DIV/0!</v>
          </cell>
        </row>
        <row r="6880">
          <cell r="E6880" t="str">
            <v>HGC-Lib-2459756</v>
          </cell>
          <cell r="F6880" t="str">
            <v>LC240723035</v>
          </cell>
          <cell r="G6880">
            <v>100</v>
          </cell>
          <cell r="H6880" t="str">
            <v>singleron-3'转录组文库</v>
          </cell>
          <cell r="I6880" t="str">
            <v>HZK</v>
          </cell>
          <cell r="J6880">
            <v>31.6</v>
          </cell>
          <cell r="N6880" t="e">
            <v>#DIV/0!</v>
          </cell>
        </row>
        <row r="6881">
          <cell r="E6881" t="str">
            <v>HGC-Lib-2459757</v>
          </cell>
          <cell r="F6881" t="str">
            <v>LC240723037</v>
          </cell>
          <cell r="G6881">
            <v>100</v>
          </cell>
          <cell r="H6881" t="str">
            <v>singleron-3'转录组文库</v>
          </cell>
          <cell r="I6881" t="str">
            <v>HZK</v>
          </cell>
          <cell r="J6881">
            <v>23.2</v>
          </cell>
          <cell r="N6881" t="e">
            <v>#DIV/0!</v>
          </cell>
        </row>
        <row r="6882">
          <cell r="E6882" t="str">
            <v>HGC-Lib-2459758</v>
          </cell>
          <cell r="F6882" t="str">
            <v>LC240723041</v>
          </cell>
          <cell r="G6882">
            <v>100</v>
          </cell>
          <cell r="H6882" t="str">
            <v>singleron-3'转录组文库</v>
          </cell>
          <cell r="I6882" t="str">
            <v>HZK</v>
          </cell>
          <cell r="J6882">
            <v>24.8</v>
          </cell>
          <cell r="N6882" t="e">
            <v>#DIV/0!</v>
          </cell>
        </row>
        <row r="6883">
          <cell r="E6883" t="str">
            <v>HGC-Lib-2459759</v>
          </cell>
          <cell r="F6883" t="str">
            <v>LA240716011</v>
          </cell>
          <cell r="G6883">
            <v>100</v>
          </cell>
          <cell r="H6883" t="str">
            <v>singleron-3'转录组文库</v>
          </cell>
          <cell r="I6883" t="str">
            <v>HZK</v>
          </cell>
          <cell r="J6883">
            <v>17.600000000000001</v>
          </cell>
          <cell r="N6883" t="e">
            <v>#DIV/0!</v>
          </cell>
        </row>
        <row r="6884">
          <cell r="E6884" t="str">
            <v>HGC-Lib-2459760</v>
          </cell>
          <cell r="F6884" t="str">
            <v>LA240716012</v>
          </cell>
          <cell r="G6884">
            <v>100</v>
          </cell>
          <cell r="H6884" t="str">
            <v>singleron-3'转录组文库</v>
          </cell>
          <cell r="I6884" t="str">
            <v>HZK</v>
          </cell>
          <cell r="J6884">
            <v>23.8</v>
          </cell>
          <cell r="N6884" t="e">
            <v>#DIV/0!</v>
          </cell>
        </row>
        <row r="6885">
          <cell r="E6885" t="str">
            <v>HGC-Lib-2459761</v>
          </cell>
          <cell r="F6885" t="str">
            <v>LA240716015</v>
          </cell>
          <cell r="G6885">
            <v>100</v>
          </cell>
          <cell r="H6885" t="str">
            <v>singleron-3'转录组文库</v>
          </cell>
          <cell r="I6885" t="str">
            <v>HZK</v>
          </cell>
          <cell r="J6885">
            <v>18.600000000000001</v>
          </cell>
          <cell r="N6885" t="e">
            <v>#DIV/0!</v>
          </cell>
        </row>
        <row r="6886">
          <cell r="E6886" t="str">
            <v>HGC-Lib-2459762</v>
          </cell>
          <cell r="F6886" t="str">
            <v>LA240716013</v>
          </cell>
          <cell r="G6886">
            <v>100</v>
          </cell>
          <cell r="H6886" t="str">
            <v>singleron-3'转录组文库</v>
          </cell>
          <cell r="I6886" t="str">
            <v>HZK</v>
          </cell>
          <cell r="J6886">
            <v>19.600000000000001</v>
          </cell>
          <cell r="N6886" t="e">
            <v>#DIV/0!</v>
          </cell>
        </row>
        <row r="6887">
          <cell r="E6887" t="str">
            <v>HGC-Lib-2459763</v>
          </cell>
          <cell r="F6887" t="str">
            <v>LA240716016</v>
          </cell>
          <cell r="G6887">
            <v>100</v>
          </cell>
          <cell r="H6887" t="str">
            <v>singleron-3'转录组文库</v>
          </cell>
          <cell r="I6887" t="str">
            <v>HZK</v>
          </cell>
          <cell r="J6887">
            <v>12.3</v>
          </cell>
          <cell r="N6887" t="e">
            <v>#DIV/0!</v>
          </cell>
        </row>
        <row r="6888">
          <cell r="E6888" t="str">
            <v>HGC-Lib-2459764</v>
          </cell>
          <cell r="F6888" t="str">
            <v>LA240716014</v>
          </cell>
          <cell r="G6888">
            <v>100</v>
          </cell>
          <cell r="H6888" t="str">
            <v>singleron-3'转录组文库</v>
          </cell>
          <cell r="I6888" t="str">
            <v>HZK</v>
          </cell>
          <cell r="J6888">
            <v>17.3</v>
          </cell>
          <cell r="N6888" t="e">
            <v>#DIV/0!</v>
          </cell>
        </row>
        <row r="6889">
          <cell r="E6889" t="str">
            <v>HGC-Lib-2459765</v>
          </cell>
          <cell r="F6889" t="str">
            <v>LA240716010</v>
          </cell>
          <cell r="G6889">
            <v>100</v>
          </cell>
          <cell r="H6889" t="str">
            <v>singleron-3'转录组文库</v>
          </cell>
          <cell r="I6889" t="str">
            <v>HZK</v>
          </cell>
          <cell r="J6889">
            <v>16.5</v>
          </cell>
          <cell r="N6889" t="e">
            <v>#DIV/0!</v>
          </cell>
        </row>
        <row r="6890">
          <cell r="E6890" t="str">
            <v>HGC-Lib-2459766</v>
          </cell>
          <cell r="F6890" t="str">
            <v>PMLPMFTBC240710007</v>
          </cell>
          <cell r="G6890">
            <v>12</v>
          </cell>
          <cell r="H6890" t="str">
            <v>其他碱基不平衡文库</v>
          </cell>
          <cell r="I6890" t="str">
            <v>HZK</v>
          </cell>
          <cell r="J6890">
            <v>33.200000000000003</v>
          </cell>
          <cell r="N6890" t="e">
            <v>#DIV/0!</v>
          </cell>
        </row>
        <row r="6891">
          <cell r="E6891" t="str">
            <v>HGC-Lib-2459767</v>
          </cell>
          <cell r="F6891" t="str">
            <v>A719</v>
          </cell>
          <cell r="G6891">
            <v>6</v>
          </cell>
          <cell r="H6891" t="str">
            <v>mRNA文库</v>
          </cell>
          <cell r="I6891" t="str">
            <v>HZK</v>
          </cell>
          <cell r="J6891">
            <v>7.5</v>
          </cell>
          <cell r="K6891">
            <v>377</v>
          </cell>
          <cell r="N6891">
            <v>30.60599877576</v>
          </cell>
        </row>
        <row r="6892">
          <cell r="E6892" t="str">
            <v>HGC-Lib-2459768</v>
          </cell>
          <cell r="F6892" t="str">
            <v>ZNX</v>
          </cell>
          <cell r="G6892">
            <v>6</v>
          </cell>
          <cell r="H6892" t="str">
            <v>mRNA文库</v>
          </cell>
          <cell r="I6892" t="str">
            <v>HZK</v>
          </cell>
          <cell r="J6892">
            <v>12.5</v>
          </cell>
          <cell r="K6892">
            <v>354</v>
          </cell>
          <cell r="N6892">
            <v>54.3242068665798</v>
          </cell>
        </row>
        <row r="6893">
          <cell r="E6893" t="str">
            <v>HGC-Lib-2459769</v>
          </cell>
          <cell r="F6893" t="str">
            <v>A719A</v>
          </cell>
          <cell r="G6893" t="str">
            <v>6G</v>
          </cell>
          <cell r="H6893" t="str">
            <v>ATAC-Seq文库</v>
          </cell>
          <cell r="I6893" t="str">
            <v>HZK</v>
          </cell>
          <cell r="J6893">
            <v>56.8</v>
          </cell>
          <cell r="K6893">
            <v>350</v>
          </cell>
          <cell r="N6893">
            <v>249.67032967033001</v>
          </cell>
        </row>
        <row r="6894">
          <cell r="E6894" t="str">
            <v>HGC-Lib-2459770</v>
          </cell>
          <cell r="F6894" t="str">
            <v>EB1-1</v>
          </cell>
          <cell r="G6894" t="str">
            <v>5G</v>
          </cell>
          <cell r="H6894" t="str">
            <v>scbs-seq文库</v>
          </cell>
          <cell r="I6894" t="str">
            <v>HZK</v>
          </cell>
          <cell r="J6894">
            <v>5.12</v>
          </cell>
          <cell r="K6894">
            <v>500</v>
          </cell>
          <cell r="N6894">
            <v>15.753846153846199</v>
          </cell>
        </row>
        <row r="6895">
          <cell r="E6895" t="str">
            <v>HGC-Lib-2459771</v>
          </cell>
          <cell r="F6895" t="str">
            <v>EB1-2</v>
          </cell>
          <cell r="G6895" t="str">
            <v>5G</v>
          </cell>
          <cell r="H6895" t="str">
            <v>scbs-seq文库</v>
          </cell>
          <cell r="I6895" t="str">
            <v>HZK</v>
          </cell>
          <cell r="J6895">
            <v>7.44</v>
          </cell>
          <cell r="K6895">
            <v>495</v>
          </cell>
          <cell r="N6895">
            <v>23.123543123543101</v>
          </cell>
        </row>
        <row r="6896">
          <cell r="E6896" t="str">
            <v>HGC-Lib-2459772</v>
          </cell>
          <cell r="F6896" t="str">
            <v>EB2-1</v>
          </cell>
          <cell r="G6896" t="str">
            <v>5G</v>
          </cell>
          <cell r="H6896" t="str">
            <v>scbs-seq文库</v>
          </cell>
          <cell r="I6896" t="str">
            <v>HZK</v>
          </cell>
          <cell r="J6896">
            <v>8.86</v>
          </cell>
          <cell r="K6896">
            <v>490</v>
          </cell>
          <cell r="N6896">
            <v>27.817896389325</v>
          </cell>
        </row>
        <row r="6897">
          <cell r="E6897" t="str">
            <v>HGC-Lib-2459773</v>
          </cell>
          <cell r="F6897" t="str">
            <v>EB2-2</v>
          </cell>
          <cell r="G6897" t="str">
            <v>5G</v>
          </cell>
          <cell r="H6897" t="str">
            <v>scbs-seq文库</v>
          </cell>
          <cell r="I6897" t="str">
            <v>HZK</v>
          </cell>
          <cell r="J6897">
            <v>6.82</v>
          </cell>
          <cell r="K6897">
            <v>491</v>
          </cell>
          <cell r="N6897">
            <v>21.3692621024597</v>
          </cell>
        </row>
        <row r="6898">
          <cell r="E6898" t="str">
            <v>HGC-Lib-2459774</v>
          </cell>
          <cell r="F6898" t="str">
            <v>EB3-1</v>
          </cell>
          <cell r="G6898" t="str">
            <v>5G</v>
          </cell>
          <cell r="H6898" t="str">
            <v>scbs-seq文库</v>
          </cell>
          <cell r="I6898" t="str">
            <v>HZK</v>
          </cell>
          <cell r="J6898">
            <v>6.64</v>
          </cell>
          <cell r="K6898">
            <v>502</v>
          </cell>
          <cell r="N6898">
            <v>20.349371743794102</v>
          </cell>
        </row>
        <row r="6899">
          <cell r="E6899" t="str">
            <v>HGC-Lib-2459775</v>
          </cell>
          <cell r="F6899" t="str">
            <v>EB3-2</v>
          </cell>
          <cell r="G6899" t="str">
            <v>5G</v>
          </cell>
          <cell r="H6899" t="str">
            <v>scbs-seq文库</v>
          </cell>
          <cell r="I6899" t="str">
            <v>HZK</v>
          </cell>
          <cell r="J6899">
            <v>7.88</v>
          </cell>
          <cell r="K6899">
            <v>494</v>
          </cell>
          <cell r="N6899">
            <v>24.5406415446901</v>
          </cell>
        </row>
        <row r="6900">
          <cell r="E6900" t="str">
            <v>HGC-Lib-2459776</v>
          </cell>
          <cell r="F6900" t="str">
            <v>EB5-1</v>
          </cell>
          <cell r="G6900" t="str">
            <v>5G</v>
          </cell>
          <cell r="H6900" t="str">
            <v>scbs-seq文库</v>
          </cell>
          <cell r="I6900" t="str">
            <v>HZK</v>
          </cell>
          <cell r="J6900">
            <v>6.52</v>
          </cell>
          <cell r="K6900">
            <v>485</v>
          </cell>
          <cell r="N6900">
            <v>20.681998413957199</v>
          </cell>
        </row>
        <row r="6901">
          <cell r="E6901" t="str">
            <v>HGC-Lib-2459777</v>
          </cell>
          <cell r="F6901" t="str">
            <v>EB5-2</v>
          </cell>
          <cell r="G6901" t="str">
            <v>5G</v>
          </cell>
          <cell r="H6901" t="str">
            <v>scbs-seq文库</v>
          </cell>
          <cell r="I6901" t="str">
            <v>HZK</v>
          </cell>
          <cell r="J6901">
            <v>7.48</v>
          </cell>
          <cell r="K6901">
            <v>497</v>
          </cell>
          <cell r="N6901">
            <v>23.1543104782541</v>
          </cell>
        </row>
        <row r="6902">
          <cell r="E6902" t="str">
            <v>HGC-Lib-2459778</v>
          </cell>
          <cell r="F6902" t="str">
            <v>703-1</v>
          </cell>
          <cell r="G6902" t="str">
            <v>5G</v>
          </cell>
          <cell r="H6902" t="str">
            <v>scbs-seq文库</v>
          </cell>
          <cell r="I6902" t="str">
            <v>HZK</v>
          </cell>
          <cell r="J6902">
            <v>5.5</v>
          </cell>
          <cell r="K6902">
            <v>511</v>
          </cell>
          <cell r="N6902">
            <v>16.5587836820714</v>
          </cell>
        </row>
        <row r="6903">
          <cell r="E6903" t="str">
            <v>HGC-Lib-2459779</v>
          </cell>
          <cell r="F6903" t="str">
            <v>703-2</v>
          </cell>
          <cell r="G6903" t="str">
            <v>5G</v>
          </cell>
          <cell r="H6903" t="str">
            <v>scbs-seq文库</v>
          </cell>
          <cell r="I6903" t="str">
            <v>HZK</v>
          </cell>
          <cell r="J6903">
            <v>7.16</v>
          </cell>
          <cell r="K6903">
            <v>477</v>
          </cell>
          <cell r="N6903">
            <v>23.0930495081438</v>
          </cell>
        </row>
        <row r="6904">
          <cell r="E6904" t="str">
            <v>HGC-POOL-2459780</v>
          </cell>
          <cell r="F6904" t="str">
            <v>ssq_rice_20240727</v>
          </cell>
          <cell r="G6904">
            <v>96</v>
          </cell>
          <cell r="H6904" t="str">
            <v>ChIP-seq</v>
          </cell>
          <cell r="I6904" t="str">
            <v>WWH</v>
          </cell>
          <cell r="J6904">
            <v>2.2200000000000002</v>
          </cell>
          <cell r="K6904">
            <v>267</v>
          </cell>
          <cell r="L6904" t="str">
            <v>WWH</v>
          </cell>
          <cell r="N6904">
            <v>12.7917026793431</v>
          </cell>
        </row>
        <row r="6905">
          <cell r="E6905" t="str">
            <v>HGC-POOL-2459781</v>
          </cell>
          <cell r="F6905" t="str">
            <v>ssq_rice_20240728</v>
          </cell>
          <cell r="G6905">
            <v>144</v>
          </cell>
          <cell r="H6905" t="str">
            <v>ChIP-seq</v>
          </cell>
          <cell r="I6905" t="str">
            <v>WWH</v>
          </cell>
          <cell r="J6905">
            <v>2.72</v>
          </cell>
          <cell r="K6905">
            <v>327</v>
          </cell>
          <cell r="L6905" t="str">
            <v>WWH</v>
          </cell>
          <cell r="N6905">
            <v>12.796988943777899</v>
          </cell>
        </row>
        <row r="6906">
          <cell r="E6906" t="str">
            <v>HGC-Lib-2459825</v>
          </cell>
          <cell r="F6906" t="str">
            <v>His-2</v>
          </cell>
          <cell r="G6906">
            <v>6</v>
          </cell>
          <cell r="H6906" t="str">
            <v>cut&amp;tag文库</v>
          </cell>
          <cell r="I6906" t="str">
            <v>WWH</v>
          </cell>
          <cell r="J6906">
            <v>12.4</v>
          </cell>
          <cell r="K6906">
            <v>337</v>
          </cell>
          <cell r="L6906" t="str">
            <v>XCL</v>
          </cell>
          <cell r="N6906">
            <v>56.608080346952804</v>
          </cell>
        </row>
        <row r="6907">
          <cell r="E6907" t="str">
            <v>HGC-Lib-2459826</v>
          </cell>
          <cell r="F6907" t="str">
            <v>His-3</v>
          </cell>
          <cell r="G6907">
            <v>6</v>
          </cell>
          <cell r="H6907" t="str">
            <v>cut&amp;tag文库</v>
          </cell>
          <cell r="I6907" t="str">
            <v>WWH</v>
          </cell>
          <cell r="J6907">
            <v>12.5</v>
          </cell>
          <cell r="K6907">
            <v>353</v>
          </cell>
          <cell r="L6907" t="str">
            <v>XCL</v>
          </cell>
          <cell r="N6907">
            <v>54.478099803878798</v>
          </cell>
        </row>
        <row r="6908">
          <cell r="E6908" t="str">
            <v>HGC-2459861</v>
          </cell>
          <cell r="F6908" t="str">
            <v>P-L</v>
          </cell>
          <cell r="G6908" t="str">
            <v>100G</v>
          </cell>
          <cell r="H6908" t="str">
            <v>10X3端转录组文库</v>
          </cell>
          <cell r="I6908" t="str">
            <v>WWH</v>
          </cell>
          <cell r="J6908">
            <v>52</v>
          </cell>
          <cell r="K6908">
            <v>448</v>
          </cell>
          <cell r="L6908" t="str">
            <v>XCL</v>
          </cell>
          <cell r="N6908">
            <v>178.57142857142901</v>
          </cell>
        </row>
        <row r="6909">
          <cell r="E6909" t="str">
            <v>HGC-2459862</v>
          </cell>
          <cell r="F6909" t="str">
            <v>P-S</v>
          </cell>
          <cell r="G6909" t="str">
            <v>100G</v>
          </cell>
          <cell r="H6909" t="str">
            <v>10X3端转录组文库</v>
          </cell>
          <cell r="I6909" t="str">
            <v>WWH</v>
          </cell>
          <cell r="J6909">
            <v>34.6</v>
          </cell>
          <cell r="K6909">
            <v>455</v>
          </cell>
          <cell r="L6909" t="str">
            <v>XCL</v>
          </cell>
          <cell r="N6909">
            <v>116.99070160608601</v>
          </cell>
        </row>
        <row r="6910">
          <cell r="E6910" t="str">
            <v>HGC-Lib-2460167</v>
          </cell>
          <cell r="F6910" t="str">
            <v>lave-2790</v>
          </cell>
          <cell r="G6910">
            <v>3</v>
          </cell>
          <cell r="H6910" t="str">
            <v>mRNA文库</v>
          </cell>
          <cell r="I6910" t="str">
            <v>XCL</v>
          </cell>
          <cell r="J6910">
            <v>7.58</v>
          </cell>
          <cell r="K6910">
            <v>338</v>
          </cell>
          <cell r="L6910" t="str">
            <v>YHT</v>
          </cell>
          <cell r="N6910">
            <v>34.501593081474702</v>
          </cell>
        </row>
        <row r="6911">
          <cell r="E6911" t="str">
            <v>HGC-Lib-2460168</v>
          </cell>
          <cell r="F6911" t="str">
            <v>600-1</v>
          </cell>
          <cell r="G6911">
            <v>6</v>
          </cell>
          <cell r="H6911" t="str">
            <v>cut&amp;tag文库</v>
          </cell>
          <cell r="I6911" t="str">
            <v>XCL</v>
          </cell>
          <cell r="J6911">
            <v>15.8</v>
          </cell>
          <cell r="K6911">
            <v>451</v>
          </cell>
          <cell r="L6911" t="str">
            <v>XCL</v>
          </cell>
          <cell r="N6911">
            <v>53.897322190005099</v>
          </cell>
        </row>
        <row r="6912">
          <cell r="E6912" t="str">
            <v>HGC-Lib-2460169</v>
          </cell>
          <cell r="F6912" t="str">
            <v>600-2</v>
          </cell>
          <cell r="G6912">
            <v>6</v>
          </cell>
          <cell r="H6912" t="str">
            <v>cut&amp;tag文库</v>
          </cell>
          <cell r="I6912" t="str">
            <v>XCL</v>
          </cell>
          <cell r="J6912">
            <v>18.899999999999999</v>
          </cell>
          <cell r="K6912">
            <v>434</v>
          </cell>
          <cell r="L6912" t="str">
            <v>XCL</v>
          </cell>
          <cell r="N6912">
            <v>66.997518610421807</v>
          </cell>
        </row>
        <row r="6913">
          <cell r="E6913" t="str">
            <v>HGC-Lib-2460170</v>
          </cell>
          <cell r="F6913" t="str">
            <v>600-3</v>
          </cell>
          <cell r="G6913">
            <v>6</v>
          </cell>
          <cell r="H6913" t="str">
            <v>cut&amp;tag文库</v>
          </cell>
          <cell r="I6913" t="str">
            <v>XCL</v>
          </cell>
          <cell r="J6913">
            <v>22.4</v>
          </cell>
          <cell r="K6913">
            <v>414</v>
          </cell>
          <cell r="L6913" t="str">
            <v>XCL</v>
          </cell>
          <cell r="N6913">
            <v>83.240431066517999</v>
          </cell>
        </row>
        <row r="6914">
          <cell r="E6914" t="str">
            <v>HGC-Lib-2460171</v>
          </cell>
          <cell r="F6914" t="str">
            <v>600+DOX-1</v>
          </cell>
          <cell r="G6914">
            <v>6</v>
          </cell>
          <cell r="H6914" t="str">
            <v>cut&amp;tag文库</v>
          </cell>
          <cell r="I6914" t="str">
            <v>XCL</v>
          </cell>
          <cell r="J6914">
            <v>15.4</v>
          </cell>
          <cell r="K6914">
            <v>416</v>
          </cell>
          <cell r="L6914" t="str">
            <v>XCL</v>
          </cell>
          <cell r="N6914">
            <v>56.952662721893503</v>
          </cell>
        </row>
        <row r="6915">
          <cell r="E6915" t="str">
            <v>HGC-Lib-2460172</v>
          </cell>
          <cell r="F6915" t="str">
            <v>600+DOX-2</v>
          </cell>
          <cell r="G6915">
            <v>6</v>
          </cell>
          <cell r="H6915" t="str">
            <v>cut&amp;tag文库</v>
          </cell>
          <cell r="I6915" t="str">
            <v>XCL</v>
          </cell>
          <cell r="J6915">
            <v>18.8</v>
          </cell>
          <cell r="K6915">
            <v>406</v>
          </cell>
          <cell r="L6915" t="str">
            <v>XCL</v>
          </cell>
          <cell r="N6915">
            <v>71.239105721864306</v>
          </cell>
        </row>
        <row r="6916">
          <cell r="E6916" t="str">
            <v>HGC-Lib-2460173</v>
          </cell>
          <cell r="F6916" t="str">
            <v>600+DOX-3</v>
          </cell>
          <cell r="G6916">
            <v>6</v>
          </cell>
          <cell r="H6916" t="str">
            <v>cut&amp;tag文库</v>
          </cell>
          <cell r="I6916" t="str">
            <v>XCL</v>
          </cell>
          <cell r="J6916">
            <v>8.24</v>
          </cell>
          <cell r="K6916">
            <v>413</v>
          </cell>
          <cell r="L6916" t="str">
            <v>XCL</v>
          </cell>
          <cell r="N6916">
            <v>30.694728999813702</v>
          </cell>
        </row>
        <row r="6917">
          <cell r="E6917" t="str">
            <v>HGC-Lib-2460174</v>
          </cell>
          <cell r="F6917" t="str">
            <v>660-1</v>
          </cell>
          <cell r="G6917">
            <v>6</v>
          </cell>
          <cell r="H6917" t="str">
            <v>cut&amp;tag文库</v>
          </cell>
          <cell r="I6917" t="str">
            <v>XCL</v>
          </cell>
          <cell r="J6917">
            <v>21.8</v>
          </cell>
          <cell r="K6917">
            <v>415</v>
          </cell>
          <cell r="L6917" t="str">
            <v>XCL</v>
          </cell>
          <cell r="N6917">
            <v>80.815569972196499</v>
          </cell>
        </row>
        <row r="6918">
          <cell r="E6918" t="str">
            <v>HGC-Lib-2460175</v>
          </cell>
          <cell r="F6918" t="str">
            <v>660-2</v>
          </cell>
          <cell r="G6918">
            <v>6</v>
          </cell>
          <cell r="H6918" t="str">
            <v>cut&amp;tag文库</v>
          </cell>
          <cell r="I6918" t="str">
            <v>XCL</v>
          </cell>
          <cell r="J6918">
            <v>13.5</v>
          </cell>
          <cell r="K6918">
            <v>415</v>
          </cell>
          <cell r="L6918" t="str">
            <v>XCL</v>
          </cell>
          <cell r="N6918">
            <v>50.046339202965697</v>
          </cell>
        </row>
        <row r="6919">
          <cell r="E6919" t="str">
            <v>HGC-Lib-2460176</v>
          </cell>
          <cell r="F6919" t="str">
            <v>660-3</v>
          </cell>
          <cell r="G6919">
            <v>6</v>
          </cell>
          <cell r="H6919" t="str">
            <v>cut&amp;tag文库</v>
          </cell>
          <cell r="I6919" t="str">
            <v>XCL</v>
          </cell>
          <cell r="J6919">
            <v>16.600000000000001</v>
          </cell>
          <cell r="K6919">
            <v>372</v>
          </cell>
          <cell r="L6919" t="str">
            <v>XCL</v>
          </cell>
          <cell r="N6919">
            <v>68.651778329197697</v>
          </cell>
        </row>
        <row r="6920">
          <cell r="E6920" t="str">
            <v>HGC-Lib-2460177</v>
          </cell>
          <cell r="F6920" t="str">
            <v>660+DOX-1</v>
          </cell>
          <cell r="G6920">
            <v>6</v>
          </cell>
          <cell r="H6920" t="str">
            <v>cut&amp;tag文库</v>
          </cell>
          <cell r="I6920" t="str">
            <v>XCL</v>
          </cell>
          <cell r="J6920">
            <v>15.4</v>
          </cell>
          <cell r="K6920">
            <v>381</v>
          </cell>
          <cell r="L6920" t="str">
            <v>XCL</v>
          </cell>
          <cell r="N6920">
            <v>62.1845346254795</v>
          </cell>
        </row>
        <row r="6921">
          <cell r="E6921" t="str">
            <v>HGC-Lib-2460178</v>
          </cell>
          <cell r="F6921" t="str">
            <v>660+DOX-2</v>
          </cell>
          <cell r="G6921">
            <v>6</v>
          </cell>
          <cell r="H6921" t="str">
            <v>cut&amp;tag文库</v>
          </cell>
          <cell r="I6921" t="str">
            <v>XCL</v>
          </cell>
          <cell r="J6921">
            <v>18.899999999999999</v>
          </cell>
          <cell r="K6921">
            <v>434</v>
          </cell>
          <cell r="L6921" t="str">
            <v>XCL</v>
          </cell>
          <cell r="N6921">
            <v>66.997518610421807</v>
          </cell>
        </row>
        <row r="6922">
          <cell r="E6922" t="str">
            <v>HGC-Lib-2460179</v>
          </cell>
          <cell r="F6922" t="str">
            <v>660+DOX-3</v>
          </cell>
          <cell r="G6922">
            <v>6</v>
          </cell>
          <cell r="H6922" t="str">
            <v>cut&amp;tag文库</v>
          </cell>
          <cell r="I6922" t="str">
            <v>XCL</v>
          </cell>
          <cell r="J6922">
            <v>14.6</v>
          </cell>
          <cell r="K6922">
            <v>363</v>
          </cell>
          <cell r="L6922" t="str">
            <v>XCL</v>
          </cell>
          <cell r="N6922">
            <v>61.877516422970999</v>
          </cell>
        </row>
        <row r="6923">
          <cell r="E6923" t="str">
            <v>HGC-POOL-2460180</v>
          </cell>
          <cell r="F6923" t="str">
            <v>DZY-240725-X1</v>
          </cell>
          <cell r="G6923">
            <v>27</v>
          </cell>
          <cell r="H6923" t="str">
            <v>Chip-Seq</v>
          </cell>
          <cell r="I6923" t="str">
            <v>XCL</v>
          </cell>
          <cell r="J6923">
            <v>3.52</v>
          </cell>
          <cell r="K6923">
            <v>405</v>
          </cell>
          <cell r="L6923" t="str">
            <v>YHT</v>
          </cell>
          <cell r="N6923">
            <v>13.371320037986701</v>
          </cell>
        </row>
        <row r="6924">
          <cell r="E6924" t="str">
            <v>HGC-POOL-2460181</v>
          </cell>
          <cell r="F6924" t="str">
            <v>240725-LQY-ZF</v>
          </cell>
          <cell r="G6924">
            <v>27</v>
          </cell>
          <cell r="H6924" t="str">
            <v>Chip-Seq</v>
          </cell>
          <cell r="I6924" t="str">
            <v>XCL</v>
          </cell>
          <cell r="J6924">
            <v>12.1</v>
          </cell>
          <cell r="K6924">
            <v>405</v>
          </cell>
          <cell r="L6924" t="str">
            <v>YHT</v>
          </cell>
          <cell r="N6924">
            <v>45.963912630579301</v>
          </cell>
        </row>
        <row r="6925">
          <cell r="E6925" t="str">
            <v>HGC-POOL-2460182</v>
          </cell>
          <cell r="F6925" t="str">
            <v>DZY-240725-HSFA7a</v>
          </cell>
          <cell r="G6925">
            <v>27</v>
          </cell>
          <cell r="H6925" t="str">
            <v>Chip-Seq</v>
          </cell>
          <cell r="I6925" t="str">
            <v>XCL</v>
          </cell>
          <cell r="J6925">
            <v>9.68</v>
          </cell>
          <cell r="K6925">
            <v>408</v>
          </cell>
          <cell r="L6925" t="str">
            <v>YHT</v>
          </cell>
          <cell r="N6925">
            <v>36.500754147812998</v>
          </cell>
        </row>
        <row r="6926">
          <cell r="E6926" t="str">
            <v>HGC-Lib-2460189</v>
          </cell>
          <cell r="F6926" t="str">
            <v>17GZ05335_D2</v>
          </cell>
          <cell r="G6926">
            <v>5</v>
          </cell>
          <cell r="H6926" t="str">
            <v>mRNA文库</v>
          </cell>
          <cell r="I6926" t="str">
            <v>XCL</v>
          </cell>
          <cell r="J6926">
            <v>7.18</v>
          </cell>
          <cell r="K6926">
            <v>278</v>
          </cell>
          <cell r="L6926" t="str">
            <v>YHT</v>
          </cell>
          <cell r="N6926">
            <v>39.734366353071401</v>
          </cell>
        </row>
        <row r="6927">
          <cell r="E6927" t="str">
            <v>HGC-Lib-2460190</v>
          </cell>
          <cell r="F6927" t="str">
            <v>17GZ17067_D1</v>
          </cell>
          <cell r="G6927">
            <v>5</v>
          </cell>
          <cell r="H6927" t="str">
            <v>mRNA文库</v>
          </cell>
          <cell r="I6927" t="str">
            <v>XCL</v>
          </cell>
          <cell r="J6927">
            <v>7</v>
          </cell>
          <cell r="K6927">
            <v>292</v>
          </cell>
          <cell r="L6927" t="str">
            <v>YHT</v>
          </cell>
          <cell r="N6927">
            <v>36.880927291886202</v>
          </cell>
        </row>
        <row r="6928">
          <cell r="E6928" t="str">
            <v>HGC-Lib-2460191</v>
          </cell>
          <cell r="F6928" t="str">
            <v>17GZ23380_D1</v>
          </cell>
          <cell r="G6928">
            <v>5</v>
          </cell>
          <cell r="H6928" t="str">
            <v>mRNA文库</v>
          </cell>
          <cell r="I6928" t="str">
            <v>XCL</v>
          </cell>
          <cell r="J6928">
            <v>3.2</v>
          </cell>
          <cell r="K6928">
            <v>267</v>
          </cell>
          <cell r="L6928" t="str">
            <v>YHT</v>
          </cell>
          <cell r="N6928">
            <v>18.438490348602699</v>
          </cell>
        </row>
        <row r="6929">
          <cell r="E6929" t="str">
            <v>HGC-Lib-2460192</v>
          </cell>
          <cell r="F6929" t="str">
            <v>17GZ23803_D1</v>
          </cell>
          <cell r="G6929">
            <v>5</v>
          </cell>
          <cell r="H6929" t="str">
            <v>mRNA文库</v>
          </cell>
          <cell r="I6929" t="str">
            <v>XCL</v>
          </cell>
          <cell r="J6929">
            <v>7.82</v>
          </cell>
          <cell r="K6929">
            <v>331</v>
          </cell>
          <cell r="L6929" t="str">
            <v>YHT</v>
          </cell>
          <cell r="N6929">
            <v>36.346734836160799</v>
          </cell>
        </row>
        <row r="6930">
          <cell r="E6930" t="str">
            <v>HGC-Lib-2460193</v>
          </cell>
          <cell r="F6930" t="str">
            <v>17GZ24146_D1</v>
          </cell>
          <cell r="G6930">
            <v>5</v>
          </cell>
          <cell r="H6930" t="str">
            <v>mRNA文库</v>
          </cell>
          <cell r="I6930" t="str">
            <v>XCL</v>
          </cell>
          <cell r="J6930">
            <v>7.5</v>
          </cell>
          <cell r="K6930">
            <v>296</v>
          </cell>
          <cell r="L6930" t="str">
            <v>YHT</v>
          </cell>
          <cell r="N6930">
            <v>38.981288981288998</v>
          </cell>
        </row>
        <row r="6931">
          <cell r="E6931" t="str">
            <v>HGC-Lib-2460194</v>
          </cell>
          <cell r="F6931" t="str">
            <v>17GZ25045_D1</v>
          </cell>
          <cell r="G6931">
            <v>5</v>
          </cell>
          <cell r="H6931" t="str">
            <v>mRNA文库</v>
          </cell>
          <cell r="I6931" t="str">
            <v>XCL</v>
          </cell>
          <cell r="J6931">
            <v>6.76</v>
          </cell>
          <cell r="K6931">
            <v>328</v>
          </cell>
          <cell r="L6931" t="str">
            <v>YHT</v>
          </cell>
          <cell r="N6931">
            <v>31.707317073170699</v>
          </cell>
        </row>
        <row r="6932">
          <cell r="E6932" t="str">
            <v>HGC-Lib-2460195</v>
          </cell>
          <cell r="F6932" t="str">
            <v>18GZ15906_D1</v>
          </cell>
          <cell r="G6932">
            <v>5</v>
          </cell>
          <cell r="H6932" t="str">
            <v>mRNA文库</v>
          </cell>
          <cell r="I6932" t="str">
            <v>XCL</v>
          </cell>
          <cell r="J6932">
            <v>24.2</v>
          </cell>
          <cell r="K6932">
            <v>325</v>
          </cell>
          <cell r="L6932" t="str">
            <v>XCL</v>
          </cell>
          <cell r="N6932">
            <v>114.55621301775101</v>
          </cell>
        </row>
        <row r="6933">
          <cell r="E6933" t="str">
            <v>HGC-Lib-2460196</v>
          </cell>
          <cell r="F6933" t="str">
            <v>18GZ23120_D1</v>
          </cell>
          <cell r="G6933">
            <v>5</v>
          </cell>
          <cell r="H6933" t="str">
            <v>mRNA文库</v>
          </cell>
          <cell r="I6933" t="str">
            <v>XCL</v>
          </cell>
          <cell r="J6933">
            <v>21.8</v>
          </cell>
          <cell r="K6933">
            <v>324</v>
          </cell>
          <cell r="L6933" t="str">
            <v>XCL</v>
          </cell>
          <cell r="N6933">
            <v>103.51377018043701</v>
          </cell>
        </row>
        <row r="6934">
          <cell r="E6934" t="str">
            <v>HGC-Lib-2460197</v>
          </cell>
          <cell r="F6934" t="str">
            <v>18GZ61318_D1</v>
          </cell>
          <cell r="G6934">
            <v>5</v>
          </cell>
          <cell r="H6934" t="str">
            <v>mRNA文库</v>
          </cell>
          <cell r="I6934" t="str">
            <v>XCL</v>
          </cell>
          <cell r="J6934">
            <v>14.1</v>
          </cell>
          <cell r="K6934">
            <v>294</v>
          </cell>
          <cell r="L6934" t="str">
            <v>XCL</v>
          </cell>
          <cell r="N6934">
            <v>73.783359497645193</v>
          </cell>
        </row>
        <row r="6935">
          <cell r="E6935" t="str">
            <v>HGC-Lib-2460198</v>
          </cell>
          <cell r="F6935" t="str">
            <v>18GZ26171_D1</v>
          </cell>
          <cell r="G6935">
            <v>5</v>
          </cell>
          <cell r="H6935" t="str">
            <v>mRNA文库</v>
          </cell>
          <cell r="I6935" t="str">
            <v>XCL</v>
          </cell>
          <cell r="J6935">
            <v>19.3</v>
          </cell>
          <cell r="K6935">
            <v>330</v>
          </cell>
          <cell r="L6935" t="str">
            <v>XCL</v>
          </cell>
          <cell r="N6935">
            <v>89.976689976689997</v>
          </cell>
        </row>
        <row r="6936">
          <cell r="E6936" t="str">
            <v>HGC-Lib-2460199</v>
          </cell>
          <cell r="F6936" t="str">
            <v>18GZ22607_D1</v>
          </cell>
          <cell r="G6936">
            <v>5</v>
          </cell>
          <cell r="H6936" t="str">
            <v>mRNA文库</v>
          </cell>
          <cell r="I6936" t="str">
            <v>XCL</v>
          </cell>
          <cell r="J6936">
            <v>16.5</v>
          </cell>
          <cell r="K6936">
            <v>346</v>
          </cell>
          <cell r="L6936" t="str">
            <v>XCL</v>
          </cell>
          <cell r="N6936">
            <v>73.3659404179635</v>
          </cell>
        </row>
        <row r="6937">
          <cell r="E6937" t="str">
            <v>HGC-Lib-2460200</v>
          </cell>
          <cell r="F6937" t="str">
            <v>19GZ50500_D1</v>
          </cell>
          <cell r="G6937">
            <v>5</v>
          </cell>
          <cell r="H6937" t="str">
            <v>mRNA文库</v>
          </cell>
          <cell r="I6937" t="str">
            <v>XCL</v>
          </cell>
          <cell r="J6937">
            <v>19.600000000000001</v>
          </cell>
          <cell r="K6937">
            <v>327</v>
          </cell>
          <cell r="L6937" t="str">
            <v>XCL</v>
          </cell>
          <cell r="N6937">
            <v>92.213596800752796</v>
          </cell>
        </row>
        <row r="6938">
          <cell r="E6938" t="str">
            <v>HGC-Lib-2460201</v>
          </cell>
          <cell r="F6938" t="str">
            <v>19GZ14026_D1</v>
          </cell>
          <cell r="G6938">
            <v>5</v>
          </cell>
          <cell r="H6938" t="str">
            <v>mRNA文库</v>
          </cell>
          <cell r="I6938" t="str">
            <v>XCL</v>
          </cell>
          <cell r="J6938">
            <v>11.6</v>
          </cell>
          <cell r="K6938">
            <v>289</v>
          </cell>
          <cell r="L6938" t="str">
            <v>XCL</v>
          </cell>
          <cell r="N6938">
            <v>61.751397391535797</v>
          </cell>
        </row>
        <row r="6939">
          <cell r="E6939" t="str">
            <v>HGC-Lib-2460202</v>
          </cell>
          <cell r="F6939" t="str">
            <v>19GZ14846_D1</v>
          </cell>
          <cell r="G6939">
            <v>5</v>
          </cell>
          <cell r="H6939" t="str">
            <v>mRNA文库</v>
          </cell>
          <cell r="I6939" t="str">
            <v>XCL</v>
          </cell>
          <cell r="J6939">
            <v>20.8</v>
          </cell>
          <cell r="K6939">
            <v>330</v>
          </cell>
          <cell r="L6939" t="str">
            <v>XCL</v>
          </cell>
          <cell r="N6939">
            <v>96.969696969696997</v>
          </cell>
        </row>
        <row r="6940">
          <cell r="E6940" t="str">
            <v>HGC-Lib-2460203</v>
          </cell>
          <cell r="F6940" t="str">
            <v>19GZ50553_D1</v>
          </cell>
          <cell r="G6940">
            <v>5</v>
          </cell>
          <cell r="H6940" t="str">
            <v>mRNA文库</v>
          </cell>
          <cell r="I6940" t="str">
            <v>XCL</v>
          </cell>
          <cell r="J6940">
            <v>17.7</v>
          </cell>
          <cell r="K6940">
            <v>312</v>
          </cell>
          <cell r="L6940" t="str">
            <v>XCL</v>
          </cell>
          <cell r="N6940">
            <v>87.278106508875695</v>
          </cell>
        </row>
        <row r="6941">
          <cell r="E6941" t="str">
            <v>HGC-Lib-2460204</v>
          </cell>
          <cell r="F6941" t="str">
            <v>19GZ15076_D1</v>
          </cell>
          <cell r="G6941">
            <v>5</v>
          </cell>
          <cell r="H6941" t="str">
            <v>mRNA文库</v>
          </cell>
          <cell r="I6941" t="str">
            <v>XCL</v>
          </cell>
          <cell r="J6941">
            <v>16.100000000000001</v>
          </cell>
          <cell r="K6941">
            <v>296</v>
          </cell>
          <cell r="L6941" t="str">
            <v>XCL</v>
          </cell>
          <cell r="N6941">
            <v>83.679833679833706</v>
          </cell>
        </row>
        <row r="6942">
          <cell r="E6942" t="str">
            <v>HGC-Lib-2460205</v>
          </cell>
          <cell r="F6942" t="str">
            <v>19GZ15072_D1</v>
          </cell>
          <cell r="G6942">
            <v>5</v>
          </cell>
          <cell r="H6942" t="str">
            <v>mRNA文库</v>
          </cell>
          <cell r="I6942" t="str">
            <v>XCL</v>
          </cell>
          <cell r="J6942">
            <v>18.2</v>
          </cell>
          <cell r="K6942">
            <v>343</v>
          </cell>
          <cell r="L6942" t="str">
            <v>XCL</v>
          </cell>
          <cell r="N6942">
            <v>81.632653061224502</v>
          </cell>
        </row>
        <row r="6943">
          <cell r="E6943" t="str">
            <v>HGC-Lib-2460206</v>
          </cell>
          <cell r="F6943" t="str">
            <v>19GZ15354_D1</v>
          </cell>
          <cell r="G6943">
            <v>5</v>
          </cell>
          <cell r="H6943" t="str">
            <v>mRNA文库</v>
          </cell>
          <cell r="I6943" t="str">
            <v>XCL</v>
          </cell>
          <cell r="J6943">
            <v>18</v>
          </cell>
          <cell r="K6943">
            <v>315</v>
          </cell>
          <cell r="L6943" t="str">
            <v>XCL</v>
          </cell>
          <cell r="N6943">
            <v>87.912087912087898</v>
          </cell>
        </row>
        <row r="6944">
          <cell r="E6944" t="str">
            <v>HGC-Lib-2460207</v>
          </cell>
          <cell r="F6944" t="str">
            <v>19GZ17447_D1</v>
          </cell>
          <cell r="G6944">
            <v>5</v>
          </cell>
          <cell r="H6944" t="str">
            <v>mRNA文库</v>
          </cell>
          <cell r="I6944" t="str">
            <v>XCL</v>
          </cell>
          <cell r="J6944">
            <v>17.100000000000001</v>
          </cell>
          <cell r="K6944">
            <v>307</v>
          </cell>
          <cell r="L6944" t="str">
            <v>XCL</v>
          </cell>
          <cell r="N6944">
            <v>85.6928088198447</v>
          </cell>
        </row>
        <row r="6945">
          <cell r="E6945" t="str">
            <v>HGC-Lib-2460208</v>
          </cell>
          <cell r="F6945" t="str">
            <v>19GZ17451_D1</v>
          </cell>
          <cell r="G6945">
            <v>5</v>
          </cell>
          <cell r="H6945" t="str">
            <v>mRNA文库</v>
          </cell>
          <cell r="I6945" t="str">
            <v>XCL</v>
          </cell>
          <cell r="J6945">
            <v>15.8</v>
          </cell>
          <cell r="K6945">
            <v>306</v>
          </cell>
          <cell r="L6945" t="str">
            <v>XCL</v>
          </cell>
          <cell r="N6945">
            <v>79.436902966314705</v>
          </cell>
        </row>
        <row r="6946">
          <cell r="E6946" t="str">
            <v>HGC-Lib-2460209</v>
          </cell>
          <cell r="F6946" t="str">
            <v>19GZ16286_D1</v>
          </cell>
          <cell r="G6946">
            <v>5</v>
          </cell>
          <cell r="H6946" t="str">
            <v>mRNA文库</v>
          </cell>
          <cell r="I6946" t="str">
            <v>GZQ</v>
          </cell>
          <cell r="J6946">
            <v>12.6</v>
          </cell>
          <cell r="K6946">
            <v>292</v>
          </cell>
          <cell r="L6946" t="str">
            <v>XCL</v>
          </cell>
          <cell r="N6946">
            <v>66.385669125395097</v>
          </cell>
        </row>
        <row r="6947">
          <cell r="E6947" t="str">
            <v>HGC-Lib-2460210</v>
          </cell>
          <cell r="F6947" t="str">
            <v>19GZ17548_D1</v>
          </cell>
          <cell r="G6947">
            <v>5</v>
          </cell>
          <cell r="H6947" t="str">
            <v>mRNA文库</v>
          </cell>
          <cell r="I6947" t="str">
            <v>GZQ</v>
          </cell>
          <cell r="J6947">
            <v>13.9</v>
          </cell>
          <cell r="K6947">
            <v>296</v>
          </cell>
          <cell r="L6947" t="str">
            <v>XCL</v>
          </cell>
          <cell r="N6947">
            <v>72.2453222453222</v>
          </cell>
        </row>
        <row r="6948">
          <cell r="E6948" t="str">
            <v>HGC-Lib-2460211</v>
          </cell>
          <cell r="F6948" t="str">
            <v>19GZ17547_D1</v>
          </cell>
          <cell r="G6948">
            <v>5</v>
          </cell>
          <cell r="H6948" t="str">
            <v>mRNA文库</v>
          </cell>
          <cell r="I6948" t="str">
            <v>GZQ</v>
          </cell>
          <cell r="J6948">
            <v>16.899999999999999</v>
          </cell>
          <cell r="K6948">
            <v>293</v>
          </cell>
          <cell r="L6948" t="str">
            <v>XCL</v>
          </cell>
          <cell r="N6948">
            <v>88.737201365187701</v>
          </cell>
        </row>
        <row r="6949">
          <cell r="E6949" t="str">
            <v>HGC-Lib-2460212</v>
          </cell>
          <cell r="F6949" t="str">
            <v>19GZ19439_D1</v>
          </cell>
          <cell r="G6949">
            <v>5</v>
          </cell>
          <cell r="H6949" t="str">
            <v>mRNA文库</v>
          </cell>
          <cell r="I6949" t="str">
            <v>GZQ</v>
          </cell>
          <cell r="J6949">
            <v>15.4</v>
          </cell>
          <cell r="K6949">
            <v>296</v>
          </cell>
          <cell r="L6949" t="str">
            <v>XCL</v>
          </cell>
          <cell r="N6949">
            <v>80.041580041580005</v>
          </cell>
        </row>
        <row r="6950">
          <cell r="E6950" t="str">
            <v>HGC-Lib-2460213</v>
          </cell>
          <cell r="F6950" t="str">
            <v>19GZ19439_D1</v>
          </cell>
          <cell r="G6950">
            <v>5</v>
          </cell>
          <cell r="H6950" t="str">
            <v>mRNA文库</v>
          </cell>
          <cell r="I6950" t="str">
            <v>GZQ</v>
          </cell>
          <cell r="J6950">
            <v>19.8</v>
          </cell>
          <cell r="K6950">
            <v>296</v>
          </cell>
          <cell r="L6950" t="str">
            <v>XCL</v>
          </cell>
          <cell r="N6950">
            <v>102.910602910603</v>
          </cell>
        </row>
        <row r="6951">
          <cell r="E6951" t="str">
            <v>HGC-Lib-2460214</v>
          </cell>
          <cell r="F6951" t="str">
            <v>19GZ23294_D1</v>
          </cell>
          <cell r="G6951">
            <v>5</v>
          </cell>
          <cell r="H6951" t="str">
            <v>mRNA文库</v>
          </cell>
          <cell r="I6951" t="str">
            <v>GZQ</v>
          </cell>
          <cell r="J6951">
            <v>26.6</v>
          </cell>
          <cell r="K6951">
            <v>323</v>
          </cell>
          <cell r="L6951" t="str">
            <v>XCL</v>
          </cell>
          <cell r="N6951">
            <v>126.69683257918599</v>
          </cell>
        </row>
        <row r="6952">
          <cell r="E6952" t="str">
            <v>HGC-Lib-2460215</v>
          </cell>
          <cell r="F6952" t="str">
            <v>19GZ24005_D1</v>
          </cell>
          <cell r="G6952">
            <v>5</v>
          </cell>
          <cell r="H6952" t="str">
            <v>mRNA文库</v>
          </cell>
          <cell r="I6952" t="str">
            <v>GZQ</v>
          </cell>
          <cell r="J6952">
            <v>24.2</v>
          </cell>
          <cell r="K6952">
            <v>427</v>
          </cell>
          <cell r="L6952" t="str">
            <v>XCL</v>
          </cell>
          <cell r="N6952">
            <v>87.191497027562605</v>
          </cell>
        </row>
        <row r="6953">
          <cell r="E6953" t="str">
            <v>HGC-Lib-2460216</v>
          </cell>
          <cell r="F6953" t="str">
            <v>19GZ24379_D1</v>
          </cell>
          <cell r="G6953">
            <v>5</v>
          </cell>
          <cell r="H6953" t="str">
            <v>mRNA文库</v>
          </cell>
          <cell r="I6953" t="str">
            <v>GZQ</v>
          </cell>
          <cell r="J6953">
            <v>23.6</v>
          </cell>
          <cell r="K6953">
            <v>337</v>
          </cell>
          <cell r="L6953" t="str">
            <v>XCL</v>
          </cell>
          <cell r="N6953">
            <v>107.737959370007</v>
          </cell>
        </row>
        <row r="6954">
          <cell r="E6954" t="str">
            <v>HGC-Lib-2460217</v>
          </cell>
          <cell r="F6954" t="str">
            <v>19GZ60944_D1</v>
          </cell>
          <cell r="G6954">
            <v>5</v>
          </cell>
          <cell r="H6954" t="str">
            <v>mRNA文库</v>
          </cell>
          <cell r="I6954" t="str">
            <v>GZQ</v>
          </cell>
          <cell r="J6954">
            <v>14</v>
          </cell>
          <cell r="K6954">
            <v>289</v>
          </cell>
          <cell r="L6954" t="str">
            <v>XCL</v>
          </cell>
          <cell r="N6954">
            <v>74.527548575991503</v>
          </cell>
        </row>
        <row r="6955">
          <cell r="E6955" t="str">
            <v>HGC-Lib-2460218</v>
          </cell>
          <cell r="F6955" t="str">
            <v>19GZ51180_D1</v>
          </cell>
          <cell r="G6955">
            <v>5</v>
          </cell>
          <cell r="H6955" t="str">
            <v>mRNA文库</v>
          </cell>
          <cell r="I6955" t="str">
            <v>GZQ</v>
          </cell>
          <cell r="J6955">
            <v>14</v>
          </cell>
          <cell r="K6955">
            <v>339</v>
          </cell>
          <cell r="L6955" t="str">
            <v>XCL</v>
          </cell>
          <cell r="N6955">
            <v>63.535284774222802</v>
          </cell>
        </row>
        <row r="6956">
          <cell r="E6956" t="str">
            <v>HGC-Lib-2460219</v>
          </cell>
          <cell r="F6956" t="str">
            <v>19GZ51206_D1</v>
          </cell>
          <cell r="G6956">
            <v>5</v>
          </cell>
          <cell r="H6956" t="str">
            <v>mRNA文库</v>
          </cell>
          <cell r="I6956" t="str">
            <v>GZQ</v>
          </cell>
          <cell r="J6956">
            <v>19.7</v>
          </cell>
          <cell r="K6956">
            <v>298</v>
          </cell>
          <cell r="L6956" t="str">
            <v>XCL</v>
          </cell>
          <cell r="N6956">
            <v>101.703665462055</v>
          </cell>
        </row>
        <row r="6957">
          <cell r="E6957" t="str">
            <v>HGC-Lib-2460220</v>
          </cell>
          <cell r="F6957" t="str">
            <v>23GZ16601_D3</v>
          </cell>
          <cell r="G6957">
            <v>5</v>
          </cell>
          <cell r="H6957" t="str">
            <v>mRNA文库</v>
          </cell>
          <cell r="I6957" t="str">
            <v>GZQ</v>
          </cell>
          <cell r="J6957">
            <v>17.2</v>
          </cell>
          <cell r="K6957">
            <v>306</v>
          </cell>
          <cell r="L6957" t="str">
            <v>XCL</v>
          </cell>
          <cell r="N6957">
            <v>86.475615887380599</v>
          </cell>
        </row>
        <row r="6958">
          <cell r="E6958" t="str">
            <v>HGC-Lib-2460221</v>
          </cell>
          <cell r="F6958" t="str">
            <v>23GZ08185_D4</v>
          </cell>
          <cell r="G6958">
            <v>5</v>
          </cell>
          <cell r="H6958" t="str">
            <v>mRNA文库</v>
          </cell>
          <cell r="I6958" t="str">
            <v>GZQ</v>
          </cell>
          <cell r="J6958">
            <v>25.4</v>
          </cell>
          <cell r="K6958">
            <v>380</v>
          </cell>
          <cell r="L6958" t="str">
            <v>XCL</v>
          </cell>
          <cell r="N6958">
            <v>102.83400809716601</v>
          </cell>
        </row>
        <row r="6959">
          <cell r="E6959" t="str">
            <v>HGC-Lib-2460222</v>
          </cell>
          <cell r="F6959" t="str">
            <v>23GZ12873_D2</v>
          </cell>
          <cell r="G6959">
            <v>5</v>
          </cell>
          <cell r="H6959" t="str">
            <v>mRNA文库</v>
          </cell>
          <cell r="I6959" t="str">
            <v>GZQ</v>
          </cell>
          <cell r="J6959">
            <v>24.8</v>
          </cell>
          <cell r="K6959">
            <v>392</v>
          </cell>
          <cell r="L6959" t="str">
            <v>XCL</v>
          </cell>
          <cell r="N6959">
            <v>97.331240188383006</v>
          </cell>
        </row>
        <row r="6960">
          <cell r="E6960" t="str">
            <v>HGC-Lib-2460223</v>
          </cell>
          <cell r="F6960" t="str">
            <v>23GZ14235_D3</v>
          </cell>
          <cell r="G6960">
            <v>5</v>
          </cell>
          <cell r="H6960" t="str">
            <v>mRNA文库</v>
          </cell>
          <cell r="I6960" t="str">
            <v>GZQ</v>
          </cell>
          <cell r="J6960">
            <v>26</v>
          </cell>
          <cell r="K6960">
            <v>354</v>
          </cell>
          <cell r="L6960" t="str">
            <v>XCL</v>
          </cell>
          <cell r="N6960">
            <v>112.994350282486</v>
          </cell>
        </row>
        <row r="6961">
          <cell r="E6961" t="str">
            <v>HGC-Lib-2460224</v>
          </cell>
          <cell r="F6961" t="str">
            <v>23GZ15799_D2</v>
          </cell>
          <cell r="G6961">
            <v>5</v>
          </cell>
          <cell r="H6961" t="str">
            <v>mRNA文库</v>
          </cell>
          <cell r="I6961" t="str">
            <v>GZQ</v>
          </cell>
          <cell r="J6961">
            <v>23.8</v>
          </cell>
          <cell r="K6961">
            <v>369</v>
          </cell>
          <cell r="L6961" t="str">
            <v>XCL</v>
          </cell>
          <cell r="N6961">
            <v>99.228684594538294</v>
          </cell>
        </row>
        <row r="6962">
          <cell r="E6962" t="str">
            <v>HGC-Lib-2460225</v>
          </cell>
          <cell r="F6962" t="str">
            <v>23GZ19808_D3</v>
          </cell>
          <cell r="G6962">
            <v>5</v>
          </cell>
          <cell r="H6962" t="str">
            <v>mRNA文库</v>
          </cell>
          <cell r="I6962" t="str">
            <v>GZQ</v>
          </cell>
          <cell r="J6962">
            <v>23.8</v>
          </cell>
          <cell r="K6962">
            <v>380</v>
          </cell>
          <cell r="L6962" t="str">
            <v>XCL</v>
          </cell>
          <cell r="N6962">
            <v>96.356275303643699</v>
          </cell>
        </row>
        <row r="6963">
          <cell r="E6963" t="str">
            <v>HGC-Lib-2460226</v>
          </cell>
          <cell r="F6963" t="str">
            <v>P1</v>
          </cell>
          <cell r="G6963">
            <v>55</v>
          </cell>
          <cell r="H6963" t="str">
            <v>WES/panel捕获文库</v>
          </cell>
          <cell r="I6963" t="str">
            <v>GZQ</v>
          </cell>
          <cell r="J6963">
            <v>13.6</v>
          </cell>
          <cell r="K6963">
            <v>371</v>
          </cell>
          <cell r="L6963" t="str">
            <v>XCL</v>
          </cell>
          <cell r="N6963">
            <v>56.396433754924303</v>
          </cell>
        </row>
        <row r="6964">
          <cell r="E6964" t="str">
            <v>HGC-Lib-2460227</v>
          </cell>
          <cell r="F6964" t="str">
            <v>P2</v>
          </cell>
          <cell r="G6964">
            <v>55</v>
          </cell>
          <cell r="H6964" t="str">
            <v>WES/panel捕获文库</v>
          </cell>
          <cell r="I6964" t="str">
            <v>GZQ</v>
          </cell>
          <cell r="J6964">
            <v>13.9</v>
          </cell>
          <cell r="K6964">
            <v>360</v>
          </cell>
          <cell r="L6964" t="str">
            <v>XCL</v>
          </cell>
          <cell r="N6964">
            <v>59.401709401709397</v>
          </cell>
        </row>
        <row r="6965">
          <cell r="E6965" t="str">
            <v>HGC-Lib-2460228</v>
          </cell>
          <cell r="F6965" t="str">
            <v>P3</v>
          </cell>
          <cell r="G6965">
            <v>55</v>
          </cell>
          <cell r="H6965" t="str">
            <v>WES/panel捕获文库</v>
          </cell>
          <cell r="I6965" t="str">
            <v>GZQ</v>
          </cell>
          <cell r="J6965">
            <v>12.5</v>
          </cell>
          <cell r="K6965">
            <v>362</v>
          </cell>
          <cell r="L6965" t="str">
            <v>XCL</v>
          </cell>
          <cell r="N6965">
            <v>53.123671908202297</v>
          </cell>
        </row>
        <row r="6966">
          <cell r="E6966" t="str">
            <v>HGC-POOL-2460231</v>
          </cell>
          <cell r="F6966" t="str">
            <v>g1 arrest 240716</v>
          </cell>
          <cell r="G6966">
            <v>12</v>
          </cell>
          <cell r="H6966" t="str">
            <v>PCR产物文库</v>
          </cell>
          <cell r="I6966" t="str">
            <v>GZQ</v>
          </cell>
          <cell r="J6966">
            <v>16.7</v>
          </cell>
          <cell r="K6966">
            <v>628</v>
          </cell>
          <cell r="L6966" t="str">
            <v>YHT</v>
          </cell>
          <cell r="N6966">
            <v>40.9113179813817</v>
          </cell>
        </row>
        <row r="6967">
          <cell r="E6967" t="str">
            <v>HGC-POOL-2460232</v>
          </cell>
          <cell r="F6967" t="str">
            <v>g2 arrest 240717</v>
          </cell>
          <cell r="G6967">
            <v>8</v>
          </cell>
          <cell r="H6967" t="str">
            <v>PCR产物文库</v>
          </cell>
          <cell r="I6967" t="str">
            <v>GZQ</v>
          </cell>
          <cell r="J6967">
            <v>6.76</v>
          </cell>
          <cell r="K6967">
            <v>634</v>
          </cell>
          <cell r="L6967" t="str">
            <v>YHT</v>
          </cell>
          <cell r="N6967">
            <v>16.403785488958999</v>
          </cell>
        </row>
        <row r="6968">
          <cell r="E6968" t="str">
            <v>HGC-POOL-2460249</v>
          </cell>
          <cell r="F6968" t="str">
            <v>PABPN1</v>
          </cell>
          <cell r="G6968">
            <v>60</v>
          </cell>
          <cell r="H6968" t="str">
            <v>mRNA文库</v>
          </cell>
          <cell r="I6968" t="str">
            <v>GZQ</v>
          </cell>
          <cell r="J6968">
            <v>3.96</v>
          </cell>
          <cell r="K6968">
            <v>337</v>
          </cell>
          <cell r="L6968" t="str">
            <v>YHT</v>
          </cell>
          <cell r="N6968">
            <v>18.078064368865601</v>
          </cell>
        </row>
        <row r="6969">
          <cell r="E6969" t="str">
            <v>HGC-POOL-2460250</v>
          </cell>
          <cell r="F6969" t="str">
            <v>TYF0728</v>
          </cell>
          <cell r="G6969">
            <v>30</v>
          </cell>
          <cell r="H6969" t="str">
            <v>Chip-Seq</v>
          </cell>
          <cell r="I6969" t="str">
            <v>GZQ</v>
          </cell>
          <cell r="J6969">
            <v>2.42</v>
          </cell>
          <cell r="K6969">
            <v>394</v>
          </cell>
          <cell r="L6969" t="str">
            <v>YHT</v>
          </cell>
          <cell r="N6969">
            <v>9.4494338149160502</v>
          </cell>
        </row>
        <row r="6970">
          <cell r="E6970" t="str">
            <v>HGC-Lib-2460251</v>
          </cell>
          <cell r="F6970" t="str">
            <v>UTR5.1_wt</v>
          </cell>
          <cell r="G6970">
            <v>2</v>
          </cell>
          <cell r="H6970" t="str">
            <v>mRNA文库</v>
          </cell>
          <cell r="I6970" t="str">
            <v>GZQ</v>
          </cell>
          <cell r="J6970">
            <v>60.4</v>
          </cell>
          <cell r="K6970">
            <v>371</v>
          </cell>
          <cell r="L6970" t="str">
            <v>XCL</v>
          </cell>
          <cell r="N6970">
            <v>250.46651461745799</v>
          </cell>
        </row>
        <row r="6971">
          <cell r="E6971" t="str">
            <v>HGC-Lib-2460252</v>
          </cell>
          <cell r="F6971" t="str">
            <v>UTR5.1_ko</v>
          </cell>
          <cell r="G6971">
            <v>2</v>
          </cell>
          <cell r="H6971" t="str">
            <v>mRNA文库</v>
          </cell>
          <cell r="I6971" t="str">
            <v>GZQ</v>
          </cell>
          <cell r="J6971">
            <v>76</v>
          </cell>
          <cell r="K6971">
            <v>369</v>
          </cell>
          <cell r="L6971" t="str">
            <v>XCL</v>
          </cell>
          <cell r="N6971">
            <v>316.86470710860999</v>
          </cell>
        </row>
        <row r="6972">
          <cell r="E6972" t="str">
            <v>HGC-Lib-2460253</v>
          </cell>
          <cell r="F6972" t="str">
            <v>UTR5.2_wt</v>
          </cell>
          <cell r="G6972">
            <v>2</v>
          </cell>
          <cell r="H6972" t="str">
            <v>PCR产物文库</v>
          </cell>
          <cell r="I6972" t="str">
            <v>GZQ</v>
          </cell>
          <cell r="J6972">
            <v>65.599999999999994</v>
          </cell>
          <cell r="K6972">
            <v>395</v>
          </cell>
          <cell r="L6972" t="str">
            <v>XCL</v>
          </cell>
          <cell r="N6972">
            <v>255.50146056475199</v>
          </cell>
        </row>
        <row r="6973">
          <cell r="E6973" t="str">
            <v>HGC-Lib-2460254</v>
          </cell>
          <cell r="F6973" t="str">
            <v>UTR5.2_ko</v>
          </cell>
          <cell r="G6973">
            <v>2</v>
          </cell>
          <cell r="H6973" t="str">
            <v>PCR产物文库</v>
          </cell>
          <cell r="I6973" t="str">
            <v>GZQ</v>
          </cell>
          <cell r="J6973">
            <v>82.8</v>
          </cell>
          <cell r="K6973">
            <v>376</v>
          </cell>
          <cell r="L6973" t="str">
            <v>XCL</v>
          </cell>
          <cell r="N6973">
            <v>338.78887070376402</v>
          </cell>
        </row>
        <row r="6974">
          <cell r="E6974" t="str">
            <v>HGC-Lib-2460255</v>
          </cell>
          <cell r="F6974" t="str">
            <v>LFTC240724086</v>
          </cell>
          <cell r="G6974">
            <v>100</v>
          </cell>
          <cell r="H6974" t="str">
            <v>singleron-3'全长转录组文库</v>
          </cell>
          <cell r="I6974" t="str">
            <v>GZQ</v>
          </cell>
          <cell r="J6974">
            <v>22.6</v>
          </cell>
          <cell r="N6974" t="e">
            <v>#DIV/0!</v>
          </cell>
        </row>
        <row r="6975">
          <cell r="E6975" t="str">
            <v>HGC-Lib-2460256</v>
          </cell>
          <cell r="F6975" t="str">
            <v>PMLPMA240723058</v>
          </cell>
          <cell r="G6975">
            <v>20</v>
          </cell>
          <cell r="H6975" t="str">
            <v>其他碱基不平衡文库</v>
          </cell>
          <cell r="I6975" t="str">
            <v>GZQ</v>
          </cell>
          <cell r="J6975">
            <v>8.76</v>
          </cell>
          <cell r="N6975" t="e">
            <v>#DIV/0!</v>
          </cell>
        </row>
        <row r="6976">
          <cell r="E6976" t="str">
            <v>HGC-Lib-2460257</v>
          </cell>
          <cell r="F6976" t="str">
            <v>LA240725055</v>
          </cell>
          <cell r="G6976">
            <v>100</v>
          </cell>
          <cell r="H6976" t="str">
            <v>singleron-3'转录组文库</v>
          </cell>
          <cell r="I6976" t="str">
            <v>GZQ</v>
          </cell>
          <cell r="J6976">
            <v>19.600000000000001</v>
          </cell>
          <cell r="N6976" t="e">
            <v>#DIV/0!</v>
          </cell>
        </row>
        <row r="6977">
          <cell r="E6977" t="str">
            <v>HGC-Lib-2460258</v>
          </cell>
          <cell r="F6977" t="str">
            <v>LA240725096X2</v>
          </cell>
          <cell r="G6977">
            <v>90</v>
          </cell>
          <cell r="H6977" t="str">
            <v>singleron-3'转录组文库</v>
          </cell>
          <cell r="I6977" t="str">
            <v>GZQ</v>
          </cell>
          <cell r="J6977">
            <v>16.8</v>
          </cell>
          <cell r="N6977" t="e">
            <v>#DIV/0!</v>
          </cell>
        </row>
        <row r="6978">
          <cell r="E6978" t="str">
            <v>HGC-Lib-2460259</v>
          </cell>
          <cell r="F6978" t="str">
            <v>LHC240725103</v>
          </cell>
          <cell r="G6978">
            <v>200</v>
          </cell>
          <cell r="H6978" t="str">
            <v>singleron-3'转录组文库</v>
          </cell>
          <cell r="I6978" t="str">
            <v>GZQ</v>
          </cell>
          <cell r="J6978">
            <v>22.6</v>
          </cell>
          <cell r="N6978" t="e">
            <v>#DIV/0!</v>
          </cell>
        </row>
        <row r="6979">
          <cell r="E6979" t="str">
            <v>HGC-Lib-2460260</v>
          </cell>
          <cell r="F6979" t="str">
            <v>LHC240725104</v>
          </cell>
          <cell r="G6979">
            <v>200</v>
          </cell>
          <cell r="H6979" t="str">
            <v>singleron-3'转录组文库</v>
          </cell>
          <cell r="I6979" t="str">
            <v>GZQ</v>
          </cell>
          <cell r="J6979">
            <v>16.100000000000001</v>
          </cell>
          <cell r="N6979" t="e">
            <v>#DIV/0!</v>
          </cell>
        </row>
        <row r="6980">
          <cell r="E6980" t="str">
            <v>HGC-Lib-2460261</v>
          </cell>
          <cell r="F6980" t="str">
            <v>LHC240725105</v>
          </cell>
          <cell r="G6980">
            <v>200</v>
          </cell>
          <cell r="H6980" t="str">
            <v>singleron-3'转录组文库</v>
          </cell>
          <cell r="I6980" t="str">
            <v>GZQ</v>
          </cell>
          <cell r="J6980">
            <v>15</v>
          </cell>
          <cell r="N6980" t="e">
            <v>#DIV/0!</v>
          </cell>
        </row>
        <row r="6981">
          <cell r="E6981" t="str">
            <v>HGC-Lib-2460262</v>
          </cell>
          <cell r="F6981" t="str">
            <v>LHC240725106</v>
          </cell>
          <cell r="G6981">
            <v>200</v>
          </cell>
          <cell r="H6981" t="str">
            <v>singleron-3'转录组文库</v>
          </cell>
          <cell r="I6981" t="str">
            <v>GZQ</v>
          </cell>
          <cell r="J6981">
            <v>22.4</v>
          </cell>
          <cell r="N6981" t="e">
            <v>#DIV/0!</v>
          </cell>
        </row>
        <row r="6982">
          <cell r="E6982" t="str">
            <v>HGC-Lib-2460263</v>
          </cell>
          <cell r="F6982" t="str">
            <v>LHC240725108</v>
          </cell>
          <cell r="G6982">
            <v>200</v>
          </cell>
          <cell r="H6982" t="str">
            <v>singleron-3'转录组文库</v>
          </cell>
          <cell r="I6982" t="str">
            <v>GZQ</v>
          </cell>
          <cell r="J6982">
            <v>29.2</v>
          </cell>
          <cell r="N6982" t="e">
            <v>#DIV/0!</v>
          </cell>
        </row>
        <row r="6983">
          <cell r="E6983" t="str">
            <v>HGC-Lib-2460264</v>
          </cell>
          <cell r="F6983" t="str">
            <v>LHC240725107</v>
          </cell>
          <cell r="G6983">
            <v>200</v>
          </cell>
          <cell r="H6983" t="str">
            <v>singleron-3'转录组文库</v>
          </cell>
          <cell r="I6983" t="str">
            <v>GZQ</v>
          </cell>
          <cell r="J6983">
            <v>23.2</v>
          </cell>
          <cell r="N6983" t="e">
            <v>#DIV/0!</v>
          </cell>
        </row>
        <row r="6984">
          <cell r="E6984" t="str">
            <v>HGC-Lib-2460265</v>
          </cell>
          <cell r="F6984" t="str">
            <v>LA240725111</v>
          </cell>
          <cell r="G6984">
            <v>100</v>
          </cell>
          <cell r="H6984" t="str">
            <v>singleron-3'转录组文库</v>
          </cell>
          <cell r="I6984" t="str">
            <v>GZQ</v>
          </cell>
          <cell r="J6984">
            <v>20</v>
          </cell>
          <cell r="N6984" t="e">
            <v>#DIV/0!</v>
          </cell>
        </row>
        <row r="6985">
          <cell r="E6985" t="str">
            <v>HGC-Lib-2460237</v>
          </cell>
          <cell r="F6985" t="str">
            <v>HY-N0001C-DNA-617</v>
          </cell>
          <cell r="G6985">
            <v>20</v>
          </cell>
          <cell r="H6985" t="str">
            <v>宏基因组文库</v>
          </cell>
          <cell r="I6985" t="str">
            <v>YHT</v>
          </cell>
          <cell r="J6985">
            <v>3.78</v>
          </cell>
          <cell r="K6985">
            <v>378</v>
          </cell>
          <cell r="L6985" t="str">
            <v>YHT</v>
          </cell>
          <cell r="N6985">
            <v>15.384615384615399</v>
          </cell>
        </row>
        <row r="6986">
          <cell r="E6986" t="str">
            <v>HGC-Lib-2460238</v>
          </cell>
          <cell r="F6986" t="str">
            <v>HY-N0006C-DNA-617</v>
          </cell>
          <cell r="G6986">
            <v>20</v>
          </cell>
          <cell r="H6986" t="str">
            <v>宏基因组文库</v>
          </cell>
          <cell r="I6986" t="str">
            <v>YHT</v>
          </cell>
          <cell r="J6986">
            <v>1.03</v>
          </cell>
          <cell r="K6986">
            <v>472</v>
          </cell>
          <cell r="L6986" t="str">
            <v>YHT</v>
          </cell>
          <cell r="N6986">
            <v>3.35723598435463</v>
          </cell>
        </row>
        <row r="6987">
          <cell r="E6987" t="str">
            <v>HGC-Lib-2460239</v>
          </cell>
          <cell r="F6987" t="str">
            <v>HY-PAQ0083C-DNA-617</v>
          </cell>
          <cell r="G6987">
            <v>20</v>
          </cell>
          <cell r="H6987" t="str">
            <v>宏基因组文库</v>
          </cell>
          <cell r="I6987" t="str">
            <v>YHT</v>
          </cell>
          <cell r="J6987">
            <v>0.996</v>
          </cell>
          <cell r="K6987">
            <v>458</v>
          </cell>
          <cell r="L6987" t="str">
            <v>YHT</v>
          </cell>
          <cell r="N6987">
            <v>3.3456499832045701</v>
          </cell>
        </row>
        <row r="6988">
          <cell r="E6988" t="str">
            <v>HGC-Lib-2460240</v>
          </cell>
          <cell r="F6988" t="str">
            <v>HY-PAQ0085C-DNA-617</v>
          </cell>
          <cell r="G6988">
            <v>20</v>
          </cell>
          <cell r="H6988" t="str">
            <v>宏基因组文库</v>
          </cell>
          <cell r="I6988" t="str">
            <v>YHT</v>
          </cell>
          <cell r="J6988">
            <v>0.71</v>
          </cell>
          <cell r="K6988">
            <v>417</v>
          </cell>
          <cell r="L6988" t="str">
            <v>YHT</v>
          </cell>
          <cell r="N6988">
            <v>2.6194429072126901</v>
          </cell>
        </row>
        <row r="6989">
          <cell r="E6989" t="str">
            <v>HGC-Lib-2460241</v>
          </cell>
          <cell r="F6989" t="str">
            <v>HY-PAQ0088C-DNA-617</v>
          </cell>
          <cell r="G6989">
            <v>20</v>
          </cell>
          <cell r="H6989" t="str">
            <v>宏基因组文库</v>
          </cell>
          <cell r="I6989" t="str">
            <v>YHT</v>
          </cell>
          <cell r="J6989">
            <v>2.78</v>
          </cell>
          <cell r="K6989">
            <v>363</v>
          </cell>
          <cell r="L6989" t="str">
            <v>YHT</v>
          </cell>
          <cell r="N6989">
            <v>11.7821572367027</v>
          </cell>
        </row>
        <row r="6990">
          <cell r="E6990" t="str">
            <v>HGC-Lib-2460242</v>
          </cell>
          <cell r="F6990" t="str">
            <v>HY-PAQ0092C-DNA-617</v>
          </cell>
          <cell r="G6990">
            <v>20</v>
          </cell>
          <cell r="H6990" t="str">
            <v>宏基因组文库</v>
          </cell>
          <cell r="I6990" t="str">
            <v>YHT</v>
          </cell>
          <cell r="J6990">
            <v>4.04</v>
          </cell>
          <cell r="K6990">
            <v>363</v>
          </cell>
          <cell r="L6990" t="str">
            <v>YHT</v>
          </cell>
          <cell r="N6990">
            <v>17.122271667726199</v>
          </cell>
        </row>
        <row r="6991">
          <cell r="E6991" t="str">
            <v>HGC-Lib-2460243</v>
          </cell>
          <cell r="F6991" t="str">
            <v>HY-PAQ0100C-DNA-617</v>
          </cell>
          <cell r="G6991">
            <v>20</v>
          </cell>
          <cell r="H6991" t="str">
            <v>宏基因组文库</v>
          </cell>
          <cell r="I6991" t="str">
            <v>YHT</v>
          </cell>
          <cell r="J6991">
            <v>0.126</v>
          </cell>
          <cell r="K6991">
            <v>507</v>
          </cell>
          <cell r="L6991" t="str">
            <v>YHT</v>
          </cell>
          <cell r="N6991">
            <v>0.38233955393718699</v>
          </cell>
        </row>
        <row r="6992">
          <cell r="E6992" t="str">
            <v>HGC-Lib-2460244</v>
          </cell>
          <cell r="F6992" t="str">
            <v>HY-PAQ0081C-DNA-617</v>
          </cell>
          <cell r="G6992">
            <v>20</v>
          </cell>
          <cell r="H6992" t="str">
            <v>宏基因组文库</v>
          </cell>
          <cell r="I6992" t="str">
            <v>YHT</v>
          </cell>
          <cell r="J6992">
            <v>9.3000000000000007</v>
          </cell>
          <cell r="K6992">
            <v>353</v>
          </cell>
          <cell r="L6992" t="str">
            <v>YHT</v>
          </cell>
          <cell r="N6992">
            <v>40.531706254085897</v>
          </cell>
        </row>
        <row r="6993">
          <cell r="E6993" t="str">
            <v>HGC-Lib-2460245</v>
          </cell>
          <cell r="F6993" t="str">
            <v>HY-PAQ0082C-DNA-617</v>
          </cell>
          <cell r="G6993">
            <v>20</v>
          </cell>
          <cell r="H6993" t="str">
            <v>宏基因组文库</v>
          </cell>
          <cell r="I6993" t="str">
            <v>YHT</v>
          </cell>
          <cell r="J6993" t="str">
            <v>/</v>
          </cell>
          <cell r="K6993">
            <v>545</v>
          </cell>
          <cell r="L6993" t="str">
            <v>YHT</v>
          </cell>
          <cell r="N6993" t="e">
            <v>#VALUE!</v>
          </cell>
        </row>
        <row r="6994">
          <cell r="E6994" t="str">
            <v>HGC-Lib-2460246</v>
          </cell>
          <cell r="F6994" t="str">
            <v>HY-PAQ0087C-DNA-617</v>
          </cell>
          <cell r="G6994">
            <v>20</v>
          </cell>
          <cell r="H6994" t="str">
            <v>宏基因组文库</v>
          </cell>
          <cell r="I6994" t="str">
            <v>YHT</v>
          </cell>
          <cell r="J6994">
            <v>1.51</v>
          </cell>
          <cell r="K6994">
            <v>450</v>
          </cell>
          <cell r="L6994" t="str">
            <v>YHT</v>
          </cell>
          <cell r="N6994">
            <v>5.16239316239316</v>
          </cell>
        </row>
        <row r="6995">
          <cell r="E6995" t="str">
            <v>HGC-Lib-2460247</v>
          </cell>
          <cell r="F6995" t="str">
            <v>HY-PAQ0089C-DNA-617</v>
          </cell>
          <cell r="G6995">
            <v>20</v>
          </cell>
          <cell r="H6995" t="str">
            <v>宏基因组文库</v>
          </cell>
          <cell r="I6995" t="str">
            <v>YHT</v>
          </cell>
          <cell r="J6995">
            <v>2.4</v>
          </cell>
          <cell r="K6995">
            <v>488</v>
          </cell>
          <cell r="L6995" t="str">
            <v>YHT</v>
          </cell>
          <cell r="N6995">
            <v>7.5662042875157596</v>
          </cell>
        </row>
        <row r="6996">
          <cell r="E6996" t="str">
            <v>HGC-Lib-2460248</v>
          </cell>
          <cell r="F6996" t="str">
            <v>HY-PAQ0090C-DNA-617</v>
          </cell>
          <cell r="G6996">
            <v>20</v>
          </cell>
          <cell r="H6996" t="str">
            <v>宏基因组文库</v>
          </cell>
          <cell r="I6996" t="str">
            <v>YHT</v>
          </cell>
          <cell r="J6996">
            <v>2.48</v>
          </cell>
          <cell r="K6996">
            <v>453</v>
          </cell>
          <cell r="L6996" t="str">
            <v>YHT</v>
          </cell>
          <cell r="N6996">
            <v>8.4224825946680308</v>
          </cell>
        </row>
        <row r="6997">
          <cell r="E6997" t="str">
            <v>HGC-Lib-2460266</v>
          </cell>
          <cell r="F6997" t="str">
            <v>ZFQ-Ca</v>
          </cell>
          <cell r="G6997">
            <v>100</v>
          </cell>
          <cell r="H6997" t="str">
            <v>10× 3'单细胞</v>
          </cell>
          <cell r="I6997" t="str">
            <v>YHT</v>
          </cell>
          <cell r="J6997">
            <v>49.2</v>
          </cell>
          <cell r="K6997">
            <v>510</v>
          </cell>
          <cell r="L6997" t="str">
            <v>ZZ</v>
          </cell>
          <cell r="N6997">
            <v>148.41628959275999</v>
          </cell>
        </row>
        <row r="6998">
          <cell r="E6998" t="str">
            <v>HGC-Lib-2460267</v>
          </cell>
          <cell r="F6998" t="str">
            <v>LH-N</v>
          </cell>
          <cell r="G6998">
            <v>100</v>
          </cell>
          <cell r="H6998" t="str">
            <v>10× 3'单细胞</v>
          </cell>
          <cell r="I6998" t="str">
            <v>YHT</v>
          </cell>
          <cell r="J6998">
            <v>31.8</v>
          </cell>
          <cell r="K6998">
            <v>516</v>
          </cell>
          <cell r="L6998" t="str">
            <v>ZZ</v>
          </cell>
          <cell r="N6998">
            <v>94.812164579606403</v>
          </cell>
        </row>
        <row r="6999">
          <cell r="E6999" t="str">
            <v>HGC-Lib-2460268</v>
          </cell>
          <cell r="F6999">
            <v>7</v>
          </cell>
          <cell r="G6999">
            <v>10</v>
          </cell>
          <cell r="H6999" t="str">
            <v>10x空间转录组</v>
          </cell>
          <cell r="I6999" t="str">
            <v>YHT</v>
          </cell>
          <cell r="J6999">
            <v>16.600000000000001</v>
          </cell>
          <cell r="K6999">
            <v>485</v>
          </cell>
          <cell r="L6999" t="str">
            <v>ZZ</v>
          </cell>
          <cell r="N6999">
            <v>52.656621728786703</v>
          </cell>
        </row>
        <row r="7000">
          <cell r="E7000" t="str">
            <v>HGC-Lib-2460269</v>
          </cell>
          <cell r="F7000" t="str">
            <v>S009</v>
          </cell>
          <cell r="G7000">
            <v>10</v>
          </cell>
          <cell r="H7000" t="str">
            <v>10x空间转录组</v>
          </cell>
          <cell r="I7000" t="str">
            <v>YHT</v>
          </cell>
          <cell r="J7000">
            <v>11.2</v>
          </cell>
          <cell r="K7000">
            <v>466</v>
          </cell>
          <cell r="L7000" t="str">
            <v>ZZ</v>
          </cell>
          <cell r="N7000">
            <v>36.975899636843799</v>
          </cell>
        </row>
        <row r="7001">
          <cell r="E7001" t="str">
            <v>HGC-Lib-2460270</v>
          </cell>
          <cell r="F7001" t="str">
            <v>S024</v>
          </cell>
          <cell r="G7001">
            <v>10</v>
          </cell>
          <cell r="H7001" t="str">
            <v>10x空间转录组</v>
          </cell>
          <cell r="I7001" t="str">
            <v>YHT</v>
          </cell>
          <cell r="J7001">
            <v>13.6</v>
          </cell>
          <cell r="K7001">
            <v>480</v>
          </cell>
          <cell r="L7001" t="str">
            <v>ZZ</v>
          </cell>
          <cell r="N7001">
            <v>43.589743589743598</v>
          </cell>
        </row>
        <row r="7002">
          <cell r="E7002" t="str">
            <v>HGC-Lib-2460271</v>
          </cell>
          <cell r="F7002">
            <v>1</v>
          </cell>
          <cell r="G7002">
            <v>10</v>
          </cell>
          <cell r="H7002" t="str">
            <v>10x空间转录组</v>
          </cell>
          <cell r="I7002" t="str">
            <v>YHT</v>
          </cell>
          <cell r="J7002">
            <v>4.58</v>
          </cell>
          <cell r="K7002">
            <v>448</v>
          </cell>
          <cell r="L7002" t="str">
            <v>ZZ</v>
          </cell>
          <cell r="N7002">
            <v>15.728021978021999</v>
          </cell>
        </row>
        <row r="7003">
          <cell r="E7003" t="str">
            <v>HGC-Lib-2460272</v>
          </cell>
          <cell r="F7003" t="str">
            <v>NC</v>
          </cell>
          <cell r="G7003">
            <v>6</v>
          </cell>
          <cell r="H7003" t="str">
            <v>mRNA文库</v>
          </cell>
          <cell r="I7003" t="str">
            <v>YHT</v>
          </cell>
          <cell r="J7003" t="str">
            <v>/</v>
          </cell>
          <cell r="K7003">
            <v>505</v>
          </cell>
          <cell r="L7003" t="str">
            <v>YHT</v>
          </cell>
          <cell r="N7003" t="e">
            <v>#VALUE!</v>
          </cell>
        </row>
        <row r="7004">
          <cell r="E7004" t="str">
            <v>HGC-Lib-2460273</v>
          </cell>
          <cell r="F7004">
            <v>1</v>
          </cell>
          <cell r="G7004">
            <v>6</v>
          </cell>
          <cell r="H7004" t="str">
            <v>mRNA文库</v>
          </cell>
          <cell r="I7004" t="str">
            <v>YHT</v>
          </cell>
          <cell r="J7004" t="str">
            <v>/</v>
          </cell>
          <cell r="K7004">
            <v>544</v>
          </cell>
          <cell r="L7004" t="str">
            <v>YHT</v>
          </cell>
          <cell r="N7004" t="e">
            <v>#VALUE!</v>
          </cell>
        </row>
        <row r="7005">
          <cell r="E7005" t="str">
            <v>HGC-Lib-2460274</v>
          </cell>
          <cell r="F7005">
            <v>2</v>
          </cell>
          <cell r="G7005">
            <v>6</v>
          </cell>
          <cell r="H7005" t="str">
            <v>mRNA文库</v>
          </cell>
          <cell r="I7005" t="str">
            <v>YHT</v>
          </cell>
          <cell r="J7005" t="str">
            <v>/</v>
          </cell>
          <cell r="K7005">
            <v>525</v>
          </cell>
          <cell r="L7005" t="str">
            <v>YHT</v>
          </cell>
          <cell r="N7005" t="e">
            <v>#VALUE!</v>
          </cell>
        </row>
        <row r="7006">
          <cell r="E7006" t="str">
            <v>HGC-Lib-2460293</v>
          </cell>
          <cell r="F7006" t="str">
            <v>Tilapia_Spleen</v>
          </cell>
          <cell r="H7006" t="str">
            <v>ATAC-Seq文库</v>
          </cell>
          <cell r="I7006" t="str">
            <v>YHT</v>
          </cell>
          <cell r="J7006">
            <v>4.42</v>
          </cell>
          <cell r="K7006">
            <v>317</v>
          </cell>
          <cell r="L7006" t="str">
            <v>ZZ</v>
          </cell>
          <cell r="N7006">
            <v>21.451104100946399</v>
          </cell>
        </row>
        <row r="7007">
          <cell r="E7007" t="str">
            <v>HGC-Lib-2460294</v>
          </cell>
          <cell r="F7007" t="str">
            <v>Tilapia_Headkidney</v>
          </cell>
          <cell r="H7007" t="str">
            <v>ATAC-Seq文库</v>
          </cell>
          <cell r="I7007" t="str">
            <v>YHT</v>
          </cell>
          <cell r="J7007">
            <v>5.72</v>
          </cell>
          <cell r="K7007">
            <v>414</v>
          </cell>
          <cell r="L7007" t="str">
            <v>ZZ</v>
          </cell>
          <cell r="N7007">
            <v>21.256038647343001</v>
          </cell>
        </row>
        <row r="7008">
          <cell r="E7008" t="str">
            <v>HGC-Lib-2460295</v>
          </cell>
          <cell r="F7008" t="str">
            <v>Tilapia_Gut</v>
          </cell>
          <cell r="H7008" t="str">
            <v>ATAC-Seq文库</v>
          </cell>
          <cell r="I7008" t="str">
            <v>YHT</v>
          </cell>
          <cell r="J7008">
            <v>11.8</v>
          </cell>
          <cell r="K7008">
            <v>374</v>
          </cell>
          <cell r="L7008" t="str">
            <v>ZZ</v>
          </cell>
          <cell r="N7008">
            <v>48.539695598519103</v>
          </cell>
        </row>
        <row r="7009">
          <cell r="E7009" t="str">
            <v>HGC-Lib-2460296</v>
          </cell>
          <cell r="F7009" t="str">
            <v>Tilapia_Stomach</v>
          </cell>
          <cell r="H7009" t="str">
            <v>ATAC-Seq文库</v>
          </cell>
          <cell r="I7009" t="str">
            <v>YHT</v>
          </cell>
          <cell r="J7009">
            <v>9.6999999999999993</v>
          </cell>
          <cell r="K7009">
            <v>438</v>
          </cell>
          <cell r="L7009" t="str">
            <v>ZZ</v>
          </cell>
          <cell r="N7009">
            <v>34.070951879171098</v>
          </cell>
        </row>
        <row r="7010">
          <cell r="E7010" t="str">
            <v>HGC-Lib-2460297</v>
          </cell>
          <cell r="F7010" t="str">
            <v>p6</v>
          </cell>
          <cell r="G7010">
            <v>2</v>
          </cell>
          <cell r="H7010" t="str">
            <v>PCR产物文库</v>
          </cell>
          <cell r="I7010" t="str">
            <v>GZQ</v>
          </cell>
          <cell r="J7010">
            <v>90.2</v>
          </cell>
          <cell r="K7010">
            <v>417</v>
          </cell>
          <cell r="L7010" t="str">
            <v>YHT</v>
          </cell>
          <cell r="N7010">
            <v>332.77992990223203</v>
          </cell>
        </row>
        <row r="7011">
          <cell r="E7011" t="str">
            <v>HGC-Lib-2460298</v>
          </cell>
          <cell r="F7011" t="str">
            <v>ANC</v>
          </cell>
          <cell r="G7011">
            <v>2</v>
          </cell>
          <cell r="H7011" t="str">
            <v>PCR产物文库</v>
          </cell>
          <cell r="I7011" t="str">
            <v>GZQ</v>
          </cell>
          <cell r="J7011">
            <v>32.799999999999997</v>
          </cell>
          <cell r="K7011">
            <v>429</v>
          </cell>
          <cell r="L7011" t="str">
            <v>YHT</v>
          </cell>
          <cell r="N7011">
            <v>117.62596377980999</v>
          </cell>
        </row>
        <row r="7012">
          <cell r="E7012" t="str">
            <v>HGC-Lib-2460299</v>
          </cell>
          <cell r="F7012" t="str">
            <v>2W</v>
          </cell>
          <cell r="G7012">
            <v>6</v>
          </cell>
          <cell r="H7012" t="str">
            <v>10XATAC测序</v>
          </cell>
          <cell r="I7012" t="str">
            <v>GZQ</v>
          </cell>
          <cell r="J7012">
            <v>0.71599999999999997</v>
          </cell>
          <cell r="K7012">
            <v>446</v>
          </cell>
          <cell r="L7012" t="str">
            <v>YHT</v>
          </cell>
          <cell r="N7012">
            <v>2.4698171783373599</v>
          </cell>
        </row>
        <row r="7013">
          <cell r="E7013" t="str">
            <v>HGC-Lib-2460300</v>
          </cell>
          <cell r="F7013" t="str">
            <v>4W</v>
          </cell>
          <cell r="G7013">
            <v>6</v>
          </cell>
          <cell r="H7013" t="str">
            <v>10XATAC测序</v>
          </cell>
          <cell r="I7013" t="str">
            <v>GZQ</v>
          </cell>
          <cell r="J7013">
            <v>0.72399999999999998</v>
          </cell>
          <cell r="K7013">
            <v>463</v>
          </cell>
          <cell r="L7013" t="str">
            <v>YHT</v>
          </cell>
          <cell r="N7013">
            <v>2.4057152350888802</v>
          </cell>
        </row>
        <row r="7014">
          <cell r="E7014" t="str">
            <v>HGC-Lib-2460332</v>
          </cell>
          <cell r="F7014" t="str">
            <v>ER1-1</v>
          </cell>
          <cell r="G7014" t="str">
            <v>2G</v>
          </cell>
          <cell r="H7014" t="str">
            <v>RNA-seq文库</v>
          </cell>
          <cell r="I7014" t="str">
            <v>GZQ</v>
          </cell>
          <cell r="J7014">
            <v>26.6</v>
          </cell>
          <cell r="K7014">
            <v>334</v>
          </cell>
          <cell r="L7014" t="str">
            <v>YHT</v>
          </cell>
          <cell r="N7014">
            <v>122.52418240442201</v>
          </cell>
        </row>
        <row r="7015">
          <cell r="E7015" t="str">
            <v>HGC-Lib-2460333</v>
          </cell>
          <cell r="F7015" t="str">
            <v>ER1-2</v>
          </cell>
          <cell r="G7015" t="str">
            <v>2G</v>
          </cell>
          <cell r="H7015" t="str">
            <v>RNA-seq文库</v>
          </cell>
          <cell r="I7015" t="str">
            <v>GZQ</v>
          </cell>
          <cell r="J7015">
            <v>20.2</v>
          </cell>
          <cell r="K7015">
            <v>348</v>
          </cell>
          <cell r="L7015" t="str">
            <v>YHT</v>
          </cell>
          <cell r="N7015">
            <v>89.301503094606502</v>
          </cell>
        </row>
        <row r="7016">
          <cell r="E7016" t="str">
            <v>HGC-Lib-2460334</v>
          </cell>
          <cell r="F7016" t="str">
            <v>ER1-3</v>
          </cell>
          <cell r="G7016" t="str">
            <v>2G</v>
          </cell>
          <cell r="H7016" t="str">
            <v>RNA-seq文库</v>
          </cell>
          <cell r="I7016" t="str">
            <v>GZQ</v>
          </cell>
          <cell r="J7016">
            <v>20.8</v>
          </cell>
          <cell r="K7016">
            <v>333</v>
          </cell>
          <cell r="L7016" t="str">
            <v>YHT</v>
          </cell>
          <cell r="N7016">
            <v>96.096096096096105</v>
          </cell>
        </row>
        <row r="7017">
          <cell r="E7017" t="str">
            <v>HGC-Lib-2460335</v>
          </cell>
          <cell r="F7017" t="str">
            <v>ER2-1</v>
          </cell>
          <cell r="G7017" t="str">
            <v>2G</v>
          </cell>
          <cell r="H7017" t="str">
            <v>RNA-seq文库</v>
          </cell>
          <cell r="I7017" t="str">
            <v>GZQ</v>
          </cell>
          <cell r="J7017">
            <v>23</v>
          </cell>
          <cell r="K7017">
            <v>362</v>
          </cell>
          <cell r="L7017" t="str">
            <v>YHT</v>
          </cell>
          <cell r="N7017">
            <v>97.747556311092197</v>
          </cell>
        </row>
        <row r="7018">
          <cell r="E7018" t="str">
            <v>HGC-Lib-2460336</v>
          </cell>
          <cell r="F7018" t="str">
            <v>ER2-2</v>
          </cell>
          <cell r="G7018" t="str">
            <v>2G</v>
          </cell>
          <cell r="H7018" t="str">
            <v>RNA-seq文库</v>
          </cell>
          <cell r="I7018" t="str">
            <v>GZQ</v>
          </cell>
          <cell r="J7018">
            <v>24.8</v>
          </cell>
          <cell r="K7018">
            <v>329</v>
          </cell>
          <cell r="L7018" t="str">
            <v>YHT</v>
          </cell>
          <cell r="N7018">
            <v>115.96913724573299</v>
          </cell>
        </row>
        <row r="7019">
          <cell r="E7019" t="str">
            <v>HGC-Lib-2460337</v>
          </cell>
          <cell r="F7019" t="str">
            <v>ER2-3</v>
          </cell>
          <cell r="G7019" t="str">
            <v>2G</v>
          </cell>
          <cell r="H7019" t="str">
            <v>RNA-seq文库</v>
          </cell>
          <cell r="I7019" t="str">
            <v>GZQ</v>
          </cell>
          <cell r="J7019">
            <v>22.8</v>
          </cell>
          <cell r="K7019">
            <v>323</v>
          </cell>
          <cell r="L7019" t="str">
            <v>YHT</v>
          </cell>
          <cell r="N7019">
            <v>108.597285067873</v>
          </cell>
        </row>
        <row r="7020">
          <cell r="E7020" t="str">
            <v>HGC-Lib-2460338</v>
          </cell>
          <cell r="F7020" t="str">
            <v>ER3-1</v>
          </cell>
          <cell r="G7020" t="str">
            <v>2G</v>
          </cell>
          <cell r="H7020" t="str">
            <v>RNA-seq文库</v>
          </cell>
          <cell r="I7020" t="str">
            <v>GZQ</v>
          </cell>
          <cell r="J7020">
            <v>22.4</v>
          </cell>
          <cell r="K7020">
            <v>336</v>
          </cell>
          <cell r="L7020" t="str">
            <v>YHT</v>
          </cell>
          <cell r="N7020">
            <v>102.564102564103</v>
          </cell>
        </row>
        <row r="7021">
          <cell r="E7021" t="str">
            <v>HGC-Lib-2460339</v>
          </cell>
          <cell r="F7021" t="str">
            <v>ER3-2</v>
          </cell>
          <cell r="G7021" t="str">
            <v>2G</v>
          </cell>
          <cell r="H7021" t="str">
            <v>RNA-seq文库</v>
          </cell>
          <cell r="I7021" t="str">
            <v>GZQ</v>
          </cell>
          <cell r="J7021">
            <v>20.2</v>
          </cell>
          <cell r="K7021">
            <v>348</v>
          </cell>
          <cell r="L7021" t="str">
            <v>YHT</v>
          </cell>
          <cell r="N7021">
            <v>89.301503094606502</v>
          </cell>
        </row>
        <row r="7022">
          <cell r="E7022" t="str">
            <v>HGC-Lib-2460340</v>
          </cell>
          <cell r="F7022" t="str">
            <v>ER3-3</v>
          </cell>
          <cell r="G7022" t="str">
            <v>2G</v>
          </cell>
          <cell r="H7022" t="str">
            <v>RNA-seq文库</v>
          </cell>
          <cell r="I7022" t="str">
            <v>GZQ</v>
          </cell>
          <cell r="J7022">
            <v>22.4</v>
          </cell>
          <cell r="K7022">
            <v>332</v>
          </cell>
          <cell r="L7022" t="str">
            <v>YHT</v>
          </cell>
          <cell r="N7022">
            <v>103.799814643188</v>
          </cell>
        </row>
        <row r="7023">
          <cell r="E7023" t="str">
            <v>HGC-Lib-2460341</v>
          </cell>
          <cell r="F7023" t="str">
            <v>ER5-1</v>
          </cell>
          <cell r="G7023" t="str">
            <v>2G</v>
          </cell>
          <cell r="H7023" t="str">
            <v>RNA-seq文库</v>
          </cell>
          <cell r="I7023" t="str">
            <v>GZQ</v>
          </cell>
          <cell r="J7023">
            <v>14</v>
          </cell>
          <cell r="K7023">
            <v>328</v>
          </cell>
          <cell r="L7023" t="str">
            <v>YHT</v>
          </cell>
          <cell r="N7023">
            <v>65.666041275797397</v>
          </cell>
        </row>
        <row r="7024">
          <cell r="E7024" t="str">
            <v>HGC-Lib-2460342</v>
          </cell>
          <cell r="F7024" t="str">
            <v>ER5-2</v>
          </cell>
          <cell r="G7024" t="str">
            <v>2G</v>
          </cell>
          <cell r="H7024" t="str">
            <v>RNA-seq文库</v>
          </cell>
          <cell r="I7024" t="str">
            <v>GZQ</v>
          </cell>
          <cell r="J7024">
            <v>14.8</v>
          </cell>
          <cell r="K7024">
            <v>331</v>
          </cell>
          <cell r="L7024" t="str">
            <v>YHT</v>
          </cell>
          <cell r="N7024">
            <v>68.789216825470604</v>
          </cell>
        </row>
        <row r="7025">
          <cell r="E7025" t="str">
            <v>HGC-Lib-2460343</v>
          </cell>
          <cell r="F7025" t="str">
            <v>ER5-3</v>
          </cell>
          <cell r="G7025" t="str">
            <v>2G</v>
          </cell>
          <cell r="H7025" t="str">
            <v>RNA-seq文库</v>
          </cell>
          <cell r="I7025" t="str">
            <v>GZQ</v>
          </cell>
          <cell r="J7025">
            <v>25.2</v>
          </cell>
          <cell r="K7025">
            <v>340</v>
          </cell>
          <cell r="L7025" t="str">
            <v>YHT</v>
          </cell>
          <cell r="N7025">
            <v>114.027149321267</v>
          </cell>
        </row>
        <row r="7026">
          <cell r="E7026" t="str">
            <v>HGC-POOL-2460344</v>
          </cell>
          <cell r="F7026" t="str">
            <v>A240729-1</v>
          </cell>
          <cell r="G7026">
            <v>8</v>
          </cell>
          <cell r="H7026" t="str">
            <v>PCR产物文库</v>
          </cell>
          <cell r="I7026" t="str">
            <v>GZQ</v>
          </cell>
          <cell r="J7026">
            <v>7.7</v>
          </cell>
          <cell r="K7026">
            <v>338</v>
          </cell>
          <cell r="L7026" t="str">
            <v>YHT</v>
          </cell>
          <cell r="N7026">
            <v>35.047792444242098</v>
          </cell>
        </row>
        <row r="7027">
          <cell r="E7027" t="str">
            <v>HGC-POOL-2460345</v>
          </cell>
          <cell r="F7027" t="str">
            <v>A240729-2</v>
          </cell>
          <cell r="G7027">
            <v>8</v>
          </cell>
          <cell r="H7027" t="str">
            <v>PCR产物文库</v>
          </cell>
          <cell r="I7027" t="str">
            <v>GZQ</v>
          </cell>
          <cell r="J7027">
            <v>19.100000000000001</v>
          </cell>
          <cell r="K7027">
            <v>365</v>
          </cell>
          <cell r="L7027" t="str">
            <v>YHT</v>
          </cell>
          <cell r="N7027">
            <v>80.505795574288697</v>
          </cell>
        </row>
        <row r="7028">
          <cell r="E7028" t="str">
            <v>HGC-Lib-2460362</v>
          </cell>
          <cell r="F7028" t="str">
            <v>ARP1-CON1</v>
          </cell>
          <cell r="G7028">
            <v>10</v>
          </cell>
          <cell r="H7028" t="str">
            <v>10XATAC测序</v>
          </cell>
          <cell r="I7028" t="str">
            <v>YHT</v>
          </cell>
          <cell r="J7028">
            <v>1.66</v>
          </cell>
          <cell r="K7028">
            <v>445</v>
          </cell>
          <cell r="L7028" t="str">
            <v>YHT</v>
          </cell>
          <cell r="N7028">
            <v>5.7389801210025899</v>
          </cell>
        </row>
        <row r="7029">
          <cell r="E7029" t="str">
            <v>HGC-Lib-2460363</v>
          </cell>
          <cell r="F7029" t="str">
            <v>ARP1-CON2</v>
          </cell>
          <cell r="G7029">
            <v>10</v>
          </cell>
          <cell r="H7029" t="str">
            <v>10XATAC测序</v>
          </cell>
          <cell r="I7029" t="str">
            <v>YHT</v>
          </cell>
          <cell r="J7029">
            <v>0.97</v>
          </cell>
          <cell r="K7029">
            <v>381</v>
          </cell>
          <cell r="L7029" t="str">
            <v>YHT</v>
          </cell>
          <cell r="N7029">
            <v>3.9168180900464402</v>
          </cell>
        </row>
        <row r="7030">
          <cell r="E7030" t="str">
            <v>HGC-Lib-2460364</v>
          </cell>
          <cell r="F7030" t="str">
            <v>ARP1-CON3</v>
          </cell>
          <cell r="G7030">
            <v>10</v>
          </cell>
          <cell r="H7030" t="str">
            <v>10XATAC测序</v>
          </cell>
          <cell r="I7030" t="str">
            <v>YHT</v>
          </cell>
          <cell r="J7030">
            <v>0.436</v>
          </cell>
          <cell r="K7030">
            <v>440</v>
          </cell>
          <cell r="L7030" t="str">
            <v>YHT</v>
          </cell>
          <cell r="N7030">
            <v>1.5244755244755199</v>
          </cell>
        </row>
        <row r="7031">
          <cell r="E7031" t="str">
            <v>HGC-Lib-2460365</v>
          </cell>
          <cell r="F7031" t="str">
            <v>ARP1-#2-1</v>
          </cell>
          <cell r="G7031">
            <v>10</v>
          </cell>
          <cell r="H7031" t="str">
            <v>10XATAC测序</v>
          </cell>
          <cell r="I7031" t="str">
            <v>GZQ</v>
          </cell>
          <cell r="J7031">
            <v>0.47399999999999998</v>
          </cell>
          <cell r="K7031">
            <v>389</v>
          </cell>
          <cell r="L7031" t="str">
            <v>YHT</v>
          </cell>
          <cell r="N7031">
            <v>1.8746292268143201</v>
          </cell>
        </row>
        <row r="7032">
          <cell r="E7032" t="str">
            <v>HGC-Lib-2460366</v>
          </cell>
          <cell r="F7032" t="str">
            <v>ARP1-#2-2</v>
          </cell>
          <cell r="G7032">
            <v>10</v>
          </cell>
          <cell r="H7032" t="str">
            <v>10XATAC测序</v>
          </cell>
          <cell r="I7032" t="str">
            <v>GZQ</v>
          </cell>
          <cell r="J7032">
            <v>1.6</v>
          </cell>
          <cell r="K7032">
            <v>422</v>
          </cell>
          <cell r="L7032" t="str">
            <v>YHT</v>
          </cell>
          <cell r="N7032">
            <v>5.8330295297119896</v>
          </cell>
        </row>
        <row r="7033">
          <cell r="E7033" t="str">
            <v>HGC-Lib-2460367</v>
          </cell>
          <cell r="F7033" t="str">
            <v>ARP1-#2-3</v>
          </cell>
          <cell r="G7033">
            <v>10</v>
          </cell>
          <cell r="H7033" t="str">
            <v>10XATAC测序</v>
          </cell>
          <cell r="I7033" t="str">
            <v>GZQ</v>
          </cell>
          <cell r="J7033">
            <v>1.26</v>
          </cell>
          <cell r="K7033">
            <v>378</v>
          </cell>
          <cell r="L7033" t="str">
            <v>YHT</v>
          </cell>
          <cell r="N7033">
            <v>5.1282051282051304</v>
          </cell>
        </row>
        <row r="7034">
          <cell r="E7034" t="str">
            <v>HGC-Lib-2460368</v>
          </cell>
          <cell r="F7034" t="str">
            <v>ARP1-#4-1</v>
          </cell>
          <cell r="G7034">
            <v>10</v>
          </cell>
          <cell r="H7034" t="str">
            <v>10XATAC测序</v>
          </cell>
          <cell r="I7034" t="str">
            <v>GZQ</v>
          </cell>
          <cell r="J7034">
            <v>0.48199999999999998</v>
          </cell>
          <cell r="K7034">
            <v>377</v>
          </cell>
          <cell r="L7034" t="str">
            <v>YHT</v>
          </cell>
          <cell r="N7034">
            <v>1.96694552132218</v>
          </cell>
        </row>
        <row r="7035">
          <cell r="E7035" t="str">
            <v>HGC-Lib-2460369</v>
          </cell>
          <cell r="F7035" t="str">
            <v>ARP1-#4-2</v>
          </cell>
          <cell r="G7035">
            <v>10</v>
          </cell>
          <cell r="H7035" t="str">
            <v>10XATAC测序</v>
          </cell>
          <cell r="I7035" t="str">
            <v>GZQ</v>
          </cell>
          <cell r="J7035">
            <v>3.88</v>
          </cell>
          <cell r="K7035">
            <v>531</v>
          </cell>
          <cell r="L7035" t="str">
            <v>YHT</v>
          </cell>
          <cell r="N7035">
            <v>11.241489207590901</v>
          </cell>
        </row>
        <row r="7036">
          <cell r="E7036" t="str">
            <v>HGC-Lib-2460370</v>
          </cell>
          <cell r="F7036" t="str">
            <v>ARP1-#4-3</v>
          </cell>
          <cell r="G7036">
            <v>10</v>
          </cell>
          <cell r="H7036" t="str">
            <v>10XATAC测序</v>
          </cell>
          <cell r="I7036" t="str">
            <v>GZQ</v>
          </cell>
          <cell r="J7036">
            <v>2.9</v>
          </cell>
          <cell r="K7036">
            <v>435</v>
          </cell>
          <cell r="L7036" t="str">
            <v>YHT</v>
          </cell>
          <cell r="N7036">
            <v>10.2564102564103</v>
          </cell>
        </row>
        <row r="7037">
          <cell r="E7037" t="str">
            <v>HGC-Lib-2460371</v>
          </cell>
          <cell r="F7037" t="str">
            <v>LR240712O-2807A</v>
          </cell>
          <cell r="G7037">
            <v>20</v>
          </cell>
          <cell r="H7037" t="str">
            <v>宏转录组文库</v>
          </cell>
          <cell r="I7037" t="str">
            <v>GZQ</v>
          </cell>
          <cell r="J7037">
            <v>1.91</v>
          </cell>
          <cell r="N7037" t="e">
            <v>#DIV/0!</v>
          </cell>
        </row>
        <row r="7038">
          <cell r="E7038" t="str">
            <v>HGC-Lib-2460372</v>
          </cell>
          <cell r="F7038" t="str">
            <v>LR240712O-2808A</v>
          </cell>
          <cell r="G7038">
            <v>20</v>
          </cell>
          <cell r="H7038" t="str">
            <v>宏转录组文库</v>
          </cell>
          <cell r="I7038" t="str">
            <v>GZQ</v>
          </cell>
          <cell r="J7038">
            <v>2.06</v>
          </cell>
          <cell r="N7038" t="e">
            <v>#DIV/0!</v>
          </cell>
        </row>
        <row r="7039">
          <cell r="E7039" t="str">
            <v>HGC-Lib-2460373</v>
          </cell>
          <cell r="F7039" t="str">
            <v>LR240701O-6785A</v>
          </cell>
          <cell r="G7039">
            <v>2</v>
          </cell>
          <cell r="H7039" t="str">
            <v>原核链特异性转录组文库</v>
          </cell>
          <cell r="I7039" t="str">
            <v>GZQ</v>
          </cell>
          <cell r="J7039">
            <v>8.36</v>
          </cell>
          <cell r="N7039" t="e">
            <v>#DIV/0!</v>
          </cell>
        </row>
        <row r="7040">
          <cell r="E7040" t="str">
            <v>HGC-Lib-2460374</v>
          </cell>
          <cell r="F7040" t="str">
            <v>LR240701O-6786A</v>
          </cell>
          <cell r="G7040">
            <v>2</v>
          </cell>
          <cell r="H7040" t="str">
            <v>原核链特异性转录组文库</v>
          </cell>
          <cell r="I7040" t="str">
            <v>GZQ</v>
          </cell>
          <cell r="J7040">
            <v>5.04</v>
          </cell>
          <cell r="N7040" t="e">
            <v>#DIV/0!</v>
          </cell>
        </row>
        <row r="7041">
          <cell r="E7041" t="str">
            <v>HGC-Lib-2460375</v>
          </cell>
          <cell r="F7041" t="str">
            <v>LR240701O-6787A</v>
          </cell>
          <cell r="G7041">
            <v>2</v>
          </cell>
          <cell r="H7041" t="str">
            <v>原核链特异性转录组文库</v>
          </cell>
          <cell r="I7041" t="str">
            <v>GZQ</v>
          </cell>
          <cell r="J7041">
            <v>29.4</v>
          </cell>
          <cell r="N7041" t="e">
            <v>#DIV/0!</v>
          </cell>
        </row>
        <row r="7042">
          <cell r="E7042" t="str">
            <v>HGC-Lib-2460376</v>
          </cell>
          <cell r="F7042" t="str">
            <v>LR240701O-6788A</v>
          </cell>
          <cell r="G7042">
            <v>2</v>
          </cell>
          <cell r="H7042" t="str">
            <v>原核链特异性转录组文库</v>
          </cell>
          <cell r="I7042" t="str">
            <v>GZQ</v>
          </cell>
          <cell r="J7042">
            <v>2.1800000000000002</v>
          </cell>
          <cell r="N7042" t="e">
            <v>#DIV/0!</v>
          </cell>
        </row>
        <row r="7043">
          <cell r="E7043" t="str">
            <v>HGC-Lib-2460377</v>
          </cell>
          <cell r="F7043" t="str">
            <v>LR240701O-6790A</v>
          </cell>
          <cell r="G7043">
            <v>2</v>
          </cell>
          <cell r="H7043" t="str">
            <v>原核链特异性转录组文库</v>
          </cell>
          <cell r="I7043" t="str">
            <v>GZQ</v>
          </cell>
          <cell r="J7043">
            <v>4.16</v>
          </cell>
          <cell r="N7043" t="e">
            <v>#DIV/0!</v>
          </cell>
        </row>
        <row r="7044">
          <cell r="E7044" t="str">
            <v>HGC-Lib-2460378</v>
          </cell>
          <cell r="F7044" t="str">
            <v>LR240701O-7243B</v>
          </cell>
          <cell r="G7044">
            <v>2</v>
          </cell>
          <cell r="H7044" t="str">
            <v>原核链特异性转录组文库</v>
          </cell>
          <cell r="I7044" t="str">
            <v>GZQ</v>
          </cell>
          <cell r="J7044">
            <v>33.6</v>
          </cell>
          <cell r="N7044" t="e">
            <v>#DIV/0!</v>
          </cell>
        </row>
        <row r="7045">
          <cell r="E7045" t="str">
            <v>HGC-Lib-2460379</v>
          </cell>
          <cell r="F7045" t="str">
            <v>LR240701O-7244B</v>
          </cell>
          <cell r="G7045">
            <v>2</v>
          </cell>
          <cell r="H7045" t="str">
            <v>原核链特异性转录组文库</v>
          </cell>
          <cell r="I7045" t="str">
            <v>GZQ</v>
          </cell>
          <cell r="J7045">
            <v>33.6</v>
          </cell>
          <cell r="N7045" t="e">
            <v>#DIV/0!</v>
          </cell>
        </row>
        <row r="7046">
          <cell r="E7046" t="str">
            <v>HGC-Lib-2460380</v>
          </cell>
          <cell r="F7046" t="str">
            <v>LR240701O-7245B</v>
          </cell>
          <cell r="G7046">
            <v>2</v>
          </cell>
          <cell r="H7046" t="str">
            <v>原核链特异性转录组文库</v>
          </cell>
          <cell r="I7046" t="str">
            <v>GZQ</v>
          </cell>
          <cell r="J7046">
            <v>32</v>
          </cell>
          <cell r="N7046" t="e">
            <v>#DIV/0!</v>
          </cell>
        </row>
        <row r="7047">
          <cell r="E7047" t="str">
            <v>HGC-Lib-2460381</v>
          </cell>
          <cell r="F7047" t="str">
            <v>LR240701O-7246B</v>
          </cell>
          <cell r="G7047">
            <v>2</v>
          </cell>
          <cell r="H7047" t="str">
            <v>原核链特异性转录组文库</v>
          </cell>
          <cell r="I7047" t="str">
            <v>GZQ</v>
          </cell>
          <cell r="J7047">
            <v>9.66</v>
          </cell>
          <cell r="N7047" t="e">
            <v>#DIV/0!</v>
          </cell>
        </row>
        <row r="7048">
          <cell r="E7048" t="str">
            <v>HGC-Lib-2460382</v>
          </cell>
          <cell r="F7048" t="str">
            <v>LR240701O-7247B</v>
          </cell>
          <cell r="G7048">
            <v>2</v>
          </cell>
          <cell r="H7048" t="str">
            <v>原核链特异性转录组文库</v>
          </cell>
          <cell r="I7048" t="str">
            <v>GZQ</v>
          </cell>
          <cell r="J7048">
            <v>22.2</v>
          </cell>
          <cell r="N7048" t="e">
            <v>#DIV/0!</v>
          </cell>
        </row>
        <row r="7049">
          <cell r="E7049" t="str">
            <v>HGC-Lib-2460383</v>
          </cell>
          <cell r="F7049" t="str">
            <v>LR240701O-7248B</v>
          </cell>
          <cell r="G7049">
            <v>2</v>
          </cell>
          <cell r="H7049" t="str">
            <v>原核链特异性转录组文库</v>
          </cell>
          <cell r="I7049" t="str">
            <v>GZQ</v>
          </cell>
          <cell r="J7049">
            <v>19.2</v>
          </cell>
          <cell r="N7049" t="e">
            <v>#DIV/0!</v>
          </cell>
        </row>
        <row r="7050">
          <cell r="E7050" t="str">
            <v>HGC-Lib-2460384</v>
          </cell>
          <cell r="F7050" t="str">
            <v>LR240701O-7249B</v>
          </cell>
          <cell r="G7050">
            <v>2</v>
          </cell>
          <cell r="H7050" t="str">
            <v>原核链特异性转录组文库</v>
          </cell>
          <cell r="I7050" t="str">
            <v>GZQ</v>
          </cell>
          <cell r="J7050">
            <v>8.4600000000000009</v>
          </cell>
          <cell r="N7050" t="e">
            <v>#DIV/0!</v>
          </cell>
        </row>
        <row r="7051">
          <cell r="E7051" t="str">
            <v>HGC-Lib-2460385</v>
          </cell>
          <cell r="F7051" t="str">
            <v>LR240701O-7250B</v>
          </cell>
          <cell r="G7051">
            <v>2</v>
          </cell>
          <cell r="H7051" t="str">
            <v>原核链特异性转录组文库</v>
          </cell>
          <cell r="I7051" t="str">
            <v>GZQ</v>
          </cell>
          <cell r="J7051">
            <v>23.6</v>
          </cell>
          <cell r="N7051" t="e">
            <v>#DIV/0!</v>
          </cell>
        </row>
        <row r="7052">
          <cell r="E7052" t="str">
            <v>HGC-Lib-2460386</v>
          </cell>
          <cell r="F7052" t="str">
            <v>LR240701O-7251B</v>
          </cell>
          <cell r="G7052">
            <v>2</v>
          </cell>
          <cell r="H7052" t="str">
            <v>原核链特异性转录组文库</v>
          </cell>
          <cell r="I7052" t="str">
            <v>GZQ</v>
          </cell>
          <cell r="J7052">
            <v>30.2</v>
          </cell>
          <cell r="N7052" t="e">
            <v>#DIV/0!</v>
          </cell>
        </row>
        <row r="7053">
          <cell r="E7053" t="str">
            <v>HGC-Lib-2460387</v>
          </cell>
          <cell r="F7053" t="str">
            <v>LR240701O-7252B</v>
          </cell>
          <cell r="G7053">
            <v>2</v>
          </cell>
          <cell r="H7053" t="str">
            <v>原核链特异性转录组文库</v>
          </cell>
          <cell r="I7053" t="str">
            <v>GZQ</v>
          </cell>
          <cell r="J7053">
            <v>14.3</v>
          </cell>
          <cell r="N7053" t="e">
            <v>#DIV/0!</v>
          </cell>
        </row>
        <row r="7054">
          <cell r="E7054" t="str">
            <v>HGC-Lib-2460346</v>
          </cell>
          <cell r="F7054" t="str">
            <v>L240519094</v>
          </cell>
          <cell r="G7054">
            <v>75</v>
          </cell>
          <cell r="H7054" t="str">
            <v>10X空转文库</v>
          </cell>
          <cell r="I7054" t="str">
            <v>GZQ</v>
          </cell>
          <cell r="J7054">
            <v>33</v>
          </cell>
          <cell r="N7054" t="e">
            <v>#DIV/0!</v>
          </cell>
        </row>
        <row r="7055">
          <cell r="E7055" t="str">
            <v>HGC-Lib-2460347</v>
          </cell>
          <cell r="F7055" t="str">
            <v>L240627024</v>
          </cell>
          <cell r="G7055">
            <v>75</v>
          </cell>
          <cell r="H7055" t="str">
            <v>10X空转文库</v>
          </cell>
          <cell r="I7055" t="str">
            <v>GZQ</v>
          </cell>
          <cell r="J7055">
            <v>40</v>
          </cell>
          <cell r="N7055" t="e">
            <v>#DIV/0!</v>
          </cell>
        </row>
        <row r="7056">
          <cell r="E7056" t="str">
            <v>HGC-Lib-2460348</v>
          </cell>
          <cell r="F7056" t="str">
            <v>L240519095B</v>
          </cell>
          <cell r="G7056">
            <v>75</v>
          </cell>
          <cell r="H7056" t="str">
            <v>10X空转文库</v>
          </cell>
          <cell r="I7056" t="str">
            <v>GZQ</v>
          </cell>
          <cell r="J7056">
            <v>38</v>
          </cell>
          <cell r="N7056" t="e">
            <v>#DIV/0!</v>
          </cell>
        </row>
        <row r="7057">
          <cell r="E7057" t="str">
            <v>HGC-Lib-2460349</v>
          </cell>
          <cell r="F7057" t="str">
            <v>L240519096B</v>
          </cell>
          <cell r="G7057">
            <v>75</v>
          </cell>
          <cell r="H7057" t="str">
            <v>10X空转文库</v>
          </cell>
          <cell r="I7057" t="str">
            <v>GZQ</v>
          </cell>
          <cell r="J7057">
            <v>27</v>
          </cell>
          <cell r="N7057" t="e">
            <v>#DIV/0!</v>
          </cell>
        </row>
        <row r="7058">
          <cell r="E7058" t="str">
            <v>HGC-Lib-2460388</v>
          </cell>
          <cell r="F7058" t="str">
            <v>PROLPROC240725023</v>
          </cell>
          <cell r="G7058">
            <v>30</v>
          </cell>
          <cell r="H7058" t="str">
            <v>其他碱基不平衡文库</v>
          </cell>
          <cell r="I7058" t="str">
            <v>XCL</v>
          </cell>
          <cell r="J7058">
            <v>34.200000000000003</v>
          </cell>
          <cell r="N7058" t="e">
            <v>#DIV/0!</v>
          </cell>
        </row>
        <row r="7059">
          <cell r="E7059" t="str">
            <v>HGC-Lib-2460389</v>
          </cell>
          <cell r="F7059" t="str">
            <v>PROLPROC240725022</v>
          </cell>
          <cell r="G7059">
            <v>30</v>
          </cell>
          <cell r="H7059" t="str">
            <v>其他碱基不平衡文库</v>
          </cell>
          <cell r="I7059" t="str">
            <v>XCL</v>
          </cell>
          <cell r="J7059">
            <v>39</v>
          </cell>
          <cell r="N7059" t="e">
            <v>#DIV/0!</v>
          </cell>
        </row>
        <row r="7060">
          <cell r="E7060" t="str">
            <v>HGC-Lib-2460390</v>
          </cell>
          <cell r="F7060" t="str">
            <v>LFTBHC240722035</v>
          </cell>
          <cell r="G7060">
            <v>100</v>
          </cell>
          <cell r="H7060" t="str">
            <v>singleron-3'全长转录组文库</v>
          </cell>
          <cell r="I7060" t="str">
            <v>XCL</v>
          </cell>
          <cell r="J7060">
            <v>28.2</v>
          </cell>
          <cell r="N7060" t="e">
            <v>#DIV/0!</v>
          </cell>
        </row>
        <row r="7061">
          <cell r="E7061" t="str">
            <v>HGC-Lib-2460391</v>
          </cell>
          <cell r="F7061" t="str">
            <v>LFTBHC240722036</v>
          </cell>
          <cell r="G7061">
            <v>100</v>
          </cell>
          <cell r="H7061" t="str">
            <v>singleron-3'全长转录组文库</v>
          </cell>
          <cell r="I7061" t="str">
            <v>XCL</v>
          </cell>
          <cell r="J7061">
            <v>21.6</v>
          </cell>
          <cell r="N7061" t="e">
            <v>#DIV/0!</v>
          </cell>
        </row>
        <row r="7062">
          <cell r="E7062" t="str">
            <v>HGC-Lib-2460392</v>
          </cell>
          <cell r="F7062" t="str">
            <v>LPMFTBA240724081</v>
          </cell>
          <cell r="G7062">
            <v>100</v>
          </cell>
          <cell r="H7062" t="str">
            <v>singleron-3'全长转录组文库</v>
          </cell>
          <cell r="I7062" t="str">
            <v>XCL</v>
          </cell>
          <cell r="J7062">
            <v>10.6</v>
          </cell>
          <cell r="N7062" t="e">
            <v>#DIV/0!</v>
          </cell>
        </row>
        <row r="7063">
          <cell r="E7063" t="str">
            <v>HGC-Lib-2460393</v>
          </cell>
          <cell r="F7063" t="str">
            <v>LFTBC240724067X2</v>
          </cell>
          <cell r="G7063">
            <v>10</v>
          </cell>
          <cell r="H7063" t="str">
            <v>singleron-3'全长转录组文库</v>
          </cell>
          <cell r="I7063" t="str">
            <v>XCL</v>
          </cell>
          <cell r="J7063">
            <v>29.4</v>
          </cell>
          <cell r="N7063" t="e">
            <v>#DIV/0!</v>
          </cell>
        </row>
        <row r="7064">
          <cell r="E7064" t="str">
            <v>HGC-Lib-2460394</v>
          </cell>
          <cell r="F7064" t="str">
            <v>LFTBA240724094</v>
          </cell>
          <cell r="G7064">
            <v>70</v>
          </cell>
          <cell r="H7064" t="str">
            <v>singleron-3'全长转录组文库</v>
          </cell>
          <cell r="I7064" t="str">
            <v>XCL</v>
          </cell>
          <cell r="J7064">
            <v>15.7</v>
          </cell>
          <cell r="N7064" t="e">
            <v>#DIV/0!</v>
          </cell>
        </row>
        <row r="7065">
          <cell r="E7065" t="str">
            <v>HGC-Lib-2460395</v>
          </cell>
          <cell r="F7065" t="str">
            <v>LFTBC240724092</v>
          </cell>
          <cell r="G7065">
            <v>70</v>
          </cell>
          <cell r="H7065" t="str">
            <v>singleron-3'全长转录组文库</v>
          </cell>
          <cell r="I7065" t="str">
            <v>XCL</v>
          </cell>
          <cell r="J7065">
            <v>15.1</v>
          </cell>
          <cell r="N7065" t="e">
            <v>#DIV/0!</v>
          </cell>
        </row>
        <row r="7066">
          <cell r="E7066" t="str">
            <v>HGC-Lib-2460396</v>
          </cell>
          <cell r="F7066" t="str">
            <v>LFTBC240724067X1</v>
          </cell>
          <cell r="G7066">
            <v>10</v>
          </cell>
          <cell r="H7066" t="str">
            <v>singleron-3'全长转录组文库</v>
          </cell>
          <cell r="I7066" t="str">
            <v>XCL</v>
          </cell>
          <cell r="J7066">
            <v>24.4</v>
          </cell>
          <cell r="N7066" t="e">
            <v>#DIV/0!</v>
          </cell>
        </row>
        <row r="7067">
          <cell r="E7067" t="str">
            <v>HGC-Lib-2460397</v>
          </cell>
          <cell r="F7067" t="str">
            <v>LFTA240724050</v>
          </cell>
          <cell r="G7067">
            <v>120</v>
          </cell>
          <cell r="H7067" t="str">
            <v>singleron-3'全长转录组文库</v>
          </cell>
          <cell r="I7067" t="str">
            <v>XCL</v>
          </cell>
          <cell r="J7067">
            <v>17.399999999999999</v>
          </cell>
          <cell r="N7067" t="e">
            <v>#DIV/0!</v>
          </cell>
        </row>
        <row r="7068">
          <cell r="E7068" t="str">
            <v>HGC-Lib-2460398</v>
          </cell>
          <cell r="F7068" t="str">
            <v>LFTBA240724066CK</v>
          </cell>
          <cell r="G7068">
            <v>100</v>
          </cell>
          <cell r="H7068" t="str">
            <v>singleron-3'全长转录组文库</v>
          </cell>
          <cell r="I7068" t="str">
            <v>XCL</v>
          </cell>
          <cell r="J7068">
            <v>27.4</v>
          </cell>
          <cell r="N7068" t="e">
            <v>#DIV/0!</v>
          </cell>
        </row>
        <row r="7069">
          <cell r="E7069" t="str">
            <v>HGC-Lib-2460399</v>
          </cell>
          <cell r="F7069" t="str">
            <v>LFTBA240724063</v>
          </cell>
          <cell r="G7069">
            <v>100</v>
          </cell>
          <cell r="H7069" t="str">
            <v>singleron-3'全长转录组文库</v>
          </cell>
          <cell r="I7069" t="str">
            <v>XCL</v>
          </cell>
          <cell r="J7069">
            <v>22.4</v>
          </cell>
          <cell r="N7069" t="e">
            <v>#DIV/0!</v>
          </cell>
        </row>
        <row r="7070">
          <cell r="E7070" t="str">
            <v>HGC-Lib-2460400</v>
          </cell>
          <cell r="F7070" t="str">
            <v>LFTBA240724065</v>
          </cell>
          <cell r="G7070">
            <v>100</v>
          </cell>
          <cell r="H7070" t="str">
            <v>singleron-3'全长转录组文库</v>
          </cell>
          <cell r="I7070" t="str">
            <v>XCL</v>
          </cell>
          <cell r="J7070">
            <v>13.6</v>
          </cell>
          <cell r="N7070" t="e">
            <v>#DIV/0!</v>
          </cell>
        </row>
        <row r="7071">
          <cell r="E7071" t="str">
            <v>HGC-Lib-2460401</v>
          </cell>
          <cell r="F7071" t="str">
            <v>LFTBA240724064</v>
          </cell>
          <cell r="G7071">
            <v>100</v>
          </cell>
          <cell r="H7071" t="str">
            <v>singleron-3'全长转录组文库</v>
          </cell>
          <cell r="I7071" t="str">
            <v>XCL</v>
          </cell>
          <cell r="J7071">
            <v>12.6</v>
          </cell>
          <cell r="N7071" t="e">
            <v>#DIV/0!</v>
          </cell>
        </row>
        <row r="7072">
          <cell r="E7072" t="str">
            <v>HGC-Lib-2460402</v>
          </cell>
          <cell r="F7072" t="str">
            <v>PMLPMFTBA240724081</v>
          </cell>
          <cell r="G7072">
            <v>12</v>
          </cell>
          <cell r="H7072" t="str">
            <v>其他碱基不平衡文库</v>
          </cell>
          <cell r="I7072" t="str">
            <v>XCL</v>
          </cell>
          <cell r="J7072">
            <v>48</v>
          </cell>
          <cell r="N7072" t="e">
            <v>#DIV/0!</v>
          </cell>
        </row>
        <row r="7073">
          <cell r="E7073" t="str">
            <v>HGC-Lib-2460403</v>
          </cell>
          <cell r="F7073" t="str">
            <v>LHC240724058</v>
          </cell>
          <cell r="G7073">
            <v>200</v>
          </cell>
          <cell r="H7073" t="str">
            <v>singleron-3'转录组文库</v>
          </cell>
          <cell r="I7073" t="str">
            <v>XCL</v>
          </cell>
          <cell r="J7073">
            <v>15.6</v>
          </cell>
          <cell r="N7073" t="e">
            <v>#DIV/0!</v>
          </cell>
        </row>
        <row r="7074">
          <cell r="E7074" t="str">
            <v>HGC-Lib-2460404</v>
          </cell>
          <cell r="F7074" t="str">
            <v>LHC240724059</v>
          </cell>
          <cell r="G7074">
            <v>200</v>
          </cell>
          <cell r="H7074" t="str">
            <v>singleron-3'转录组文库</v>
          </cell>
          <cell r="I7074" t="str">
            <v>XCL</v>
          </cell>
          <cell r="J7074">
            <v>16.100000000000001</v>
          </cell>
          <cell r="N7074" t="e">
            <v>#DIV/0!</v>
          </cell>
        </row>
        <row r="7075">
          <cell r="E7075" t="str">
            <v>HGC-Lib-2460405</v>
          </cell>
          <cell r="F7075" t="str">
            <v>LHC240724056</v>
          </cell>
          <cell r="G7075">
            <v>200</v>
          </cell>
          <cell r="H7075" t="str">
            <v>singleron-3'转录组文库</v>
          </cell>
          <cell r="I7075" t="str">
            <v>XCL</v>
          </cell>
          <cell r="J7075">
            <v>24.6</v>
          </cell>
          <cell r="N7075" t="e">
            <v>#DIV/0!</v>
          </cell>
        </row>
        <row r="7076">
          <cell r="E7076" t="str">
            <v>HGC-Lib-2460406</v>
          </cell>
          <cell r="F7076" t="str">
            <v>LHC240724060</v>
          </cell>
          <cell r="G7076">
            <v>200</v>
          </cell>
          <cell r="H7076" t="str">
            <v>singleron-3'转录组文库</v>
          </cell>
          <cell r="I7076" t="str">
            <v>XCL</v>
          </cell>
          <cell r="J7076">
            <v>14</v>
          </cell>
          <cell r="N7076" t="e">
            <v>#DIV/0!</v>
          </cell>
        </row>
        <row r="7077">
          <cell r="E7077" t="str">
            <v>HGC-Lib-2460407</v>
          </cell>
          <cell r="F7077" t="str">
            <v>LHC240724057</v>
          </cell>
          <cell r="G7077">
            <v>200</v>
          </cell>
          <cell r="H7077" t="str">
            <v>singleron-3'转录组文库</v>
          </cell>
          <cell r="I7077" t="str">
            <v>XCL</v>
          </cell>
          <cell r="J7077">
            <v>16.600000000000001</v>
          </cell>
          <cell r="N7077" t="e">
            <v>#DIV/0!</v>
          </cell>
        </row>
        <row r="7078">
          <cell r="E7078" t="str">
            <v>HGC-Lib-2460408</v>
          </cell>
          <cell r="F7078" t="str">
            <v>LHC240724055</v>
          </cell>
          <cell r="G7078">
            <v>200</v>
          </cell>
          <cell r="H7078" t="str">
            <v>singleron-3'转录组文库</v>
          </cell>
          <cell r="I7078" t="str">
            <v>XCL</v>
          </cell>
          <cell r="J7078">
            <v>14.2</v>
          </cell>
          <cell r="N7078" t="e">
            <v>#DIV/0!</v>
          </cell>
        </row>
        <row r="7079">
          <cell r="E7079" t="str">
            <v>HGC-Lib-2460409</v>
          </cell>
          <cell r="F7079" t="str">
            <v>LPROC240725023</v>
          </cell>
          <cell r="G7079">
            <v>100</v>
          </cell>
          <cell r="H7079" t="str">
            <v>singleron-3'转录组文库</v>
          </cell>
          <cell r="I7079" t="str">
            <v>XCL</v>
          </cell>
          <cell r="J7079">
            <v>14.6</v>
          </cell>
          <cell r="N7079" t="e">
            <v>#DIV/0!</v>
          </cell>
        </row>
        <row r="7080">
          <cell r="E7080" t="str">
            <v>HGC-Lib-2460410</v>
          </cell>
          <cell r="F7080" t="str">
            <v>LPROC240725022</v>
          </cell>
          <cell r="G7080">
            <v>100</v>
          </cell>
          <cell r="H7080" t="str">
            <v>singleron-3'转录组文库</v>
          </cell>
          <cell r="I7080" t="str">
            <v>XCL</v>
          </cell>
          <cell r="J7080">
            <v>13.8</v>
          </cell>
          <cell r="N7080" t="e">
            <v>#DIV/0!</v>
          </cell>
        </row>
        <row r="7081">
          <cell r="E7081" t="str">
            <v>HGC-Lib-2460411</v>
          </cell>
          <cell r="F7081" t="str">
            <v>LC240725059</v>
          </cell>
          <cell r="G7081">
            <v>100</v>
          </cell>
          <cell r="H7081" t="str">
            <v>singleron-3'转录组文库</v>
          </cell>
          <cell r="I7081" t="str">
            <v>XCL</v>
          </cell>
          <cell r="J7081">
            <v>14</v>
          </cell>
          <cell r="N7081" t="e">
            <v>#DIV/0!</v>
          </cell>
        </row>
        <row r="7082">
          <cell r="E7082" t="str">
            <v>HGC-Lib-2460412</v>
          </cell>
          <cell r="F7082" t="str">
            <v>LC240725058</v>
          </cell>
          <cell r="G7082">
            <v>100</v>
          </cell>
          <cell r="H7082" t="str">
            <v>singleron-3'转录组文库</v>
          </cell>
          <cell r="I7082" t="str">
            <v>XCL</v>
          </cell>
          <cell r="J7082">
            <v>16.3</v>
          </cell>
          <cell r="N7082" t="e">
            <v>#DIV/0!</v>
          </cell>
        </row>
        <row r="7083">
          <cell r="E7083" t="str">
            <v>HGC-Lib-2460413</v>
          </cell>
          <cell r="F7083" t="str">
            <v>LC240725060</v>
          </cell>
          <cell r="G7083">
            <v>100</v>
          </cell>
          <cell r="H7083" t="str">
            <v>singleron-3'转录组文库</v>
          </cell>
          <cell r="I7083" t="str">
            <v>XCL</v>
          </cell>
          <cell r="J7083">
            <v>17</v>
          </cell>
          <cell r="N7083" t="e">
            <v>#DIV/0!</v>
          </cell>
        </row>
        <row r="7084">
          <cell r="E7084" t="str">
            <v>HGC-Lib-2460414</v>
          </cell>
          <cell r="F7084" t="str">
            <v>LA240725068</v>
          </cell>
          <cell r="G7084">
            <v>100</v>
          </cell>
          <cell r="H7084" t="str">
            <v>singleron-3'转录组文库</v>
          </cell>
          <cell r="I7084" t="str">
            <v>XCL</v>
          </cell>
          <cell r="J7084">
            <v>16.100000000000001</v>
          </cell>
          <cell r="N7084" t="e">
            <v>#DIV/0!</v>
          </cell>
        </row>
        <row r="7085">
          <cell r="E7085" t="str">
            <v>HGC-Lib-2460415</v>
          </cell>
          <cell r="F7085" t="str">
            <v>LC240725081</v>
          </cell>
          <cell r="G7085">
            <v>100</v>
          </cell>
          <cell r="H7085" t="str">
            <v>singleron-3'转录组文库</v>
          </cell>
          <cell r="I7085" t="str">
            <v>XCL</v>
          </cell>
          <cell r="J7085">
            <v>22</v>
          </cell>
          <cell r="N7085" t="e">
            <v>#DIV/0!</v>
          </cell>
        </row>
        <row r="7086">
          <cell r="E7086" t="str">
            <v>HGC-Lib-2460416</v>
          </cell>
          <cell r="F7086" t="str">
            <v>LC240725021</v>
          </cell>
          <cell r="G7086">
            <v>100</v>
          </cell>
          <cell r="H7086" t="str">
            <v>singleron-3'转录组文库</v>
          </cell>
          <cell r="I7086" t="str">
            <v>XCL</v>
          </cell>
          <cell r="J7086">
            <v>15.1</v>
          </cell>
          <cell r="N7086" t="e">
            <v>#DIV/0!</v>
          </cell>
        </row>
        <row r="7087">
          <cell r="E7087" t="str">
            <v>HGC-Lib-2460417</v>
          </cell>
          <cell r="F7087" t="str">
            <v>LC240724085</v>
          </cell>
          <cell r="G7087">
            <v>100</v>
          </cell>
          <cell r="H7087" t="str">
            <v>singleron-3'转录组文库</v>
          </cell>
          <cell r="I7087" t="str">
            <v>XCL</v>
          </cell>
          <cell r="J7087">
            <v>17.2</v>
          </cell>
          <cell r="N7087" t="e">
            <v>#DIV/0!</v>
          </cell>
        </row>
        <row r="7088">
          <cell r="E7088" t="str">
            <v>HGC-Lib-2460418</v>
          </cell>
          <cell r="F7088" t="str">
            <v>LA240725109</v>
          </cell>
          <cell r="G7088">
            <v>100</v>
          </cell>
          <cell r="H7088" t="str">
            <v>singleron-3'转录组文库</v>
          </cell>
          <cell r="I7088" t="str">
            <v>XCL</v>
          </cell>
          <cell r="J7088">
            <v>18</v>
          </cell>
          <cell r="N7088" t="e">
            <v>#DIV/0!</v>
          </cell>
        </row>
        <row r="7089">
          <cell r="E7089" t="str">
            <v>HGC-Lib-2460419</v>
          </cell>
          <cell r="F7089" t="str">
            <v>LC240724096</v>
          </cell>
          <cell r="G7089">
            <v>90</v>
          </cell>
          <cell r="H7089" t="str">
            <v>singleron-3'转录组文库</v>
          </cell>
          <cell r="I7089" t="str">
            <v>XCL</v>
          </cell>
          <cell r="J7089">
            <v>16.3</v>
          </cell>
          <cell r="N7089" t="e">
            <v>#DIV/0!</v>
          </cell>
        </row>
        <row r="7090">
          <cell r="E7090" t="str">
            <v>HGC-Lib-2460420</v>
          </cell>
          <cell r="F7090" t="str">
            <v>LC240725092</v>
          </cell>
          <cell r="G7090">
            <v>100</v>
          </cell>
          <cell r="H7090" t="str">
            <v>singleron-3'转录组文库</v>
          </cell>
          <cell r="I7090" t="str">
            <v>XCL</v>
          </cell>
          <cell r="J7090">
            <v>26.4</v>
          </cell>
          <cell r="N7090" t="e">
            <v>#DIV/0!</v>
          </cell>
        </row>
        <row r="7091">
          <cell r="E7091" t="str">
            <v>HGC-Lib-2460421</v>
          </cell>
          <cell r="F7091" t="str">
            <v>LC240725070X2</v>
          </cell>
          <cell r="G7091">
            <v>10</v>
          </cell>
          <cell r="H7091" t="str">
            <v>singleron-3'转录组文库</v>
          </cell>
          <cell r="I7091" t="str">
            <v>XCL</v>
          </cell>
          <cell r="J7091">
            <v>18.3</v>
          </cell>
          <cell r="N7091" t="e">
            <v>#DIV/0!</v>
          </cell>
        </row>
        <row r="7092">
          <cell r="E7092" t="str">
            <v>HGC-Lib-2460422</v>
          </cell>
          <cell r="F7092" t="str">
            <v>LC240725070X1</v>
          </cell>
          <cell r="G7092">
            <v>10</v>
          </cell>
          <cell r="H7092" t="str">
            <v>singleron-3'转录组文库</v>
          </cell>
          <cell r="I7092" t="str">
            <v>XCL</v>
          </cell>
          <cell r="J7092">
            <v>11.1</v>
          </cell>
          <cell r="N7092" t="e">
            <v>#DIV/0!</v>
          </cell>
        </row>
        <row r="7093">
          <cell r="E7093" t="str">
            <v>HGC-Lib-2460423</v>
          </cell>
          <cell r="F7093" t="str">
            <v>LC240717034</v>
          </cell>
          <cell r="G7093">
            <v>100</v>
          </cell>
          <cell r="H7093" t="str">
            <v>singleron-3'转录组文库</v>
          </cell>
          <cell r="I7093" t="str">
            <v>XCL</v>
          </cell>
          <cell r="J7093">
            <v>17.100000000000001</v>
          </cell>
          <cell r="N7093" t="e">
            <v>#DIV/0!</v>
          </cell>
        </row>
        <row r="7094">
          <cell r="E7094" t="str">
            <v>HGC-Lib-2460424</v>
          </cell>
          <cell r="F7094" t="str">
            <v>LC240725110</v>
          </cell>
          <cell r="G7094">
            <v>90</v>
          </cell>
          <cell r="H7094" t="str">
            <v>singleron-3'转录组文库</v>
          </cell>
          <cell r="I7094" t="str">
            <v>XCL</v>
          </cell>
          <cell r="J7094">
            <v>22</v>
          </cell>
          <cell r="N7094" t="e">
            <v>#DIV/0!</v>
          </cell>
        </row>
        <row r="7095">
          <cell r="E7095" t="str">
            <v>HGC-Lib-2460425</v>
          </cell>
          <cell r="F7095" t="str">
            <v>LA240720050</v>
          </cell>
          <cell r="G7095">
            <v>100</v>
          </cell>
          <cell r="H7095" t="str">
            <v>singleron-3'转录组文库</v>
          </cell>
          <cell r="I7095" t="str">
            <v>XCL</v>
          </cell>
          <cell r="J7095">
            <v>10.199999999999999</v>
          </cell>
          <cell r="N7095" t="e">
            <v>#DIV/0!</v>
          </cell>
        </row>
        <row r="7096">
          <cell r="E7096" t="str">
            <v>HGC-Lib-2460426</v>
          </cell>
          <cell r="F7096" t="str">
            <v>LA240720048</v>
          </cell>
          <cell r="G7096">
            <v>100</v>
          </cell>
          <cell r="H7096" t="str">
            <v>singleron-3'转录组文库</v>
          </cell>
          <cell r="I7096" t="str">
            <v>XCL</v>
          </cell>
          <cell r="J7096">
            <v>9.42</v>
          </cell>
          <cell r="N7096" t="e">
            <v>#DIV/0!</v>
          </cell>
        </row>
        <row r="7097">
          <cell r="E7097" t="str">
            <v>HGC-Lib-2460427</v>
          </cell>
          <cell r="F7097" t="str">
            <v>LA240720049</v>
          </cell>
          <cell r="G7097">
            <v>100</v>
          </cell>
          <cell r="H7097" t="str">
            <v>singleron-3'转录组文库</v>
          </cell>
          <cell r="I7097" t="str">
            <v>XCL</v>
          </cell>
          <cell r="J7097">
            <v>10.3</v>
          </cell>
          <cell r="N7097" t="e">
            <v>#DIV/0!</v>
          </cell>
        </row>
        <row r="7098">
          <cell r="E7098" t="str">
            <v>HGC-Lib-2460428</v>
          </cell>
          <cell r="F7098" t="str">
            <v>LA240725075</v>
          </cell>
          <cell r="G7098">
            <v>100</v>
          </cell>
          <cell r="H7098" t="str">
            <v>singleron-3'转录组文库</v>
          </cell>
          <cell r="I7098" t="str">
            <v>XCL</v>
          </cell>
          <cell r="J7098">
            <v>16</v>
          </cell>
          <cell r="N7098" t="e">
            <v>#DIV/0!</v>
          </cell>
        </row>
        <row r="7099">
          <cell r="E7099" t="str">
            <v>HGC-Lib-2460429</v>
          </cell>
          <cell r="F7099" t="str">
            <v>LA240725071</v>
          </cell>
          <cell r="G7099">
            <v>100</v>
          </cell>
          <cell r="H7099" t="str">
            <v>singleron-3'转录组文库</v>
          </cell>
          <cell r="I7099" t="str">
            <v>XCL</v>
          </cell>
          <cell r="J7099">
            <v>19.8</v>
          </cell>
          <cell r="N7099" t="e">
            <v>#DIV/0!</v>
          </cell>
        </row>
        <row r="7100">
          <cell r="E7100" t="str">
            <v>HGC-Lib-2460430</v>
          </cell>
          <cell r="F7100" t="str">
            <v>LA240725074</v>
          </cell>
          <cell r="G7100">
            <v>100</v>
          </cell>
          <cell r="H7100" t="str">
            <v>singleron-3'转录组文库</v>
          </cell>
          <cell r="I7100" t="str">
            <v>XCL</v>
          </cell>
          <cell r="J7100">
            <v>18.3</v>
          </cell>
          <cell r="N7100" t="e">
            <v>#DIV/0!</v>
          </cell>
        </row>
        <row r="7101">
          <cell r="E7101" t="str">
            <v>HGC-Lib-2460431</v>
          </cell>
          <cell r="F7101" t="str">
            <v>LA240725072</v>
          </cell>
          <cell r="G7101">
            <v>100</v>
          </cell>
          <cell r="H7101" t="str">
            <v>singleron-3'转录组文库</v>
          </cell>
          <cell r="I7101" t="str">
            <v>XCL</v>
          </cell>
          <cell r="J7101">
            <v>23</v>
          </cell>
          <cell r="N7101" t="e">
            <v>#DIV/0!</v>
          </cell>
        </row>
        <row r="7102">
          <cell r="E7102" t="str">
            <v>HGC-Lib-2460432</v>
          </cell>
          <cell r="F7102" t="str">
            <v>LHC240724042</v>
          </cell>
          <cell r="G7102">
            <v>200</v>
          </cell>
          <cell r="H7102" t="str">
            <v>singleron-3'转录组文库</v>
          </cell>
          <cell r="I7102" t="str">
            <v>XCL</v>
          </cell>
          <cell r="J7102">
            <v>21.6</v>
          </cell>
          <cell r="N7102" t="e">
            <v>#DIV/0!</v>
          </cell>
        </row>
        <row r="7103">
          <cell r="E7103" t="str">
            <v>HGC-Lib-2460433</v>
          </cell>
          <cell r="F7103" t="str">
            <v>LC240724051</v>
          </cell>
          <cell r="G7103">
            <v>100</v>
          </cell>
          <cell r="H7103" t="str">
            <v>singleron-3'转录组文库</v>
          </cell>
          <cell r="I7103" t="str">
            <v>XCL</v>
          </cell>
          <cell r="J7103">
            <v>22</v>
          </cell>
          <cell r="N7103" t="e">
            <v>#DIV/0!</v>
          </cell>
        </row>
        <row r="7104">
          <cell r="E7104" t="str">
            <v>HGC-Lib-2460434</v>
          </cell>
          <cell r="F7104" t="str">
            <v>LA240724040</v>
          </cell>
          <cell r="G7104">
            <v>100</v>
          </cell>
          <cell r="H7104" t="str">
            <v>singleron-3'转录组文库</v>
          </cell>
          <cell r="I7104" t="str">
            <v>XCL</v>
          </cell>
          <cell r="J7104">
            <v>12.7</v>
          </cell>
          <cell r="N7104" t="e">
            <v>#DIV/0!</v>
          </cell>
        </row>
        <row r="7105">
          <cell r="E7105" t="str">
            <v>HGC-Lib-2460435</v>
          </cell>
          <cell r="F7105" t="str">
            <v>LC240724041</v>
          </cell>
          <cell r="G7105">
            <v>10</v>
          </cell>
          <cell r="H7105" t="str">
            <v>singleron-3'转录组文库</v>
          </cell>
          <cell r="I7105" t="str">
            <v>XCL</v>
          </cell>
          <cell r="J7105">
            <v>9.56</v>
          </cell>
          <cell r="N7105" t="e">
            <v>#DIV/0!</v>
          </cell>
        </row>
        <row r="7106">
          <cell r="E7106" t="str">
            <v>HGC-Lib-2460498</v>
          </cell>
          <cell r="F7106" t="str">
            <v>WT_RS_1</v>
          </cell>
          <cell r="G7106">
            <v>5</v>
          </cell>
          <cell r="H7106" t="str">
            <v>small RNA文库</v>
          </cell>
          <cell r="I7106" t="str">
            <v>GZQ</v>
          </cell>
          <cell r="J7106">
            <v>13.6</v>
          </cell>
          <cell r="K7106">
            <v>282</v>
          </cell>
          <cell r="L7106" t="str">
            <v>WWH</v>
          </cell>
          <cell r="N7106">
            <v>74.195308237861397</v>
          </cell>
        </row>
        <row r="7107">
          <cell r="E7107" t="str">
            <v>HGC-Lib-2460499</v>
          </cell>
          <cell r="F7107" t="str">
            <v>WT_RS_2</v>
          </cell>
          <cell r="G7107">
            <v>5</v>
          </cell>
          <cell r="H7107" t="str">
            <v>small RNA文库</v>
          </cell>
          <cell r="I7107" t="str">
            <v>GZQ</v>
          </cell>
          <cell r="J7107">
            <v>12.6</v>
          </cell>
          <cell r="K7107">
            <v>317</v>
          </cell>
          <cell r="L7107" t="str">
            <v>WWH</v>
          </cell>
          <cell r="N7107">
            <v>61.1502062606164</v>
          </cell>
        </row>
        <row r="7108">
          <cell r="E7108" t="str">
            <v>HGC-Lib-2460500</v>
          </cell>
          <cell r="F7108" t="str">
            <v>WT_RS_3</v>
          </cell>
          <cell r="G7108">
            <v>5</v>
          </cell>
          <cell r="H7108" t="str">
            <v>small RNA文库</v>
          </cell>
          <cell r="I7108" t="str">
            <v>GZQ</v>
          </cell>
          <cell r="J7108">
            <v>12.4</v>
          </cell>
          <cell r="K7108">
            <v>289</v>
          </cell>
          <cell r="L7108" t="str">
            <v>WWH</v>
          </cell>
          <cell r="N7108">
            <v>66.010114453021004</v>
          </cell>
        </row>
        <row r="7109">
          <cell r="E7109" t="str">
            <v>HGC-Lib-2460501</v>
          </cell>
          <cell r="F7109" t="str">
            <v>KO_RS_1</v>
          </cell>
          <cell r="G7109">
            <v>5</v>
          </cell>
          <cell r="H7109" t="str">
            <v>small RNA文库</v>
          </cell>
          <cell r="I7109" t="str">
            <v>GZQ</v>
          </cell>
          <cell r="J7109">
            <v>13.1</v>
          </cell>
          <cell r="K7109">
            <v>297</v>
          </cell>
          <cell r="L7109" t="str">
            <v>WWH</v>
          </cell>
          <cell r="N7109">
            <v>67.858067858067898</v>
          </cell>
        </row>
        <row r="7110">
          <cell r="E7110" t="str">
            <v>HGC-Lib-2460502</v>
          </cell>
          <cell r="F7110" t="str">
            <v>KO_RS_2</v>
          </cell>
          <cell r="G7110">
            <v>5</v>
          </cell>
          <cell r="H7110" t="str">
            <v>small RNA文库</v>
          </cell>
          <cell r="I7110" t="str">
            <v>GZQ</v>
          </cell>
          <cell r="J7110">
            <v>12.5</v>
          </cell>
          <cell r="K7110">
            <v>272</v>
          </cell>
          <cell r="L7110" t="str">
            <v>WWH</v>
          </cell>
          <cell r="N7110">
            <v>70.701357466063399</v>
          </cell>
        </row>
        <row r="7111">
          <cell r="E7111" t="str">
            <v>HGC-Lib-2460503</v>
          </cell>
          <cell r="F7111" t="str">
            <v>KO_RS_3</v>
          </cell>
          <cell r="G7111">
            <v>5</v>
          </cell>
          <cell r="H7111" t="str">
            <v>small RNA文库</v>
          </cell>
          <cell r="I7111" t="str">
            <v>GZQ</v>
          </cell>
          <cell r="J7111">
            <v>14.7</v>
          </cell>
          <cell r="K7111">
            <v>297</v>
          </cell>
          <cell r="L7111" t="str">
            <v>WWH</v>
          </cell>
          <cell r="N7111">
            <v>76.146076146076197</v>
          </cell>
        </row>
        <row r="7112">
          <cell r="N7112" t="e">
            <v>#DIV/0!</v>
          </cell>
        </row>
        <row r="7113">
          <cell r="N7113" t="e">
            <v>#DIV/0!</v>
          </cell>
        </row>
        <row r="7114">
          <cell r="N7114" t="e">
            <v>#DIV/0!</v>
          </cell>
        </row>
        <row r="7115">
          <cell r="N7115" t="e">
            <v>#DIV/0!</v>
          </cell>
        </row>
        <row r="7116">
          <cell r="N7116" t="e">
            <v>#DIV/0!</v>
          </cell>
        </row>
        <row r="7117">
          <cell r="N7117" t="e">
            <v>#DIV/0!</v>
          </cell>
        </row>
        <row r="7118">
          <cell r="N7118" t="e">
            <v>#DIV/0!</v>
          </cell>
        </row>
        <row r="7119">
          <cell r="N7119" t="e">
            <v>#DIV/0!</v>
          </cell>
        </row>
        <row r="7120">
          <cell r="N7120" t="e">
            <v>#DIV/0!</v>
          </cell>
        </row>
        <row r="7121">
          <cell r="N7121" t="e">
            <v>#DIV/0!</v>
          </cell>
        </row>
      </sheetData>
      <sheetData sheetId="7">
        <row r="1">
          <cell r="E1" t="str">
            <v>样本编号</v>
          </cell>
          <cell r="F1" t="str">
            <v>样本名称</v>
          </cell>
          <cell r="G1" t="str">
            <v>数据量</v>
          </cell>
          <cell r="H1" t="str">
            <v>文库类型</v>
          </cell>
          <cell r="I1" t="str">
            <v>检测人</v>
          </cell>
          <cell r="J1" t="str">
            <v>浓度ng/ul</v>
          </cell>
          <cell r="K1" t="str">
            <v>平均片段</v>
          </cell>
          <cell r="L1" t="str">
            <v>检测人</v>
          </cell>
          <cell r="N1" t="str">
            <v>QubitnM</v>
          </cell>
        </row>
        <row r="2">
          <cell r="E2" t="str">
            <v>HGC-Lib-2460479</v>
          </cell>
          <cell r="F2" t="str">
            <v>GK20240718025</v>
          </cell>
          <cell r="G2">
            <v>6</v>
          </cell>
          <cell r="H2" t="str">
            <v>mRNA文库</v>
          </cell>
          <cell r="I2" t="str">
            <v>WWH</v>
          </cell>
          <cell r="J2">
            <v>29.4</v>
          </cell>
          <cell r="K2">
            <v>556</v>
          </cell>
          <cell r="L2" t="str">
            <v>WH</v>
          </cell>
          <cell r="N2">
            <v>81.350304371887106</v>
          </cell>
        </row>
        <row r="3">
          <cell r="E3" t="str">
            <v>HGC-Lib-2460480</v>
          </cell>
          <cell r="F3" t="str">
            <v>GK20240718026</v>
          </cell>
          <cell r="G3">
            <v>6</v>
          </cell>
          <cell r="H3" t="str">
            <v>mRNA文库</v>
          </cell>
          <cell r="I3" t="str">
            <v>WWH</v>
          </cell>
          <cell r="J3">
            <v>2.3199999999999998</v>
          </cell>
          <cell r="K3">
            <v>555</v>
          </cell>
          <cell r="L3" t="str">
            <v>XCL</v>
          </cell>
          <cell r="N3">
            <v>6.4310464310464299</v>
          </cell>
        </row>
        <row r="4">
          <cell r="E4" t="str">
            <v>HGC-Lib-2460481</v>
          </cell>
          <cell r="F4" t="str">
            <v>GK20240718027</v>
          </cell>
          <cell r="G4">
            <v>6</v>
          </cell>
          <cell r="H4" t="str">
            <v>mRNA文库</v>
          </cell>
          <cell r="I4" t="str">
            <v>WWH</v>
          </cell>
          <cell r="J4">
            <v>2.7</v>
          </cell>
          <cell r="K4">
            <v>552</v>
          </cell>
          <cell r="L4" t="str">
            <v>XCL</v>
          </cell>
          <cell r="N4">
            <v>7.5250836120401301</v>
          </cell>
        </row>
        <row r="5">
          <cell r="E5" t="str">
            <v>HGC-Lib-2460482</v>
          </cell>
          <cell r="F5" t="str">
            <v>GK20240718028</v>
          </cell>
          <cell r="G5">
            <v>6</v>
          </cell>
          <cell r="H5" t="str">
            <v>mRNA文库</v>
          </cell>
          <cell r="I5" t="str">
            <v>WWH</v>
          </cell>
          <cell r="J5">
            <v>9.3000000000000007</v>
          </cell>
          <cell r="K5">
            <v>548</v>
          </cell>
          <cell r="L5" t="str">
            <v>XCL</v>
          </cell>
          <cell r="N5">
            <v>26.108927568781599</v>
          </cell>
        </row>
        <row r="6">
          <cell r="E6" t="str">
            <v>HGC-Lib-2460483</v>
          </cell>
          <cell r="F6" t="str">
            <v>GK20240718029</v>
          </cell>
          <cell r="G6">
            <v>6</v>
          </cell>
          <cell r="H6" t="str">
            <v>mRNA文库</v>
          </cell>
          <cell r="I6" t="str">
            <v>WWH</v>
          </cell>
          <cell r="J6">
            <v>7.04</v>
          </cell>
          <cell r="K6">
            <v>553</v>
          </cell>
          <cell r="L6" t="str">
            <v>XCL</v>
          </cell>
          <cell r="N6">
            <v>19.585477813325902</v>
          </cell>
        </row>
        <row r="7">
          <cell r="E7" t="str">
            <v>HGC-Lib-2460484</v>
          </cell>
          <cell r="F7" t="str">
            <v>GK20240718030</v>
          </cell>
          <cell r="G7">
            <v>6</v>
          </cell>
          <cell r="H7" t="str">
            <v>mRNA文库</v>
          </cell>
          <cell r="I7" t="str">
            <v>WWH</v>
          </cell>
          <cell r="J7">
            <v>23.8</v>
          </cell>
          <cell r="K7">
            <v>555</v>
          </cell>
          <cell r="L7" t="str">
            <v>WH</v>
          </cell>
          <cell r="N7">
            <v>65.973665973666002</v>
          </cell>
        </row>
        <row r="8">
          <cell r="E8" t="str">
            <v>HGC-Lib-2460485</v>
          </cell>
          <cell r="F8" t="str">
            <v>GK20240718031</v>
          </cell>
          <cell r="G8">
            <v>6</v>
          </cell>
          <cell r="H8" t="str">
            <v>mRNA文库</v>
          </cell>
          <cell r="I8" t="str">
            <v>WWH</v>
          </cell>
          <cell r="J8">
            <v>10.1</v>
          </cell>
          <cell r="K8">
            <v>555</v>
          </cell>
          <cell r="L8" t="str">
            <v>WH</v>
          </cell>
          <cell r="N8">
            <v>27.997227997227998</v>
          </cell>
        </row>
        <row r="9">
          <cell r="E9" t="str">
            <v>HGC-Lib-2460486</v>
          </cell>
          <cell r="F9" t="str">
            <v>GK20240718032</v>
          </cell>
          <cell r="G9">
            <v>6</v>
          </cell>
          <cell r="H9" t="str">
            <v>mRNA文库</v>
          </cell>
          <cell r="I9" t="str">
            <v>WWH</v>
          </cell>
          <cell r="J9">
            <v>10.1</v>
          </cell>
          <cell r="K9">
            <v>557</v>
          </cell>
          <cell r="L9" t="str">
            <v>WH</v>
          </cell>
          <cell r="N9">
            <v>27.8966993509184</v>
          </cell>
        </row>
        <row r="10">
          <cell r="E10" t="str">
            <v>HGC-Lib-2460487</v>
          </cell>
          <cell r="F10" t="str">
            <v>GK20240718033</v>
          </cell>
          <cell r="G10">
            <v>6</v>
          </cell>
          <cell r="H10" t="str">
            <v>mRNA文库</v>
          </cell>
          <cell r="I10" t="str">
            <v>WWH</v>
          </cell>
          <cell r="J10">
            <v>17.399999999999999</v>
          </cell>
          <cell r="K10">
            <v>545</v>
          </cell>
          <cell r="L10" t="str">
            <v>WH</v>
          </cell>
          <cell r="N10">
            <v>49.117854622441797</v>
          </cell>
        </row>
        <row r="11">
          <cell r="E11" t="str">
            <v>HGC-Lib-2460488</v>
          </cell>
          <cell r="F11" t="str">
            <v>GK20240718034</v>
          </cell>
          <cell r="G11">
            <v>6</v>
          </cell>
          <cell r="H11" t="str">
            <v>mRNA文库</v>
          </cell>
          <cell r="I11" t="str">
            <v>WWH</v>
          </cell>
          <cell r="J11">
            <v>11.3</v>
          </cell>
          <cell r="K11">
            <v>554</v>
          </cell>
          <cell r="L11" t="str">
            <v>WH</v>
          </cell>
          <cell r="N11">
            <v>31.380172174396002</v>
          </cell>
        </row>
        <row r="12">
          <cell r="E12" t="str">
            <v>HGC-Lib-2460489</v>
          </cell>
          <cell r="F12" t="str">
            <v>GK20240716021</v>
          </cell>
          <cell r="G12">
            <v>6</v>
          </cell>
          <cell r="H12" t="str">
            <v>mRNA文库</v>
          </cell>
          <cell r="I12" t="str">
            <v>WWH</v>
          </cell>
          <cell r="J12">
            <v>21.2</v>
          </cell>
          <cell r="K12">
            <v>547</v>
          </cell>
          <cell r="L12" t="str">
            <v>WH</v>
          </cell>
          <cell r="N12">
            <v>59.6259316551821</v>
          </cell>
        </row>
        <row r="13">
          <cell r="E13" t="str">
            <v>HGC-Lib-2460490</v>
          </cell>
          <cell r="F13" t="str">
            <v>GK20240716022</v>
          </cell>
          <cell r="G13">
            <v>6</v>
          </cell>
          <cell r="H13" t="str">
            <v>mRNA文库</v>
          </cell>
          <cell r="I13" t="str">
            <v>WWH</v>
          </cell>
          <cell r="J13">
            <v>30</v>
          </cell>
          <cell r="K13">
            <v>537</v>
          </cell>
          <cell r="L13" t="str">
            <v>WH</v>
          </cell>
          <cell r="N13">
            <v>85.9475719810915</v>
          </cell>
        </row>
        <row r="14">
          <cell r="E14" t="str">
            <v>HGC-Lib-2460491</v>
          </cell>
          <cell r="F14" t="str">
            <v>GK20240716023</v>
          </cell>
          <cell r="G14">
            <v>6</v>
          </cell>
          <cell r="H14" t="str">
            <v>mRNA文库</v>
          </cell>
          <cell r="I14" t="str">
            <v>WWH</v>
          </cell>
          <cell r="J14">
            <v>21.8</v>
          </cell>
          <cell r="K14">
            <v>550</v>
          </cell>
          <cell r="L14" t="str">
            <v>WH</v>
          </cell>
          <cell r="N14">
            <v>60.979020979021001</v>
          </cell>
        </row>
        <row r="15">
          <cell r="E15" t="str">
            <v>HGC-Lib-2460492</v>
          </cell>
          <cell r="F15" t="str">
            <v>GK20240716024</v>
          </cell>
          <cell r="G15">
            <v>6</v>
          </cell>
          <cell r="H15" t="str">
            <v>mRNA文库</v>
          </cell>
          <cell r="I15" t="str">
            <v>WWH</v>
          </cell>
          <cell r="J15">
            <v>30.8</v>
          </cell>
          <cell r="K15">
            <v>548</v>
          </cell>
          <cell r="L15" t="str">
            <v>WH</v>
          </cell>
          <cell r="N15">
            <v>86.4682762492981</v>
          </cell>
        </row>
        <row r="16">
          <cell r="E16" t="str">
            <v>HGC-Lib-2460493</v>
          </cell>
          <cell r="F16" t="str">
            <v>GK20240716025</v>
          </cell>
          <cell r="G16">
            <v>6</v>
          </cell>
          <cell r="H16" t="str">
            <v>mRNA文库</v>
          </cell>
          <cell r="I16" t="str">
            <v>WWH</v>
          </cell>
          <cell r="J16">
            <v>29.8</v>
          </cell>
          <cell r="K16">
            <v>545</v>
          </cell>
          <cell r="L16" t="str">
            <v>WH</v>
          </cell>
          <cell r="N16">
            <v>84.121383203952007</v>
          </cell>
        </row>
        <row r="17">
          <cell r="E17" t="str">
            <v>HGC-Lib-2460494</v>
          </cell>
          <cell r="F17" t="str">
            <v>GK20240716026</v>
          </cell>
          <cell r="G17">
            <v>6</v>
          </cell>
          <cell r="H17" t="str">
            <v>mRNA文库</v>
          </cell>
          <cell r="I17" t="str">
            <v>WWH</v>
          </cell>
          <cell r="J17">
            <v>27.6</v>
          </cell>
          <cell r="K17">
            <v>550</v>
          </cell>
          <cell r="L17" t="str">
            <v>WH</v>
          </cell>
          <cell r="N17">
            <v>77.2027972027972</v>
          </cell>
        </row>
        <row r="18">
          <cell r="E18" t="str">
            <v>HGC-Lib-2460495</v>
          </cell>
          <cell r="F18" t="str">
            <v>GK20240716027</v>
          </cell>
          <cell r="G18">
            <v>6</v>
          </cell>
          <cell r="H18" t="str">
            <v>mRNA文库</v>
          </cell>
          <cell r="I18" t="str">
            <v>WWH</v>
          </cell>
          <cell r="J18">
            <v>23.4</v>
          </cell>
          <cell r="K18">
            <v>553</v>
          </cell>
          <cell r="L18" t="str">
            <v>WH</v>
          </cell>
          <cell r="N18">
            <v>65.099457504520799</v>
          </cell>
        </row>
        <row r="19">
          <cell r="E19" t="str">
            <v>HGC-Lib-2460496</v>
          </cell>
          <cell r="F19" t="str">
            <v>GK20240716028</v>
          </cell>
          <cell r="G19">
            <v>6</v>
          </cell>
          <cell r="H19" t="str">
            <v>mRNA文库</v>
          </cell>
          <cell r="I19" t="str">
            <v>WWH</v>
          </cell>
          <cell r="J19">
            <v>23.2</v>
          </cell>
          <cell r="K19">
            <v>552</v>
          </cell>
          <cell r="L19" t="str">
            <v>WH</v>
          </cell>
          <cell r="N19">
            <v>64.659977703455993</v>
          </cell>
        </row>
        <row r="20">
          <cell r="E20" t="str">
            <v>HGC-Lib-2460497</v>
          </cell>
          <cell r="F20" t="str">
            <v>GK20240716029</v>
          </cell>
          <cell r="G20">
            <v>6</v>
          </cell>
          <cell r="H20" t="str">
            <v>mRNA文库</v>
          </cell>
          <cell r="I20" t="str">
            <v>WWH</v>
          </cell>
          <cell r="J20">
            <v>24.8</v>
          </cell>
          <cell r="K20">
            <v>545</v>
          </cell>
          <cell r="L20" t="str">
            <v>WH</v>
          </cell>
          <cell r="N20">
            <v>70.007057163020505</v>
          </cell>
        </row>
        <row r="21">
          <cell r="E21" t="str">
            <v>HGC-POOL-2460514</v>
          </cell>
          <cell r="F21" t="str">
            <v>CHG6libs3</v>
          </cell>
          <cell r="G21">
            <v>110</v>
          </cell>
          <cell r="H21" t="str">
            <v>ATAC-Seq文库</v>
          </cell>
          <cell r="I21" t="str">
            <v>WWH</v>
          </cell>
          <cell r="J21">
            <v>0.52600000000000002</v>
          </cell>
          <cell r="K21">
            <v>387</v>
          </cell>
          <cell r="L21" t="str">
            <v>WWH</v>
          </cell>
          <cell r="N21">
            <v>2.09103557940767</v>
          </cell>
        </row>
        <row r="22">
          <cell r="E22" t="str">
            <v>HGC-Lib-2460515</v>
          </cell>
          <cell r="F22" t="str">
            <v>A9-5K-XDX-0729</v>
          </cell>
          <cell r="G22">
            <v>15</v>
          </cell>
          <cell r="H22" t="str">
            <v>10× 3'单细胞</v>
          </cell>
          <cell r="I22" t="str">
            <v>WWH</v>
          </cell>
          <cell r="J22">
            <v>26.6</v>
          </cell>
          <cell r="K22">
            <v>438</v>
          </cell>
          <cell r="L22" t="str">
            <v>WH</v>
          </cell>
          <cell r="N22">
            <v>93.431682472778405</v>
          </cell>
        </row>
        <row r="23">
          <cell r="E23" t="str">
            <v>HGC-Lib-2460516</v>
          </cell>
          <cell r="F23" t="str">
            <v>A9-5K-XDX-0.4x 1.2x-0729</v>
          </cell>
          <cell r="G23">
            <v>15</v>
          </cell>
          <cell r="H23" t="str">
            <v>10× 3'单细胞</v>
          </cell>
          <cell r="I23" t="str">
            <v>WWH</v>
          </cell>
          <cell r="J23">
            <v>35.799999999999997</v>
          </cell>
          <cell r="K23">
            <v>490</v>
          </cell>
          <cell r="L23" t="str">
            <v>WH</v>
          </cell>
          <cell r="N23">
            <v>112.40188383045501</v>
          </cell>
        </row>
        <row r="24">
          <cell r="E24" t="str">
            <v>HGC-Lib-2460517</v>
          </cell>
          <cell r="F24" t="str">
            <v>A9-5K-GP-0729</v>
          </cell>
          <cell r="G24">
            <v>15</v>
          </cell>
          <cell r="H24" t="str">
            <v>10× 3'单细胞</v>
          </cell>
          <cell r="I24" t="str">
            <v>WWH</v>
          </cell>
          <cell r="J24">
            <v>20.8</v>
          </cell>
          <cell r="K24">
            <v>432</v>
          </cell>
          <cell r="L24" t="str">
            <v>WH</v>
          </cell>
          <cell r="N24">
            <v>74.074074074074105</v>
          </cell>
        </row>
        <row r="25">
          <cell r="E25" t="str">
            <v>HGC-Lib-2460518</v>
          </cell>
          <cell r="F25" t="str">
            <v>A9-5K-GP-1.2x-0729</v>
          </cell>
          <cell r="G25">
            <v>15</v>
          </cell>
          <cell r="H25" t="str">
            <v>10× 3'单细胞</v>
          </cell>
          <cell r="I25" t="str">
            <v>WWH</v>
          </cell>
          <cell r="J25">
            <v>36</v>
          </cell>
          <cell r="K25">
            <v>505</v>
          </cell>
          <cell r="L25" t="str">
            <v>WH</v>
          </cell>
          <cell r="N25">
            <v>109.67250571211</v>
          </cell>
        </row>
        <row r="26">
          <cell r="E26" t="str">
            <v>HGC-Lib-2460741</v>
          </cell>
          <cell r="F26" t="str">
            <v>N_B_N4708-0R-10X31-1</v>
          </cell>
          <cell r="G26">
            <v>100</v>
          </cell>
          <cell r="H26" t="str">
            <v>10× 3'单细胞</v>
          </cell>
          <cell r="I26" t="str">
            <v>WWH</v>
          </cell>
          <cell r="J26">
            <v>19.5</v>
          </cell>
          <cell r="N26" t="e">
            <v>#DIV/0!</v>
          </cell>
        </row>
        <row r="27">
          <cell r="E27" t="str">
            <v>HGC-Lib-2460742</v>
          </cell>
          <cell r="F27" t="str">
            <v>N_B_N4708-0S-10X31-3</v>
          </cell>
          <cell r="G27">
            <v>100</v>
          </cell>
          <cell r="H27" t="str">
            <v>10× 3'单细胞</v>
          </cell>
          <cell r="I27" t="str">
            <v>WWH</v>
          </cell>
          <cell r="J27">
            <v>15.9</v>
          </cell>
          <cell r="N27" t="e">
            <v>#DIV/0!</v>
          </cell>
        </row>
        <row r="28">
          <cell r="E28" t="str">
            <v>HGC-Lib-2460743</v>
          </cell>
          <cell r="F28" t="str">
            <v>N_B_N4708-0T-10X32-1</v>
          </cell>
          <cell r="G28">
            <v>100</v>
          </cell>
          <cell r="H28" t="str">
            <v>10× 3'单细胞</v>
          </cell>
          <cell r="I28" t="str">
            <v>WWH</v>
          </cell>
          <cell r="J28">
            <v>15.1</v>
          </cell>
          <cell r="N28" t="e">
            <v>#DIV/0!</v>
          </cell>
        </row>
        <row r="29">
          <cell r="E29" t="str">
            <v>HGC-Lib-2460744</v>
          </cell>
          <cell r="F29" t="str">
            <v>N_B_N4708-0U-10X32-2</v>
          </cell>
          <cell r="G29">
            <v>100</v>
          </cell>
          <cell r="H29" t="str">
            <v>10× 3'单细胞</v>
          </cell>
          <cell r="I29" t="str">
            <v>WWH</v>
          </cell>
          <cell r="J29">
            <v>10.6</v>
          </cell>
          <cell r="N29" t="e">
            <v>#DIV/0!</v>
          </cell>
        </row>
        <row r="30">
          <cell r="E30" t="str">
            <v>HGC-Lib-2460745</v>
          </cell>
          <cell r="F30" t="str">
            <v>N_B_N4708-0V-10X33-2</v>
          </cell>
          <cell r="G30">
            <v>100</v>
          </cell>
          <cell r="H30" t="str">
            <v>10× 3'单细胞</v>
          </cell>
          <cell r="I30" t="str">
            <v>WWH</v>
          </cell>
          <cell r="J30">
            <v>16.8</v>
          </cell>
          <cell r="N30" t="e">
            <v>#DIV/0!</v>
          </cell>
        </row>
        <row r="31">
          <cell r="E31" t="str">
            <v>HGC-Lib-2460746</v>
          </cell>
          <cell r="F31" t="str">
            <v>N_B_N4716-1B-10X3SMG33_X</v>
          </cell>
          <cell r="G31">
            <v>120</v>
          </cell>
          <cell r="H31" t="str">
            <v>10× 3'单细胞</v>
          </cell>
          <cell r="I31" t="str">
            <v>WWH</v>
          </cell>
          <cell r="J31">
            <v>14.1</v>
          </cell>
          <cell r="N31" t="e">
            <v>#DIV/0!</v>
          </cell>
        </row>
        <row r="32">
          <cell r="E32" t="str">
            <v>HGC-Lib-2460747</v>
          </cell>
          <cell r="F32" t="str">
            <v>N_B_N4716-85-10X3C1</v>
          </cell>
          <cell r="G32">
            <v>100</v>
          </cell>
          <cell r="H32" t="str">
            <v>10× 3'单细胞</v>
          </cell>
          <cell r="I32" t="str">
            <v>WWH</v>
          </cell>
          <cell r="J32">
            <v>13.1</v>
          </cell>
          <cell r="N32" t="e">
            <v>#DIV/0!</v>
          </cell>
        </row>
        <row r="33">
          <cell r="E33" t="str">
            <v>HGC-Lib-2460748</v>
          </cell>
          <cell r="F33" t="str">
            <v>N_B_N4716-86-10X3C2</v>
          </cell>
          <cell r="G33">
            <v>100</v>
          </cell>
          <cell r="H33" t="str">
            <v>10× 3'单细胞</v>
          </cell>
          <cell r="I33" t="str">
            <v>WWH</v>
          </cell>
          <cell r="J33">
            <v>9.56</v>
          </cell>
          <cell r="N33" t="e">
            <v>#DIV/0!</v>
          </cell>
        </row>
        <row r="34">
          <cell r="E34" t="str">
            <v>HGC-Lib-2460749</v>
          </cell>
          <cell r="F34" t="str">
            <v>N_B_N4716-87-10X3SL1</v>
          </cell>
          <cell r="G34">
            <v>100</v>
          </cell>
          <cell r="H34" t="str">
            <v>10× 3'单细胞</v>
          </cell>
          <cell r="I34" t="str">
            <v>WWH</v>
          </cell>
          <cell r="J34">
            <v>9.68</v>
          </cell>
          <cell r="N34" t="e">
            <v>#DIV/0!</v>
          </cell>
        </row>
        <row r="35">
          <cell r="E35" t="str">
            <v>HGC-Lib-2460750</v>
          </cell>
          <cell r="F35" t="str">
            <v>N_B_N4716-88-10X3SL2</v>
          </cell>
          <cell r="G35">
            <v>100</v>
          </cell>
          <cell r="H35" t="str">
            <v>10× 3'单细胞</v>
          </cell>
          <cell r="I35" t="str">
            <v>WWH</v>
          </cell>
          <cell r="J35">
            <v>10.7</v>
          </cell>
          <cell r="N35" t="e">
            <v>#DIV/0!</v>
          </cell>
        </row>
        <row r="36">
          <cell r="E36" t="str">
            <v>HGC-Lib-2460751</v>
          </cell>
          <cell r="F36" t="str">
            <v>N_B_N4717-1P-10X3wrc-14</v>
          </cell>
          <cell r="G36">
            <v>100</v>
          </cell>
          <cell r="H36" t="str">
            <v>10× 3'单细胞</v>
          </cell>
          <cell r="I36" t="str">
            <v>WWH</v>
          </cell>
          <cell r="J36">
            <v>17.899999999999999</v>
          </cell>
          <cell r="N36" t="e">
            <v>#DIV/0!</v>
          </cell>
        </row>
        <row r="37">
          <cell r="E37" t="str">
            <v>HGC-Lib-2460752</v>
          </cell>
          <cell r="F37" t="str">
            <v>N_B_N4718-0G-10X3Control</v>
          </cell>
          <cell r="G37">
            <v>100</v>
          </cell>
          <cell r="H37" t="str">
            <v>10× 3'单细胞</v>
          </cell>
          <cell r="I37" t="str">
            <v>WWH</v>
          </cell>
          <cell r="J37">
            <v>13.6</v>
          </cell>
          <cell r="N37" t="e">
            <v>#DIV/0!</v>
          </cell>
        </row>
        <row r="38">
          <cell r="E38" t="str">
            <v>HGC-Lib-2460753</v>
          </cell>
          <cell r="F38" t="str">
            <v>N_B_N4718-0H-10X3Grafted</v>
          </cell>
          <cell r="G38">
            <v>100</v>
          </cell>
          <cell r="H38" t="str">
            <v>10× 3'单细胞</v>
          </cell>
          <cell r="I38" t="str">
            <v>WWH</v>
          </cell>
          <cell r="J38">
            <v>19.2</v>
          </cell>
          <cell r="N38" t="e">
            <v>#DIV/0!</v>
          </cell>
        </row>
        <row r="39">
          <cell r="E39" t="str">
            <v>HGC-Lib-2460754</v>
          </cell>
          <cell r="F39" t="str">
            <v>N_B_N4718-1Z-10X3SUV01</v>
          </cell>
          <cell r="G39">
            <v>150</v>
          </cell>
          <cell r="H39" t="str">
            <v>10× 3'单细胞</v>
          </cell>
          <cell r="I39" t="str">
            <v>WWH</v>
          </cell>
          <cell r="J39">
            <v>8.6</v>
          </cell>
          <cell r="N39" t="e">
            <v>#DIV/0!</v>
          </cell>
        </row>
        <row r="40">
          <cell r="E40" t="str">
            <v>HGC-Lib-2460755</v>
          </cell>
          <cell r="F40" t="str">
            <v>N_B_N4718-20-10X3DIE01</v>
          </cell>
          <cell r="G40">
            <v>150</v>
          </cell>
          <cell r="H40" t="str">
            <v>10× 3'单细胞</v>
          </cell>
          <cell r="I40" t="str">
            <v>WWH</v>
          </cell>
          <cell r="J40">
            <v>24</v>
          </cell>
          <cell r="N40" t="e">
            <v>#DIV/0!</v>
          </cell>
        </row>
        <row r="41">
          <cell r="E41" t="str">
            <v>HGC-Lib-2460756</v>
          </cell>
          <cell r="F41" t="str">
            <v>N_B_N4719-2K-10X324Y11F1</v>
          </cell>
          <cell r="G41">
            <v>100</v>
          </cell>
          <cell r="H41" t="str">
            <v>10× 3'单细胞</v>
          </cell>
          <cell r="I41" t="str">
            <v>WWH</v>
          </cell>
          <cell r="J41">
            <v>14</v>
          </cell>
          <cell r="N41" t="e">
            <v>#DIV/0!</v>
          </cell>
        </row>
        <row r="42">
          <cell r="E42" t="str">
            <v>HGC-Lib-2460757</v>
          </cell>
          <cell r="F42" t="str">
            <v>N_B_N4719-2M-10X324Y11F2</v>
          </cell>
          <cell r="G42">
            <v>100</v>
          </cell>
          <cell r="H42" t="str">
            <v>10× 3'单细胞</v>
          </cell>
          <cell r="I42" t="str">
            <v>WWH</v>
          </cell>
          <cell r="J42">
            <v>16.8</v>
          </cell>
          <cell r="N42" t="e">
            <v>#DIV/0!</v>
          </cell>
        </row>
        <row r="43">
          <cell r="E43" t="str">
            <v>HGC-Lib-2460758</v>
          </cell>
          <cell r="F43" t="str">
            <v>N_B_N4722-1Z-10X31939084-ZY</v>
          </cell>
          <cell r="G43">
            <v>100</v>
          </cell>
          <cell r="H43" t="str">
            <v>10× 3'单细胞</v>
          </cell>
          <cell r="I43" t="str">
            <v>WWH</v>
          </cell>
          <cell r="J43">
            <v>19.399999999999999</v>
          </cell>
          <cell r="N43" t="e">
            <v>#DIV/0!</v>
          </cell>
        </row>
        <row r="44">
          <cell r="E44" t="str">
            <v>HGC-Lib-2460759</v>
          </cell>
          <cell r="F44" t="str">
            <v>N_B_N4722-20-10X31939084-YF</v>
          </cell>
          <cell r="G44">
            <v>100</v>
          </cell>
          <cell r="H44" t="str">
            <v>10× 3'单细胞</v>
          </cell>
          <cell r="I44" t="str">
            <v>WWH</v>
          </cell>
          <cell r="J44">
            <v>17.7</v>
          </cell>
          <cell r="N44" t="e">
            <v>#DIV/0!</v>
          </cell>
        </row>
        <row r="45">
          <cell r="E45" t="str">
            <v>HGC-Lib-2460760</v>
          </cell>
          <cell r="F45" t="str">
            <v>N_B_N4719-1N-10X3ctrl-D320</v>
          </cell>
          <cell r="G45">
            <v>100</v>
          </cell>
          <cell r="H45" t="str">
            <v>10× 3'单细胞</v>
          </cell>
          <cell r="I45" t="str">
            <v>WWH</v>
          </cell>
          <cell r="J45">
            <v>24.8</v>
          </cell>
          <cell r="N45" t="e">
            <v>#DIV/0!</v>
          </cell>
        </row>
        <row r="46">
          <cell r="E46" t="str">
            <v>HGC-Lib-2460761</v>
          </cell>
          <cell r="F46" t="str">
            <v>N_B_N4716-0Q-10X5P2-2</v>
          </cell>
          <cell r="G46">
            <v>100</v>
          </cell>
          <cell r="H46" t="str">
            <v>10x 5'单细胞</v>
          </cell>
          <cell r="I46" t="str">
            <v>WWH</v>
          </cell>
          <cell r="J46">
            <v>21.8</v>
          </cell>
          <cell r="N46" t="e">
            <v>#DIV/0!</v>
          </cell>
        </row>
        <row r="47">
          <cell r="E47" t="str">
            <v>HGC-Lib-2460762</v>
          </cell>
          <cell r="F47" t="str">
            <v>N_B_N4716-01-BDv2blood-0718</v>
          </cell>
          <cell r="G47">
            <v>100</v>
          </cell>
          <cell r="H47" t="str">
            <v>BD-单细胞</v>
          </cell>
          <cell r="I47" t="str">
            <v>WWH</v>
          </cell>
          <cell r="J47">
            <v>17.100000000000001</v>
          </cell>
          <cell r="N47" t="e">
            <v>#DIV/0!</v>
          </cell>
        </row>
        <row r="48">
          <cell r="E48" t="str">
            <v>HGC-Lib-2460763</v>
          </cell>
          <cell r="F48" t="str">
            <v>N_B_N4717-0G-BDv2LM9</v>
          </cell>
          <cell r="G48">
            <v>100</v>
          </cell>
          <cell r="H48" t="str">
            <v>BD-单细胞</v>
          </cell>
          <cell r="I48" t="str">
            <v>WWH</v>
          </cell>
          <cell r="J48">
            <v>16.600000000000001</v>
          </cell>
          <cell r="N48" t="e">
            <v>#DIV/0!</v>
          </cell>
        </row>
        <row r="49">
          <cell r="E49" t="str">
            <v>HGC-Lib-2460764</v>
          </cell>
          <cell r="F49" t="str">
            <v>N_B_N4717-1G-BDv2wangyankailiaoqianxue</v>
          </cell>
          <cell r="G49">
            <v>100</v>
          </cell>
          <cell r="H49" t="str">
            <v>BD-单细胞</v>
          </cell>
          <cell r="I49" t="str">
            <v>WWH</v>
          </cell>
          <cell r="J49">
            <v>34.6</v>
          </cell>
          <cell r="N49" t="e">
            <v>#DIV/0!</v>
          </cell>
        </row>
        <row r="50">
          <cell r="E50" t="str">
            <v>HGC-Lib-2460765</v>
          </cell>
          <cell r="F50" t="str">
            <v>N_B_N4717-1D-BDv2lishidaliaoqianpifu</v>
          </cell>
          <cell r="G50">
            <v>100</v>
          </cell>
          <cell r="H50" t="str">
            <v>BD-单细胞</v>
          </cell>
          <cell r="I50" t="str">
            <v>YHT</v>
          </cell>
          <cell r="J50">
            <v>24</v>
          </cell>
          <cell r="N50" t="e">
            <v>#DIV/0!</v>
          </cell>
        </row>
        <row r="51">
          <cell r="E51" t="str">
            <v>HGC-Lib-2460766</v>
          </cell>
          <cell r="F51" t="str">
            <v>N_B_N4717-1E-BDv2wangyankailiaoqianpifu</v>
          </cell>
          <cell r="G51">
            <v>100</v>
          </cell>
          <cell r="H51" t="str">
            <v>BD-单细胞</v>
          </cell>
          <cell r="I51" t="str">
            <v>YHT</v>
          </cell>
          <cell r="J51">
            <v>26</v>
          </cell>
          <cell r="N51" t="e">
            <v>#DIV/0!</v>
          </cell>
        </row>
        <row r="52">
          <cell r="E52" t="str">
            <v>HGC-Lib-2460767</v>
          </cell>
          <cell r="F52" t="str">
            <v>N_B_N4717-1F-BDv2lishidaliaoqianxue</v>
          </cell>
          <cell r="G52">
            <v>100</v>
          </cell>
          <cell r="H52" t="str">
            <v>BD-单细胞</v>
          </cell>
          <cell r="I52" t="str">
            <v>YHT</v>
          </cell>
          <cell r="J52">
            <v>31</v>
          </cell>
          <cell r="N52" t="e">
            <v>#DIV/0!</v>
          </cell>
        </row>
        <row r="53">
          <cell r="E53" t="str">
            <v>HGC-Lib-2460768</v>
          </cell>
          <cell r="F53" t="str">
            <v>N_B_N4718-1R-BDv2null</v>
          </cell>
          <cell r="G53">
            <v>100</v>
          </cell>
          <cell r="H53" t="str">
            <v>BD-单细胞</v>
          </cell>
          <cell r="I53" t="str">
            <v>YHT</v>
          </cell>
          <cell r="J53">
            <v>22.6</v>
          </cell>
          <cell r="N53" t="e">
            <v>#DIV/0!</v>
          </cell>
        </row>
        <row r="54">
          <cell r="E54" t="str">
            <v>HGC-Lib-2460769</v>
          </cell>
          <cell r="F54" t="str">
            <v>M10</v>
          </cell>
          <cell r="G54">
            <v>5</v>
          </cell>
          <cell r="H54" t="str">
            <v>PCR产物文库</v>
          </cell>
          <cell r="I54" t="str">
            <v>YHT</v>
          </cell>
          <cell r="J54">
            <v>8.84</v>
          </cell>
          <cell r="K54">
            <v>305</v>
          </cell>
          <cell r="L54" t="str">
            <v>XCL</v>
          </cell>
          <cell r="N54">
            <v>44.590163934426201</v>
          </cell>
        </row>
        <row r="55">
          <cell r="E55" t="str">
            <v>HGC-Lib-2460770</v>
          </cell>
          <cell r="F55" t="str">
            <v>IVT-0726</v>
          </cell>
          <cell r="G55">
            <v>5</v>
          </cell>
          <cell r="H55" t="str">
            <v>PCR产物文库</v>
          </cell>
          <cell r="I55" t="str">
            <v>YHT</v>
          </cell>
          <cell r="J55">
            <v>68.400000000000006</v>
          </cell>
          <cell r="K55">
            <v>509</v>
          </cell>
          <cell r="L55" t="str">
            <v>WH</v>
          </cell>
          <cell r="N55">
            <v>206.74021459876101</v>
          </cell>
        </row>
        <row r="56">
          <cell r="E56" t="str">
            <v>HGC-Lib-2460771</v>
          </cell>
          <cell r="F56" t="str">
            <v>hTG</v>
          </cell>
          <cell r="G56">
            <v>5</v>
          </cell>
          <cell r="H56" t="str">
            <v>PCR产物文库</v>
          </cell>
          <cell r="I56" t="str">
            <v>YHT</v>
          </cell>
          <cell r="J56">
            <v>35.6</v>
          </cell>
          <cell r="K56">
            <v>451</v>
          </cell>
          <cell r="L56" t="str">
            <v>WH</v>
          </cell>
          <cell r="N56">
            <v>121.43953607368201</v>
          </cell>
        </row>
        <row r="57">
          <cell r="E57" t="str">
            <v>HGC-POOL-2460792</v>
          </cell>
          <cell r="F57" t="str">
            <v>AT106</v>
          </cell>
          <cell r="G57">
            <v>100</v>
          </cell>
          <cell r="H57" t="str">
            <v>10XATAC测序</v>
          </cell>
          <cell r="I57" t="str">
            <v>YHT</v>
          </cell>
          <cell r="J57">
            <v>75.8</v>
          </cell>
          <cell r="N57" t="e">
            <v>#DIV/0!</v>
          </cell>
        </row>
        <row r="58">
          <cell r="E58" t="str">
            <v>HGC-POOL-2460793</v>
          </cell>
          <cell r="F58" t="str">
            <v>AT107</v>
          </cell>
          <cell r="G58">
            <v>100</v>
          </cell>
          <cell r="H58" t="str">
            <v>10XATAC测序</v>
          </cell>
          <cell r="I58" t="str">
            <v>YHT</v>
          </cell>
          <cell r="J58">
            <v>81.400000000000006</v>
          </cell>
          <cell r="N58" t="e">
            <v>#DIV/0!</v>
          </cell>
        </row>
        <row r="59">
          <cell r="E59" t="str">
            <v>HGC-POOL-2460794</v>
          </cell>
          <cell r="F59" t="str">
            <v>AT108</v>
          </cell>
          <cell r="G59">
            <v>100</v>
          </cell>
          <cell r="H59" t="str">
            <v>10XATAC测序</v>
          </cell>
          <cell r="I59" t="str">
            <v>YHT</v>
          </cell>
          <cell r="J59">
            <v>106</v>
          </cell>
          <cell r="N59" t="e">
            <v>#DIV/0!</v>
          </cell>
        </row>
        <row r="60">
          <cell r="E60" t="str">
            <v>HGC-POOL-2460795</v>
          </cell>
          <cell r="F60" t="str">
            <v>AT109</v>
          </cell>
          <cell r="G60">
            <v>100</v>
          </cell>
          <cell r="H60" t="str">
            <v>10XATAC测序</v>
          </cell>
          <cell r="I60" t="str">
            <v>YHT</v>
          </cell>
          <cell r="J60">
            <v>83.8</v>
          </cell>
          <cell r="N60" t="e">
            <v>#DIV/0!</v>
          </cell>
        </row>
        <row r="61">
          <cell r="E61" t="str">
            <v>HGC-POOL-2460796</v>
          </cell>
          <cell r="F61" t="str">
            <v>AT110</v>
          </cell>
          <cell r="G61">
            <v>100</v>
          </cell>
          <cell r="H61" t="str">
            <v>10XATAC测序</v>
          </cell>
          <cell r="I61" t="str">
            <v>YHT</v>
          </cell>
          <cell r="J61">
            <v>98.6</v>
          </cell>
          <cell r="N61" t="e">
            <v>#DIV/0!</v>
          </cell>
        </row>
        <row r="62">
          <cell r="E62" t="str">
            <v>HGC-POOL-2460797</v>
          </cell>
          <cell r="F62" t="str">
            <v>AT111</v>
          </cell>
          <cell r="G62">
            <v>100</v>
          </cell>
          <cell r="H62" t="str">
            <v>10XATAC测序</v>
          </cell>
          <cell r="I62" t="str">
            <v>YHT</v>
          </cell>
          <cell r="J62">
            <v>104</v>
          </cell>
          <cell r="N62" t="e">
            <v>#DIV/0!</v>
          </cell>
        </row>
        <row r="63">
          <cell r="E63" t="str">
            <v>HGC-POOL-2460798</v>
          </cell>
          <cell r="F63" t="str">
            <v>AT112</v>
          </cell>
          <cell r="G63">
            <v>100</v>
          </cell>
          <cell r="H63" t="str">
            <v>10XATAC测序</v>
          </cell>
          <cell r="I63" t="str">
            <v>YHT</v>
          </cell>
          <cell r="J63">
            <v>106</v>
          </cell>
          <cell r="N63" t="e">
            <v>#DIV/0!</v>
          </cell>
        </row>
        <row r="64">
          <cell r="E64" t="str">
            <v>HGC-POOL-2460799</v>
          </cell>
          <cell r="F64" t="str">
            <v>AT113</v>
          </cell>
          <cell r="G64">
            <v>150</v>
          </cell>
          <cell r="H64" t="str">
            <v>10XATAC测序</v>
          </cell>
          <cell r="I64" t="str">
            <v>YHT</v>
          </cell>
          <cell r="J64">
            <v>92.4</v>
          </cell>
          <cell r="N64" t="e">
            <v>#DIV/0!</v>
          </cell>
        </row>
        <row r="65">
          <cell r="E65" t="str">
            <v>HGC-POOL-2460800</v>
          </cell>
          <cell r="F65" t="str">
            <v>ATMA4</v>
          </cell>
          <cell r="G65">
            <v>100</v>
          </cell>
          <cell r="H65" t="str">
            <v>多组学ATAC</v>
          </cell>
          <cell r="I65" t="str">
            <v>YHT</v>
          </cell>
          <cell r="J65">
            <v>13.6</v>
          </cell>
          <cell r="N65" t="e">
            <v>#DIV/0!</v>
          </cell>
        </row>
        <row r="66">
          <cell r="E66" t="str">
            <v>HGC-POOL-2460801</v>
          </cell>
          <cell r="F66" t="str">
            <v>ATMA5</v>
          </cell>
          <cell r="G66">
            <v>100</v>
          </cell>
          <cell r="H66" t="str">
            <v>多组学ATAC</v>
          </cell>
          <cell r="I66" t="str">
            <v>YHT</v>
          </cell>
          <cell r="J66">
            <v>39.6</v>
          </cell>
          <cell r="N66" t="e">
            <v>#DIV/0!</v>
          </cell>
        </row>
        <row r="67">
          <cell r="E67" t="str">
            <v>HGC-Lib-2460802</v>
          </cell>
          <cell r="F67" t="str">
            <v>RA-H3K18</v>
          </cell>
          <cell r="G67">
            <v>10</v>
          </cell>
          <cell r="H67" t="str">
            <v>cut&amp;tag文库</v>
          </cell>
          <cell r="I67" t="str">
            <v>YHT</v>
          </cell>
          <cell r="J67">
            <v>1.26</v>
          </cell>
          <cell r="N67" t="e">
            <v>#DIV/0!</v>
          </cell>
        </row>
        <row r="68">
          <cell r="E68" t="str">
            <v>HGC-Lib-2460803</v>
          </cell>
          <cell r="F68" t="str">
            <v>OIR-H3K18</v>
          </cell>
          <cell r="G68">
            <v>10</v>
          </cell>
          <cell r="H68" t="str">
            <v>cut&amp;tag文库</v>
          </cell>
          <cell r="I68" t="str">
            <v>YHT</v>
          </cell>
          <cell r="J68">
            <v>2.86</v>
          </cell>
          <cell r="N68" t="e">
            <v>#DIV/0!</v>
          </cell>
        </row>
        <row r="69">
          <cell r="E69" t="str">
            <v>HGC-Lib-2460804</v>
          </cell>
          <cell r="F69" t="str">
            <v>LA240725090</v>
          </cell>
          <cell r="G69">
            <v>150</v>
          </cell>
          <cell r="H69" t="str">
            <v>singleron-3'转录组文库</v>
          </cell>
          <cell r="I69" t="str">
            <v>YHT</v>
          </cell>
          <cell r="J69">
            <v>18.899999999999999</v>
          </cell>
          <cell r="N69" t="e">
            <v>#DIV/0!</v>
          </cell>
        </row>
        <row r="70">
          <cell r="E70" t="str">
            <v>HGC-Lib-2460805</v>
          </cell>
          <cell r="F70" t="str">
            <v>LA240724084</v>
          </cell>
          <cell r="G70">
            <v>150</v>
          </cell>
          <cell r="H70" t="str">
            <v>singleron-3'转录组文库</v>
          </cell>
          <cell r="I70" t="str">
            <v>YHT</v>
          </cell>
          <cell r="J70">
            <v>13.1</v>
          </cell>
          <cell r="N70" t="e">
            <v>#DIV/0!</v>
          </cell>
        </row>
        <row r="71">
          <cell r="E71" t="str">
            <v>HGC-Lib-2460806</v>
          </cell>
          <cell r="F71" t="str">
            <v>LA240725098</v>
          </cell>
          <cell r="G71">
            <v>90</v>
          </cell>
          <cell r="H71" t="str">
            <v>singleron-3'转录组文库</v>
          </cell>
          <cell r="I71" t="str">
            <v>YHT</v>
          </cell>
          <cell r="J71">
            <v>15.1</v>
          </cell>
          <cell r="N71" t="e">
            <v>#DIV/0!</v>
          </cell>
        </row>
        <row r="72">
          <cell r="E72" t="str">
            <v>HGC-Lib-2460807</v>
          </cell>
          <cell r="F72" t="str">
            <v>LA240725097X2</v>
          </cell>
          <cell r="G72">
            <v>90</v>
          </cell>
          <cell r="H72" t="str">
            <v>singleron-3'转录组文库</v>
          </cell>
          <cell r="I72" t="str">
            <v>YHT</v>
          </cell>
          <cell r="J72">
            <v>19.899999999999999</v>
          </cell>
          <cell r="N72" t="e">
            <v>#DIV/0!</v>
          </cell>
        </row>
        <row r="73">
          <cell r="E73" t="str">
            <v>HGC-Lib-2460808</v>
          </cell>
          <cell r="F73" t="str">
            <v>LA240725053FS</v>
          </cell>
          <cell r="G73">
            <v>100</v>
          </cell>
          <cell r="H73" t="str">
            <v>singleron-3'转录组文库</v>
          </cell>
          <cell r="I73" t="str">
            <v>YHT</v>
          </cell>
          <cell r="J73">
            <v>14.8</v>
          </cell>
          <cell r="N73" t="e">
            <v>#DIV/0!</v>
          </cell>
        </row>
        <row r="74">
          <cell r="E74" t="str">
            <v>HGC-Lib-2460809</v>
          </cell>
          <cell r="F74" t="str">
            <v>LA240725091</v>
          </cell>
          <cell r="G74">
            <v>150</v>
          </cell>
          <cell r="H74" t="str">
            <v>singleron-3'转录组文库</v>
          </cell>
          <cell r="I74" t="str">
            <v>YHT</v>
          </cell>
          <cell r="J74">
            <v>17.100000000000001</v>
          </cell>
          <cell r="N74" t="e">
            <v>#DIV/0!</v>
          </cell>
        </row>
        <row r="75">
          <cell r="E75" t="str">
            <v>HGC-Lib-2460810</v>
          </cell>
          <cell r="F75" t="str">
            <v>LFTBC240724001</v>
          </cell>
          <cell r="G75">
            <v>90</v>
          </cell>
          <cell r="H75" t="str">
            <v>singleron-3'全长转录组文库</v>
          </cell>
          <cell r="I75" t="str">
            <v>YHT</v>
          </cell>
          <cell r="J75">
            <v>12.7</v>
          </cell>
          <cell r="N75" t="e">
            <v>#DIV/0!</v>
          </cell>
        </row>
        <row r="76">
          <cell r="E76" t="str">
            <v>HGC-Lib-2460811</v>
          </cell>
          <cell r="F76" t="str">
            <v>LFTBC240723004</v>
          </cell>
          <cell r="G76">
            <v>90</v>
          </cell>
          <cell r="H76" t="str">
            <v>singleron-3'全长转录组文库</v>
          </cell>
          <cell r="I76" t="str">
            <v>YHT</v>
          </cell>
          <cell r="J76">
            <v>16.3</v>
          </cell>
          <cell r="N76" t="e">
            <v>#DIV/0!</v>
          </cell>
        </row>
        <row r="77">
          <cell r="E77" t="str">
            <v>HGC-Lib-2460812</v>
          </cell>
          <cell r="F77" t="str">
            <v>LFTBC240722031FSX2</v>
          </cell>
          <cell r="G77">
            <v>90</v>
          </cell>
          <cell r="H77" t="str">
            <v>singleron-3'全长转录组文库</v>
          </cell>
          <cell r="I77" t="str">
            <v>YHT</v>
          </cell>
          <cell r="J77">
            <v>13.3</v>
          </cell>
          <cell r="N77" t="e">
            <v>#DIV/0!</v>
          </cell>
        </row>
        <row r="78">
          <cell r="E78" t="str">
            <v>HGC-Lib-2460813</v>
          </cell>
          <cell r="F78" t="str">
            <v>LFTBC240723005</v>
          </cell>
          <cell r="G78">
            <v>90</v>
          </cell>
          <cell r="H78" t="str">
            <v>singleron-3'全长转录组文库</v>
          </cell>
          <cell r="I78" t="str">
            <v>YHT</v>
          </cell>
          <cell r="J78">
            <v>20.8</v>
          </cell>
          <cell r="N78" t="e">
            <v>#DIV/0!</v>
          </cell>
        </row>
        <row r="79">
          <cell r="E79" t="str">
            <v>HGC-Lib-2460814</v>
          </cell>
          <cell r="F79" t="str">
            <v>LA240726001</v>
          </cell>
          <cell r="G79">
            <v>90</v>
          </cell>
          <cell r="H79" t="str">
            <v>singleron-3'转录组文库</v>
          </cell>
          <cell r="I79" t="str">
            <v>YHT</v>
          </cell>
          <cell r="J79">
            <v>15</v>
          </cell>
          <cell r="N79" t="e">
            <v>#DIV/0!</v>
          </cell>
        </row>
        <row r="80">
          <cell r="E80" t="str">
            <v>HGC-Lib-2460815</v>
          </cell>
          <cell r="F80" t="str">
            <v>LHC240724004</v>
          </cell>
          <cell r="G80">
            <v>200</v>
          </cell>
          <cell r="H80" t="str">
            <v>singleron-3'转录组文库</v>
          </cell>
          <cell r="I80" t="str">
            <v>YHT</v>
          </cell>
          <cell r="J80">
            <v>21.4</v>
          </cell>
          <cell r="N80" t="e">
            <v>#DIV/0!</v>
          </cell>
        </row>
        <row r="81">
          <cell r="E81" t="str">
            <v>HGC-Lib-2460816</v>
          </cell>
          <cell r="F81" t="str">
            <v>ATACLC240727060</v>
          </cell>
          <cell r="G81">
            <v>40</v>
          </cell>
          <cell r="H81" t="str">
            <v>singleron-ATAC文库</v>
          </cell>
          <cell r="I81" t="str">
            <v>YHT</v>
          </cell>
          <cell r="J81">
            <v>40.6</v>
          </cell>
          <cell r="N81" t="e">
            <v>#DIV/0!</v>
          </cell>
        </row>
        <row r="82">
          <cell r="E82" t="str">
            <v>HGC-Lib-2460817</v>
          </cell>
          <cell r="F82" t="str">
            <v>LFTA240726030</v>
          </cell>
          <cell r="G82">
            <v>120</v>
          </cell>
          <cell r="H82" t="str">
            <v>singleron-3'全长转录组文库</v>
          </cell>
          <cell r="I82" t="str">
            <v>YHT</v>
          </cell>
          <cell r="J82">
            <v>16.2</v>
          </cell>
          <cell r="N82" t="e">
            <v>#DIV/0!</v>
          </cell>
        </row>
        <row r="83">
          <cell r="E83" t="str">
            <v>HGC-Lib-2460818</v>
          </cell>
          <cell r="F83" t="str">
            <v>LFTC240726029</v>
          </cell>
          <cell r="G83">
            <v>120</v>
          </cell>
          <cell r="H83" t="str">
            <v>singleron-3'全长转录组文库</v>
          </cell>
          <cell r="I83" t="str">
            <v>YHT</v>
          </cell>
          <cell r="J83">
            <v>23.8</v>
          </cell>
          <cell r="N83" t="e">
            <v>#DIV/0!</v>
          </cell>
        </row>
        <row r="84">
          <cell r="E84" t="str">
            <v>HGC-Lib-2460819</v>
          </cell>
          <cell r="F84" t="str">
            <v>LFTA240726028</v>
          </cell>
          <cell r="G84">
            <v>120</v>
          </cell>
          <cell r="H84" t="str">
            <v>singleron-3'全长转录组文库</v>
          </cell>
          <cell r="I84" t="str">
            <v>YHT</v>
          </cell>
          <cell r="J84">
            <v>23.4</v>
          </cell>
          <cell r="N84" t="e">
            <v>#DIV/0!</v>
          </cell>
        </row>
        <row r="85">
          <cell r="E85" t="str">
            <v>HGC-Lib-2460820</v>
          </cell>
          <cell r="F85" t="str">
            <v>LFTC240726031</v>
          </cell>
          <cell r="G85">
            <v>120</v>
          </cell>
          <cell r="H85" t="str">
            <v>singleron-3'全长转录组文库</v>
          </cell>
          <cell r="I85" t="str">
            <v>YHT</v>
          </cell>
          <cell r="J85">
            <v>24.2</v>
          </cell>
          <cell r="N85" t="e">
            <v>#DIV/0!</v>
          </cell>
        </row>
        <row r="86">
          <cell r="E86" t="str">
            <v>HGC-Lib-2460822</v>
          </cell>
          <cell r="F86" t="str">
            <v>LA231019021</v>
          </cell>
          <cell r="G86">
            <v>10</v>
          </cell>
          <cell r="H86" t="str">
            <v>singleron-3'转录组文库</v>
          </cell>
          <cell r="N86" t="e">
            <v>#DIV/0!</v>
          </cell>
        </row>
        <row r="87">
          <cell r="E87" t="str">
            <v>HGC-POOL-2460823</v>
          </cell>
          <cell r="F87" t="str">
            <v>SAR2Llibs</v>
          </cell>
          <cell r="G87">
            <v>400</v>
          </cell>
          <cell r="H87" t="str">
            <v>10XATAC测序</v>
          </cell>
          <cell r="I87" t="str">
            <v>WWH</v>
          </cell>
          <cell r="J87">
            <v>0.81799999999999995</v>
          </cell>
          <cell r="K87">
            <v>304</v>
          </cell>
          <cell r="L87" t="str">
            <v>WWH</v>
          </cell>
          <cell r="N87">
            <v>4.1396761133603199</v>
          </cell>
        </row>
        <row r="88">
          <cell r="E88" t="str">
            <v>HGC-POOL-2460824</v>
          </cell>
          <cell r="F88" t="str">
            <v>SAR4Alibs5</v>
          </cell>
          <cell r="G88">
            <v>400</v>
          </cell>
          <cell r="H88" t="str">
            <v>10XATAC测序</v>
          </cell>
          <cell r="I88" t="str">
            <v>WWH</v>
          </cell>
          <cell r="J88">
            <v>1.18</v>
          </cell>
          <cell r="K88">
            <v>416</v>
          </cell>
          <cell r="L88" t="str">
            <v>WWH</v>
          </cell>
          <cell r="N88">
            <v>4.3639053254437901</v>
          </cell>
        </row>
        <row r="89">
          <cell r="E89" t="str">
            <v>HGC-Lib-2460860</v>
          </cell>
          <cell r="F89" t="str">
            <v>Tilapia_Spleen</v>
          </cell>
          <cell r="G89">
            <v>10</v>
          </cell>
          <cell r="H89" t="str">
            <v>ATAC-Seq文库</v>
          </cell>
          <cell r="I89" t="str">
            <v>WWH</v>
          </cell>
          <cell r="J89">
            <v>4.3600000000000003</v>
          </cell>
          <cell r="K89">
            <v>345</v>
          </cell>
          <cell r="L89" t="str">
            <v>WWH</v>
          </cell>
          <cell r="M89" t="str">
            <v>加5ul水</v>
          </cell>
          <cell r="N89">
            <v>19.442586399108102</v>
          </cell>
        </row>
        <row r="90">
          <cell r="E90" t="str">
            <v>HGC-Lib-2460861</v>
          </cell>
          <cell r="F90" t="str">
            <v>Tilapia_Headkidney</v>
          </cell>
          <cell r="G90">
            <v>10</v>
          </cell>
          <cell r="H90" t="str">
            <v>ATAC-Seq文库</v>
          </cell>
          <cell r="I90" t="str">
            <v>WWH</v>
          </cell>
          <cell r="J90">
            <v>4.47</v>
          </cell>
          <cell r="K90">
            <v>423</v>
          </cell>
          <cell r="L90" t="str">
            <v>WWH</v>
          </cell>
          <cell r="N90">
            <v>16.257501363884298</v>
          </cell>
        </row>
        <row r="91">
          <cell r="E91" t="str">
            <v>HGC-Lib-2460862</v>
          </cell>
          <cell r="F91" t="str">
            <v>Tilapia_Gut</v>
          </cell>
          <cell r="G91">
            <v>10</v>
          </cell>
          <cell r="H91" t="str">
            <v>ATAC-Seq文库</v>
          </cell>
          <cell r="I91" t="str">
            <v>WWH</v>
          </cell>
          <cell r="J91">
            <v>11.5</v>
          </cell>
          <cell r="K91">
            <v>394</v>
          </cell>
          <cell r="L91" t="str">
            <v>WWH</v>
          </cell>
          <cell r="N91">
            <v>44.904334244435802</v>
          </cell>
        </row>
        <row r="92">
          <cell r="E92" t="str">
            <v>HGC-Lib-2460863</v>
          </cell>
          <cell r="F92" t="str">
            <v>Tilapia_Stomach</v>
          </cell>
          <cell r="G92">
            <v>10</v>
          </cell>
          <cell r="H92" t="str">
            <v>ATAC-Seq文库</v>
          </cell>
          <cell r="I92" t="str">
            <v>WWH</v>
          </cell>
          <cell r="J92">
            <v>8.86</v>
          </cell>
          <cell r="K92">
            <v>418</v>
          </cell>
          <cell r="L92" t="str">
            <v>WWH</v>
          </cell>
          <cell r="N92">
            <v>32.609495767390499</v>
          </cell>
        </row>
        <row r="93">
          <cell r="E93" t="str">
            <v>HGC-Lib-2460873</v>
          </cell>
          <cell r="F93" t="str">
            <v>IVT-0731</v>
          </cell>
          <cell r="G93">
            <v>5</v>
          </cell>
          <cell r="H93" t="str">
            <v>PCR产物文库</v>
          </cell>
          <cell r="I93" t="str">
            <v>WWH</v>
          </cell>
          <cell r="J93">
            <v>76.2</v>
          </cell>
          <cell r="K93">
            <v>436</v>
          </cell>
          <cell r="L93" t="str">
            <v>WWH</v>
          </cell>
          <cell r="N93">
            <v>268.87791107974601</v>
          </cell>
        </row>
        <row r="94">
          <cell r="E94" t="str">
            <v>HGC-Lib-2460874</v>
          </cell>
          <cell r="F94" t="str">
            <v>3-2</v>
          </cell>
          <cell r="G94">
            <v>5</v>
          </cell>
          <cell r="H94" t="str">
            <v>PCR产物文库</v>
          </cell>
          <cell r="I94" t="str">
            <v>WWH</v>
          </cell>
          <cell r="J94">
            <v>35.6</v>
          </cell>
          <cell r="K94">
            <v>532</v>
          </cell>
          <cell r="L94" t="str">
            <v>WWH</v>
          </cell>
          <cell r="N94">
            <v>102.94968189705</v>
          </cell>
        </row>
        <row r="95">
          <cell r="E95" t="str">
            <v>HGC-Lib-2460875</v>
          </cell>
          <cell r="F95" t="str">
            <v>4-9</v>
          </cell>
          <cell r="G95">
            <v>5</v>
          </cell>
          <cell r="H95" t="str">
            <v>PCR产物文库</v>
          </cell>
          <cell r="I95" t="str">
            <v>WWH</v>
          </cell>
          <cell r="J95">
            <v>25.4</v>
          </cell>
          <cell r="K95">
            <v>485</v>
          </cell>
          <cell r="L95" t="str">
            <v>WWH</v>
          </cell>
          <cell r="N95">
            <v>80.570975416336196</v>
          </cell>
        </row>
        <row r="96">
          <cell r="E96" t="str">
            <v>HGC-Lib-2460885</v>
          </cell>
          <cell r="F96" t="str">
            <v>V1</v>
          </cell>
          <cell r="G96">
            <v>8</v>
          </cell>
          <cell r="H96" t="str">
            <v>ATAC-Seq文库</v>
          </cell>
          <cell r="I96" t="str">
            <v>WWH</v>
          </cell>
          <cell r="J96">
            <v>9.58</v>
          </cell>
          <cell r="K96">
            <v>353</v>
          </cell>
          <cell r="L96" t="str">
            <v>WWH</v>
          </cell>
          <cell r="N96">
            <v>41.752015689692698</v>
          </cell>
        </row>
        <row r="97">
          <cell r="E97" t="str">
            <v>HGC-Lib-2460886</v>
          </cell>
          <cell r="F97" t="str">
            <v>V2</v>
          </cell>
          <cell r="G97">
            <v>8</v>
          </cell>
          <cell r="H97" t="str">
            <v>ATAC-Seq文库</v>
          </cell>
          <cell r="I97" t="str">
            <v>WWH</v>
          </cell>
          <cell r="J97">
            <v>8</v>
          </cell>
          <cell r="K97">
            <v>318</v>
          </cell>
          <cell r="L97" t="str">
            <v>WWH</v>
          </cell>
          <cell r="N97">
            <v>38.703434929849998</v>
          </cell>
        </row>
        <row r="98">
          <cell r="E98" t="str">
            <v>HGC-Lib-2460887</v>
          </cell>
          <cell r="F98" t="str">
            <v>AP1</v>
          </cell>
          <cell r="G98">
            <v>8</v>
          </cell>
          <cell r="H98" t="str">
            <v>ATAC-Seq文库</v>
          </cell>
          <cell r="I98" t="str">
            <v>WWH</v>
          </cell>
          <cell r="J98">
            <v>5.76</v>
          </cell>
          <cell r="K98">
            <v>327</v>
          </cell>
          <cell r="L98" t="str">
            <v>WWH</v>
          </cell>
          <cell r="N98">
            <v>27.099505998588601</v>
          </cell>
        </row>
        <row r="99">
          <cell r="E99" t="str">
            <v>HGC-Lib-2460888</v>
          </cell>
          <cell r="F99" t="str">
            <v>AP2</v>
          </cell>
          <cell r="G99">
            <v>8</v>
          </cell>
          <cell r="H99" t="str">
            <v>ATAC-Seq文库</v>
          </cell>
          <cell r="I99" t="str">
            <v>WWH</v>
          </cell>
          <cell r="J99">
            <v>9.24</v>
          </cell>
          <cell r="K99">
            <v>314</v>
          </cell>
          <cell r="L99" t="str">
            <v>WWH</v>
          </cell>
          <cell r="N99">
            <v>45.271925526702603</v>
          </cell>
        </row>
        <row r="100">
          <cell r="E100" t="str">
            <v>HGC-2460897</v>
          </cell>
          <cell r="F100" t="str">
            <v>MC38-NC</v>
          </cell>
          <cell r="G100" t="str">
            <v>100G</v>
          </cell>
          <cell r="H100" t="str">
            <v>10X3端转录</v>
          </cell>
          <cell r="I100" t="str">
            <v>WWH</v>
          </cell>
          <cell r="J100">
            <v>58.4</v>
          </cell>
          <cell r="K100">
            <v>478</v>
          </cell>
          <cell r="L100" t="str">
            <v>WWH</v>
          </cell>
          <cell r="N100">
            <v>187.96266495011301</v>
          </cell>
        </row>
        <row r="101">
          <cell r="E101" t="str">
            <v>HGC-2460898</v>
          </cell>
          <cell r="F101" t="str">
            <v>YMC</v>
          </cell>
          <cell r="G101" t="str">
            <v>100G</v>
          </cell>
          <cell r="H101" t="str">
            <v>10X3端转录</v>
          </cell>
          <cell r="I101" t="str">
            <v>WWH</v>
          </cell>
          <cell r="J101">
            <v>49.2</v>
          </cell>
          <cell r="K101">
            <v>515</v>
          </cell>
          <cell r="L101" t="str">
            <v>WWH</v>
          </cell>
          <cell r="N101">
            <v>146.97535474234499</v>
          </cell>
        </row>
        <row r="102">
          <cell r="E102" t="str">
            <v>HGC-Lib-2460899</v>
          </cell>
          <cell r="F102" t="str">
            <v>82-K27ac</v>
          </cell>
          <cell r="G102">
            <v>6</v>
          </cell>
          <cell r="H102" t="str">
            <v>cut&amp;tag文库</v>
          </cell>
          <cell r="I102" t="str">
            <v>WWH</v>
          </cell>
          <cell r="J102">
            <v>4.92</v>
          </cell>
          <cell r="K102">
            <v>500</v>
          </cell>
          <cell r="L102" t="str">
            <v>WWH</v>
          </cell>
          <cell r="N102">
            <v>15.138461538461501</v>
          </cell>
        </row>
        <row r="103">
          <cell r="E103" t="str">
            <v>HGC-Lib-2460900</v>
          </cell>
          <cell r="F103" t="str">
            <v>82-K4Me1</v>
          </cell>
          <cell r="G103">
            <v>6</v>
          </cell>
          <cell r="H103" t="str">
            <v>cut&amp;tag文库</v>
          </cell>
          <cell r="I103" t="str">
            <v>WWH</v>
          </cell>
          <cell r="J103">
            <v>12.1</v>
          </cell>
          <cell r="K103">
            <v>521</v>
          </cell>
          <cell r="L103" t="str">
            <v>WWH</v>
          </cell>
          <cell r="N103">
            <v>35.7301048279935</v>
          </cell>
        </row>
        <row r="104">
          <cell r="E104" t="str">
            <v>HGC-Lib-2460901</v>
          </cell>
          <cell r="F104" t="str">
            <v>82-K4Me3</v>
          </cell>
          <cell r="G104">
            <v>6</v>
          </cell>
          <cell r="H104" t="str">
            <v>cut&amp;tag文库</v>
          </cell>
          <cell r="I104" t="str">
            <v>WWH</v>
          </cell>
          <cell r="J104">
            <v>46.6</v>
          </cell>
          <cell r="K104">
            <v>497</v>
          </cell>
          <cell r="L104" t="str">
            <v>WWH</v>
          </cell>
          <cell r="N104">
            <v>144.25011608110199</v>
          </cell>
        </row>
        <row r="105">
          <cell r="E105" t="str">
            <v>HGC-Lib-2460902</v>
          </cell>
          <cell r="F105" t="str">
            <v>82-K27Me3</v>
          </cell>
          <cell r="G105">
            <v>6</v>
          </cell>
          <cell r="H105" t="str">
            <v>cut&amp;tag文库</v>
          </cell>
          <cell r="I105" t="str">
            <v>WWH</v>
          </cell>
          <cell r="J105">
            <v>30.2</v>
          </cell>
          <cell r="K105">
            <v>509</v>
          </cell>
          <cell r="L105" t="str">
            <v>WWH</v>
          </cell>
          <cell r="N105">
            <v>91.280036270213103</v>
          </cell>
        </row>
        <row r="106">
          <cell r="E106" t="str">
            <v>HGC-Lib-2460903</v>
          </cell>
          <cell r="F106" t="str">
            <v>87-K27ac</v>
          </cell>
          <cell r="G106">
            <v>6</v>
          </cell>
          <cell r="H106" t="str">
            <v>cut&amp;tag文库</v>
          </cell>
          <cell r="I106" t="str">
            <v>WWH</v>
          </cell>
          <cell r="J106">
            <v>1.94</v>
          </cell>
          <cell r="K106">
            <v>483</v>
          </cell>
          <cell r="L106" t="str">
            <v>WWH</v>
          </cell>
          <cell r="N106">
            <v>6.1793279184583501</v>
          </cell>
        </row>
        <row r="107">
          <cell r="E107" t="str">
            <v>HGC-Lib-2460904</v>
          </cell>
          <cell r="F107" t="str">
            <v>87-K4Me1</v>
          </cell>
          <cell r="G107">
            <v>6</v>
          </cell>
          <cell r="H107" t="str">
            <v>cut&amp;tag文库</v>
          </cell>
          <cell r="I107" t="str">
            <v>WWH</v>
          </cell>
          <cell r="J107">
            <v>4.42</v>
          </cell>
          <cell r="K107">
            <v>503</v>
          </cell>
          <cell r="L107" t="str">
            <v>WWH</v>
          </cell>
          <cell r="N107">
            <v>13.518886679920501</v>
          </cell>
        </row>
        <row r="108">
          <cell r="E108" t="str">
            <v>HGC-Lib-2460905</v>
          </cell>
          <cell r="F108" t="str">
            <v>87-K4Me3</v>
          </cell>
          <cell r="G108">
            <v>6</v>
          </cell>
          <cell r="H108" t="str">
            <v>cut&amp;tag文库</v>
          </cell>
          <cell r="I108" t="str">
            <v>WWH</v>
          </cell>
          <cell r="J108">
            <v>15.8</v>
          </cell>
          <cell r="K108">
            <v>487</v>
          </cell>
          <cell r="L108" t="str">
            <v>WWH</v>
          </cell>
          <cell r="N108">
            <v>49.913125888485197</v>
          </cell>
        </row>
        <row r="109">
          <cell r="E109" t="str">
            <v>HGC-Lib-2460906</v>
          </cell>
          <cell r="F109" t="str">
            <v>87-K27Me3</v>
          </cell>
          <cell r="G109">
            <v>6</v>
          </cell>
          <cell r="H109" t="str">
            <v>cut&amp;tag文库</v>
          </cell>
          <cell r="I109" t="str">
            <v>WWH</v>
          </cell>
          <cell r="J109">
            <v>5.74</v>
          </cell>
          <cell r="K109">
            <v>498</v>
          </cell>
          <cell r="L109" t="str">
            <v>WWH</v>
          </cell>
          <cell r="N109">
            <v>17.732468334878</v>
          </cell>
        </row>
        <row r="110">
          <cell r="E110" t="str">
            <v>HGC-Lib-2460907</v>
          </cell>
          <cell r="F110" t="str">
            <v>T820-2</v>
          </cell>
          <cell r="G110">
            <v>6</v>
          </cell>
          <cell r="H110" t="str">
            <v>mRNA文库</v>
          </cell>
          <cell r="I110" t="str">
            <v>WWH</v>
          </cell>
          <cell r="J110">
            <v>44.4</v>
          </cell>
          <cell r="N110" t="e">
            <v>#DIV/0!</v>
          </cell>
        </row>
        <row r="111">
          <cell r="E111" t="str">
            <v>HGC-Lib-2460908</v>
          </cell>
          <cell r="F111" t="str">
            <v>T820-3</v>
          </cell>
          <cell r="G111">
            <v>6</v>
          </cell>
          <cell r="H111" t="str">
            <v>mRNA文库</v>
          </cell>
          <cell r="I111" t="str">
            <v>WWH</v>
          </cell>
          <cell r="J111">
            <v>37.200000000000003</v>
          </cell>
          <cell r="N111" t="e">
            <v>#DIV/0!</v>
          </cell>
        </row>
        <row r="112">
          <cell r="E112" t="str">
            <v>HGC-Lib-2460909</v>
          </cell>
          <cell r="F112" t="str">
            <v>T871-1</v>
          </cell>
          <cell r="G112">
            <v>10</v>
          </cell>
          <cell r="H112" t="str">
            <v>全基因组文库</v>
          </cell>
          <cell r="I112" t="str">
            <v>WWH</v>
          </cell>
          <cell r="J112">
            <v>4.1399999999999997</v>
          </cell>
          <cell r="N112" t="e">
            <v>#DIV/0!</v>
          </cell>
        </row>
        <row r="113">
          <cell r="E113" t="str">
            <v>HGC-Lib-2460910</v>
          </cell>
          <cell r="F113" t="str">
            <v>LA240725117</v>
          </cell>
          <cell r="G113">
            <v>90</v>
          </cell>
          <cell r="H113" t="str">
            <v>singleron-3'转录组文库</v>
          </cell>
          <cell r="I113" t="str">
            <v>ZZ</v>
          </cell>
          <cell r="J113">
            <v>16.899999999999999</v>
          </cell>
          <cell r="N113" t="e">
            <v>#DIV/0!</v>
          </cell>
        </row>
        <row r="114">
          <cell r="E114" t="str">
            <v>HGC-Lib-2460911</v>
          </cell>
          <cell r="F114" t="str">
            <v>LA240725118</v>
          </cell>
          <cell r="G114">
            <v>90</v>
          </cell>
          <cell r="H114" t="str">
            <v>singleron-3'转录组文库</v>
          </cell>
          <cell r="I114" t="str">
            <v>ZZ</v>
          </cell>
          <cell r="J114">
            <v>14.3</v>
          </cell>
          <cell r="N114" t="e">
            <v>#DIV/0!</v>
          </cell>
        </row>
        <row r="115">
          <cell r="E115" t="str">
            <v>HGC-Lib-2460912</v>
          </cell>
          <cell r="F115" t="str">
            <v>LA240725119</v>
          </cell>
          <cell r="G115">
            <v>90</v>
          </cell>
          <cell r="H115" t="str">
            <v>singleron-3'转录组文库</v>
          </cell>
          <cell r="I115" t="str">
            <v>ZZ</v>
          </cell>
          <cell r="J115">
            <v>16.600000000000001</v>
          </cell>
          <cell r="N115" t="e">
            <v>#DIV/0!</v>
          </cell>
        </row>
        <row r="116">
          <cell r="E116" t="str">
            <v>HGC-Lib-2460913</v>
          </cell>
          <cell r="F116" t="str">
            <v>LA240725120</v>
          </cell>
          <cell r="G116">
            <v>90</v>
          </cell>
          <cell r="H116" t="str">
            <v>singleron-3'转录组文库</v>
          </cell>
          <cell r="I116" t="str">
            <v>ZZ</v>
          </cell>
          <cell r="J116">
            <v>15.7</v>
          </cell>
          <cell r="N116" t="e">
            <v>#DIV/0!</v>
          </cell>
        </row>
        <row r="117">
          <cell r="E117" t="str">
            <v>HGC-Lib-2460914</v>
          </cell>
          <cell r="F117" t="str">
            <v>LA240725121</v>
          </cell>
          <cell r="G117">
            <v>90</v>
          </cell>
          <cell r="H117" t="str">
            <v>singleron-3'转录组文库</v>
          </cell>
          <cell r="I117" t="str">
            <v>ZZ</v>
          </cell>
          <cell r="J117">
            <v>18</v>
          </cell>
          <cell r="N117" t="e">
            <v>#DIV/0!</v>
          </cell>
        </row>
        <row r="118">
          <cell r="E118" t="str">
            <v>HGC-Lib-2460915</v>
          </cell>
          <cell r="F118" t="str">
            <v>LA240725122</v>
          </cell>
          <cell r="G118">
            <v>90</v>
          </cell>
          <cell r="H118" t="str">
            <v>singleron-3'转录组文库</v>
          </cell>
          <cell r="I118" t="str">
            <v>ZZ</v>
          </cell>
          <cell r="J118">
            <v>19.3</v>
          </cell>
          <cell r="N118" t="e">
            <v>#DIV/0!</v>
          </cell>
        </row>
        <row r="119">
          <cell r="E119" t="str">
            <v>HGC-Lib-2460916</v>
          </cell>
          <cell r="F119" t="str">
            <v>LA240725123</v>
          </cell>
          <cell r="G119">
            <v>90</v>
          </cell>
          <cell r="H119" t="str">
            <v>singleron-3'转录组文库</v>
          </cell>
          <cell r="I119" t="str">
            <v>ZZ</v>
          </cell>
          <cell r="J119">
            <v>16.3</v>
          </cell>
          <cell r="N119" t="e">
            <v>#DIV/0!</v>
          </cell>
        </row>
        <row r="120">
          <cell r="E120" t="str">
            <v>HGC-Lib-2460917</v>
          </cell>
          <cell r="F120" t="str">
            <v>LA240725124</v>
          </cell>
          <cell r="G120">
            <v>90</v>
          </cell>
          <cell r="H120" t="str">
            <v>singleron-3'转录组文库</v>
          </cell>
          <cell r="I120" t="str">
            <v>ZZ</v>
          </cell>
          <cell r="J120">
            <v>18</v>
          </cell>
          <cell r="N120" t="e">
            <v>#DIV/0!</v>
          </cell>
        </row>
        <row r="121">
          <cell r="E121" t="str">
            <v>HGC-Lib-2460918</v>
          </cell>
          <cell r="F121" t="str">
            <v>LA240725125</v>
          </cell>
          <cell r="G121">
            <v>90</v>
          </cell>
          <cell r="H121" t="str">
            <v>singleron-3'转录组文库</v>
          </cell>
          <cell r="I121" t="str">
            <v>ZZ</v>
          </cell>
          <cell r="J121">
            <v>15</v>
          </cell>
          <cell r="N121" t="e">
            <v>#DIV/0!</v>
          </cell>
        </row>
        <row r="122">
          <cell r="E122" t="str">
            <v>HGC-Lib-2460919</v>
          </cell>
          <cell r="F122" t="str">
            <v>LA240725126</v>
          </cell>
          <cell r="G122">
            <v>90</v>
          </cell>
          <cell r="H122" t="str">
            <v>singleron-3'转录组文库</v>
          </cell>
          <cell r="I122" t="str">
            <v>ZZ</v>
          </cell>
          <cell r="J122">
            <v>18.5</v>
          </cell>
          <cell r="N122" t="e">
            <v>#DIV/0!</v>
          </cell>
        </row>
        <row r="123">
          <cell r="E123" t="str">
            <v>HGC-Lib-2460920</v>
          </cell>
          <cell r="F123" t="str">
            <v>LA240725127</v>
          </cell>
          <cell r="G123">
            <v>90</v>
          </cell>
          <cell r="H123" t="str">
            <v>singleron-3'转录组文库</v>
          </cell>
          <cell r="I123" t="str">
            <v>ZZ</v>
          </cell>
          <cell r="J123">
            <v>17.5</v>
          </cell>
          <cell r="N123" t="e">
            <v>#DIV/0!</v>
          </cell>
        </row>
        <row r="124">
          <cell r="E124" t="str">
            <v>HGC-Lib-2460921</v>
          </cell>
          <cell r="F124" t="str">
            <v>LC240726051</v>
          </cell>
          <cell r="G124">
            <v>100</v>
          </cell>
          <cell r="H124" t="str">
            <v>singleron-3'转录组文库</v>
          </cell>
          <cell r="I124" t="str">
            <v>ZZ</v>
          </cell>
          <cell r="J124">
            <v>21</v>
          </cell>
          <cell r="N124" t="e">
            <v>#DIV/0!</v>
          </cell>
        </row>
        <row r="125">
          <cell r="E125" t="str">
            <v>HGC-Lib-2460922</v>
          </cell>
          <cell r="F125" t="str">
            <v>LA240726216</v>
          </cell>
          <cell r="G125">
            <v>100</v>
          </cell>
          <cell r="H125" t="str">
            <v>singleron-3'转录组文库</v>
          </cell>
          <cell r="I125" t="str">
            <v>ZZ</v>
          </cell>
          <cell r="J125">
            <v>24</v>
          </cell>
          <cell r="N125" t="e">
            <v>#DIV/0!</v>
          </cell>
        </row>
        <row r="126">
          <cell r="E126" t="str">
            <v>HGC-Lib-2460923</v>
          </cell>
          <cell r="F126" t="str">
            <v>LHC240726037</v>
          </cell>
          <cell r="G126">
            <v>200</v>
          </cell>
          <cell r="H126" t="str">
            <v>singleron-3'转录组文库</v>
          </cell>
          <cell r="I126" t="str">
            <v>ZZ</v>
          </cell>
          <cell r="J126">
            <v>18.899999999999999</v>
          </cell>
          <cell r="N126" t="e">
            <v>#DIV/0!</v>
          </cell>
        </row>
        <row r="127">
          <cell r="E127" t="str">
            <v>HGC-Lib-2460924</v>
          </cell>
          <cell r="F127" t="str">
            <v>LHC240726038</v>
          </cell>
          <cell r="G127">
            <v>200</v>
          </cell>
          <cell r="H127" t="str">
            <v>singleron-3'转录组文库</v>
          </cell>
          <cell r="I127" t="str">
            <v>ZZ</v>
          </cell>
          <cell r="J127">
            <v>16.5</v>
          </cell>
          <cell r="N127" t="e">
            <v>#DIV/0!</v>
          </cell>
        </row>
        <row r="128">
          <cell r="E128" t="str">
            <v>HGC-Lib-2460925</v>
          </cell>
          <cell r="F128" t="str">
            <v>LPMA240726215</v>
          </cell>
          <cell r="G128">
            <v>100</v>
          </cell>
          <cell r="H128" t="str">
            <v>singleron-3'转录组文库</v>
          </cell>
          <cell r="I128" t="str">
            <v>ZZ</v>
          </cell>
          <cell r="J128">
            <v>17.8</v>
          </cell>
          <cell r="N128" t="e">
            <v>#DIV/0!</v>
          </cell>
        </row>
        <row r="129">
          <cell r="E129" t="str">
            <v>HGC-Lib-2460926</v>
          </cell>
          <cell r="F129" t="str">
            <v>LA240726217</v>
          </cell>
          <cell r="G129">
            <v>90</v>
          </cell>
          <cell r="H129" t="str">
            <v>singleron-3'转录组文库</v>
          </cell>
          <cell r="I129" t="str">
            <v>ZZ</v>
          </cell>
          <cell r="J129">
            <v>15.9</v>
          </cell>
          <cell r="N129" t="e">
            <v>#DIV/0!</v>
          </cell>
        </row>
        <row r="130">
          <cell r="E130" t="str">
            <v>HGC-Lib-2460927</v>
          </cell>
          <cell r="F130" t="str">
            <v>LA240726052</v>
          </cell>
          <cell r="G130">
            <v>100</v>
          </cell>
          <cell r="H130" t="str">
            <v>singleron-3'转录组文库</v>
          </cell>
          <cell r="I130" t="str">
            <v>ZZ</v>
          </cell>
          <cell r="J130">
            <v>15.1</v>
          </cell>
          <cell r="N130" t="e">
            <v>#DIV/0!</v>
          </cell>
        </row>
        <row r="131">
          <cell r="E131" t="str">
            <v>HGC-Lib-2460928</v>
          </cell>
          <cell r="F131" t="str">
            <v>LA240726053</v>
          </cell>
          <cell r="G131">
            <v>100</v>
          </cell>
          <cell r="H131" t="str">
            <v>singleron-3'转录组文库</v>
          </cell>
          <cell r="I131" t="str">
            <v>ZZ</v>
          </cell>
          <cell r="J131">
            <v>15</v>
          </cell>
          <cell r="N131" t="e">
            <v>#DIV/0!</v>
          </cell>
        </row>
        <row r="132">
          <cell r="E132" t="str">
            <v>HGC-Lib-2460929</v>
          </cell>
          <cell r="F132" t="str">
            <v>LC240727003</v>
          </cell>
          <cell r="G132">
            <v>90</v>
          </cell>
          <cell r="H132" t="str">
            <v>singleron-3'转录组文库</v>
          </cell>
          <cell r="I132" t="str">
            <v>ZZ</v>
          </cell>
          <cell r="J132">
            <v>23.6</v>
          </cell>
          <cell r="N132" t="e">
            <v>#DIV/0!</v>
          </cell>
        </row>
        <row r="133">
          <cell r="E133" t="str">
            <v>HGC-Lib-2460930</v>
          </cell>
          <cell r="F133" t="str">
            <v>LC240727004</v>
          </cell>
          <cell r="G133">
            <v>90</v>
          </cell>
          <cell r="H133" t="str">
            <v>singleron-3'转录组文库</v>
          </cell>
          <cell r="I133" t="str">
            <v>ZZ</v>
          </cell>
          <cell r="J133">
            <v>23.8</v>
          </cell>
          <cell r="N133" t="e">
            <v>#DIV/0!</v>
          </cell>
        </row>
        <row r="134">
          <cell r="E134" t="str">
            <v>HGC-Lib-2460931</v>
          </cell>
          <cell r="F134" t="str">
            <v>LC240727005</v>
          </cell>
          <cell r="G134">
            <v>90</v>
          </cell>
          <cell r="H134" t="str">
            <v>singleron-3'转录组文库</v>
          </cell>
          <cell r="I134" t="str">
            <v>ZZ</v>
          </cell>
          <cell r="J134">
            <v>24.2</v>
          </cell>
          <cell r="N134" t="e">
            <v>#DIV/0!</v>
          </cell>
        </row>
        <row r="135">
          <cell r="E135" t="str">
            <v>HGC-Lib-2460932</v>
          </cell>
          <cell r="F135" t="str">
            <v>LC240727006</v>
          </cell>
          <cell r="G135">
            <v>90</v>
          </cell>
          <cell r="H135" t="str">
            <v>singleron-3'转录组文库</v>
          </cell>
          <cell r="I135" t="str">
            <v>ZZ</v>
          </cell>
          <cell r="J135">
            <v>31.2</v>
          </cell>
          <cell r="N135" t="e">
            <v>#DIV/0!</v>
          </cell>
        </row>
        <row r="136">
          <cell r="E136" t="str">
            <v>HGC-Lib-2460933</v>
          </cell>
          <cell r="F136" t="str">
            <v>LC240727007</v>
          </cell>
          <cell r="G136">
            <v>90</v>
          </cell>
          <cell r="H136" t="str">
            <v>singleron-3'转录组文库</v>
          </cell>
          <cell r="I136" t="str">
            <v>ZZ</v>
          </cell>
          <cell r="J136">
            <v>30.6</v>
          </cell>
          <cell r="N136" t="e">
            <v>#DIV/0!</v>
          </cell>
        </row>
        <row r="137">
          <cell r="E137" t="str">
            <v>HGC-Lib-2460934</v>
          </cell>
          <cell r="F137" t="str">
            <v>LC240727009</v>
          </cell>
          <cell r="G137">
            <v>100</v>
          </cell>
          <cell r="H137" t="str">
            <v>singleron-3'转录组文库</v>
          </cell>
          <cell r="I137" t="str">
            <v>ZZ</v>
          </cell>
          <cell r="J137">
            <v>22.6</v>
          </cell>
          <cell r="N137" t="e">
            <v>#DIV/0!</v>
          </cell>
        </row>
        <row r="138">
          <cell r="E138" t="str">
            <v>HGC-Lib-2460935</v>
          </cell>
          <cell r="F138" t="str">
            <v>LC240727010</v>
          </cell>
          <cell r="G138">
            <v>100</v>
          </cell>
          <cell r="H138" t="str">
            <v>singleron-3'转录组文库</v>
          </cell>
          <cell r="I138" t="str">
            <v>ZZ</v>
          </cell>
          <cell r="J138">
            <v>22</v>
          </cell>
          <cell r="N138" t="e">
            <v>#DIV/0!</v>
          </cell>
        </row>
        <row r="139">
          <cell r="E139" t="str">
            <v>HGC-Lib-2460936</v>
          </cell>
          <cell r="F139" t="str">
            <v>LC240727011</v>
          </cell>
          <cell r="G139">
            <v>150</v>
          </cell>
          <cell r="H139" t="str">
            <v>singleron-3'转录组文库</v>
          </cell>
          <cell r="I139" t="str">
            <v>ZZ</v>
          </cell>
          <cell r="J139">
            <v>14.2</v>
          </cell>
          <cell r="N139" t="e">
            <v>#DIV/0!</v>
          </cell>
        </row>
        <row r="140">
          <cell r="E140" t="str">
            <v>HGC-Lib-2460937</v>
          </cell>
          <cell r="F140" t="str">
            <v>LC240719147</v>
          </cell>
          <cell r="G140">
            <v>30</v>
          </cell>
          <cell r="H140" t="str">
            <v>singleron-3'转录组文库</v>
          </cell>
          <cell r="I140" t="str">
            <v>ZZ</v>
          </cell>
          <cell r="J140">
            <v>14</v>
          </cell>
          <cell r="N140" t="e">
            <v>#DIV/0!</v>
          </cell>
        </row>
        <row r="141">
          <cell r="E141" t="str">
            <v>HGC-Lib-2460938</v>
          </cell>
          <cell r="F141" t="str">
            <v>LC240719148</v>
          </cell>
          <cell r="G141">
            <v>30</v>
          </cell>
          <cell r="H141" t="str">
            <v>singleron-3'转录组文库</v>
          </cell>
          <cell r="I141" t="str">
            <v>ZZ</v>
          </cell>
          <cell r="J141">
            <v>18.5</v>
          </cell>
          <cell r="N141" t="e">
            <v>#DIV/0!</v>
          </cell>
        </row>
        <row r="142">
          <cell r="E142" t="str">
            <v>HGC-Lib-2460939</v>
          </cell>
          <cell r="F142" t="str">
            <v>LFC240727016</v>
          </cell>
          <cell r="G142">
            <v>90</v>
          </cell>
          <cell r="H142" t="str">
            <v>singleron-3'全长转录组文库</v>
          </cell>
          <cell r="I142" t="str">
            <v>ZZ</v>
          </cell>
          <cell r="J142">
            <v>19.5</v>
          </cell>
          <cell r="N142" t="e">
            <v>#DIV/0!</v>
          </cell>
        </row>
        <row r="143">
          <cell r="E143" t="str">
            <v>HGC-Lib-2460940</v>
          </cell>
          <cell r="F143" t="str">
            <v>LFC240727017</v>
          </cell>
          <cell r="G143">
            <v>90</v>
          </cell>
          <cell r="H143" t="str">
            <v>singleron-3'全长转录组文库</v>
          </cell>
          <cell r="I143" t="str">
            <v>ZZ</v>
          </cell>
          <cell r="J143">
            <v>18</v>
          </cell>
          <cell r="N143" t="e">
            <v>#DIV/0!</v>
          </cell>
        </row>
        <row r="144">
          <cell r="E144" t="str">
            <v>HGC-Lib-2460941</v>
          </cell>
          <cell r="F144" t="str">
            <v>LFC240727018</v>
          </cell>
          <cell r="G144">
            <v>90</v>
          </cell>
          <cell r="H144" t="str">
            <v>singleron-3'全长转录组文库</v>
          </cell>
          <cell r="I144" t="str">
            <v>ZZ</v>
          </cell>
          <cell r="J144">
            <v>18.399999999999999</v>
          </cell>
          <cell r="N144" t="e">
            <v>#DIV/0!</v>
          </cell>
        </row>
        <row r="145">
          <cell r="E145" t="str">
            <v>HGC-Lib-2460942</v>
          </cell>
          <cell r="F145" t="str">
            <v>LA240727025</v>
          </cell>
          <cell r="G145">
            <v>100</v>
          </cell>
          <cell r="H145" t="str">
            <v>singleron-3'转录组文库</v>
          </cell>
          <cell r="I145" t="str">
            <v>ZZ</v>
          </cell>
          <cell r="J145">
            <v>33.200000000000003</v>
          </cell>
          <cell r="N145" t="e">
            <v>#DIV/0!</v>
          </cell>
        </row>
        <row r="146">
          <cell r="E146" t="str">
            <v>HGC-Lib-2460943</v>
          </cell>
          <cell r="F146" t="str">
            <v>LA240727026</v>
          </cell>
          <cell r="G146">
            <v>100</v>
          </cell>
          <cell r="H146" t="str">
            <v>singleron-3'转录组文库</v>
          </cell>
          <cell r="I146" t="str">
            <v>ZZ</v>
          </cell>
          <cell r="J146">
            <v>25.6</v>
          </cell>
          <cell r="N146" t="e">
            <v>#DIV/0!</v>
          </cell>
        </row>
        <row r="147">
          <cell r="E147" t="str">
            <v>HGC-Lib-2460944</v>
          </cell>
          <cell r="F147" t="str">
            <v>LA240727027</v>
          </cell>
          <cell r="G147">
            <v>100</v>
          </cell>
          <cell r="H147" t="str">
            <v>singleron-3'转录组文库</v>
          </cell>
          <cell r="I147" t="str">
            <v>ZZ</v>
          </cell>
          <cell r="J147">
            <v>25.8</v>
          </cell>
          <cell r="N147" t="e">
            <v>#DIV/0!</v>
          </cell>
        </row>
        <row r="148">
          <cell r="E148" t="str">
            <v>HGC-Lib-2460945</v>
          </cell>
          <cell r="F148" t="str">
            <v>LFTBA240727049</v>
          </cell>
          <cell r="G148">
            <v>70</v>
          </cell>
          <cell r="H148" t="str">
            <v>singleron-3'全长转录组文库</v>
          </cell>
          <cell r="I148" t="str">
            <v>ZZ</v>
          </cell>
          <cell r="J148">
            <v>20.8</v>
          </cell>
          <cell r="N148" t="e">
            <v>#DIV/0!</v>
          </cell>
        </row>
        <row r="149">
          <cell r="E149" t="str">
            <v>HGC-Lib-2460946</v>
          </cell>
          <cell r="F149" t="str">
            <v>LC240727042</v>
          </cell>
          <cell r="G149">
            <v>100</v>
          </cell>
          <cell r="H149" t="str">
            <v>singleron-3'转录组文库</v>
          </cell>
          <cell r="I149" t="str">
            <v>ZZ</v>
          </cell>
          <cell r="J149">
            <v>21.6</v>
          </cell>
          <cell r="N149" t="e">
            <v>#DIV/0!</v>
          </cell>
        </row>
        <row r="150">
          <cell r="E150" t="str">
            <v>HGC-Lib-2460947</v>
          </cell>
          <cell r="F150" t="str">
            <v>LA240727058</v>
          </cell>
          <cell r="G150">
            <v>150</v>
          </cell>
          <cell r="H150" t="str">
            <v>singleron-3'转录组文库</v>
          </cell>
          <cell r="I150" t="str">
            <v>ZZ</v>
          </cell>
          <cell r="J150">
            <v>15.6</v>
          </cell>
          <cell r="N150" t="e">
            <v>#DIV/0!</v>
          </cell>
        </row>
        <row r="151">
          <cell r="E151" t="str">
            <v>HGC-Lib-2460948</v>
          </cell>
          <cell r="F151" t="str">
            <v>LA240727059</v>
          </cell>
          <cell r="G151">
            <v>150</v>
          </cell>
          <cell r="H151" t="str">
            <v>singleron-3'转录组文库</v>
          </cell>
          <cell r="I151" t="str">
            <v>ZZ</v>
          </cell>
          <cell r="J151">
            <v>25</v>
          </cell>
          <cell r="N151" t="e">
            <v>#DIV/0!</v>
          </cell>
        </row>
        <row r="152">
          <cell r="E152" t="str">
            <v>HGC-Lib-2460949</v>
          </cell>
          <cell r="F152" t="str">
            <v>LA240727057</v>
          </cell>
          <cell r="G152">
            <v>100</v>
          </cell>
          <cell r="H152" t="str">
            <v>singleron-3'转录组文库</v>
          </cell>
          <cell r="I152" t="str">
            <v>ZZ</v>
          </cell>
          <cell r="J152">
            <v>21.2</v>
          </cell>
          <cell r="N152" t="e">
            <v>#DIV/0!</v>
          </cell>
        </row>
        <row r="153">
          <cell r="E153" t="str">
            <v>HGC-Lib-2460950</v>
          </cell>
          <cell r="F153" t="str">
            <v>LPMA240727061</v>
          </cell>
          <cell r="G153">
            <v>200</v>
          </cell>
          <cell r="H153" t="str">
            <v>singleron-3'转录组文库</v>
          </cell>
          <cell r="I153" t="str">
            <v>ZZ</v>
          </cell>
          <cell r="J153">
            <v>21.6</v>
          </cell>
          <cell r="N153" t="e">
            <v>#DIV/0!</v>
          </cell>
        </row>
        <row r="154">
          <cell r="E154" t="str">
            <v>HGC-Lib-2460951</v>
          </cell>
          <cell r="F154" t="str">
            <v>LC240727040X2</v>
          </cell>
          <cell r="G154">
            <v>100</v>
          </cell>
          <cell r="H154" t="str">
            <v>singleron-3'转录组文库</v>
          </cell>
          <cell r="I154" t="str">
            <v>ZZ</v>
          </cell>
          <cell r="J154">
            <v>22</v>
          </cell>
          <cell r="N154" t="e">
            <v>#DIV/0!</v>
          </cell>
        </row>
        <row r="155">
          <cell r="E155" t="str">
            <v>HGC-Lib-2460952</v>
          </cell>
          <cell r="F155" t="str">
            <v>LC240727054</v>
          </cell>
          <cell r="G155">
            <v>90</v>
          </cell>
          <cell r="H155" t="str">
            <v>singleron-3'转录组文库</v>
          </cell>
          <cell r="I155" t="str">
            <v>ZZ</v>
          </cell>
          <cell r="J155">
            <v>24.6</v>
          </cell>
          <cell r="N155" t="e">
            <v>#DIV/0!</v>
          </cell>
        </row>
        <row r="156">
          <cell r="E156" t="str">
            <v>HGC-Lib-2460953</v>
          </cell>
          <cell r="F156" t="str">
            <v>LC240727055</v>
          </cell>
          <cell r="G156">
            <v>90</v>
          </cell>
          <cell r="H156" t="str">
            <v>singleron-3'转录组文库</v>
          </cell>
          <cell r="I156" t="str">
            <v>ZZ</v>
          </cell>
          <cell r="J156">
            <v>22.2</v>
          </cell>
          <cell r="N156" t="e">
            <v>#DIV/0!</v>
          </cell>
        </row>
        <row r="157">
          <cell r="E157" t="str">
            <v>HGC-Lib-2460954</v>
          </cell>
          <cell r="F157" t="str">
            <v>LFTA240719178CK</v>
          </cell>
          <cell r="G157">
            <v>90</v>
          </cell>
          <cell r="H157" t="str">
            <v>singleron-3'全长转录组文库</v>
          </cell>
          <cell r="I157" t="str">
            <v>ZZ</v>
          </cell>
          <cell r="J157">
            <v>20.8</v>
          </cell>
          <cell r="N157" t="e">
            <v>#DIV/0!</v>
          </cell>
        </row>
        <row r="158">
          <cell r="E158" t="str">
            <v>HGC-Lib-2460955</v>
          </cell>
          <cell r="F158" t="str">
            <v>LHC240728003</v>
          </cell>
          <cell r="G158">
            <v>200</v>
          </cell>
          <cell r="H158" t="str">
            <v>singleron-3'转录组文库</v>
          </cell>
          <cell r="I158" t="str">
            <v>ZZ</v>
          </cell>
          <cell r="J158">
            <v>18.8</v>
          </cell>
          <cell r="N158" t="e">
            <v>#DIV/0!</v>
          </cell>
        </row>
        <row r="159">
          <cell r="E159" t="str">
            <v>HGC-Lib-2460956</v>
          </cell>
          <cell r="F159" t="str">
            <v>LHC240728004</v>
          </cell>
          <cell r="G159">
            <v>200</v>
          </cell>
          <cell r="H159" t="str">
            <v>singleron-3'转录组文库</v>
          </cell>
          <cell r="I159" t="str">
            <v>ZZ</v>
          </cell>
          <cell r="J159">
            <v>21</v>
          </cell>
          <cell r="N159" t="e">
            <v>#DIV/0!</v>
          </cell>
        </row>
        <row r="160">
          <cell r="E160" t="str">
            <v>HGC-Lib-2460957</v>
          </cell>
          <cell r="F160" t="str">
            <v>LHC240728005</v>
          </cell>
          <cell r="G160">
            <v>200</v>
          </cell>
          <cell r="H160" t="str">
            <v>singleron-3'转录组文库</v>
          </cell>
          <cell r="I160" t="str">
            <v>ZZ</v>
          </cell>
          <cell r="J160">
            <v>24.2</v>
          </cell>
          <cell r="N160" t="e">
            <v>#DIV/0!</v>
          </cell>
        </row>
        <row r="161">
          <cell r="E161" t="str">
            <v>HGC-Lib-2460958</v>
          </cell>
          <cell r="F161" t="str">
            <v>LC240728010</v>
          </cell>
          <cell r="G161">
            <v>90</v>
          </cell>
          <cell r="H161" t="str">
            <v>singleron-3'转录组文库</v>
          </cell>
          <cell r="I161" t="str">
            <v>WWH</v>
          </cell>
          <cell r="J161">
            <v>18.899999999999999</v>
          </cell>
          <cell r="N161" t="e">
            <v>#DIV/0!</v>
          </cell>
        </row>
        <row r="162">
          <cell r="E162" t="str">
            <v>HGC-Lib-2460959</v>
          </cell>
          <cell r="F162" t="str">
            <v>LC240728065</v>
          </cell>
          <cell r="G162">
            <v>100</v>
          </cell>
          <cell r="H162" t="str">
            <v>singleron-3'转录组文库</v>
          </cell>
          <cell r="I162" t="str">
            <v>WWH</v>
          </cell>
          <cell r="J162">
            <v>21.2</v>
          </cell>
          <cell r="N162" t="e">
            <v>#DIV/0!</v>
          </cell>
        </row>
        <row r="163">
          <cell r="E163" t="str">
            <v>HGC-Lib-2460960</v>
          </cell>
          <cell r="F163" t="str">
            <v>LC240728066</v>
          </cell>
          <cell r="G163">
            <v>100</v>
          </cell>
          <cell r="H163" t="str">
            <v>singleron-3'转录组文库</v>
          </cell>
          <cell r="I163" t="str">
            <v>WWH</v>
          </cell>
          <cell r="J163">
            <v>21.4</v>
          </cell>
          <cell r="N163" t="e">
            <v>#DIV/0!</v>
          </cell>
        </row>
        <row r="164">
          <cell r="E164" t="str">
            <v>HGC-Lib-2460961</v>
          </cell>
          <cell r="F164" t="str">
            <v>LTA240728033</v>
          </cell>
          <cell r="G164">
            <v>90</v>
          </cell>
          <cell r="H164" t="str">
            <v>singleron-3'转录组文库</v>
          </cell>
          <cell r="I164" t="str">
            <v>WWH</v>
          </cell>
          <cell r="J164">
            <v>20.6</v>
          </cell>
          <cell r="N164" t="e">
            <v>#DIV/0!</v>
          </cell>
        </row>
        <row r="165">
          <cell r="E165" t="str">
            <v>HGC-Lib-2460962</v>
          </cell>
          <cell r="F165" t="str">
            <v>LFTBHC240728041</v>
          </cell>
          <cell r="G165">
            <v>200</v>
          </cell>
          <cell r="H165" t="str">
            <v>singleron-3'全长转录组文库</v>
          </cell>
          <cell r="I165" t="str">
            <v>WWH</v>
          </cell>
          <cell r="J165">
            <v>23</v>
          </cell>
          <cell r="N165" t="e">
            <v>#DIV/0!</v>
          </cell>
        </row>
        <row r="166">
          <cell r="E166" t="str">
            <v>HGC-Lib-2460963</v>
          </cell>
          <cell r="F166" t="str">
            <v>LC240727041X2</v>
          </cell>
          <cell r="G166">
            <v>100</v>
          </cell>
          <cell r="H166" t="str">
            <v>singleron-3'转录组文库</v>
          </cell>
          <cell r="I166" t="str">
            <v>WWH</v>
          </cell>
          <cell r="J166">
            <v>26</v>
          </cell>
          <cell r="N166" t="e">
            <v>#DIV/0!</v>
          </cell>
        </row>
        <row r="167">
          <cell r="E167" t="str">
            <v>HGC-Lib-2460964</v>
          </cell>
          <cell r="F167" t="str">
            <v>LFTC240726009</v>
          </cell>
          <cell r="G167">
            <v>100</v>
          </cell>
          <cell r="H167" t="str">
            <v>singleron-3'全长转录组文库</v>
          </cell>
          <cell r="I167" t="str">
            <v>WWH</v>
          </cell>
          <cell r="J167">
            <v>32.6</v>
          </cell>
          <cell r="N167" t="e">
            <v>#DIV/0!</v>
          </cell>
        </row>
        <row r="168">
          <cell r="E168" t="str">
            <v>HGC-Lib-2460965</v>
          </cell>
          <cell r="F168" t="str">
            <v>LA240726214</v>
          </cell>
          <cell r="G168">
            <v>100</v>
          </cell>
          <cell r="H168" t="str">
            <v>singleron-3'转录组文库</v>
          </cell>
          <cell r="I168" t="str">
            <v>WWH</v>
          </cell>
          <cell r="J168">
            <v>33.6</v>
          </cell>
          <cell r="N168" t="e">
            <v>#DIV/0!</v>
          </cell>
        </row>
        <row r="169">
          <cell r="E169" t="str">
            <v>HGC-Lib-2460966</v>
          </cell>
          <cell r="F169" t="str">
            <v>LA240726033X1</v>
          </cell>
          <cell r="G169">
            <v>100</v>
          </cell>
          <cell r="H169" t="str">
            <v>singleron-3'转录组文库</v>
          </cell>
          <cell r="I169" t="str">
            <v>WWH</v>
          </cell>
          <cell r="J169">
            <v>25.2</v>
          </cell>
          <cell r="N169" t="e">
            <v>#DIV/0!</v>
          </cell>
        </row>
        <row r="170">
          <cell r="E170" t="str">
            <v>HGC-Lib-2460967</v>
          </cell>
          <cell r="F170" t="str">
            <v>LA240726032X2</v>
          </cell>
          <cell r="G170">
            <v>100</v>
          </cell>
          <cell r="H170" t="str">
            <v>singleron-3'转录组文库</v>
          </cell>
          <cell r="I170" t="str">
            <v>WWH</v>
          </cell>
          <cell r="J170">
            <v>20.399999999999999</v>
          </cell>
          <cell r="N170" t="e">
            <v>#DIV/0!</v>
          </cell>
        </row>
        <row r="171">
          <cell r="E171" t="str">
            <v>HGC-Lib-2460968</v>
          </cell>
          <cell r="F171" t="str">
            <v>LDC240720003</v>
          </cell>
          <cell r="G171">
            <v>10</v>
          </cell>
          <cell r="H171" t="str">
            <v>singleron-3'转录组文库</v>
          </cell>
          <cell r="I171" t="str">
            <v>WWH</v>
          </cell>
          <cell r="J171">
            <v>11.1</v>
          </cell>
          <cell r="N171" t="e">
            <v>#DIV/0!</v>
          </cell>
        </row>
        <row r="172">
          <cell r="E172" t="str">
            <v>HGC-Lib-2460969</v>
          </cell>
          <cell r="F172" t="str">
            <v>LA240726026</v>
          </cell>
          <cell r="G172">
            <v>120</v>
          </cell>
          <cell r="H172" t="str">
            <v>singleron-3'转录组文库</v>
          </cell>
          <cell r="I172" t="str">
            <v>WWH</v>
          </cell>
          <cell r="J172">
            <v>13.6</v>
          </cell>
          <cell r="N172" t="e">
            <v>#DIV/0!</v>
          </cell>
        </row>
        <row r="173">
          <cell r="E173" t="str">
            <v>HGC-Lib-2460970</v>
          </cell>
          <cell r="F173" t="str">
            <v>LHASHFTC240724071</v>
          </cell>
          <cell r="G173">
            <v>10</v>
          </cell>
          <cell r="H173" t="str">
            <v>singleron-3'全长转录组文库</v>
          </cell>
          <cell r="I173" t="str">
            <v>WWH</v>
          </cell>
          <cell r="J173">
            <v>14.2</v>
          </cell>
          <cell r="N173" t="e">
            <v>#DIV/0!</v>
          </cell>
        </row>
        <row r="174">
          <cell r="E174" t="str">
            <v>HGC-Lib-2460971</v>
          </cell>
          <cell r="F174" t="str">
            <v>LHASHFTC240724070</v>
          </cell>
          <cell r="G174">
            <v>10</v>
          </cell>
          <cell r="H174" t="str">
            <v>singleron-3'全长转录组文库</v>
          </cell>
          <cell r="I174" t="str">
            <v>WWH</v>
          </cell>
          <cell r="J174">
            <v>12.4</v>
          </cell>
          <cell r="N174" t="e">
            <v>#DIV/0!</v>
          </cell>
        </row>
        <row r="175">
          <cell r="E175" t="str">
            <v>HGC-Lib-2460972</v>
          </cell>
          <cell r="F175" t="str">
            <v>LA240116005</v>
          </cell>
          <cell r="G175">
            <v>120</v>
          </cell>
          <cell r="H175" t="str">
            <v>singleron-3'转录组文库</v>
          </cell>
          <cell r="I175" t="str">
            <v>WWH</v>
          </cell>
          <cell r="J175">
            <v>16.5</v>
          </cell>
          <cell r="N175" t="e">
            <v>#DIV/0!</v>
          </cell>
        </row>
        <row r="176">
          <cell r="E176" t="str">
            <v>HGC-Lib-2460973</v>
          </cell>
          <cell r="F176" t="str">
            <v>LA240725116</v>
          </cell>
          <cell r="G176">
            <v>90</v>
          </cell>
          <cell r="H176" t="str">
            <v>singleron-3'转录组文库</v>
          </cell>
          <cell r="I176" t="str">
            <v>WWH</v>
          </cell>
          <cell r="J176">
            <v>9.6199999999999992</v>
          </cell>
          <cell r="N176" t="e">
            <v>#DIV/0!</v>
          </cell>
        </row>
        <row r="177">
          <cell r="E177" t="str">
            <v>HGC-Lib-2460974</v>
          </cell>
          <cell r="F177" t="str">
            <v>LC240719030</v>
          </cell>
          <cell r="G177">
            <v>10</v>
          </cell>
          <cell r="H177" t="str">
            <v>singleron-3'转录组文库</v>
          </cell>
          <cell r="I177" t="str">
            <v>WWH</v>
          </cell>
          <cell r="J177">
            <v>15.2</v>
          </cell>
          <cell r="N177" t="e">
            <v>#DIV/0!</v>
          </cell>
        </row>
        <row r="178">
          <cell r="E178" t="str">
            <v>HGC-POOL-2460975</v>
          </cell>
          <cell r="F178" t="str">
            <v>L240724095XA</v>
          </cell>
          <cell r="G178">
            <v>70</v>
          </cell>
          <cell r="H178" t="str">
            <v>10X ATAC文库</v>
          </cell>
          <cell r="I178" t="str">
            <v>WWH</v>
          </cell>
          <cell r="J178">
            <v>46.8</v>
          </cell>
          <cell r="N178" t="e">
            <v>#DIV/0!</v>
          </cell>
        </row>
        <row r="179">
          <cell r="E179" t="str">
            <v>HGC-Lib-2460976</v>
          </cell>
          <cell r="F179" t="str">
            <v>LA240725020</v>
          </cell>
          <cell r="G179">
            <v>100</v>
          </cell>
          <cell r="H179" t="str">
            <v>singleron-3'转录组文库</v>
          </cell>
          <cell r="I179" t="str">
            <v>WWH</v>
          </cell>
          <cell r="J179">
            <v>16.3</v>
          </cell>
          <cell r="N179" t="e">
            <v>#DIV/0!</v>
          </cell>
        </row>
        <row r="180">
          <cell r="E180" t="str">
            <v>HGC-POOL-2460977</v>
          </cell>
          <cell r="F180" t="str">
            <v>PCRD-240731-002</v>
          </cell>
          <cell r="G180">
            <v>60</v>
          </cell>
          <cell r="H180" t="str">
            <v>singleron-3'转录组文库</v>
          </cell>
          <cell r="I180" t="str">
            <v>WWH</v>
          </cell>
          <cell r="J180">
            <v>17.5</v>
          </cell>
          <cell r="N180" t="e">
            <v>#DIV/0!</v>
          </cell>
        </row>
        <row r="181">
          <cell r="E181" t="str">
            <v>HGC-POOL-2460978</v>
          </cell>
          <cell r="F181" t="str">
            <v>PCRD-240731-001</v>
          </cell>
          <cell r="G181">
            <v>80</v>
          </cell>
          <cell r="H181" t="str">
            <v>singleron-3'转录组文库</v>
          </cell>
          <cell r="I181" t="str">
            <v>WWH</v>
          </cell>
          <cell r="J181">
            <v>19.100000000000001</v>
          </cell>
          <cell r="N181" t="e">
            <v>#DIV/0!</v>
          </cell>
        </row>
        <row r="182">
          <cell r="E182" t="str">
            <v>HGC-Lib-2460979</v>
          </cell>
          <cell r="F182" t="str">
            <v>LD240130D-4414A</v>
          </cell>
          <cell r="G182">
            <v>12</v>
          </cell>
          <cell r="H182" t="str">
            <v>DNA宏基因组文库</v>
          </cell>
          <cell r="I182" t="str">
            <v>WWH</v>
          </cell>
          <cell r="J182">
            <v>11.5</v>
          </cell>
          <cell r="N182" t="e">
            <v>#DIV/0!</v>
          </cell>
        </row>
        <row r="183">
          <cell r="E183" t="str">
            <v>HGC-Lib-2460980</v>
          </cell>
          <cell r="F183" t="str">
            <v>LD240130D-4415A</v>
          </cell>
          <cell r="G183">
            <v>12</v>
          </cell>
          <cell r="H183" t="str">
            <v>DNA宏基因组文库</v>
          </cell>
          <cell r="I183" t="str">
            <v>WWH</v>
          </cell>
          <cell r="J183">
            <v>21.4</v>
          </cell>
          <cell r="N183" t="e">
            <v>#DIV/0!</v>
          </cell>
        </row>
        <row r="184">
          <cell r="E184" t="str">
            <v>HGC-Lib-2460981</v>
          </cell>
          <cell r="F184" t="str">
            <v>LD240130D-4416A</v>
          </cell>
          <cell r="G184">
            <v>12</v>
          </cell>
          <cell r="H184" t="str">
            <v>DNA宏基因组文库</v>
          </cell>
          <cell r="I184" t="str">
            <v>WWH</v>
          </cell>
          <cell r="J184">
            <v>29.8</v>
          </cell>
          <cell r="N184" t="e">
            <v>#DIV/0!</v>
          </cell>
        </row>
        <row r="185">
          <cell r="E185" t="str">
            <v>HGC-Lib-2460982</v>
          </cell>
          <cell r="F185" t="str">
            <v>LD240130D-4417A</v>
          </cell>
          <cell r="G185">
            <v>12</v>
          </cell>
          <cell r="H185" t="str">
            <v>DNA宏基因组文库</v>
          </cell>
          <cell r="I185" t="str">
            <v>WWH</v>
          </cell>
          <cell r="J185">
            <v>23.4</v>
          </cell>
          <cell r="N185" t="e">
            <v>#DIV/0!</v>
          </cell>
        </row>
        <row r="186">
          <cell r="E186" t="str">
            <v>HGC-Lib-2460983</v>
          </cell>
          <cell r="F186" t="str">
            <v>LD240130D-4418A</v>
          </cell>
          <cell r="G186">
            <v>12</v>
          </cell>
          <cell r="H186" t="str">
            <v>DNA宏基因组文库</v>
          </cell>
          <cell r="I186" t="str">
            <v>WWH</v>
          </cell>
          <cell r="J186">
            <v>54.8</v>
          </cell>
          <cell r="N186" t="e">
            <v>#DIV/0!</v>
          </cell>
        </row>
        <row r="187">
          <cell r="E187" t="str">
            <v>HGC-Lib-2460984</v>
          </cell>
          <cell r="F187" t="str">
            <v>LD240130D-4419A</v>
          </cell>
          <cell r="G187">
            <v>12</v>
          </cell>
          <cell r="H187" t="str">
            <v>DNA宏基因组文库</v>
          </cell>
          <cell r="I187" t="str">
            <v>WWH</v>
          </cell>
          <cell r="J187">
            <v>38.200000000000003</v>
          </cell>
          <cell r="N187" t="e">
            <v>#DIV/0!</v>
          </cell>
        </row>
        <row r="188">
          <cell r="E188" t="str">
            <v>HGC-Lib-2460985</v>
          </cell>
          <cell r="F188" t="str">
            <v>LD240130D-4420A</v>
          </cell>
          <cell r="G188">
            <v>12</v>
          </cell>
          <cell r="H188" t="str">
            <v>DNA宏基因组文库</v>
          </cell>
          <cell r="I188" t="str">
            <v>WWH</v>
          </cell>
          <cell r="J188">
            <v>2.06</v>
          </cell>
          <cell r="N188" t="e">
            <v>#DIV/0!</v>
          </cell>
        </row>
        <row r="189">
          <cell r="E189" t="str">
            <v>HGC-Lib-2460986</v>
          </cell>
          <cell r="F189" t="str">
            <v>LD240130D-4421A</v>
          </cell>
          <cell r="G189">
            <v>12</v>
          </cell>
          <cell r="H189" t="str">
            <v>DNA宏基因组文库</v>
          </cell>
          <cell r="I189" t="str">
            <v>WWH</v>
          </cell>
          <cell r="J189">
            <v>1.26</v>
          </cell>
          <cell r="N189" t="e">
            <v>#DIV/0!</v>
          </cell>
        </row>
        <row r="190">
          <cell r="E190" t="str">
            <v>HGC-Lib-2460987</v>
          </cell>
          <cell r="F190" t="str">
            <v>LD240130D-4425A</v>
          </cell>
          <cell r="G190">
            <v>12</v>
          </cell>
          <cell r="H190" t="str">
            <v>DNA宏基因组文库</v>
          </cell>
          <cell r="I190" t="str">
            <v>WWH</v>
          </cell>
          <cell r="J190">
            <v>75.400000000000006</v>
          </cell>
          <cell r="N190" t="e">
            <v>#DIV/0!</v>
          </cell>
        </row>
        <row r="191">
          <cell r="E191" t="str">
            <v>HGC-Lib-2460988</v>
          </cell>
          <cell r="F191" t="str">
            <v>LD240130D-4426A</v>
          </cell>
          <cell r="G191">
            <v>12</v>
          </cell>
          <cell r="H191" t="str">
            <v>DNA宏基因组文库</v>
          </cell>
          <cell r="I191" t="str">
            <v>WWH</v>
          </cell>
          <cell r="J191">
            <v>34.200000000000003</v>
          </cell>
          <cell r="N191" t="e">
            <v>#DIV/0!</v>
          </cell>
        </row>
        <row r="192">
          <cell r="E192" t="str">
            <v>HGC-Lib-2460989</v>
          </cell>
          <cell r="F192" t="str">
            <v>LD240130D-4427A</v>
          </cell>
          <cell r="G192">
            <v>12</v>
          </cell>
          <cell r="H192" t="str">
            <v>DNA宏基因组文库</v>
          </cell>
          <cell r="I192" t="str">
            <v>WWH</v>
          </cell>
          <cell r="J192">
            <v>56.6</v>
          </cell>
          <cell r="N192" t="e">
            <v>#DIV/0!</v>
          </cell>
        </row>
        <row r="193">
          <cell r="E193" t="str">
            <v>HGC-Lib-2460990</v>
          </cell>
          <cell r="F193" t="str">
            <v>LD240130D-4428A</v>
          </cell>
          <cell r="G193">
            <v>12</v>
          </cell>
          <cell r="H193" t="str">
            <v>DNA宏基因组文库</v>
          </cell>
          <cell r="I193" t="str">
            <v>WWH</v>
          </cell>
          <cell r="J193">
            <v>48.2</v>
          </cell>
          <cell r="N193" t="e">
            <v>#DIV/0!</v>
          </cell>
        </row>
        <row r="194">
          <cell r="E194" t="str">
            <v>HGC-Lib-2460991</v>
          </cell>
          <cell r="F194" t="str">
            <v>LD240130D-4431A</v>
          </cell>
          <cell r="G194">
            <v>12</v>
          </cell>
          <cell r="H194" t="str">
            <v>DNA宏基因组文库</v>
          </cell>
          <cell r="I194" t="str">
            <v>WWH</v>
          </cell>
          <cell r="J194">
            <v>13.5</v>
          </cell>
          <cell r="N194" t="e">
            <v>#DIV/0!</v>
          </cell>
        </row>
        <row r="195">
          <cell r="E195" t="str">
            <v>HGC-Lib-2460992</v>
          </cell>
          <cell r="F195" t="str">
            <v>LD240130D-4432A</v>
          </cell>
          <cell r="G195">
            <v>12</v>
          </cell>
          <cell r="H195" t="str">
            <v>DNA宏基因组文库</v>
          </cell>
          <cell r="I195" t="str">
            <v>WWH</v>
          </cell>
          <cell r="J195">
            <v>29</v>
          </cell>
          <cell r="N195" t="e">
            <v>#DIV/0!</v>
          </cell>
        </row>
        <row r="196">
          <cell r="E196" t="str">
            <v>HGC-Lib-2460993</v>
          </cell>
          <cell r="F196" t="str">
            <v>LD240130D-4433A</v>
          </cell>
          <cell r="G196">
            <v>12</v>
          </cell>
          <cell r="H196" t="str">
            <v>DNA宏基因组文库</v>
          </cell>
          <cell r="I196" t="str">
            <v>WWH</v>
          </cell>
          <cell r="J196">
            <v>48.4</v>
          </cell>
          <cell r="N196" t="e">
            <v>#DIV/0!</v>
          </cell>
        </row>
        <row r="197">
          <cell r="E197" t="str">
            <v>HGC-Lib-2460994</v>
          </cell>
          <cell r="F197" t="str">
            <v>LD240130D-4434A</v>
          </cell>
          <cell r="G197">
            <v>12</v>
          </cell>
          <cell r="H197" t="str">
            <v>DNA宏基因组文库</v>
          </cell>
          <cell r="I197" t="str">
            <v>WWH</v>
          </cell>
          <cell r="J197">
            <v>40.4</v>
          </cell>
          <cell r="N197" t="e">
            <v>#DIV/0!</v>
          </cell>
        </row>
        <row r="198">
          <cell r="E198" t="str">
            <v>HGC-Lib-2460995</v>
          </cell>
          <cell r="F198" t="str">
            <v>LD240130D-4435A</v>
          </cell>
          <cell r="G198">
            <v>12</v>
          </cell>
          <cell r="H198" t="str">
            <v>DNA宏基因组文库</v>
          </cell>
          <cell r="I198" t="str">
            <v>WWH</v>
          </cell>
          <cell r="J198">
            <v>3.62</v>
          </cell>
          <cell r="N198" t="e">
            <v>#DIV/0!</v>
          </cell>
        </row>
        <row r="199">
          <cell r="E199" t="str">
            <v>HGC-Lib-2460996</v>
          </cell>
          <cell r="F199" t="str">
            <v>LD240130D-4436A</v>
          </cell>
          <cell r="G199">
            <v>12</v>
          </cell>
          <cell r="H199" t="str">
            <v>DNA宏基因组文库</v>
          </cell>
          <cell r="I199" t="str">
            <v>WWH</v>
          </cell>
          <cell r="J199">
            <v>1.2</v>
          </cell>
          <cell r="N199" t="e">
            <v>#DIV/0!</v>
          </cell>
        </row>
        <row r="200">
          <cell r="E200" t="str">
            <v>HGC-Lib-2460997</v>
          </cell>
          <cell r="F200" t="str">
            <v>LD240130D-4437A</v>
          </cell>
          <cell r="G200">
            <v>12</v>
          </cell>
          <cell r="H200" t="str">
            <v>DNA宏基因组文库</v>
          </cell>
          <cell r="I200" t="str">
            <v>WWH</v>
          </cell>
          <cell r="J200">
            <v>1.1599999999999999</v>
          </cell>
          <cell r="N200" t="e">
            <v>#DIV/0!</v>
          </cell>
        </row>
        <row r="201">
          <cell r="E201" t="str">
            <v>HGC-Lib-2460998</v>
          </cell>
          <cell r="F201" t="str">
            <v>LD240130D-4438A</v>
          </cell>
          <cell r="G201">
            <v>12</v>
          </cell>
          <cell r="H201" t="str">
            <v>DNA宏基因组文库</v>
          </cell>
          <cell r="I201" t="str">
            <v>WWH</v>
          </cell>
          <cell r="J201">
            <v>38</v>
          </cell>
          <cell r="N201" t="e">
            <v>#DIV/0!</v>
          </cell>
        </row>
        <row r="202">
          <cell r="E202" t="str">
            <v>HGC-Lib-2460999</v>
          </cell>
          <cell r="F202" t="str">
            <v>LD240130D-4439A</v>
          </cell>
          <cell r="G202">
            <v>12</v>
          </cell>
          <cell r="H202" t="str">
            <v>DNA宏基因组文库</v>
          </cell>
          <cell r="I202" t="str">
            <v>WWH</v>
          </cell>
          <cell r="J202">
            <v>54.4</v>
          </cell>
          <cell r="N202" t="e">
            <v>#DIV/0!</v>
          </cell>
        </row>
        <row r="203">
          <cell r="E203" t="str">
            <v>HGC-Lib-2461000</v>
          </cell>
          <cell r="F203" t="str">
            <v>LD240130D-4440A</v>
          </cell>
          <cell r="G203">
            <v>12</v>
          </cell>
          <cell r="H203" t="str">
            <v>DNA宏基因组文库</v>
          </cell>
          <cell r="I203" t="str">
            <v>WWH</v>
          </cell>
          <cell r="J203">
            <v>48.8</v>
          </cell>
          <cell r="N203" t="e">
            <v>#DIV/0!</v>
          </cell>
        </row>
        <row r="204">
          <cell r="E204" t="str">
            <v>HGC-Lib-2461001</v>
          </cell>
          <cell r="F204" t="str">
            <v>LD240130D-4441A</v>
          </cell>
          <cell r="G204">
            <v>12</v>
          </cell>
          <cell r="H204" t="str">
            <v>DNA宏基因组文库</v>
          </cell>
          <cell r="I204" t="str">
            <v>WWH</v>
          </cell>
          <cell r="J204">
            <v>63.2</v>
          </cell>
          <cell r="N204" t="e">
            <v>#DIV/0!</v>
          </cell>
        </row>
        <row r="205">
          <cell r="E205" t="str">
            <v>HGC-Lib-2461002</v>
          </cell>
          <cell r="F205" t="str">
            <v>LD240130D-4442A</v>
          </cell>
          <cell r="G205">
            <v>12</v>
          </cell>
          <cell r="H205" t="str">
            <v>DNA宏基因组文库</v>
          </cell>
          <cell r="I205" t="str">
            <v>WWH</v>
          </cell>
          <cell r="J205">
            <v>29.8</v>
          </cell>
          <cell r="N205" t="e">
            <v>#DIV/0!</v>
          </cell>
        </row>
        <row r="206">
          <cell r="E206" t="str">
            <v>HGC-Lib-2461003</v>
          </cell>
          <cell r="F206" t="str">
            <v>LD240130D-4443A</v>
          </cell>
          <cell r="G206">
            <v>12</v>
          </cell>
          <cell r="H206" t="str">
            <v>DNA宏基因组文库</v>
          </cell>
          <cell r="I206" t="str">
            <v>WWH</v>
          </cell>
          <cell r="J206">
            <v>106</v>
          </cell>
          <cell r="N206" t="e">
            <v>#DIV/0!</v>
          </cell>
        </row>
        <row r="207">
          <cell r="E207" t="str">
            <v>HGC-Lib-2461004</v>
          </cell>
          <cell r="F207" t="str">
            <v>LD240130D-4444A</v>
          </cell>
          <cell r="G207">
            <v>12</v>
          </cell>
          <cell r="H207" t="str">
            <v>DNA宏基因组文库</v>
          </cell>
          <cell r="I207" t="str">
            <v>WWH</v>
          </cell>
          <cell r="J207">
            <v>59.6</v>
          </cell>
          <cell r="N207" t="e">
            <v>#DIV/0!</v>
          </cell>
        </row>
        <row r="208">
          <cell r="E208" t="str">
            <v>HGC-Lib-2461005</v>
          </cell>
          <cell r="F208" t="str">
            <v>LD240130D-4445A</v>
          </cell>
          <cell r="G208">
            <v>12</v>
          </cell>
          <cell r="H208" t="str">
            <v>DNA宏基因组文库</v>
          </cell>
          <cell r="I208" t="str">
            <v>WWH</v>
          </cell>
          <cell r="J208">
            <v>70.599999999999994</v>
          </cell>
          <cell r="N208" t="e">
            <v>#DIV/0!</v>
          </cell>
        </row>
        <row r="209">
          <cell r="E209" t="str">
            <v>HGC-Lib-2461006</v>
          </cell>
          <cell r="F209" t="str">
            <v>LD240521D-5118A</v>
          </cell>
          <cell r="G209">
            <v>8</v>
          </cell>
          <cell r="H209" t="str">
            <v>DNA宏基因组文库</v>
          </cell>
          <cell r="I209" t="str">
            <v>WWH</v>
          </cell>
          <cell r="J209">
            <v>69.8</v>
          </cell>
          <cell r="N209" t="e">
            <v>#DIV/0!</v>
          </cell>
        </row>
        <row r="210">
          <cell r="E210" t="str">
            <v>HGC-Lib-2461007</v>
          </cell>
          <cell r="F210" t="str">
            <v>LD240521D-5119A</v>
          </cell>
          <cell r="G210">
            <v>8</v>
          </cell>
          <cell r="H210" t="str">
            <v>DNA宏基因组文库</v>
          </cell>
          <cell r="I210" t="str">
            <v>WWH</v>
          </cell>
          <cell r="J210">
            <v>54.8</v>
          </cell>
          <cell r="N210" t="e">
            <v>#DIV/0!</v>
          </cell>
        </row>
        <row r="211">
          <cell r="E211" t="str">
            <v>HGC-Lib-2461008</v>
          </cell>
          <cell r="F211" t="str">
            <v>LD240521D-5120A</v>
          </cell>
          <cell r="G211">
            <v>8</v>
          </cell>
          <cell r="H211" t="str">
            <v>DNA宏基因组文库</v>
          </cell>
          <cell r="I211" t="str">
            <v>WWH</v>
          </cell>
          <cell r="J211">
            <v>62</v>
          </cell>
          <cell r="N211" t="e">
            <v>#DIV/0!</v>
          </cell>
        </row>
        <row r="212">
          <cell r="E212" t="str">
            <v>HGC-Lib-2461009</v>
          </cell>
          <cell r="F212" t="str">
            <v>LD240521D-5121A</v>
          </cell>
          <cell r="G212">
            <v>15</v>
          </cell>
          <cell r="H212" t="str">
            <v>DNA宏基因组文库</v>
          </cell>
          <cell r="I212" t="str">
            <v>WWH</v>
          </cell>
          <cell r="J212">
            <v>102</v>
          </cell>
          <cell r="N212" t="e">
            <v>#DIV/0!</v>
          </cell>
        </row>
        <row r="213">
          <cell r="E213" t="str">
            <v>HGC-Lib-2461010</v>
          </cell>
          <cell r="F213" t="str">
            <v>LD240521D-5110A</v>
          </cell>
          <cell r="G213">
            <v>15</v>
          </cell>
          <cell r="H213" t="str">
            <v>DNA宏基因组文库</v>
          </cell>
          <cell r="I213" t="str">
            <v>WWH</v>
          </cell>
          <cell r="J213">
            <v>12.3</v>
          </cell>
          <cell r="N213" t="e">
            <v>#DIV/0!</v>
          </cell>
        </row>
        <row r="214">
          <cell r="E214" t="str">
            <v>HGC-Lib-2461011</v>
          </cell>
          <cell r="F214" t="str">
            <v>LD240521D-5111A</v>
          </cell>
          <cell r="G214">
            <v>15</v>
          </cell>
          <cell r="H214" t="str">
            <v>DNA宏基因组文库</v>
          </cell>
          <cell r="I214" t="str">
            <v>WWH</v>
          </cell>
          <cell r="J214">
            <v>20.2</v>
          </cell>
          <cell r="N214" t="e">
            <v>#DIV/0!</v>
          </cell>
        </row>
        <row r="215">
          <cell r="E215" t="str">
            <v>HGC-Lib-2461012</v>
          </cell>
          <cell r="F215" t="str">
            <v>LD240521D-5112A</v>
          </cell>
          <cell r="G215">
            <v>15</v>
          </cell>
          <cell r="H215" t="str">
            <v>DNA宏基因组文库</v>
          </cell>
          <cell r="I215" t="str">
            <v>WWH</v>
          </cell>
          <cell r="J215">
            <v>39.200000000000003</v>
          </cell>
          <cell r="N215" t="e">
            <v>#DIV/0!</v>
          </cell>
        </row>
        <row r="216">
          <cell r="E216" t="str">
            <v>HGC-Lib-2461013</v>
          </cell>
          <cell r="F216" t="str">
            <v>LD240521D-5113A</v>
          </cell>
          <cell r="G216">
            <v>15</v>
          </cell>
          <cell r="H216" t="str">
            <v>DNA宏基因组文库</v>
          </cell>
          <cell r="I216" t="str">
            <v>WWH</v>
          </cell>
          <cell r="J216">
            <v>21.6</v>
          </cell>
          <cell r="N216" t="e">
            <v>#DIV/0!</v>
          </cell>
        </row>
        <row r="217">
          <cell r="E217" t="str">
            <v>HGC-Lib-2461014</v>
          </cell>
          <cell r="F217" t="str">
            <v>LD240521D-5114A</v>
          </cell>
          <cell r="G217">
            <v>15</v>
          </cell>
          <cell r="H217" t="str">
            <v>DNA宏基因组文库</v>
          </cell>
          <cell r="I217" t="str">
            <v>WWH</v>
          </cell>
          <cell r="J217">
            <v>91.6</v>
          </cell>
          <cell r="N217" t="e">
            <v>#DIV/0!</v>
          </cell>
        </row>
        <row r="218">
          <cell r="E218" t="str">
            <v>HGC-Lib-2461015</v>
          </cell>
          <cell r="F218" t="str">
            <v>LD240521D-5115A</v>
          </cell>
          <cell r="G218">
            <v>15</v>
          </cell>
          <cell r="H218" t="str">
            <v>DNA宏基因组文库</v>
          </cell>
          <cell r="I218" t="str">
            <v>WWH</v>
          </cell>
          <cell r="J218">
            <v>57.8</v>
          </cell>
          <cell r="N218" t="e">
            <v>#DIV/0!</v>
          </cell>
        </row>
        <row r="219">
          <cell r="E219" t="str">
            <v>HGC-Lib-2461016</v>
          </cell>
          <cell r="F219" t="str">
            <v>LD240521D-5116A</v>
          </cell>
          <cell r="G219">
            <v>15</v>
          </cell>
          <cell r="H219" t="str">
            <v>DNA宏基因组文库</v>
          </cell>
          <cell r="I219" t="str">
            <v>WWH</v>
          </cell>
          <cell r="J219">
            <v>50</v>
          </cell>
          <cell r="N219" t="e">
            <v>#DIV/0!</v>
          </cell>
        </row>
        <row r="220">
          <cell r="E220" t="str">
            <v>HGC-Lib-2461017</v>
          </cell>
          <cell r="F220" t="str">
            <v>LD240521D-5117A</v>
          </cell>
          <cell r="G220">
            <v>15</v>
          </cell>
          <cell r="H220" t="str">
            <v>DNA宏基因组文库</v>
          </cell>
          <cell r="I220" t="str">
            <v>WWH</v>
          </cell>
          <cell r="J220">
            <v>68.8</v>
          </cell>
          <cell r="N220" t="e">
            <v>#DIV/0!</v>
          </cell>
        </row>
        <row r="221">
          <cell r="E221" t="str">
            <v>HGC-Lib-2461018</v>
          </cell>
          <cell r="F221" t="str">
            <v>LR240718O-1058A</v>
          </cell>
          <cell r="G221">
            <v>6</v>
          </cell>
          <cell r="H221" t="str">
            <v>普通真核转录组文库</v>
          </cell>
          <cell r="I221" t="str">
            <v>WWH</v>
          </cell>
          <cell r="J221">
            <v>25.8</v>
          </cell>
          <cell r="N221" t="e">
            <v>#DIV/0!</v>
          </cell>
        </row>
        <row r="222">
          <cell r="E222" t="str">
            <v>HGC-Lib-2461019</v>
          </cell>
          <cell r="F222" t="str">
            <v>LR240718O-1059A</v>
          </cell>
          <cell r="G222">
            <v>6</v>
          </cell>
          <cell r="H222" t="str">
            <v>普通真核转录组文库</v>
          </cell>
          <cell r="I222" t="str">
            <v>WWH</v>
          </cell>
          <cell r="J222">
            <v>24.6</v>
          </cell>
          <cell r="N222" t="e">
            <v>#DIV/0!</v>
          </cell>
        </row>
        <row r="223">
          <cell r="E223" t="str">
            <v>HGC-Lib-2461020</v>
          </cell>
          <cell r="F223" t="str">
            <v>LR240626O-1021A</v>
          </cell>
          <cell r="G223">
            <v>10</v>
          </cell>
          <cell r="H223" t="str">
            <v>RNA病毒组文库</v>
          </cell>
          <cell r="I223" t="str">
            <v>WWH</v>
          </cell>
          <cell r="J223">
            <v>0.70799999999999996</v>
          </cell>
          <cell r="N223" t="e">
            <v>#DIV/0!</v>
          </cell>
        </row>
        <row r="224">
          <cell r="E224" t="str">
            <v>HGC-Lib-2461021</v>
          </cell>
          <cell r="F224" t="str">
            <v>LR240626O-1023A</v>
          </cell>
          <cell r="G224">
            <v>10</v>
          </cell>
          <cell r="H224" t="str">
            <v>RNA病毒组文库</v>
          </cell>
          <cell r="I224" t="str">
            <v>WWH</v>
          </cell>
          <cell r="J224">
            <v>1.4</v>
          </cell>
          <cell r="N224" t="e">
            <v>#DIV/0!</v>
          </cell>
        </row>
        <row r="225">
          <cell r="E225" t="str">
            <v>HGC-Lib-2461022</v>
          </cell>
          <cell r="F225" t="str">
            <v>LD240718O-1139A</v>
          </cell>
          <cell r="G225">
            <v>10</v>
          </cell>
          <cell r="H225" t="str">
            <v>DNA宏基因组文库</v>
          </cell>
          <cell r="I225" t="str">
            <v>WWH</v>
          </cell>
          <cell r="J225">
            <v>72.599999999999994</v>
          </cell>
          <cell r="N225" t="e">
            <v>#DIV/0!</v>
          </cell>
        </row>
        <row r="226">
          <cell r="E226" t="str">
            <v>HGC-Lib-2461023</v>
          </cell>
          <cell r="F226" t="str">
            <v>LD240718O-1140A</v>
          </cell>
          <cell r="G226">
            <v>10</v>
          </cell>
          <cell r="H226" t="str">
            <v>DNA宏基因组文库</v>
          </cell>
          <cell r="I226" t="str">
            <v>WWH</v>
          </cell>
          <cell r="J226">
            <v>58</v>
          </cell>
          <cell r="N226" t="e">
            <v>#DIV/0!</v>
          </cell>
        </row>
        <row r="227">
          <cell r="E227" t="str">
            <v>HGC-Lib-2461024</v>
          </cell>
          <cell r="F227" t="str">
            <v>LD240718O-1141A</v>
          </cell>
          <cell r="G227">
            <v>10</v>
          </cell>
          <cell r="H227" t="str">
            <v>DNA宏基因组文库</v>
          </cell>
          <cell r="I227" t="str">
            <v>WWH</v>
          </cell>
          <cell r="J227">
            <v>72.400000000000006</v>
          </cell>
          <cell r="N227" t="e">
            <v>#DIV/0!</v>
          </cell>
        </row>
        <row r="228">
          <cell r="E228" t="str">
            <v>HGC-Lib-2461025</v>
          </cell>
          <cell r="F228" t="str">
            <v>LD240718O-1142A</v>
          </cell>
          <cell r="G228">
            <v>10</v>
          </cell>
          <cell r="H228" t="str">
            <v>DNA宏基因组文库</v>
          </cell>
          <cell r="I228" t="str">
            <v>WWH</v>
          </cell>
          <cell r="J228">
            <v>51</v>
          </cell>
          <cell r="N228" t="e">
            <v>#DIV/0!</v>
          </cell>
        </row>
        <row r="229">
          <cell r="E229" t="str">
            <v>HGC-Lib-2461026</v>
          </cell>
          <cell r="F229" t="str">
            <v>LD240718O-1143A</v>
          </cell>
          <cell r="G229">
            <v>10</v>
          </cell>
          <cell r="H229" t="str">
            <v>DNA宏基因组文库</v>
          </cell>
          <cell r="I229" t="str">
            <v>WWH</v>
          </cell>
          <cell r="J229">
            <v>57.2</v>
          </cell>
          <cell r="N229" t="e">
            <v>#DIV/0!</v>
          </cell>
        </row>
        <row r="230">
          <cell r="E230" t="str">
            <v>HGC-Lib-2461027</v>
          </cell>
          <cell r="F230" t="str">
            <v>LD240718O-1144A</v>
          </cell>
          <cell r="G230">
            <v>10</v>
          </cell>
          <cell r="H230" t="str">
            <v>DNA宏基因组文库</v>
          </cell>
          <cell r="I230" t="str">
            <v>WH</v>
          </cell>
          <cell r="J230">
            <v>49.8</v>
          </cell>
          <cell r="N230" t="e">
            <v>#DIV/0!</v>
          </cell>
        </row>
        <row r="231">
          <cell r="E231" t="str">
            <v>HGC-Lib-2461028</v>
          </cell>
          <cell r="F231" t="str">
            <v>LD240718O-1145A</v>
          </cell>
          <cell r="G231">
            <v>10</v>
          </cell>
          <cell r="H231" t="str">
            <v>DNA宏基因组文库</v>
          </cell>
          <cell r="I231" t="str">
            <v>WH</v>
          </cell>
          <cell r="J231">
            <v>44.2</v>
          </cell>
          <cell r="N231" t="e">
            <v>#DIV/0!</v>
          </cell>
        </row>
        <row r="232">
          <cell r="E232" t="str">
            <v>HGC-Lib-2461029</v>
          </cell>
          <cell r="F232" t="str">
            <v>LD240718O-1146A</v>
          </cell>
          <cell r="G232">
            <v>10</v>
          </cell>
          <cell r="H232" t="str">
            <v>DNA宏基因组文库</v>
          </cell>
          <cell r="I232" t="str">
            <v>WH</v>
          </cell>
          <cell r="J232">
            <v>45.8</v>
          </cell>
          <cell r="N232" t="e">
            <v>#DIV/0!</v>
          </cell>
        </row>
        <row r="233">
          <cell r="E233" t="str">
            <v>HGC-Lib-2461030</v>
          </cell>
          <cell r="F233" t="str">
            <v>LD240718O-1147A</v>
          </cell>
          <cell r="G233">
            <v>10</v>
          </cell>
          <cell r="H233" t="str">
            <v>DNA宏基因组文库</v>
          </cell>
          <cell r="I233" t="str">
            <v>WH</v>
          </cell>
          <cell r="J233">
            <v>49</v>
          </cell>
          <cell r="N233" t="e">
            <v>#DIV/0!</v>
          </cell>
        </row>
        <row r="234">
          <cell r="E234" t="str">
            <v>HGC-Lib-2461031</v>
          </cell>
          <cell r="F234" t="str">
            <v>LD240718O-1148A</v>
          </cell>
          <cell r="G234">
            <v>10</v>
          </cell>
          <cell r="H234" t="str">
            <v>DNA宏基因组文库</v>
          </cell>
          <cell r="I234" t="str">
            <v>WH</v>
          </cell>
          <cell r="J234">
            <v>55</v>
          </cell>
          <cell r="N234" t="e">
            <v>#DIV/0!</v>
          </cell>
        </row>
        <row r="235">
          <cell r="E235" t="str">
            <v>HGC-Lib-2461032</v>
          </cell>
          <cell r="F235" t="str">
            <v>LD240718O-1149A</v>
          </cell>
          <cell r="G235">
            <v>10</v>
          </cell>
          <cell r="H235" t="str">
            <v>DNA宏基因组文库</v>
          </cell>
          <cell r="I235" t="str">
            <v>WH</v>
          </cell>
          <cell r="J235">
            <v>70</v>
          </cell>
          <cell r="N235" t="e">
            <v>#DIV/0!</v>
          </cell>
        </row>
        <row r="236">
          <cell r="E236" t="str">
            <v>HGC-Lib-2461033</v>
          </cell>
          <cell r="F236" t="str">
            <v>LD240718O-1150A</v>
          </cell>
          <cell r="G236">
            <v>10</v>
          </cell>
          <cell r="H236" t="str">
            <v>DNA宏基因组文库</v>
          </cell>
          <cell r="I236" t="str">
            <v>WH</v>
          </cell>
          <cell r="J236">
            <v>70.400000000000006</v>
          </cell>
          <cell r="N236" t="e">
            <v>#DIV/0!</v>
          </cell>
        </row>
        <row r="237">
          <cell r="E237" t="str">
            <v>HGC-Lib-2461034</v>
          </cell>
          <cell r="F237" t="str">
            <v>LD240719O-1647A</v>
          </cell>
          <cell r="G237">
            <v>1</v>
          </cell>
          <cell r="H237" t="str">
            <v>DNA基因组文库</v>
          </cell>
          <cell r="I237" t="str">
            <v>WH</v>
          </cell>
          <cell r="J237">
            <v>56.8</v>
          </cell>
          <cell r="N237" t="e">
            <v>#DIV/0!</v>
          </cell>
        </row>
        <row r="238">
          <cell r="E238" t="str">
            <v>HGC-Lib-2461035</v>
          </cell>
          <cell r="F238" t="str">
            <v>LD240719O-1648A</v>
          </cell>
          <cell r="G238">
            <v>1</v>
          </cell>
          <cell r="H238" t="str">
            <v>DNA基因组文库</v>
          </cell>
          <cell r="I238" t="str">
            <v>WH</v>
          </cell>
          <cell r="J238">
            <v>81.599999999999994</v>
          </cell>
          <cell r="N238" t="e">
            <v>#DIV/0!</v>
          </cell>
        </row>
        <row r="239">
          <cell r="E239" t="str">
            <v>HGC-Lib-2461036</v>
          </cell>
          <cell r="F239" t="str">
            <v>LD240719O-1649A</v>
          </cell>
          <cell r="G239">
            <v>1</v>
          </cell>
          <cell r="H239" t="str">
            <v>DNA基因组文库</v>
          </cell>
          <cell r="I239" t="str">
            <v>WH</v>
          </cell>
          <cell r="J239">
            <v>39.6</v>
          </cell>
          <cell r="N239" t="e">
            <v>#DIV/0!</v>
          </cell>
        </row>
        <row r="240">
          <cell r="E240" t="str">
            <v>HGC-Lib-2461037</v>
          </cell>
          <cell r="F240" t="str">
            <v>LD240719O-1650A</v>
          </cell>
          <cell r="G240">
            <v>1</v>
          </cell>
          <cell r="H240" t="str">
            <v>DNA基因组文库</v>
          </cell>
          <cell r="I240" t="str">
            <v>WH</v>
          </cell>
          <cell r="J240">
            <v>55.8</v>
          </cell>
          <cell r="N240" t="e">
            <v>#DIV/0!</v>
          </cell>
        </row>
        <row r="241">
          <cell r="E241" t="str">
            <v>HGC-Lib-2461038</v>
          </cell>
          <cell r="F241" t="str">
            <v>LD240719O-1651A</v>
          </cell>
          <cell r="G241">
            <v>1</v>
          </cell>
          <cell r="H241" t="str">
            <v>DNA基因组文库</v>
          </cell>
          <cell r="I241" t="str">
            <v>WH</v>
          </cell>
          <cell r="J241">
            <v>112</v>
          </cell>
          <cell r="N241" t="e">
            <v>#DIV/0!</v>
          </cell>
        </row>
        <row r="242">
          <cell r="E242" t="str">
            <v>HGC-Lib-2461039</v>
          </cell>
          <cell r="F242" t="str">
            <v>LD240719O-1652A</v>
          </cell>
          <cell r="G242">
            <v>1</v>
          </cell>
          <cell r="H242" t="str">
            <v>DNA基因组文库</v>
          </cell>
          <cell r="I242" t="str">
            <v>WH</v>
          </cell>
          <cell r="J242">
            <v>106</v>
          </cell>
          <cell r="N242" t="e">
            <v>#DIV/0!</v>
          </cell>
        </row>
        <row r="243">
          <cell r="E243" t="str">
            <v>HGC-Lib-2461040</v>
          </cell>
          <cell r="F243" t="str">
            <v>LD240719O-1653A</v>
          </cell>
          <cell r="G243">
            <v>1</v>
          </cell>
          <cell r="H243" t="str">
            <v>DNA基因组文库</v>
          </cell>
          <cell r="I243" t="str">
            <v>WH</v>
          </cell>
          <cell r="J243">
            <v>88.6</v>
          </cell>
          <cell r="N243" t="e">
            <v>#DIV/0!</v>
          </cell>
        </row>
        <row r="244">
          <cell r="E244" t="str">
            <v>HGC-Lib-2461041</v>
          </cell>
          <cell r="F244" t="str">
            <v>LD240719O-1654A</v>
          </cell>
          <cell r="G244">
            <v>1</v>
          </cell>
          <cell r="H244" t="str">
            <v>DNA基因组文库</v>
          </cell>
          <cell r="I244" t="str">
            <v>WH</v>
          </cell>
          <cell r="J244">
            <v>118</v>
          </cell>
          <cell r="N244" t="e">
            <v>#DIV/0!</v>
          </cell>
        </row>
        <row r="245">
          <cell r="E245" t="str">
            <v>HGC-Lib-2461042</v>
          </cell>
          <cell r="F245" t="str">
            <v>LD240719O-1655A</v>
          </cell>
          <cell r="G245">
            <v>1</v>
          </cell>
          <cell r="H245" t="str">
            <v>DNA基因组文库</v>
          </cell>
          <cell r="I245" t="str">
            <v>WH</v>
          </cell>
          <cell r="J245">
            <v>73.2</v>
          </cell>
          <cell r="N245" t="e">
            <v>#DIV/0!</v>
          </cell>
        </row>
        <row r="246">
          <cell r="E246" t="str">
            <v>HGC-Lib-2461043</v>
          </cell>
          <cell r="F246" t="str">
            <v>LD240719O-1656A</v>
          </cell>
          <cell r="G246">
            <v>1</v>
          </cell>
          <cell r="H246" t="str">
            <v>DNA基因组文库</v>
          </cell>
          <cell r="I246" t="str">
            <v>WH</v>
          </cell>
          <cell r="J246">
            <v>47.4</v>
          </cell>
          <cell r="N246" t="e">
            <v>#DIV/0!</v>
          </cell>
        </row>
        <row r="247">
          <cell r="E247" t="str">
            <v>HGC-Lib-2461044</v>
          </cell>
          <cell r="F247" t="str">
            <v>LD240719O-1657A</v>
          </cell>
          <cell r="G247">
            <v>1</v>
          </cell>
          <cell r="H247" t="str">
            <v>DNA基因组文库</v>
          </cell>
          <cell r="I247" t="str">
            <v>WH</v>
          </cell>
          <cell r="J247">
            <v>89.4</v>
          </cell>
          <cell r="N247" t="e">
            <v>#DIV/0!</v>
          </cell>
        </row>
        <row r="248">
          <cell r="E248" t="str">
            <v>HGC-Lib-2461045</v>
          </cell>
          <cell r="F248" t="str">
            <v>LD240719O-1658A</v>
          </cell>
          <cell r="G248">
            <v>1</v>
          </cell>
          <cell r="H248" t="str">
            <v>DNA基因组文库</v>
          </cell>
          <cell r="I248" t="str">
            <v>WH</v>
          </cell>
          <cell r="J248">
            <v>26.8</v>
          </cell>
          <cell r="N248" t="e">
            <v>#DIV/0!</v>
          </cell>
        </row>
        <row r="249">
          <cell r="E249" t="str">
            <v>HGC-Lib-2461046</v>
          </cell>
          <cell r="F249" t="str">
            <v>LD240719O-1659A</v>
          </cell>
          <cell r="G249">
            <v>1</v>
          </cell>
          <cell r="H249" t="str">
            <v>DNA基因组文库</v>
          </cell>
          <cell r="I249" t="str">
            <v>WH</v>
          </cell>
          <cell r="J249">
            <v>40.4</v>
          </cell>
          <cell r="N249" t="e">
            <v>#DIV/0!</v>
          </cell>
        </row>
        <row r="250">
          <cell r="E250" t="str">
            <v>HGC-Lib-2461047</v>
          </cell>
          <cell r="F250" t="str">
            <v>LD240719O-1660A</v>
          </cell>
          <cell r="G250">
            <v>1</v>
          </cell>
          <cell r="H250" t="str">
            <v>DNA基因组文库</v>
          </cell>
          <cell r="I250" t="str">
            <v>WH</v>
          </cell>
          <cell r="J250">
            <v>55.2</v>
          </cell>
          <cell r="N250" t="e">
            <v>#DIV/0!</v>
          </cell>
        </row>
        <row r="251">
          <cell r="E251" t="str">
            <v>HGC-Lib-2461048</v>
          </cell>
          <cell r="F251" t="str">
            <v>LD240719O-1661A</v>
          </cell>
          <cell r="G251">
            <v>1</v>
          </cell>
          <cell r="H251" t="str">
            <v>DNA基因组文库</v>
          </cell>
          <cell r="I251" t="str">
            <v>WH</v>
          </cell>
          <cell r="J251">
            <v>54</v>
          </cell>
          <cell r="N251" t="e">
            <v>#DIV/0!</v>
          </cell>
        </row>
        <row r="252">
          <cell r="E252" t="str">
            <v>HGC-Lib-2461049</v>
          </cell>
          <cell r="F252" t="str">
            <v>LD240719O-1662A</v>
          </cell>
          <cell r="G252">
            <v>1</v>
          </cell>
          <cell r="H252" t="str">
            <v>DNA基因组文库</v>
          </cell>
          <cell r="I252" t="str">
            <v>WH</v>
          </cell>
          <cell r="J252">
            <v>59.6</v>
          </cell>
          <cell r="N252" t="e">
            <v>#DIV/0!</v>
          </cell>
        </row>
        <row r="253">
          <cell r="E253" t="str">
            <v>HGC-Lib-2461050</v>
          </cell>
          <cell r="F253" t="str">
            <v>LD240719O-1663A</v>
          </cell>
          <cell r="G253">
            <v>1</v>
          </cell>
          <cell r="H253" t="str">
            <v>DNA基因组文库</v>
          </cell>
          <cell r="I253" t="str">
            <v>WH</v>
          </cell>
          <cell r="J253">
            <v>48.2</v>
          </cell>
          <cell r="N253" t="e">
            <v>#DIV/0!</v>
          </cell>
        </row>
        <row r="254">
          <cell r="E254" t="str">
            <v>HGC-Lib-2461051</v>
          </cell>
          <cell r="F254" t="str">
            <v>LD240719O-1664A</v>
          </cell>
          <cell r="G254">
            <v>1</v>
          </cell>
          <cell r="H254" t="str">
            <v>DNA基因组文库</v>
          </cell>
          <cell r="I254" t="str">
            <v>WH</v>
          </cell>
          <cell r="J254">
            <v>62</v>
          </cell>
          <cell r="N254" t="e">
            <v>#DIV/0!</v>
          </cell>
        </row>
        <row r="255">
          <cell r="E255" t="str">
            <v>HGC-Lib-2461052</v>
          </cell>
          <cell r="F255" t="str">
            <v>LD240719O-1665A</v>
          </cell>
          <cell r="G255">
            <v>1</v>
          </cell>
          <cell r="H255" t="str">
            <v>DNA基因组文库</v>
          </cell>
          <cell r="I255" t="str">
            <v>WH</v>
          </cell>
          <cell r="J255">
            <v>61.6</v>
          </cell>
          <cell r="N255" t="e">
            <v>#DIV/0!</v>
          </cell>
        </row>
        <row r="256">
          <cell r="E256" t="str">
            <v>HGC-Lib-2461053</v>
          </cell>
          <cell r="F256" t="str">
            <v>LD240719O-1666A</v>
          </cell>
          <cell r="G256">
            <v>1</v>
          </cell>
          <cell r="H256" t="str">
            <v>DNA基因组文库</v>
          </cell>
          <cell r="I256" t="str">
            <v>WH</v>
          </cell>
          <cell r="J256">
            <v>55.6</v>
          </cell>
          <cell r="N256" t="e">
            <v>#DIV/0!</v>
          </cell>
        </row>
        <row r="257">
          <cell r="E257" t="str">
            <v>HGC-Lib-2461054</v>
          </cell>
          <cell r="F257" t="str">
            <v>LD240719O-1667A</v>
          </cell>
          <cell r="G257">
            <v>1</v>
          </cell>
          <cell r="H257" t="str">
            <v>DNA基因组文库</v>
          </cell>
          <cell r="I257" t="str">
            <v>WH</v>
          </cell>
          <cell r="J257">
            <v>42</v>
          </cell>
          <cell r="N257" t="e">
            <v>#DIV/0!</v>
          </cell>
        </row>
        <row r="258">
          <cell r="E258" t="str">
            <v>HGC-Lib-2461055</v>
          </cell>
          <cell r="F258" t="str">
            <v>LD240719O-1668A</v>
          </cell>
          <cell r="G258">
            <v>1</v>
          </cell>
          <cell r="H258" t="str">
            <v>DNA基因组文库</v>
          </cell>
          <cell r="I258" t="str">
            <v>WH</v>
          </cell>
          <cell r="J258">
            <v>84.6</v>
          </cell>
          <cell r="N258" t="e">
            <v>#DIV/0!</v>
          </cell>
        </row>
        <row r="259">
          <cell r="E259" t="str">
            <v>HGC-Lib-2461056</v>
          </cell>
          <cell r="F259" t="str">
            <v>LD240719O-1669A</v>
          </cell>
          <cell r="G259">
            <v>1</v>
          </cell>
          <cell r="H259" t="str">
            <v>DNA基因组文库</v>
          </cell>
          <cell r="I259" t="str">
            <v>WH</v>
          </cell>
          <cell r="J259">
            <v>54.8</v>
          </cell>
          <cell r="N259" t="e">
            <v>#DIV/0!</v>
          </cell>
        </row>
        <row r="260">
          <cell r="E260" t="str">
            <v>HGC-Lib-2461057</v>
          </cell>
          <cell r="F260" t="str">
            <v>LD240719O-1670A</v>
          </cell>
          <cell r="G260">
            <v>1</v>
          </cell>
          <cell r="H260" t="str">
            <v>DNA基因组文库</v>
          </cell>
          <cell r="I260" t="str">
            <v>WH</v>
          </cell>
          <cell r="J260">
            <v>104</v>
          </cell>
          <cell r="N260" t="e">
            <v>#DIV/0!</v>
          </cell>
        </row>
        <row r="261">
          <cell r="E261" t="str">
            <v>HGC-Lib-2461058</v>
          </cell>
          <cell r="F261" t="str">
            <v>LD240719O-1671A</v>
          </cell>
          <cell r="G261">
            <v>1</v>
          </cell>
          <cell r="H261" t="str">
            <v>DNA基因组文库</v>
          </cell>
          <cell r="I261" t="str">
            <v>WH</v>
          </cell>
          <cell r="J261">
            <v>50.2</v>
          </cell>
          <cell r="N261" t="e">
            <v>#DIV/0!</v>
          </cell>
        </row>
        <row r="262">
          <cell r="E262" t="str">
            <v>HGC-Lib-2461059</v>
          </cell>
          <cell r="F262" t="str">
            <v>LD240719O-1672A</v>
          </cell>
          <cell r="G262">
            <v>1</v>
          </cell>
          <cell r="H262" t="str">
            <v>DNA基因组文库</v>
          </cell>
          <cell r="I262" t="str">
            <v>WH</v>
          </cell>
          <cell r="J262">
            <v>96</v>
          </cell>
          <cell r="N262" t="e">
            <v>#DIV/0!</v>
          </cell>
        </row>
        <row r="263">
          <cell r="E263" t="str">
            <v>HGC-Lib-2461060</v>
          </cell>
          <cell r="F263" t="str">
            <v>LD240719O-1673A</v>
          </cell>
          <cell r="G263">
            <v>1</v>
          </cell>
          <cell r="H263" t="str">
            <v>DNA基因组文库</v>
          </cell>
          <cell r="I263" t="str">
            <v>WH</v>
          </cell>
          <cell r="J263">
            <v>84.8</v>
          </cell>
          <cell r="N263" t="e">
            <v>#DIV/0!</v>
          </cell>
        </row>
        <row r="264">
          <cell r="E264" t="str">
            <v>HGC-Lib-2461061</v>
          </cell>
          <cell r="F264" t="str">
            <v>LD240719O-1674A</v>
          </cell>
          <cell r="G264">
            <v>1</v>
          </cell>
          <cell r="H264" t="str">
            <v>DNA基因组文库</v>
          </cell>
          <cell r="I264" t="str">
            <v>WH</v>
          </cell>
          <cell r="J264">
            <v>65.599999999999994</v>
          </cell>
          <cell r="N264" t="e">
            <v>#DIV/0!</v>
          </cell>
        </row>
        <row r="265">
          <cell r="E265" t="str">
            <v>HGC-Lib-2461062</v>
          </cell>
          <cell r="F265" t="str">
            <v>LD240719O-1675A</v>
          </cell>
          <cell r="G265">
            <v>1</v>
          </cell>
          <cell r="H265" t="str">
            <v>DNA基因组文库</v>
          </cell>
          <cell r="I265" t="str">
            <v>WH</v>
          </cell>
          <cell r="J265">
            <v>57.4</v>
          </cell>
          <cell r="N265" t="e">
            <v>#DIV/0!</v>
          </cell>
        </row>
        <row r="266">
          <cell r="E266" t="str">
            <v>HGC-Lib-2461063</v>
          </cell>
          <cell r="F266" t="str">
            <v>LD240719O-1676A</v>
          </cell>
          <cell r="G266">
            <v>1</v>
          </cell>
          <cell r="H266" t="str">
            <v>DNA基因组文库</v>
          </cell>
          <cell r="I266" t="str">
            <v>WH</v>
          </cell>
          <cell r="J266">
            <v>69.599999999999994</v>
          </cell>
          <cell r="N266" t="e">
            <v>#DIV/0!</v>
          </cell>
        </row>
        <row r="267">
          <cell r="E267" t="str">
            <v>HGC-Lib-2461064</v>
          </cell>
          <cell r="F267" t="str">
            <v>LD240719O-1677A</v>
          </cell>
          <cell r="G267">
            <v>1</v>
          </cell>
          <cell r="H267" t="str">
            <v>DNA基因组文库</v>
          </cell>
          <cell r="I267" t="str">
            <v>WH</v>
          </cell>
          <cell r="J267">
            <v>63</v>
          </cell>
          <cell r="N267" t="e">
            <v>#DIV/0!</v>
          </cell>
        </row>
        <row r="268">
          <cell r="E268" t="str">
            <v>HGC-Lib-2461065</v>
          </cell>
          <cell r="F268" t="str">
            <v>LD240719O-1678A</v>
          </cell>
          <cell r="G268">
            <v>1</v>
          </cell>
          <cell r="H268" t="str">
            <v>DNA基因组文库</v>
          </cell>
          <cell r="I268" t="str">
            <v>WH</v>
          </cell>
          <cell r="J268">
            <v>84.4</v>
          </cell>
          <cell r="N268" t="e">
            <v>#DIV/0!</v>
          </cell>
        </row>
        <row r="269">
          <cell r="E269" t="str">
            <v>HGC-Lib-2461066</v>
          </cell>
          <cell r="F269" t="str">
            <v>LD240719O-1679A</v>
          </cell>
          <cell r="G269">
            <v>1</v>
          </cell>
          <cell r="H269" t="str">
            <v>DNA基因组文库</v>
          </cell>
          <cell r="I269" t="str">
            <v>WH</v>
          </cell>
          <cell r="J269">
            <v>112</v>
          </cell>
          <cell r="N269" t="e">
            <v>#DIV/0!</v>
          </cell>
        </row>
        <row r="270">
          <cell r="E270" t="str">
            <v>HGC-Lib-2461067</v>
          </cell>
          <cell r="F270" t="str">
            <v>LD240719O-1680A</v>
          </cell>
          <cell r="G270">
            <v>1</v>
          </cell>
          <cell r="H270" t="str">
            <v>DNA基因组文库</v>
          </cell>
          <cell r="I270" t="str">
            <v>WH</v>
          </cell>
          <cell r="J270">
            <v>66</v>
          </cell>
          <cell r="N270" t="e">
            <v>#DIV/0!</v>
          </cell>
        </row>
        <row r="271">
          <cell r="E271" t="str">
            <v>HGC-Lib-2461068</v>
          </cell>
          <cell r="F271" t="str">
            <v>LD240719O-1681A</v>
          </cell>
          <cell r="G271">
            <v>1</v>
          </cell>
          <cell r="H271" t="str">
            <v>DNA基因组文库</v>
          </cell>
          <cell r="I271" t="str">
            <v>WH</v>
          </cell>
          <cell r="J271">
            <v>63</v>
          </cell>
          <cell r="N271" t="e">
            <v>#DIV/0!</v>
          </cell>
        </row>
        <row r="272">
          <cell r="E272" t="str">
            <v>HGC-Lib-2461069</v>
          </cell>
          <cell r="F272" t="str">
            <v>LD240719O-1682A</v>
          </cell>
          <cell r="G272">
            <v>1</v>
          </cell>
          <cell r="H272" t="str">
            <v>DNA基因组文库</v>
          </cell>
          <cell r="I272" t="str">
            <v>WH</v>
          </cell>
          <cell r="J272">
            <v>67.599999999999994</v>
          </cell>
          <cell r="N272" t="e">
            <v>#DIV/0!</v>
          </cell>
        </row>
        <row r="273">
          <cell r="E273" t="str">
            <v>HGC-Lib-2461070</v>
          </cell>
          <cell r="F273" t="str">
            <v>LD240719O-1683A</v>
          </cell>
          <cell r="G273">
            <v>1</v>
          </cell>
          <cell r="H273" t="str">
            <v>DNA基因组文库</v>
          </cell>
          <cell r="I273" t="str">
            <v>WH</v>
          </cell>
          <cell r="J273">
            <v>104</v>
          </cell>
          <cell r="N273" t="e">
            <v>#DIV/0!</v>
          </cell>
        </row>
        <row r="274">
          <cell r="E274" t="str">
            <v>HGC-Lib-2461071</v>
          </cell>
          <cell r="F274" t="str">
            <v>LD240719O-1684A</v>
          </cell>
          <cell r="G274">
            <v>1</v>
          </cell>
          <cell r="H274" t="str">
            <v>DNA基因组文库</v>
          </cell>
          <cell r="I274" t="str">
            <v>WH</v>
          </cell>
          <cell r="J274">
            <v>61</v>
          </cell>
          <cell r="N274" t="e">
            <v>#DIV/0!</v>
          </cell>
        </row>
        <row r="275">
          <cell r="E275" t="str">
            <v>HGC-Lib-2461072</v>
          </cell>
          <cell r="F275" t="str">
            <v>LD240719O-1685A</v>
          </cell>
          <cell r="G275">
            <v>1</v>
          </cell>
          <cell r="H275" t="str">
            <v>DNA基因组文库</v>
          </cell>
          <cell r="I275" t="str">
            <v>WH</v>
          </cell>
          <cell r="J275">
            <v>60.8</v>
          </cell>
          <cell r="N275" t="e">
            <v>#DIV/0!</v>
          </cell>
        </row>
        <row r="276">
          <cell r="E276" t="str">
            <v>HGC-Lib-2461073</v>
          </cell>
          <cell r="F276" t="str">
            <v>LD240719O-1686A</v>
          </cell>
          <cell r="G276">
            <v>1</v>
          </cell>
          <cell r="H276" t="str">
            <v>DNA基因组文库</v>
          </cell>
          <cell r="I276" t="str">
            <v>WH</v>
          </cell>
          <cell r="J276">
            <v>104</v>
          </cell>
          <cell r="N276" t="e">
            <v>#DIV/0!</v>
          </cell>
        </row>
        <row r="277">
          <cell r="E277" t="str">
            <v>HGC-Lib-2461074</v>
          </cell>
          <cell r="F277" t="str">
            <v>LD240719O-1687A</v>
          </cell>
          <cell r="G277">
            <v>1</v>
          </cell>
          <cell r="H277" t="str">
            <v>DNA基因组文库</v>
          </cell>
          <cell r="I277" t="str">
            <v>WH</v>
          </cell>
          <cell r="J277">
            <v>110</v>
          </cell>
          <cell r="N277" t="e">
            <v>#DIV/0!</v>
          </cell>
        </row>
        <row r="278">
          <cell r="E278" t="str">
            <v>HGC-Lib-2461075</v>
          </cell>
          <cell r="F278" t="str">
            <v>LD240719O-1688A</v>
          </cell>
          <cell r="G278">
            <v>1</v>
          </cell>
          <cell r="H278" t="str">
            <v>DNA基因组文库</v>
          </cell>
          <cell r="I278" t="str">
            <v>GZQ</v>
          </cell>
          <cell r="J278">
            <v>75.400000000000006</v>
          </cell>
          <cell r="N278" t="e">
            <v>#DIV/0!</v>
          </cell>
        </row>
        <row r="279">
          <cell r="E279" t="str">
            <v>HGC-Lib-2461076</v>
          </cell>
          <cell r="F279" t="str">
            <v>LD240719O-1689A</v>
          </cell>
          <cell r="G279">
            <v>1</v>
          </cell>
          <cell r="H279" t="str">
            <v>DNA基因组文库</v>
          </cell>
          <cell r="I279" t="str">
            <v>GZQ</v>
          </cell>
          <cell r="J279">
            <v>60.6</v>
          </cell>
          <cell r="N279" t="e">
            <v>#DIV/0!</v>
          </cell>
        </row>
        <row r="280">
          <cell r="E280" t="str">
            <v>HGC-Lib-2461077</v>
          </cell>
          <cell r="F280" t="str">
            <v>LD240719O-1690A</v>
          </cell>
          <cell r="G280">
            <v>1</v>
          </cell>
          <cell r="H280" t="str">
            <v>DNA基因组文库</v>
          </cell>
          <cell r="I280" t="str">
            <v>GZQ</v>
          </cell>
          <cell r="J280">
            <v>36.200000000000003</v>
          </cell>
          <cell r="N280" t="e">
            <v>#DIV/0!</v>
          </cell>
        </row>
        <row r="281">
          <cell r="E281" t="str">
            <v>HGC-Lib-2461078</v>
          </cell>
          <cell r="F281" t="str">
            <v>LD240719O-1691A</v>
          </cell>
          <cell r="G281">
            <v>1</v>
          </cell>
          <cell r="H281" t="str">
            <v>DNA基因组文库</v>
          </cell>
          <cell r="I281" t="str">
            <v>GZQ</v>
          </cell>
          <cell r="J281">
            <v>76.2</v>
          </cell>
          <cell r="N281" t="e">
            <v>#DIV/0!</v>
          </cell>
        </row>
        <row r="282">
          <cell r="E282" t="str">
            <v>HGC-Lib-2461079</v>
          </cell>
          <cell r="F282" t="str">
            <v>LD240719O-1692A</v>
          </cell>
          <cell r="G282">
            <v>1</v>
          </cell>
          <cell r="H282" t="str">
            <v>DNA基因组文库</v>
          </cell>
          <cell r="I282" t="str">
            <v>GZQ</v>
          </cell>
          <cell r="J282">
            <v>90.8</v>
          </cell>
          <cell r="N282" t="e">
            <v>#DIV/0!</v>
          </cell>
        </row>
        <row r="283">
          <cell r="E283" t="str">
            <v>HGC-Lib-2461080</v>
          </cell>
          <cell r="F283" t="str">
            <v>LD240719O-1693A</v>
          </cell>
          <cell r="G283">
            <v>1</v>
          </cell>
          <cell r="H283" t="str">
            <v>DNA基因组文库</v>
          </cell>
          <cell r="I283" t="str">
            <v>GZQ</v>
          </cell>
          <cell r="J283">
            <v>55.6</v>
          </cell>
          <cell r="N283" t="e">
            <v>#DIV/0!</v>
          </cell>
        </row>
        <row r="284">
          <cell r="E284" t="str">
            <v>HGC-Lib-2461081</v>
          </cell>
          <cell r="F284" t="str">
            <v>LD240719O-1694A</v>
          </cell>
          <cell r="G284">
            <v>1</v>
          </cell>
          <cell r="H284" t="str">
            <v>DNA基因组文库</v>
          </cell>
          <cell r="I284" t="str">
            <v>GZQ</v>
          </cell>
          <cell r="J284">
            <v>60</v>
          </cell>
          <cell r="N284" t="e">
            <v>#DIV/0!</v>
          </cell>
        </row>
        <row r="285">
          <cell r="E285" t="str">
            <v>HGC-Lib-2461082</v>
          </cell>
          <cell r="F285" t="str">
            <v>LD240719O-1695A</v>
          </cell>
          <cell r="G285">
            <v>1</v>
          </cell>
          <cell r="H285" t="str">
            <v>DNA基因组文库</v>
          </cell>
          <cell r="I285" t="str">
            <v>GZQ</v>
          </cell>
          <cell r="J285">
            <v>77.599999999999994</v>
          </cell>
          <cell r="N285" t="e">
            <v>#DIV/0!</v>
          </cell>
        </row>
        <row r="286">
          <cell r="E286" t="str">
            <v>HGC-Lib-2461083</v>
          </cell>
          <cell r="F286" t="str">
            <v>LD240719O-1696A</v>
          </cell>
          <cell r="G286">
            <v>1</v>
          </cell>
          <cell r="H286" t="str">
            <v>DNA基因组文库</v>
          </cell>
          <cell r="I286" t="str">
            <v>GZQ</v>
          </cell>
          <cell r="J286">
            <v>80</v>
          </cell>
          <cell r="N286" t="e">
            <v>#DIV/0!</v>
          </cell>
        </row>
        <row r="287">
          <cell r="E287" t="str">
            <v>HGC-Lib-2461084</v>
          </cell>
          <cell r="F287" t="str">
            <v>LD240719O-1697A</v>
          </cell>
          <cell r="G287">
            <v>1</v>
          </cell>
          <cell r="H287" t="str">
            <v>DNA基因组文库</v>
          </cell>
          <cell r="I287" t="str">
            <v>GZQ</v>
          </cell>
          <cell r="J287">
            <v>98.2</v>
          </cell>
          <cell r="N287" t="e">
            <v>#DIV/0!</v>
          </cell>
        </row>
        <row r="288">
          <cell r="E288" t="str">
            <v>HGC-Lib-2461085</v>
          </cell>
          <cell r="F288" t="str">
            <v>LD240720O-0082A</v>
          </cell>
          <cell r="G288">
            <v>10</v>
          </cell>
          <cell r="H288" t="str">
            <v>DNA宏基因组文库</v>
          </cell>
          <cell r="I288" t="str">
            <v>GZQ</v>
          </cell>
          <cell r="J288">
            <v>81.400000000000006</v>
          </cell>
          <cell r="N288" t="e">
            <v>#DIV/0!</v>
          </cell>
        </row>
        <row r="289">
          <cell r="E289" t="str">
            <v>HGC-Lib-2461086</v>
          </cell>
          <cell r="F289" t="str">
            <v>LD240720O-0083A</v>
          </cell>
          <cell r="G289">
            <v>10</v>
          </cell>
          <cell r="H289" t="str">
            <v>DNA宏基因组文库</v>
          </cell>
          <cell r="I289" t="str">
            <v>GZQ</v>
          </cell>
          <cell r="J289">
            <v>81.2</v>
          </cell>
          <cell r="N289" t="e">
            <v>#DIV/0!</v>
          </cell>
        </row>
        <row r="290">
          <cell r="E290" t="str">
            <v>HGC-Lib-2461087</v>
          </cell>
          <cell r="F290" t="str">
            <v>LD240720O-0084A</v>
          </cell>
          <cell r="G290">
            <v>10</v>
          </cell>
          <cell r="H290" t="str">
            <v>DNA宏基因组文库</v>
          </cell>
          <cell r="I290" t="str">
            <v>GZQ</v>
          </cell>
          <cell r="J290">
            <v>98.4</v>
          </cell>
          <cell r="N290" t="e">
            <v>#DIV/0!</v>
          </cell>
        </row>
        <row r="291">
          <cell r="E291" t="str">
            <v>HGC-Lib-2461088</v>
          </cell>
          <cell r="F291" t="str">
            <v>LD240720O-0085A</v>
          </cell>
          <cell r="G291">
            <v>10</v>
          </cell>
          <cell r="H291" t="str">
            <v>DNA宏基因组文库</v>
          </cell>
          <cell r="I291" t="str">
            <v>GZQ</v>
          </cell>
          <cell r="J291">
            <v>112</v>
          </cell>
          <cell r="N291" t="e">
            <v>#DIV/0!</v>
          </cell>
        </row>
        <row r="292">
          <cell r="E292" t="str">
            <v>HGC-Lib-2461089</v>
          </cell>
          <cell r="F292" t="str">
            <v>LD240720O-0086A</v>
          </cell>
          <cell r="G292">
            <v>10</v>
          </cell>
          <cell r="H292" t="str">
            <v>DNA宏基因组文库</v>
          </cell>
          <cell r="I292" t="str">
            <v>GZQ</v>
          </cell>
          <cell r="J292">
            <v>70.2</v>
          </cell>
          <cell r="N292" t="e">
            <v>#DIV/0!</v>
          </cell>
        </row>
        <row r="293">
          <cell r="E293" t="str">
            <v>HGC-Lib-2461090</v>
          </cell>
          <cell r="F293" t="str">
            <v>LD240720O-0087A</v>
          </cell>
          <cell r="G293">
            <v>10</v>
          </cell>
          <cell r="H293" t="str">
            <v>DNA宏基因组文库</v>
          </cell>
          <cell r="I293" t="str">
            <v>GZQ</v>
          </cell>
          <cell r="J293">
            <v>106</v>
          </cell>
          <cell r="N293" t="e">
            <v>#DIV/0!</v>
          </cell>
        </row>
        <row r="294">
          <cell r="E294" t="str">
            <v>HGC-Lib-2461091</v>
          </cell>
          <cell r="F294" t="str">
            <v>LD240720O-0088A</v>
          </cell>
          <cell r="G294">
            <v>10</v>
          </cell>
          <cell r="H294" t="str">
            <v>DNA宏基因组文库</v>
          </cell>
          <cell r="I294" t="str">
            <v>GZQ</v>
          </cell>
          <cell r="J294">
            <v>98.8</v>
          </cell>
          <cell r="N294" t="e">
            <v>#DIV/0!</v>
          </cell>
        </row>
        <row r="295">
          <cell r="E295" t="str">
            <v>HGC-Lib-2461092</v>
          </cell>
          <cell r="F295" t="str">
            <v>LD240720O-0089A</v>
          </cell>
          <cell r="G295">
            <v>10</v>
          </cell>
          <cell r="H295" t="str">
            <v>DNA宏基因组文库</v>
          </cell>
          <cell r="I295" t="str">
            <v>GZQ</v>
          </cell>
          <cell r="J295">
            <v>79</v>
          </cell>
          <cell r="N295" t="e">
            <v>#DIV/0!</v>
          </cell>
        </row>
        <row r="296">
          <cell r="E296" t="str">
            <v>HGC-Lib-2461093</v>
          </cell>
          <cell r="F296" t="str">
            <v>LD240720O-0090A</v>
          </cell>
          <cell r="G296">
            <v>10</v>
          </cell>
          <cell r="H296" t="str">
            <v>DNA宏基因组文库</v>
          </cell>
          <cell r="I296" t="str">
            <v>GZQ</v>
          </cell>
          <cell r="J296">
            <v>82.6</v>
          </cell>
          <cell r="N296" t="e">
            <v>#DIV/0!</v>
          </cell>
        </row>
        <row r="297">
          <cell r="E297" t="str">
            <v>HGC-Lib-2461094</v>
          </cell>
          <cell r="F297" t="str">
            <v>LD240720O-0091A</v>
          </cell>
          <cell r="G297">
            <v>10</v>
          </cell>
          <cell r="H297" t="str">
            <v>DNA宏基因组文库</v>
          </cell>
          <cell r="I297" t="str">
            <v>GZQ</v>
          </cell>
          <cell r="J297">
            <v>64.400000000000006</v>
          </cell>
          <cell r="N297" t="e">
            <v>#DIV/0!</v>
          </cell>
        </row>
        <row r="298">
          <cell r="E298" t="str">
            <v>HGC-Lib-2461095</v>
          </cell>
          <cell r="F298" t="str">
            <v>LD240720O-0092A</v>
          </cell>
          <cell r="G298">
            <v>10</v>
          </cell>
          <cell r="H298" t="str">
            <v>DNA宏基因组文库</v>
          </cell>
          <cell r="I298" t="str">
            <v>GZQ</v>
          </cell>
          <cell r="J298">
            <v>97</v>
          </cell>
          <cell r="N298" t="e">
            <v>#DIV/0!</v>
          </cell>
        </row>
        <row r="299">
          <cell r="E299" t="str">
            <v>HGC-Lib-2461096</v>
          </cell>
          <cell r="F299" t="str">
            <v>LD240720O-0093A</v>
          </cell>
          <cell r="G299">
            <v>10</v>
          </cell>
          <cell r="H299" t="str">
            <v>DNA宏基因组文库</v>
          </cell>
          <cell r="I299" t="str">
            <v>GZQ</v>
          </cell>
          <cell r="J299">
            <v>96.4</v>
          </cell>
          <cell r="N299" t="e">
            <v>#DIV/0!</v>
          </cell>
        </row>
        <row r="300">
          <cell r="E300" t="str">
            <v>HGC-Lib-2461097</v>
          </cell>
          <cell r="F300" t="str">
            <v>LD240721O-1902A</v>
          </cell>
          <cell r="G300">
            <v>20</v>
          </cell>
          <cell r="H300" t="str">
            <v>DNA宏基因组文库</v>
          </cell>
          <cell r="I300" t="str">
            <v>GZQ</v>
          </cell>
          <cell r="J300">
            <v>76</v>
          </cell>
          <cell r="N300" t="e">
            <v>#DIV/0!</v>
          </cell>
        </row>
        <row r="301">
          <cell r="E301" t="str">
            <v>HGC-Lib-2461098</v>
          </cell>
          <cell r="F301" t="str">
            <v>LD240721O-1903A</v>
          </cell>
          <cell r="G301">
            <v>20</v>
          </cell>
          <cell r="H301" t="str">
            <v>DNA宏基因组文库</v>
          </cell>
          <cell r="I301" t="str">
            <v>GZQ</v>
          </cell>
          <cell r="J301">
            <v>99</v>
          </cell>
          <cell r="N301" t="e">
            <v>#DIV/0!</v>
          </cell>
        </row>
        <row r="302">
          <cell r="E302" t="str">
            <v>HGC-Lib-2461099</v>
          </cell>
          <cell r="F302" t="str">
            <v>LD240721O-1904A</v>
          </cell>
          <cell r="G302">
            <v>20</v>
          </cell>
          <cell r="H302" t="str">
            <v>DNA宏基因组文库</v>
          </cell>
          <cell r="I302" t="str">
            <v>GZQ</v>
          </cell>
          <cell r="J302">
            <v>69.599999999999994</v>
          </cell>
          <cell r="N302" t="e">
            <v>#DIV/0!</v>
          </cell>
        </row>
        <row r="303">
          <cell r="E303" t="str">
            <v>HGC-Lib-2461100</v>
          </cell>
          <cell r="F303" t="str">
            <v>LD240721O-1905A</v>
          </cell>
          <cell r="G303">
            <v>20</v>
          </cell>
          <cell r="H303" t="str">
            <v>DNA宏基因组文库</v>
          </cell>
          <cell r="I303" t="str">
            <v>GZQ</v>
          </cell>
          <cell r="J303">
            <v>100</v>
          </cell>
          <cell r="N303" t="e">
            <v>#DIV/0!</v>
          </cell>
        </row>
        <row r="304">
          <cell r="E304" t="str">
            <v>HGC-Lib-2461101</v>
          </cell>
          <cell r="F304" t="str">
            <v>LD240721O-1906A</v>
          </cell>
          <cell r="G304">
            <v>20</v>
          </cell>
          <cell r="H304" t="str">
            <v>DNA宏基因组文库</v>
          </cell>
          <cell r="I304" t="str">
            <v>GZQ</v>
          </cell>
          <cell r="J304">
            <v>99.6</v>
          </cell>
          <cell r="N304" t="e">
            <v>#DIV/0!</v>
          </cell>
        </row>
        <row r="305">
          <cell r="E305" t="str">
            <v>HGC-Lib-2461102</v>
          </cell>
          <cell r="F305" t="str">
            <v>LD240721O-1907A</v>
          </cell>
          <cell r="G305">
            <v>20</v>
          </cell>
          <cell r="H305" t="str">
            <v>DNA宏基因组文库</v>
          </cell>
          <cell r="I305" t="str">
            <v>GZQ</v>
          </cell>
          <cell r="J305">
            <v>81</v>
          </cell>
          <cell r="N305" t="e">
            <v>#DIV/0!</v>
          </cell>
        </row>
        <row r="306">
          <cell r="E306" t="str">
            <v>HGC-Lib-2461103</v>
          </cell>
          <cell r="F306" t="str">
            <v>LD240721O-1908A</v>
          </cell>
          <cell r="G306">
            <v>20</v>
          </cell>
          <cell r="H306" t="str">
            <v>DNA宏基因组文库</v>
          </cell>
          <cell r="I306" t="str">
            <v>GZQ</v>
          </cell>
          <cell r="J306">
            <v>22.8</v>
          </cell>
          <cell r="N306" t="e">
            <v>#DIV/0!</v>
          </cell>
        </row>
        <row r="307">
          <cell r="E307" t="str">
            <v>HGC-Lib-2461104</v>
          </cell>
          <cell r="F307" t="str">
            <v>LD240721O-1909A</v>
          </cell>
          <cell r="G307">
            <v>20</v>
          </cell>
          <cell r="H307" t="str">
            <v>DNA宏基因组文库</v>
          </cell>
          <cell r="I307" t="str">
            <v>GZQ</v>
          </cell>
          <cell r="J307">
            <v>52.6</v>
          </cell>
          <cell r="N307" t="e">
            <v>#DIV/0!</v>
          </cell>
        </row>
        <row r="308">
          <cell r="E308" t="str">
            <v>HGC-Lib-2461105</v>
          </cell>
          <cell r="F308" t="str">
            <v>LD240721O-1910A</v>
          </cell>
          <cell r="G308">
            <v>20</v>
          </cell>
          <cell r="H308" t="str">
            <v>DNA宏基因组文库</v>
          </cell>
          <cell r="I308" t="str">
            <v>GZQ</v>
          </cell>
          <cell r="J308">
            <v>93.2</v>
          </cell>
          <cell r="N308" t="e">
            <v>#DIV/0!</v>
          </cell>
        </row>
        <row r="309">
          <cell r="E309" t="str">
            <v>HGC-Lib-2461106</v>
          </cell>
          <cell r="F309" t="str">
            <v>LD240721O-1911A</v>
          </cell>
          <cell r="G309">
            <v>20</v>
          </cell>
          <cell r="H309" t="str">
            <v>DNA宏基因组文库</v>
          </cell>
          <cell r="I309" t="str">
            <v>GZQ</v>
          </cell>
          <cell r="J309">
            <v>56</v>
          </cell>
          <cell r="N309" t="e">
            <v>#DIV/0!</v>
          </cell>
        </row>
        <row r="310">
          <cell r="E310" t="str">
            <v>HGC-Lib-2461107</v>
          </cell>
          <cell r="F310" t="str">
            <v>LD240721O-1912A</v>
          </cell>
          <cell r="G310">
            <v>20</v>
          </cell>
          <cell r="H310" t="str">
            <v>DNA宏基因组文库</v>
          </cell>
          <cell r="I310" t="str">
            <v>GZQ</v>
          </cell>
          <cell r="J310">
            <v>60.4</v>
          </cell>
          <cell r="N310" t="e">
            <v>#DIV/0!</v>
          </cell>
        </row>
        <row r="311">
          <cell r="E311" t="str">
            <v>HGC-Lib-2461108</v>
          </cell>
          <cell r="F311" t="str">
            <v>LD240721O-1913A</v>
          </cell>
          <cell r="G311">
            <v>20</v>
          </cell>
          <cell r="H311" t="str">
            <v>DNA宏基因组文库</v>
          </cell>
          <cell r="I311" t="str">
            <v>GZQ</v>
          </cell>
          <cell r="J311">
            <v>39.6</v>
          </cell>
          <cell r="N311" t="e">
            <v>#DIV/0!</v>
          </cell>
        </row>
        <row r="312">
          <cell r="E312" t="str">
            <v>HGC-Lib-2461109</v>
          </cell>
          <cell r="F312" t="str">
            <v>LD240723D-0786A</v>
          </cell>
          <cell r="G312">
            <v>30</v>
          </cell>
          <cell r="H312" t="str">
            <v>DNA宏基因组文库</v>
          </cell>
          <cell r="I312" t="str">
            <v>GZQ</v>
          </cell>
          <cell r="J312">
            <v>84</v>
          </cell>
          <cell r="N312" t="e">
            <v>#DIV/0!</v>
          </cell>
        </row>
        <row r="313">
          <cell r="E313" t="str">
            <v>HGC-Lib-2461110</v>
          </cell>
          <cell r="F313" t="str">
            <v>LD240723D-0787A</v>
          </cell>
          <cell r="G313">
            <v>30</v>
          </cell>
          <cell r="H313" t="str">
            <v>DNA宏基因组文库</v>
          </cell>
          <cell r="I313" t="str">
            <v>GZQ</v>
          </cell>
          <cell r="J313">
            <v>57.2</v>
          </cell>
          <cell r="N313" t="e">
            <v>#DIV/0!</v>
          </cell>
        </row>
        <row r="314">
          <cell r="E314" t="str">
            <v>HGC-Lib-2461111</v>
          </cell>
          <cell r="F314" t="str">
            <v>LD240723D-0788A</v>
          </cell>
          <cell r="G314">
            <v>30</v>
          </cell>
          <cell r="H314" t="str">
            <v>DNA宏基因组文库</v>
          </cell>
          <cell r="I314" t="str">
            <v>GZQ</v>
          </cell>
          <cell r="J314">
            <v>61.6</v>
          </cell>
          <cell r="N314" t="e">
            <v>#DIV/0!</v>
          </cell>
        </row>
        <row r="315">
          <cell r="E315" t="str">
            <v>HGC-Lib-2461112</v>
          </cell>
          <cell r="F315" t="str">
            <v>LD240705O-3400A</v>
          </cell>
          <cell r="G315">
            <v>1</v>
          </cell>
          <cell r="H315" t="str">
            <v>DNA基因组文库</v>
          </cell>
          <cell r="I315" t="str">
            <v>GZQ</v>
          </cell>
          <cell r="J315">
            <v>42.4</v>
          </cell>
          <cell r="N315" t="e">
            <v>#DIV/0!</v>
          </cell>
        </row>
        <row r="316">
          <cell r="E316" t="str">
            <v>HGC-Lib-2461113</v>
          </cell>
          <cell r="F316" t="str">
            <v>LD240705O-3401A</v>
          </cell>
          <cell r="G316">
            <v>1</v>
          </cell>
          <cell r="H316" t="str">
            <v>DNA基因组文库</v>
          </cell>
          <cell r="I316" t="str">
            <v>GZQ</v>
          </cell>
          <cell r="J316">
            <v>57.8</v>
          </cell>
          <cell r="N316" t="e">
            <v>#DIV/0!</v>
          </cell>
        </row>
        <row r="317">
          <cell r="E317" t="str">
            <v>HGC-Lib-2461114</v>
          </cell>
          <cell r="F317" t="str">
            <v>LD240705O-3402A</v>
          </cell>
          <cell r="G317">
            <v>1</v>
          </cell>
          <cell r="H317" t="str">
            <v>DNA基因组文库</v>
          </cell>
          <cell r="I317" t="str">
            <v>GZQ</v>
          </cell>
          <cell r="J317">
            <v>28.8</v>
          </cell>
          <cell r="N317" t="e">
            <v>#DIV/0!</v>
          </cell>
        </row>
        <row r="318">
          <cell r="E318" t="str">
            <v>HGC-Lib-2461115</v>
          </cell>
          <cell r="F318" t="str">
            <v>LD240705O-3403A</v>
          </cell>
          <cell r="G318">
            <v>1</v>
          </cell>
          <cell r="H318" t="str">
            <v>DNA基因组文库</v>
          </cell>
          <cell r="I318" t="str">
            <v>GZQ</v>
          </cell>
          <cell r="J318">
            <v>99.6</v>
          </cell>
          <cell r="N318" t="e">
            <v>#DIV/0!</v>
          </cell>
        </row>
        <row r="319">
          <cell r="E319" t="str">
            <v>HGC-Lib-2461116</v>
          </cell>
          <cell r="F319" t="str">
            <v>LD240705O-3404A</v>
          </cell>
          <cell r="G319">
            <v>1</v>
          </cell>
          <cell r="H319" t="str">
            <v>DNA基因组文库</v>
          </cell>
          <cell r="I319" t="str">
            <v>GZQ</v>
          </cell>
          <cell r="J319">
            <v>73.2</v>
          </cell>
          <cell r="N319" t="e">
            <v>#DIV/0!</v>
          </cell>
        </row>
        <row r="320">
          <cell r="E320" t="str">
            <v>HGC-Lib-2461117</v>
          </cell>
          <cell r="F320" t="str">
            <v>LD240705O-3405A</v>
          </cell>
          <cell r="G320">
            <v>1</v>
          </cell>
          <cell r="H320" t="str">
            <v>DNA基因组文库</v>
          </cell>
          <cell r="I320" t="str">
            <v>GZQ</v>
          </cell>
          <cell r="J320">
            <v>68.599999999999994</v>
          </cell>
          <cell r="N320" t="e">
            <v>#DIV/0!</v>
          </cell>
        </row>
        <row r="321">
          <cell r="E321" t="str">
            <v>HGC-Lib-2461118</v>
          </cell>
          <cell r="F321" t="str">
            <v>LD240716O-4953A</v>
          </cell>
          <cell r="G321">
            <v>10</v>
          </cell>
          <cell r="H321" t="str">
            <v>DNA宏基因组文库</v>
          </cell>
          <cell r="I321" t="str">
            <v>GZQ</v>
          </cell>
          <cell r="J321">
            <v>94.2</v>
          </cell>
          <cell r="N321" t="e">
            <v>#DIV/0!</v>
          </cell>
        </row>
        <row r="322">
          <cell r="E322" t="str">
            <v>HGC-Lib-2461119</v>
          </cell>
          <cell r="F322" t="str">
            <v>LD240716O-4954A</v>
          </cell>
          <cell r="G322">
            <v>10</v>
          </cell>
          <cell r="H322" t="str">
            <v>DNA宏基因组文库</v>
          </cell>
          <cell r="I322" t="str">
            <v>GZQ</v>
          </cell>
          <cell r="J322">
            <v>27.6</v>
          </cell>
          <cell r="N322" t="e">
            <v>#DIV/0!</v>
          </cell>
        </row>
        <row r="323">
          <cell r="E323" t="str">
            <v>HGC-Lib-2461120</v>
          </cell>
          <cell r="F323" t="str">
            <v>LD240716O-4955A</v>
          </cell>
          <cell r="G323">
            <v>10</v>
          </cell>
          <cell r="H323" t="str">
            <v>DNA宏基因组文库</v>
          </cell>
          <cell r="I323" t="str">
            <v>GZQ</v>
          </cell>
          <cell r="J323">
            <v>99.8</v>
          </cell>
          <cell r="N323" t="e">
            <v>#DIV/0!</v>
          </cell>
        </row>
        <row r="324">
          <cell r="E324" t="str">
            <v>HGC-Lib-2461121</v>
          </cell>
          <cell r="F324" t="str">
            <v>LD240724D-0178A</v>
          </cell>
          <cell r="G324">
            <v>1</v>
          </cell>
          <cell r="H324" t="str">
            <v>DNA基因组文库</v>
          </cell>
          <cell r="I324" t="str">
            <v>GZQ</v>
          </cell>
          <cell r="J324">
            <v>55.4</v>
          </cell>
          <cell r="N324" t="e">
            <v>#DIV/0!</v>
          </cell>
        </row>
        <row r="325">
          <cell r="E325" t="str">
            <v>HGC-Lib-2461122</v>
          </cell>
          <cell r="F325" t="str">
            <v>LD240724D-0179A</v>
          </cell>
          <cell r="G325">
            <v>1</v>
          </cell>
          <cell r="H325" t="str">
            <v>DNA基因组文库</v>
          </cell>
          <cell r="I325" t="str">
            <v>GZQ</v>
          </cell>
          <cell r="J325">
            <v>52.6</v>
          </cell>
          <cell r="N325" t="e">
            <v>#DIV/0!</v>
          </cell>
        </row>
        <row r="326">
          <cell r="E326" t="str">
            <v>HGC-Lib-2461123</v>
          </cell>
          <cell r="F326" t="str">
            <v>LD240724D-0180A</v>
          </cell>
          <cell r="G326">
            <v>1</v>
          </cell>
          <cell r="H326" t="str">
            <v>DNA基因组文库</v>
          </cell>
          <cell r="I326" t="str">
            <v>ZZ</v>
          </cell>
          <cell r="J326">
            <v>60</v>
          </cell>
          <cell r="N326" t="e">
            <v>#DIV/0!</v>
          </cell>
        </row>
        <row r="327">
          <cell r="E327" t="str">
            <v>HGC-Lib-2461124</v>
          </cell>
          <cell r="F327" t="str">
            <v>LD240724D-0181A</v>
          </cell>
          <cell r="G327">
            <v>1</v>
          </cell>
          <cell r="H327" t="str">
            <v>DNA基因组文库</v>
          </cell>
          <cell r="I327" t="str">
            <v>ZZ</v>
          </cell>
          <cell r="J327">
            <v>88.8</v>
          </cell>
          <cell r="N327" t="e">
            <v>#DIV/0!</v>
          </cell>
        </row>
        <row r="328">
          <cell r="E328" t="str">
            <v>HGC-Lib-2461125</v>
          </cell>
          <cell r="F328" t="str">
            <v>LD240724D-0182A</v>
          </cell>
          <cell r="G328">
            <v>1</v>
          </cell>
          <cell r="H328" t="str">
            <v>DNA基因组文库</v>
          </cell>
          <cell r="I328" t="str">
            <v>ZZ</v>
          </cell>
          <cell r="J328">
            <v>61.4</v>
          </cell>
          <cell r="N328" t="e">
            <v>#DIV/0!</v>
          </cell>
        </row>
        <row r="329">
          <cell r="E329" t="str">
            <v>HGC-Lib-2461126</v>
          </cell>
          <cell r="F329" t="str">
            <v>LD240724D-0183A</v>
          </cell>
          <cell r="G329">
            <v>1</v>
          </cell>
          <cell r="H329" t="str">
            <v>DNA基因组文库</v>
          </cell>
          <cell r="I329" t="str">
            <v>ZZ</v>
          </cell>
          <cell r="J329">
            <v>80.599999999999994</v>
          </cell>
          <cell r="N329" t="e">
            <v>#DIV/0!</v>
          </cell>
        </row>
        <row r="330">
          <cell r="E330" t="str">
            <v>HGC-Lib-2461127</v>
          </cell>
          <cell r="F330" t="str">
            <v>LD240726D-0537A</v>
          </cell>
          <cell r="G330">
            <v>1</v>
          </cell>
          <cell r="H330" t="str">
            <v>DNA基因组文库</v>
          </cell>
          <cell r="I330" t="str">
            <v>ZZ</v>
          </cell>
          <cell r="J330">
            <v>87.2</v>
          </cell>
          <cell r="N330" t="e">
            <v>#DIV/0!</v>
          </cell>
        </row>
        <row r="331">
          <cell r="E331" t="str">
            <v>HGC-Lib-2461128</v>
          </cell>
          <cell r="F331" t="str">
            <v>LD240726D-0538A</v>
          </cell>
          <cell r="G331">
            <v>1</v>
          </cell>
          <cell r="H331" t="str">
            <v>DNA基因组文库</v>
          </cell>
          <cell r="I331" t="str">
            <v>ZZ</v>
          </cell>
          <cell r="J331">
            <v>77.599999999999994</v>
          </cell>
          <cell r="N331" t="e">
            <v>#DIV/0!</v>
          </cell>
        </row>
        <row r="332">
          <cell r="E332" t="str">
            <v>HGC-Lib-2461129</v>
          </cell>
          <cell r="F332" t="str">
            <v>LD240726D-0539A</v>
          </cell>
          <cell r="G332">
            <v>1</v>
          </cell>
          <cell r="H332" t="str">
            <v>DNA基因组文库</v>
          </cell>
          <cell r="I332" t="str">
            <v>ZZ</v>
          </cell>
          <cell r="J332">
            <v>40.799999999999997</v>
          </cell>
          <cell r="N332" t="e">
            <v>#DIV/0!</v>
          </cell>
        </row>
        <row r="333">
          <cell r="E333" t="str">
            <v>HGC-Lib-2461130</v>
          </cell>
          <cell r="F333" t="str">
            <v>LD240726D-0540A</v>
          </cell>
          <cell r="G333">
            <v>1</v>
          </cell>
          <cell r="H333" t="str">
            <v>DNA基因组文库</v>
          </cell>
          <cell r="I333" t="str">
            <v>ZZ</v>
          </cell>
          <cell r="J333">
            <v>31.6</v>
          </cell>
          <cell r="N333" t="e">
            <v>#DIV/0!</v>
          </cell>
        </row>
        <row r="334">
          <cell r="E334" t="str">
            <v>HGC-Lib-2461131</v>
          </cell>
          <cell r="F334" t="str">
            <v>LD240520O-1577A</v>
          </cell>
          <cell r="G334">
            <v>10</v>
          </cell>
          <cell r="H334" t="str">
            <v>DNA病毒组文库</v>
          </cell>
          <cell r="I334" t="str">
            <v>ZZ</v>
          </cell>
          <cell r="J334">
            <v>21</v>
          </cell>
          <cell r="N334" t="e">
            <v>#DIV/0!</v>
          </cell>
        </row>
        <row r="335">
          <cell r="E335" t="str">
            <v>HGC-Lib-2461132</v>
          </cell>
          <cell r="F335" t="str">
            <v>LD240520O-1578A</v>
          </cell>
          <cell r="G335">
            <v>10</v>
          </cell>
          <cell r="H335" t="str">
            <v>DNA病毒组文库</v>
          </cell>
          <cell r="I335" t="str">
            <v>ZZ</v>
          </cell>
          <cell r="J335">
            <v>22</v>
          </cell>
          <cell r="N335" t="e">
            <v>#DIV/0!</v>
          </cell>
        </row>
        <row r="336">
          <cell r="E336" t="str">
            <v>HGC-Lib-2461133</v>
          </cell>
          <cell r="F336" t="str">
            <v>LD240520O-1579A</v>
          </cell>
          <cell r="G336">
            <v>10</v>
          </cell>
          <cell r="H336" t="str">
            <v>DNA病毒组文库</v>
          </cell>
          <cell r="I336" t="str">
            <v>ZZ</v>
          </cell>
          <cell r="J336">
            <v>11.9</v>
          </cell>
          <cell r="N336" t="e">
            <v>#DIV/0!</v>
          </cell>
        </row>
        <row r="337">
          <cell r="E337" t="str">
            <v>HGC-Lib-2461134</v>
          </cell>
          <cell r="F337" t="str">
            <v>LD240520O-1580A</v>
          </cell>
          <cell r="G337">
            <v>10</v>
          </cell>
          <cell r="H337" t="str">
            <v>DNA病毒组文库</v>
          </cell>
          <cell r="I337" t="str">
            <v>ZZ</v>
          </cell>
          <cell r="J337">
            <v>3.5</v>
          </cell>
          <cell r="N337" t="e">
            <v>#DIV/0!</v>
          </cell>
        </row>
        <row r="338">
          <cell r="E338" t="str">
            <v>HGC-Lib-2461135</v>
          </cell>
          <cell r="F338" t="str">
            <v>LD240520O-1581A</v>
          </cell>
          <cell r="G338">
            <v>10</v>
          </cell>
          <cell r="H338" t="str">
            <v>DNA病毒组文库</v>
          </cell>
          <cell r="I338" t="str">
            <v>ZZ</v>
          </cell>
          <cell r="J338">
            <v>114</v>
          </cell>
          <cell r="N338" t="e">
            <v>#DIV/0!</v>
          </cell>
        </row>
        <row r="339">
          <cell r="E339" t="str">
            <v>HGC-Lib-2461136</v>
          </cell>
          <cell r="F339" t="str">
            <v>LD240520O-1582A</v>
          </cell>
          <cell r="G339">
            <v>10</v>
          </cell>
          <cell r="H339" t="str">
            <v>DNA病毒组文库</v>
          </cell>
          <cell r="I339" t="str">
            <v>ZZ</v>
          </cell>
          <cell r="J339">
            <v>54.8</v>
          </cell>
          <cell r="N339" t="e">
            <v>#DIV/0!</v>
          </cell>
        </row>
        <row r="340">
          <cell r="E340" t="str">
            <v>HGC-Lib-2461137</v>
          </cell>
          <cell r="F340" t="str">
            <v>LD240520O-1583A</v>
          </cell>
          <cell r="G340">
            <v>10</v>
          </cell>
          <cell r="H340" t="str">
            <v>DNA病毒组文库</v>
          </cell>
          <cell r="I340" t="str">
            <v>ZZ</v>
          </cell>
          <cell r="J340">
            <v>40.200000000000003</v>
          </cell>
          <cell r="N340" t="e">
            <v>#DIV/0!</v>
          </cell>
        </row>
        <row r="341">
          <cell r="E341" t="str">
            <v>HGC-Lib-2461138</v>
          </cell>
          <cell r="F341" t="str">
            <v>LD240520O-1584A</v>
          </cell>
          <cell r="G341">
            <v>10</v>
          </cell>
          <cell r="H341" t="str">
            <v>DNA病毒组文库</v>
          </cell>
          <cell r="I341" t="str">
            <v>ZZ</v>
          </cell>
          <cell r="J341">
            <v>77.8</v>
          </cell>
          <cell r="N341" t="e">
            <v>#DIV/0!</v>
          </cell>
        </row>
        <row r="342">
          <cell r="E342" t="str">
            <v>HGC-Lib-2461139</v>
          </cell>
          <cell r="F342" t="str">
            <v>LR240718O-1172B</v>
          </cell>
          <cell r="G342">
            <v>6</v>
          </cell>
          <cell r="H342" t="str">
            <v>普通真核转录组文库</v>
          </cell>
          <cell r="I342" t="str">
            <v>ZZ</v>
          </cell>
          <cell r="J342">
            <v>35</v>
          </cell>
          <cell r="N342" t="e">
            <v>#DIV/0!</v>
          </cell>
        </row>
        <row r="343">
          <cell r="E343" t="str">
            <v>HGC-Lib-2461140</v>
          </cell>
          <cell r="F343" t="str">
            <v>LR240718O-1173B</v>
          </cell>
          <cell r="G343">
            <v>6</v>
          </cell>
          <cell r="H343" t="str">
            <v>普通真核转录组文库</v>
          </cell>
          <cell r="I343" t="str">
            <v>ZZ</v>
          </cell>
          <cell r="J343">
            <v>27.8</v>
          </cell>
          <cell r="N343" t="e">
            <v>#DIV/0!</v>
          </cell>
        </row>
        <row r="344">
          <cell r="E344" t="str">
            <v>HGC-Lib-2461141</v>
          </cell>
          <cell r="F344" t="str">
            <v>LR240718O-1174B</v>
          </cell>
          <cell r="G344">
            <v>6</v>
          </cell>
          <cell r="H344" t="str">
            <v>普通真核转录组文库</v>
          </cell>
          <cell r="I344" t="str">
            <v>ZZ</v>
          </cell>
          <cell r="J344">
            <v>32.1</v>
          </cell>
          <cell r="N344" t="e">
            <v>#DIV/0!</v>
          </cell>
        </row>
        <row r="345">
          <cell r="E345" t="str">
            <v>HGC-Lib-2461142</v>
          </cell>
          <cell r="F345" t="str">
            <v>LR240718O-1175B</v>
          </cell>
          <cell r="G345">
            <v>6</v>
          </cell>
          <cell r="H345" t="str">
            <v>普通真核转录组文库</v>
          </cell>
          <cell r="I345" t="str">
            <v>ZZ</v>
          </cell>
          <cell r="J345">
            <v>23.2</v>
          </cell>
          <cell r="N345" t="e">
            <v>#DIV/0!</v>
          </cell>
        </row>
        <row r="346">
          <cell r="E346" t="str">
            <v>HGC-Lib-2461143</v>
          </cell>
          <cell r="F346" t="str">
            <v>LR240718O-1191A</v>
          </cell>
          <cell r="G346">
            <v>10</v>
          </cell>
          <cell r="H346" t="str">
            <v>RNA病毒组文库</v>
          </cell>
          <cell r="I346" t="str">
            <v>ZZ</v>
          </cell>
          <cell r="J346">
            <v>14.7</v>
          </cell>
          <cell r="N346" t="e">
            <v>#DIV/0!</v>
          </cell>
        </row>
        <row r="347">
          <cell r="E347" t="str">
            <v>HGC-Lib-2461144</v>
          </cell>
          <cell r="F347" t="str">
            <v>LR240722O-4588A</v>
          </cell>
          <cell r="G347">
            <v>1</v>
          </cell>
          <cell r="H347" t="str">
            <v>RNA病毒基因组文库</v>
          </cell>
          <cell r="I347" t="str">
            <v>ZZ</v>
          </cell>
          <cell r="J347">
            <v>3.96</v>
          </cell>
          <cell r="N347" t="e">
            <v>#DIV/0!</v>
          </cell>
        </row>
        <row r="348">
          <cell r="E348" t="str">
            <v>HGC-Lib-2461145</v>
          </cell>
          <cell r="F348" t="str">
            <v>LD240715D-0843A</v>
          </cell>
          <cell r="G348">
            <v>10</v>
          </cell>
          <cell r="H348" t="str">
            <v>DNA宏基因组文库</v>
          </cell>
          <cell r="I348" t="str">
            <v>ZZ</v>
          </cell>
          <cell r="J348">
            <v>34.4</v>
          </cell>
          <cell r="N348" t="e">
            <v>#DIV/0!</v>
          </cell>
        </row>
        <row r="349">
          <cell r="E349" t="str">
            <v>HGC-Lib-2461146</v>
          </cell>
          <cell r="F349" t="str">
            <v>LM240717O-2782A</v>
          </cell>
          <cell r="G349">
            <v>1</v>
          </cell>
          <cell r="H349" t="str">
            <v>扩增子文库</v>
          </cell>
          <cell r="I349" t="str">
            <v>ZZ</v>
          </cell>
          <cell r="J349">
            <v>52.8</v>
          </cell>
          <cell r="N349" t="e">
            <v>#DIV/0!</v>
          </cell>
        </row>
        <row r="350">
          <cell r="E350" t="str">
            <v>HGC-Lib-2461147</v>
          </cell>
          <cell r="F350" t="str">
            <v>LM240717O-2783A</v>
          </cell>
          <cell r="G350">
            <v>1</v>
          </cell>
          <cell r="H350" t="str">
            <v>扩增子文库</v>
          </cell>
          <cell r="I350" t="str">
            <v>ZZ</v>
          </cell>
          <cell r="J350">
            <v>38.200000000000003</v>
          </cell>
          <cell r="N350" t="e">
            <v>#DIV/0!</v>
          </cell>
        </row>
        <row r="351">
          <cell r="E351" t="str">
            <v>HGC-Lib-2461148</v>
          </cell>
          <cell r="F351" t="str">
            <v>LM240717O-2784A</v>
          </cell>
          <cell r="G351">
            <v>1</v>
          </cell>
          <cell r="H351" t="str">
            <v>扩增子文库</v>
          </cell>
          <cell r="I351" t="str">
            <v>ZZ</v>
          </cell>
          <cell r="J351">
            <v>18</v>
          </cell>
          <cell r="N351" t="e">
            <v>#DIV/0!</v>
          </cell>
        </row>
        <row r="352">
          <cell r="E352" t="str">
            <v>HGC-Lib-2461149</v>
          </cell>
          <cell r="F352" t="str">
            <v>P21 DAPI+</v>
          </cell>
          <cell r="G352">
            <v>2</v>
          </cell>
          <cell r="H352" t="str">
            <v>ATAC-Seq文库</v>
          </cell>
          <cell r="I352" t="str">
            <v>YHT</v>
          </cell>
          <cell r="J352">
            <v>11.9</v>
          </cell>
          <cell r="K352">
            <v>260</v>
          </cell>
          <cell r="L352" t="str">
            <v>WH</v>
          </cell>
          <cell r="N352">
            <v>70.414201183431999</v>
          </cell>
        </row>
        <row r="353">
          <cell r="E353" t="str">
            <v>HGC-Lib-2461150</v>
          </cell>
          <cell r="F353" t="str">
            <v>P21 GFP+</v>
          </cell>
          <cell r="G353">
            <v>2</v>
          </cell>
          <cell r="H353" t="str">
            <v>全基因组文库</v>
          </cell>
          <cell r="I353" t="str">
            <v>YHT</v>
          </cell>
          <cell r="J353">
            <v>5.3</v>
          </cell>
          <cell r="K353">
            <v>480</v>
          </cell>
          <cell r="L353" t="str">
            <v>WH</v>
          </cell>
          <cell r="N353">
            <v>16.9871794871795</v>
          </cell>
        </row>
        <row r="354">
          <cell r="E354" t="str">
            <v>HGC-Lib-2461151</v>
          </cell>
          <cell r="F354" t="str">
            <v>cKO #3_V_B1</v>
          </cell>
          <cell r="G354">
            <v>2</v>
          </cell>
          <cell r="H354" t="str">
            <v>全基因组文库</v>
          </cell>
          <cell r="I354" t="str">
            <v>YHT</v>
          </cell>
          <cell r="J354">
            <v>9.24</v>
          </cell>
          <cell r="K354">
            <v>497</v>
          </cell>
          <cell r="L354" t="str">
            <v>WH</v>
          </cell>
          <cell r="N354">
            <v>28.602383531960999</v>
          </cell>
        </row>
        <row r="355">
          <cell r="E355" t="str">
            <v>HGC-Lib-2461152</v>
          </cell>
          <cell r="F355" t="str">
            <v>Ctrl #4_V_B1</v>
          </cell>
          <cell r="G355">
            <v>2</v>
          </cell>
          <cell r="H355" t="str">
            <v>全基因组文库</v>
          </cell>
          <cell r="I355" t="str">
            <v>YHT</v>
          </cell>
          <cell r="J355">
            <v>7.98</v>
          </cell>
          <cell r="K355">
            <v>486</v>
          </cell>
          <cell r="L355" t="str">
            <v>WH</v>
          </cell>
          <cell r="N355">
            <v>25.261158594491899</v>
          </cell>
        </row>
        <row r="356">
          <cell r="E356" t="str">
            <v>HGC-Lib-2461153</v>
          </cell>
          <cell r="F356" t="str">
            <v>cKO #2_C_B1</v>
          </cell>
          <cell r="G356">
            <v>2</v>
          </cell>
          <cell r="H356" t="str">
            <v>全基因组文库</v>
          </cell>
          <cell r="I356" t="str">
            <v>YHT</v>
          </cell>
          <cell r="J356">
            <v>11.3</v>
          </cell>
          <cell r="K356">
            <v>527</v>
          </cell>
          <cell r="L356" t="str">
            <v>WH</v>
          </cell>
          <cell r="N356">
            <v>32.987884980294901</v>
          </cell>
        </row>
        <row r="357">
          <cell r="E357" t="str">
            <v>HGC-Lib-2461154</v>
          </cell>
          <cell r="F357" t="str">
            <v>Ctrl #5_V_B1</v>
          </cell>
          <cell r="G357">
            <v>2</v>
          </cell>
          <cell r="H357" t="str">
            <v>全基因组文库</v>
          </cell>
          <cell r="I357" t="str">
            <v>YHT</v>
          </cell>
          <cell r="J357">
            <v>6.74</v>
          </cell>
          <cell r="K357">
            <v>503</v>
          </cell>
          <cell r="L357" t="str">
            <v>WH</v>
          </cell>
          <cell r="N357">
            <v>20.614772901055201</v>
          </cell>
        </row>
        <row r="358">
          <cell r="E358" t="str">
            <v>HGC-Lib-2461155</v>
          </cell>
          <cell r="F358" t="str">
            <v>cKO #6_C_B1</v>
          </cell>
          <cell r="G358">
            <v>2</v>
          </cell>
          <cell r="H358" t="str">
            <v>全基因组文库</v>
          </cell>
          <cell r="I358" t="str">
            <v>YHT</v>
          </cell>
          <cell r="J358">
            <v>8.74</v>
          </cell>
          <cell r="K358">
            <v>457</v>
          </cell>
          <cell r="L358" t="str">
            <v>WH</v>
          </cell>
          <cell r="N358">
            <v>29.422656118498601</v>
          </cell>
        </row>
        <row r="359">
          <cell r="E359" t="str">
            <v>HGC-Lib-2461156</v>
          </cell>
          <cell r="F359" t="str">
            <v>Ctrl #8_C_B1</v>
          </cell>
          <cell r="G359">
            <v>2</v>
          </cell>
          <cell r="H359" t="str">
            <v>全基因组文库</v>
          </cell>
          <cell r="I359" t="str">
            <v>YHT</v>
          </cell>
          <cell r="J359">
            <v>8.08</v>
          </cell>
          <cell r="K359">
            <v>490</v>
          </cell>
          <cell r="L359" t="str">
            <v>WH</v>
          </cell>
          <cell r="N359">
            <v>25.3689167974882</v>
          </cell>
        </row>
        <row r="360">
          <cell r="E360" t="str">
            <v>HGC-Lib-2461157</v>
          </cell>
          <cell r="F360" t="str">
            <v>cKO #1_C_B2</v>
          </cell>
          <cell r="G360">
            <v>2</v>
          </cell>
          <cell r="H360" t="str">
            <v>全基因组文库</v>
          </cell>
          <cell r="I360" t="str">
            <v>YHT</v>
          </cell>
          <cell r="J360">
            <v>8.64</v>
          </cell>
          <cell r="K360">
            <v>449</v>
          </cell>
          <cell r="L360" t="str">
            <v>WH</v>
          </cell>
          <cell r="N360">
            <v>29.6042487579236</v>
          </cell>
        </row>
        <row r="361">
          <cell r="E361" t="str">
            <v>HGC-Lib-2461158</v>
          </cell>
          <cell r="F361" t="str">
            <v>cKO #5_V_B2</v>
          </cell>
          <cell r="G361">
            <v>2</v>
          </cell>
          <cell r="H361" t="str">
            <v>全基因组文库</v>
          </cell>
          <cell r="I361" t="str">
            <v>YHT</v>
          </cell>
          <cell r="J361">
            <v>5.94</v>
          </cell>
          <cell r="K361">
            <v>452</v>
          </cell>
          <cell r="L361" t="str">
            <v>WH</v>
          </cell>
          <cell r="N361">
            <v>20.217835262083</v>
          </cell>
        </row>
        <row r="362">
          <cell r="E362" t="str">
            <v>HGC-Lib-2461159</v>
          </cell>
          <cell r="F362" t="str">
            <v>cKO #9_C_B2</v>
          </cell>
          <cell r="G362">
            <v>2</v>
          </cell>
          <cell r="H362" t="str">
            <v>全基因组文库</v>
          </cell>
          <cell r="I362" t="str">
            <v>YHT</v>
          </cell>
          <cell r="J362">
            <v>3.04</v>
          </cell>
          <cell r="K362">
            <v>487</v>
          </cell>
          <cell r="L362" t="str">
            <v>WH</v>
          </cell>
          <cell r="N362">
            <v>9.6035381456325997</v>
          </cell>
        </row>
        <row r="363">
          <cell r="E363" t="str">
            <v>HGC-Lib-2461160</v>
          </cell>
          <cell r="F363" t="str">
            <v>cKO #11_C_B2</v>
          </cell>
          <cell r="G363">
            <v>2</v>
          </cell>
          <cell r="H363" t="str">
            <v>全基因组文库</v>
          </cell>
          <cell r="I363" t="str">
            <v>YHT</v>
          </cell>
          <cell r="J363">
            <v>8.2200000000000006</v>
          </cell>
          <cell r="K363">
            <v>477</v>
          </cell>
          <cell r="L363" t="str">
            <v>WH</v>
          </cell>
          <cell r="N363">
            <v>26.511852926947299</v>
          </cell>
        </row>
        <row r="364">
          <cell r="E364" t="str">
            <v>HGC-Lib-2461161</v>
          </cell>
          <cell r="F364" t="str">
            <v>Ctrl #2_C_B2</v>
          </cell>
          <cell r="G364">
            <v>2</v>
          </cell>
          <cell r="H364" t="str">
            <v>全基因组文库</v>
          </cell>
          <cell r="I364" t="str">
            <v>YHT</v>
          </cell>
          <cell r="J364">
            <v>7.44</v>
          </cell>
          <cell r="K364">
            <v>471</v>
          </cell>
          <cell r="L364" t="str">
            <v>WH</v>
          </cell>
          <cell r="N364">
            <v>24.3018128368447</v>
          </cell>
        </row>
        <row r="365">
          <cell r="E365" t="str">
            <v>HGC-Lib-2461162</v>
          </cell>
          <cell r="F365" t="str">
            <v>Ctrl #8_C_B2</v>
          </cell>
          <cell r="G365">
            <v>2</v>
          </cell>
          <cell r="H365" t="str">
            <v>全基因组文库</v>
          </cell>
          <cell r="I365" t="str">
            <v>YHT</v>
          </cell>
          <cell r="J365">
            <v>8.84</v>
          </cell>
          <cell r="K365">
            <v>464</v>
          </cell>
          <cell r="L365" t="str">
            <v>WH</v>
          </cell>
          <cell r="N365">
            <v>29.310344827586199</v>
          </cell>
        </row>
        <row r="366">
          <cell r="E366" t="str">
            <v>HGC-Lib-2461163</v>
          </cell>
          <cell r="F366" t="str">
            <v>Ctrl #12_C_B2</v>
          </cell>
          <cell r="G366">
            <v>2</v>
          </cell>
          <cell r="H366" t="str">
            <v>全基因组文库</v>
          </cell>
          <cell r="I366" t="str">
            <v>YHT</v>
          </cell>
          <cell r="J366">
            <v>10.1</v>
          </cell>
          <cell r="K366">
            <v>466</v>
          </cell>
          <cell r="L366" t="str">
            <v>WH</v>
          </cell>
          <cell r="N366">
            <v>33.344338065368099</v>
          </cell>
        </row>
        <row r="367">
          <cell r="E367" t="str">
            <v>HGC-Lib-2461164</v>
          </cell>
          <cell r="F367" t="str">
            <v>cKO #5_V_B3</v>
          </cell>
          <cell r="G367">
            <v>2</v>
          </cell>
          <cell r="H367" t="str">
            <v>全基因组文库</v>
          </cell>
          <cell r="I367" t="str">
            <v>YHT</v>
          </cell>
          <cell r="J367">
            <v>6.86</v>
          </cell>
          <cell r="K367">
            <v>484</v>
          </cell>
          <cell r="L367" t="str">
            <v>WH</v>
          </cell>
          <cell r="N367">
            <v>21.805467260012701</v>
          </cell>
        </row>
        <row r="368">
          <cell r="E368" t="str">
            <v>HGC-Lib-2461165</v>
          </cell>
          <cell r="F368" t="str">
            <v>Ctrl #4_V_B3</v>
          </cell>
          <cell r="G368">
            <v>2</v>
          </cell>
          <cell r="H368" t="str">
            <v>全基因组文库</v>
          </cell>
          <cell r="I368" t="str">
            <v>YHT</v>
          </cell>
          <cell r="J368">
            <v>7.6</v>
          </cell>
          <cell r="K368">
            <v>457</v>
          </cell>
          <cell r="L368" t="str">
            <v>WH</v>
          </cell>
          <cell r="N368">
            <v>25.5849183639118</v>
          </cell>
        </row>
        <row r="369">
          <cell r="E369" t="str">
            <v>HGC-Lib-2461166</v>
          </cell>
          <cell r="F369" t="str">
            <v>cKO #6_V_B3</v>
          </cell>
          <cell r="G369">
            <v>2</v>
          </cell>
          <cell r="H369" t="str">
            <v>全基因组文库</v>
          </cell>
          <cell r="I369" t="str">
            <v>YHT</v>
          </cell>
          <cell r="J369">
            <v>3.1</v>
          </cell>
          <cell r="K369">
            <v>476</v>
          </cell>
          <cell r="L369" t="str">
            <v>WH</v>
          </cell>
          <cell r="N369">
            <v>10.0193923723336</v>
          </cell>
        </row>
        <row r="370">
          <cell r="E370" t="str">
            <v>HGC-Lib-2461167</v>
          </cell>
          <cell r="F370" t="str">
            <v>Ctrl #8_C_B3</v>
          </cell>
          <cell r="G370">
            <v>2</v>
          </cell>
          <cell r="H370" t="str">
            <v>全基因组文库</v>
          </cell>
          <cell r="I370" t="str">
            <v>YHT</v>
          </cell>
          <cell r="J370">
            <v>6.22</v>
          </cell>
          <cell r="K370">
            <v>465</v>
          </cell>
          <cell r="L370" t="str">
            <v>WH</v>
          </cell>
          <cell r="N370">
            <v>20.578990901571501</v>
          </cell>
        </row>
        <row r="371">
          <cell r="E371" t="str">
            <v>HGC-Lib-2461201</v>
          </cell>
          <cell r="F371" t="str">
            <v>cKO #9_C_B3</v>
          </cell>
          <cell r="G371">
            <v>2</v>
          </cell>
          <cell r="H371" t="str">
            <v>全基因组文库</v>
          </cell>
          <cell r="I371" t="str">
            <v>YHT</v>
          </cell>
          <cell r="J371">
            <v>6.62</v>
          </cell>
          <cell r="K371">
            <v>450</v>
          </cell>
          <cell r="L371" t="str">
            <v>WH</v>
          </cell>
          <cell r="N371">
            <v>22.632478632478598</v>
          </cell>
        </row>
        <row r="372">
          <cell r="E372" t="str">
            <v>HGC-POOL-2461168</v>
          </cell>
          <cell r="F372" t="str">
            <v>LGG19920</v>
          </cell>
          <cell r="G372">
            <v>240</v>
          </cell>
          <cell r="H372" t="str">
            <v>甲基化文库</v>
          </cell>
          <cell r="I372" t="str">
            <v>YHT</v>
          </cell>
          <cell r="J372">
            <v>3.72</v>
          </cell>
          <cell r="K372">
            <v>479</v>
          </cell>
          <cell r="L372" t="str">
            <v>WH</v>
          </cell>
          <cell r="N372">
            <v>11.9479685241689</v>
          </cell>
        </row>
        <row r="373">
          <cell r="E373" t="str">
            <v>HGC-POOL-2461185</v>
          </cell>
          <cell r="F373" t="str">
            <v>A</v>
          </cell>
          <cell r="G373">
            <v>54</v>
          </cell>
          <cell r="H373" t="str">
            <v>PCR产物文库</v>
          </cell>
          <cell r="I373" t="str">
            <v>YHT</v>
          </cell>
          <cell r="J373">
            <v>40.799999999999997</v>
          </cell>
          <cell r="K373">
            <v>410</v>
          </cell>
          <cell r="L373" t="str">
            <v>GZQ</v>
          </cell>
          <cell r="N373">
            <v>153.095684803002</v>
          </cell>
        </row>
        <row r="374">
          <cell r="E374" t="str">
            <v>HGC-POOL-2461186</v>
          </cell>
          <cell r="F374" t="str">
            <v>Library-FGQ-33</v>
          </cell>
          <cell r="G374">
            <v>24</v>
          </cell>
          <cell r="H374" t="str">
            <v>多重PCR产物文库</v>
          </cell>
          <cell r="I374" t="str">
            <v>YHT</v>
          </cell>
          <cell r="J374">
            <v>0.27200000000000002</v>
          </cell>
          <cell r="K374">
            <v>398</v>
          </cell>
          <cell r="L374" t="str">
            <v>HZK</v>
          </cell>
          <cell r="N374">
            <v>1.0514109006571299</v>
          </cell>
        </row>
        <row r="375">
          <cell r="E375" t="str">
            <v>HGC-POOL-2461187</v>
          </cell>
          <cell r="F375" t="str">
            <v>Library-FGQ-34</v>
          </cell>
          <cell r="G375">
            <v>24</v>
          </cell>
          <cell r="H375" t="str">
            <v>多重PCR产物文库</v>
          </cell>
          <cell r="I375" t="str">
            <v>YHT</v>
          </cell>
          <cell r="J375">
            <v>0.82399999999999995</v>
          </cell>
          <cell r="K375">
            <v>363</v>
          </cell>
          <cell r="L375" t="str">
            <v>HZK</v>
          </cell>
          <cell r="N375">
            <v>3.49226531044713</v>
          </cell>
        </row>
        <row r="376">
          <cell r="E376" t="str">
            <v>HGC-POOL-2461188</v>
          </cell>
          <cell r="F376" t="str">
            <v>Library-FGQ-35</v>
          </cell>
          <cell r="G376">
            <v>32</v>
          </cell>
          <cell r="H376" t="str">
            <v>多重PCR产物文库</v>
          </cell>
          <cell r="I376" t="str">
            <v>YHT</v>
          </cell>
          <cell r="J376">
            <v>0.91600000000000004</v>
          </cell>
          <cell r="K376">
            <v>357</v>
          </cell>
          <cell r="L376" t="str">
            <v>HZK</v>
          </cell>
          <cell r="N376">
            <v>3.9474251238957101</v>
          </cell>
        </row>
        <row r="377">
          <cell r="E377" t="str">
            <v>HGC-POOL-2461189</v>
          </cell>
          <cell r="F377" t="str">
            <v>WG2438D1-2</v>
          </cell>
          <cell r="G377">
            <v>15</v>
          </cell>
          <cell r="H377" t="str">
            <v>全基因组文库</v>
          </cell>
          <cell r="I377" t="str">
            <v>YHT</v>
          </cell>
          <cell r="J377">
            <v>1.69</v>
          </cell>
          <cell r="K377">
            <v>406</v>
          </cell>
          <cell r="L377" t="str">
            <v>HZK</v>
          </cell>
          <cell r="N377">
            <v>6.4039408866995098</v>
          </cell>
        </row>
        <row r="378">
          <cell r="E378" t="str">
            <v>HGC-POOL-2461190</v>
          </cell>
          <cell r="F378" t="str">
            <v>WG2438R1-2</v>
          </cell>
          <cell r="G378">
            <v>15</v>
          </cell>
          <cell r="H378" t="str">
            <v>全基因组文库</v>
          </cell>
          <cell r="I378" t="str">
            <v>YHT</v>
          </cell>
          <cell r="J378">
            <v>0.69399999999999995</v>
          </cell>
          <cell r="K378">
            <v>415</v>
          </cell>
          <cell r="L378" t="str">
            <v>HZK</v>
          </cell>
          <cell r="N378">
            <v>2.57275254865616</v>
          </cell>
        </row>
        <row r="379">
          <cell r="E379" t="str">
            <v>HGC-Lib-2461191</v>
          </cell>
          <cell r="F379" t="str">
            <v>WG2439D1</v>
          </cell>
          <cell r="G379">
            <v>15</v>
          </cell>
          <cell r="H379" t="str">
            <v>全基因组文库</v>
          </cell>
          <cell r="I379" t="str">
            <v>YHT</v>
          </cell>
          <cell r="J379">
            <v>1.59</v>
          </cell>
          <cell r="K379">
            <v>523</v>
          </cell>
          <cell r="L379" t="str">
            <v>HZK</v>
          </cell>
          <cell r="N379">
            <v>4.6771584056478899</v>
          </cell>
        </row>
        <row r="380">
          <cell r="E380" t="str">
            <v>HGC-POOL-2461192</v>
          </cell>
          <cell r="F380" t="str">
            <v>WG2440D1-5</v>
          </cell>
          <cell r="G380">
            <v>15</v>
          </cell>
          <cell r="H380" t="str">
            <v>全基因组文库</v>
          </cell>
          <cell r="I380" t="str">
            <v>YHT</v>
          </cell>
          <cell r="J380">
            <v>4.28</v>
          </cell>
          <cell r="K380">
            <v>482</v>
          </cell>
          <cell r="L380" t="str">
            <v>HZK</v>
          </cell>
          <cell r="N380">
            <v>13.6610277689116</v>
          </cell>
        </row>
        <row r="381">
          <cell r="E381" t="str">
            <v>HGC-POOL-2461193</v>
          </cell>
          <cell r="F381" t="str">
            <v>WG2440D1-5S</v>
          </cell>
          <cell r="G381">
            <v>15</v>
          </cell>
          <cell r="H381" t="str">
            <v>全基因组文库</v>
          </cell>
          <cell r="I381" t="str">
            <v>YHT</v>
          </cell>
          <cell r="J381">
            <v>0.93</v>
          </cell>
          <cell r="K381">
            <v>348</v>
          </cell>
          <cell r="L381" t="str">
            <v>HZK</v>
          </cell>
          <cell r="N381">
            <v>4.1114058355437697</v>
          </cell>
        </row>
        <row r="382">
          <cell r="E382" t="str">
            <v>HGC-Lib-2461194</v>
          </cell>
          <cell r="F382" t="str">
            <v>WG2441D1</v>
          </cell>
          <cell r="G382">
            <v>15</v>
          </cell>
          <cell r="H382" t="str">
            <v>全基因组文库</v>
          </cell>
          <cell r="I382" t="str">
            <v>YHT</v>
          </cell>
          <cell r="J382">
            <v>2.7</v>
          </cell>
          <cell r="K382">
            <v>494</v>
          </cell>
          <cell r="L382" t="str">
            <v>HZK</v>
          </cell>
          <cell r="N382">
            <v>8.4085954531298697</v>
          </cell>
        </row>
        <row r="383">
          <cell r="E383" t="str">
            <v>HGC-Lib-2461195</v>
          </cell>
          <cell r="F383" t="str">
            <v>WG2441D2</v>
          </cell>
          <cell r="G383">
            <v>15</v>
          </cell>
          <cell r="H383" t="str">
            <v>全基因组文库</v>
          </cell>
          <cell r="I383" t="str">
            <v>YHT</v>
          </cell>
          <cell r="J383" t="str">
            <v>/</v>
          </cell>
          <cell r="K383" t="str">
            <v>/</v>
          </cell>
          <cell r="L383" t="str">
            <v>HZK</v>
          </cell>
          <cell r="N383" t="e">
            <v>#VALUE!</v>
          </cell>
        </row>
        <row r="384">
          <cell r="E384" t="str">
            <v>HGC-POOL-2461196</v>
          </cell>
          <cell r="F384" t="str">
            <v>WG2442D1-32443D1-3</v>
          </cell>
          <cell r="G384">
            <v>15</v>
          </cell>
          <cell r="H384" t="str">
            <v>全基因组文库</v>
          </cell>
          <cell r="I384" t="str">
            <v>YHT</v>
          </cell>
          <cell r="J384">
            <v>0.59</v>
          </cell>
          <cell r="K384">
            <v>428</v>
          </cell>
          <cell r="L384" t="str">
            <v>HZK</v>
          </cell>
          <cell r="N384">
            <v>2.1207764198418402</v>
          </cell>
        </row>
        <row r="385">
          <cell r="E385" t="str">
            <v>HGC-POOL-2461197</v>
          </cell>
          <cell r="F385" t="str">
            <v>WG244445D1-4</v>
          </cell>
          <cell r="G385">
            <v>15</v>
          </cell>
          <cell r="H385" t="str">
            <v>全基因组文库</v>
          </cell>
          <cell r="I385" t="str">
            <v>YHT</v>
          </cell>
          <cell r="J385">
            <v>0.20799999999999999</v>
          </cell>
          <cell r="K385">
            <v>384</v>
          </cell>
          <cell r="L385" t="str">
            <v>HZK</v>
          </cell>
          <cell r="N385">
            <v>0.83333333333333304</v>
          </cell>
        </row>
        <row r="386">
          <cell r="E386" t="str">
            <v>HGC-POOL-2461198</v>
          </cell>
          <cell r="F386" t="str">
            <v>WG2445R1-4</v>
          </cell>
          <cell r="G386">
            <v>15</v>
          </cell>
          <cell r="H386" t="str">
            <v>全基因组文库</v>
          </cell>
          <cell r="I386" t="str">
            <v>YHT</v>
          </cell>
          <cell r="J386" t="str">
            <v>/</v>
          </cell>
          <cell r="K386">
            <v>324</v>
          </cell>
          <cell r="L386" t="str">
            <v>HZK</v>
          </cell>
          <cell r="N386" t="e">
            <v>#VALUE!</v>
          </cell>
        </row>
        <row r="387">
          <cell r="E387" t="str">
            <v>HGC-POOL-2461202</v>
          </cell>
          <cell r="F387" t="str">
            <v>GeCKO V2</v>
          </cell>
          <cell r="G387">
            <v>30</v>
          </cell>
          <cell r="H387" t="str">
            <v>cut&amp;tag文库</v>
          </cell>
          <cell r="I387" t="str">
            <v>YHT</v>
          </cell>
          <cell r="J387">
            <v>3.12</v>
          </cell>
          <cell r="K387">
            <v>350</v>
          </cell>
          <cell r="L387" t="str">
            <v>WH</v>
          </cell>
          <cell r="N387">
            <v>13.714285714285699</v>
          </cell>
        </row>
        <row r="388">
          <cell r="E388" t="str">
            <v>HGC-POOL-2461204</v>
          </cell>
          <cell r="F388" t="str">
            <v>7-29 input</v>
          </cell>
          <cell r="G388">
            <v>72</v>
          </cell>
          <cell r="H388" t="str">
            <v>ChIP-seq</v>
          </cell>
          <cell r="I388" t="str">
            <v>ZZ</v>
          </cell>
          <cell r="J388">
            <v>5.42</v>
          </cell>
          <cell r="K388">
            <v>274</v>
          </cell>
          <cell r="L388" t="str">
            <v>WH</v>
          </cell>
          <cell r="N388">
            <v>30.432341381246498</v>
          </cell>
        </row>
        <row r="389">
          <cell r="E389" t="str">
            <v>HGC-POOL-2461205</v>
          </cell>
          <cell r="F389" t="str">
            <v>EGLN2</v>
          </cell>
          <cell r="G389">
            <v>54</v>
          </cell>
          <cell r="H389" t="str">
            <v>mRNA文库</v>
          </cell>
          <cell r="I389" t="str">
            <v>GZQ</v>
          </cell>
          <cell r="J389">
            <v>9.4</v>
          </cell>
          <cell r="K389">
            <v>403</v>
          </cell>
          <cell r="L389" t="str">
            <v>WH</v>
          </cell>
          <cell r="N389">
            <v>35.884710822676098</v>
          </cell>
        </row>
        <row r="390">
          <cell r="E390" t="str">
            <v>HGC-Lib-2461206</v>
          </cell>
          <cell r="F390" t="str">
            <v>d2mix10x-F</v>
          </cell>
          <cell r="G390">
            <v>100</v>
          </cell>
          <cell r="H390" t="str">
            <v>10× 3'单细胞</v>
          </cell>
          <cell r="I390" t="str">
            <v>YHT</v>
          </cell>
          <cell r="J390">
            <v>21.2</v>
          </cell>
          <cell r="K390">
            <v>481</v>
          </cell>
          <cell r="L390" t="str">
            <v>GZQ</v>
          </cell>
          <cell r="N390">
            <v>67.807452422837002</v>
          </cell>
        </row>
        <row r="391">
          <cell r="E391" t="str">
            <v>HGC-Lib-2461410</v>
          </cell>
          <cell r="F391" t="str">
            <v>0801X1</v>
          </cell>
          <cell r="G391">
            <v>1000</v>
          </cell>
          <cell r="H391" t="str">
            <v>mRNA文库 免疫组库10x 5'单细胞 small RNA文库</v>
          </cell>
          <cell r="I391" t="str">
            <v>XCL</v>
          </cell>
          <cell r="J391">
            <v>8.76</v>
          </cell>
          <cell r="K391">
            <v>436</v>
          </cell>
          <cell r="L391" t="str">
            <v>XCL</v>
          </cell>
          <cell r="N391">
            <v>30.910374029640099</v>
          </cell>
        </row>
        <row r="392">
          <cell r="E392" t="str">
            <v>HGC-Lib-2461207</v>
          </cell>
          <cell r="F392" t="str">
            <v>Thle2-SMC1-1</v>
          </cell>
          <cell r="G392">
            <v>10</v>
          </cell>
          <cell r="H392" t="str">
            <v>cut&amp;tag文库</v>
          </cell>
          <cell r="I392" t="str">
            <v>WH</v>
          </cell>
          <cell r="J392">
            <v>18.8</v>
          </cell>
          <cell r="K392">
            <v>401</v>
          </cell>
          <cell r="L392" t="str">
            <v>HZK</v>
          </cell>
          <cell r="N392">
            <v>72.127373873009802</v>
          </cell>
        </row>
        <row r="393">
          <cell r="E393" t="str">
            <v>HGC-Lib-2461208</v>
          </cell>
          <cell r="F393" t="str">
            <v>Thle2-SMC1-2</v>
          </cell>
          <cell r="G393">
            <v>10</v>
          </cell>
          <cell r="H393" t="str">
            <v>cut&amp;tag文库</v>
          </cell>
          <cell r="I393" t="str">
            <v>WH</v>
          </cell>
          <cell r="J393">
            <v>16.100000000000001</v>
          </cell>
          <cell r="K393">
            <v>406</v>
          </cell>
          <cell r="L393" t="str">
            <v>HZK</v>
          </cell>
          <cell r="N393">
            <v>61.007957559681699</v>
          </cell>
        </row>
        <row r="394">
          <cell r="E394" t="str">
            <v>HGC-Lib-2461209</v>
          </cell>
          <cell r="F394" t="str">
            <v>Thle2-SMC3-1</v>
          </cell>
          <cell r="G394">
            <v>10</v>
          </cell>
          <cell r="H394" t="str">
            <v>cut&amp;tag文库</v>
          </cell>
          <cell r="I394" t="str">
            <v>WH</v>
          </cell>
          <cell r="J394">
            <v>18.600000000000001</v>
          </cell>
          <cell r="K394">
            <v>377</v>
          </cell>
          <cell r="L394" t="str">
            <v>HZK</v>
          </cell>
          <cell r="N394">
            <v>75.902876963884907</v>
          </cell>
        </row>
        <row r="395">
          <cell r="E395" t="str">
            <v>HGC-Lib-2461210</v>
          </cell>
          <cell r="F395" t="str">
            <v>Thle2-SMC3-2</v>
          </cell>
          <cell r="G395">
            <v>10</v>
          </cell>
          <cell r="H395" t="str">
            <v>cut&amp;tag文库</v>
          </cell>
          <cell r="I395" t="str">
            <v>WH</v>
          </cell>
          <cell r="J395">
            <v>19</v>
          </cell>
          <cell r="K395">
            <v>379</v>
          </cell>
          <cell r="L395" t="str">
            <v>HZK</v>
          </cell>
          <cell r="N395">
            <v>77.1260401867262</v>
          </cell>
        </row>
        <row r="396">
          <cell r="E396" t="str">
            <v>HGC-Lib-2461211</v>
          </cell>
          <cell r="F396" t="str">
            <v>Thle2-SDMA-1</v>
          </cell>
          <cell r="G396">
            <v>10</v>
          </cell>
          <cell r="H396" t="str">
            <v>cut&amp;tag文库</v>
          </cell>
          <cell r="I396" t="str">
            <v>WH</v>
          </cell>
          <cell r="J396">
            <v>13.9</v>
          </cell>
          <cell r="K396">
            <v>368</v>
          </cell>
          <cell r="L396" t="str">
            <v>HZK</v>
          </cell>
          <cell r="N396">
            <v>58.110367892976598</v>
          </cell>
        </row>
        <row r="397">
          <cell r="E397" t="str">
            <v>HGC-Lib-2461212</v>
          </cell>
          <cell r="F397" t="str">
            <v>Thle2-SDMA-2</v>
          </cell>
          <cell r="G397">
            <v>10</v>
          </cell>
          <cell r="H397" t="str">
            <v>cut&amp;tag文库</v>
          </cell>
          <cell r="I397" t="str">
            <v>WH</v>
          </cell>
          <cell r="J397">
            <v>15.2</v>
          </cell>
          <cell r="K397">
            <v>368</v>
          </cell>
          <cell r="L397" t="str">
            <v>HZK</v>
          </cell>
          <cell r="N397">
            <v>63.545150501672197</v>
          </cell>
        </row>
        <row r="398">
          <cell r="E398" t="str">
            <v>HGC-Lib-2461213</v>
          </cell>
          <cell r="F398" t="str">
            <v>Thle2-CTCF-1</v>
          </cell>
          <cell r="G398">
            <v>10</v>
          </cell>
          <cell r="H398" t="str">
            <v>cut&amp;tag文库</v>
          </cell>
          <cell r="I398" t="str">
            <v>WH</v>
          </cell>
          <cell r="J398">
            <v>13.9</v>
          </cell>
          <cell r="K398">
            <v>399</v>
          </cell>
          <cell r="L398" t="str">
            <v>HZK</v>
          </cell>
          <cell r="N398">
            <v>53.595527279737802</v>
          </cell>
        </row>
        <row r="399">
          <cell r="E399" t="str">
            <v>HGC-Lib-2461214</v>
          </cell>
          <cell r="F399" t="str">
            <v>Thle2-CTCF-2</v>
          </cell>
          <cell r="G399">
            <v>10</v>
          </cell>
          <cell r="H399" t="str">
            <v>cut&amp;tag文库</v>
          </cell>
          <cell r="I399" t="str">
            <v>WH</v>
          </cell>
          <cell r="J399">
            <v>13.1</v>
          </cell>
          <cell r="K399">
            <v>396</v>
          </cell>
          <cell r="L399" t="str">
            <v>HZK</v>
          </cell>
          <cell r="N399">
            <v>50.893550893550902</v>
          </cell>
        </row>
        <row r="400">
          <cell r="E400" t="str">
            <v>HGC-Lib-2461215</v>
          </cell>
          <cell r="F400" t="str">
            <v>Thle2-H3K27ac-1</v>
          </cell>
          <cell r="G400">
            <v>10</v>
          </cell>
          <cell r="H400" t="str">
            <v>cut&amp;tag文库</v>
          </cell>
          <cell r="I400" t="str">
            <v>WH</v>
          </cell>
          <cell r="J400">
            <v>33</v>
          </cell>
          <cell r="K400">
            <v>425</v>
          </cell>
          <cell r="L400" t="str">
            <v>HZK</v>
          </cell>
          <cell r="N400">
            <v>119.457013574661</v>
          </cell>
        </row>
        <row r="401">
          <cell r="E401" t="str">
            <v>HGC-Lib-2461216</v>
          </cell>
          <cell r="F401" t="str">
            <v>Thle2-H3K27ac-2</v>
          </cell>
          <cell r="G401">
            <v>10</v>
          </cell>
          <cell r="H401" t="str">
            <v>cut&amp;tag文库</v>
          </cell>
          <cell r="I401" t="str">
            <v>WH</v>
          </cell>
          <cell r="J401">
            <v>32.4</v>
          </cell>
          <cell r="K401">
            <v>424</v>
          </cell>
          <cell r="L401" t="str">
            <v>HZK</v>
          </cell>
          <cell r="N401">
            <v>117.561683599419</v>
          </cell>
        </row>
        <row r="402">
          <cell r="E402" t="str">
            <v>HGC-Lib-2461217</v>
          </cell>
          <cell r="F402" t="str">
            <v>LO2-SDMA-1</v>
          </cell>
          <cell r="G402">
            <v>10</v>
          </cell>
          <cell r="H402" t="str">
            <v>cut&amp;tag文库</v>
          </cell>
          <cell r="I402" t="str">
            <v>WH</v>
          </cell>
          <cell r="J402">
            <v>1.1100000000000001</v>
          </cell>
          <cell r="K402">
            <v>330</v>
          </cell>
          <cell r="L402" t="str">
            <v>HZK</v>
          </cell>
          <cell r="N402">
            <v>5.1748251748251803</v>
          </cell>
        </row>
        <row r="403">
          <cell r="E403" t="str">
            <v>HGC-Lib-2461218</v>
          </cell>
          <cell r="F403" t="str">
            <v>LO2-SDMA-2</v>
          </cell>
          <cell r="G403">
            <v>10</v>
          </cell>
          <cell r="H403" t="str">
            <v>cut&amp;tag文库</v>
          </cell>
          <cell r="I403" t="str">
            <v>WH</v>
          </cell>
          <cell r="J403">
            <v>1.1200000000000001</v>
          </cell>
          <cell r="K403">
            <v>334</v>
          </cell>
          <cell r="L403" t="str">
            <v>HZK</v>
          </cell>
          <cell r="N403">
            <v>5.1589129433440801</v>
          </cell>
        </row>
        <row r="404">
          <cell r="E404" t="str">
            <v>HGC-Lib-2461219</v>
          </cell>
          <cell r="F404" t="str">
            <v>1 O-WT-4CL1</v>
          </cell>
          <cell r="G404">
            <v>6</v>
          </cell>
          <cell r="H404" t="str">
            <v>cut&amp;tag文库</v>
          </cell>
          <cell r="I404" t="str">
            <v>WH</v>
          </cell>
          <cell r="J404">
            <v>0.94</v>
          </cell>
          <cell r="K404">
            <v>480</v>
          </cell>
          <cell r="L404" t="str">
            <v>HZK</v>
          </cell>
          <cell r="N404">
            <v>3.0128205128205101</v>
          </cell>
        </row>
        <row r="405">
          <cell r="E405" t="str">
            <v>HGC-Lib-2461220</v>
          </cell>
          <cell r="F405" t="str">
            <v>2 O-WT-4CL2</v>
          </cell>
          <cell r="G405">
            <v>6</v>
          </cell>
          <cell r="H405" t="str">
            <v>cut&amp;tag文库</v>
          </cell>
          <cell r="I405" t="str">
            <v>WH</v>
          </cell>
          <cell r="J405">
            <v>0.72599999999999998</v>
          </cell>
          <cell r="K405">
            <v>481</v>
          </cell>
          <cell r="L405" t="str">
            <v>HZK</v>
          </cell>
          <cell r="N405">
            <v>2.32208539900848</v>
          </cell>
        </row>
        <row r="406">
          <cell r="E406" t="str">
            <v>HGC-Lib-2461221</v>
          </cell>
          <cell r="F406" t="str">
            <v>3 O-WT-toti1</v>
          </cell>
          <cell r="G406">
            <v>6</v>
          </cell>
          <cell r="H406" t="str">
            <v>cut&amp;tag文库</v>
          </cell>
          <cell r="I406" t="str">
            <v>WH</v>
          </cell>
          <cell r="J406">
            <v>0.56999999999999995</v>
          </cell>
          <cell r="K406">
            <v>462</v>
          </cell>
          <cell r="L406" t="str">
            <v>HZK</v>
          </cell>
          <cell r="N406">
            <v>1.8981018981019</v>
          </cell>
        </row>
        <row r="407">
          <cell r="E407" t="str">
            <v>HGC-Lib-2461222</v>
          </cell>
          <cell r="F407" t="str">
            <v>4 O-WT-toti2</v>
          </cell>
          <cell r="G407">
            <v>6</v>
          </cell>
          <cell r="H407" t="str">
            <v>cut&amp;tag文库</v>
          </cell>
          <cell r="I407" t="str">
            <v>WH</v>
          </cell>
          <cell r="J407">
            <v>0.66800000000000004</v>
          </cell>
          <cell r="K407">
            <v>467</v>
          </cell>
          <cell r="L407" t="str">
            <v>HZK</v>
          </cell>
          <cell r="N407">
            <v>2.2006259265359902</v>
          </cell>
        </row>
        <row r="408">
          <cell r="E408" t="str">
            <v>HGC-Lib-2461223</v>
          </cell>
          <cell r="F408" t="str">
            <v>5 O-KO-toti1</v>
          </cell>
          <cell r="G408">
            <v>6</v>
          </cell>
          <cell r="H408" t="str">
            <v>cut&amp;tag文库</v>
          </cell>
          <cell r="I408" t="str">
            <v>WH</v>
          </cell>
          <cell r="J408">
            <v>0.70799999999999996</v>
          </cell>
          <cell r="K408">
            <v>461</v>
          </cell>
          <cell r="L408" t="str">
            <v>HZK</v>
          </cell>
          <cell r="N408">
            <v>2.3627565493075302</v>
          </cell>
        </row>
        <row r="409">
          <cell r="E409" t="str">
            <v>HGC-Lib-2461224</v>
          </cell>
          <cell r="F409" t="str">
            <v>6 O-KO-toti2</v>
          </cell>
          <cell r="G409">
            <v>6</v>
          </cell>
          <cell r="H409" t="str">
            <v>cut&amp;tag文库</v>
          </cell>
          <cell r="I409" t="str">
            <v>WH</v>
          </cell>
          <cell r="J409">
            <v>0.876</v>
          </cell>
          <cell r="K409">
            <v>466</v>
          </cell>
          <cell r="L409" t="str">
            <v>HZK</v>
          </cell>
          <cell r="N409">
            <v>2.8920435787388601</v>
          </cell>
        </row>
        <row r="410">
          <cell r="E410" t="str">
            <v>HGC-Lib-2461225</v>
          </cell>
          <cell r="F410" t="str">
            <v>7 O-OE-toti1</v>
          </cell>
          <cell r="G410">
            <v>6</v>
          </cell>
          <cell r="H410" t="str">
            <v>cut&amp;tag文库</v>
          </cell>
          <cell r="I410" t="str">
            <v>WH</v>
          </cell>
          <cell r="J410">
            <v>0.51200000000000001</v>
          </cell>
          <cell r="K410">
            <v>409</v>
          </cell>
          <cell r="L410" t="str">
            <v>HZK</v>
          </cell>
          <cell r="N410">
            <v>1.9258980628173801</v>
          </cell>
        </row>
        <row r="411">
          <cell r="E411" t="str">
            <v>HGC-Lib-2461226</v>
          </cell>
          <cell r="F411" t="str">
            <v>8 O-OE-toti2</v>
          </cell>
          <cell r="G411">
            <v>6</v>
          </cell>
          <cell r="H411" t="str">
            <v>cut&amp;tag文库</v>
          </cell>
          <cell r="I411" t="str">
            <v>WH</v>
          </cell>
          <cell r="J411">
            <v>0.55200000000000005</v>
          </cell>
          <cell r="K411">
            <v>390</v>
          </cell>
          <cell r="L411" t="str">
            <v>HZK</v>
          </cell>
          <cell r="N411">
            <v>2.1775147928994101</v>
          </cell>
        </row>
        <row r="412">
          <cell r="E412" t="str">
            <v>HGC-Lib-2461227</v>
          </cell>
          <cell r="F412" t="str">
            <v>9 K9-WT-4CL1</v>
          </cell>
          <cell r="G412">
            <v>6</v>
          </cell>
          <cell r="H412" t="str">
            <v>cut&amp;tag文库</v>
          </cell>
          <cell r="I412" t="str">
            <v>WH</v>
          </cell>
          <cell r="J412">
            <v>3.34</v>
          </cell>
          <cell r="K412">
            <v>544</v>
          </cell>
          <cell r="L412" t="str">
            <v>HZK</v>
          </cell>
          <cell r="N412">
            <v>9.44570135746606</v>
          </cell>
        </row>
        <row r="413">
          <cell r="E413" t="str">
            <v>HGC-Lib-2461228</v>
          </cell>
          <cell r="F413" t="str">
            <v>10 K9-WT-4CL2</v>
          </cell>
          <cell r="G413">
            <v>6</v>
          </cell>
          <cell r="H413" t="str">
            <v>cut&amp;tag文库</v>
          </cell>
          <cell r="I413" t="str">
            <v>WH</v>
          </cell>
          <cell r="J413">
            <v>2.82</v>
          </cell>
          <cell r="K413">
            <v>530</v>
          </cell>
          <cell r="L413" t="str">
            <v>HZK</v>
          </cell>
          <cell r="N413">
            <v>8.1857764876632793</v>
          </cell>
        </row>
        <row r="414">
          <cell r="E414" t="str">
            <v>HGC-Lib-2461229</v>
          </cell>
          <cell r="F414" t="str">
            <v>11 K9-WT-toti1</v>
          </cell>
          <cell r="G414">
            <v>6</v>
          </cell>
          <cell r="H414" t="str">
            <v>cut&amp;tag文库</v>
          </cell>
          <cell r="I414" t="str">
            <v>WH</v>
          </cell>
          <cell r="J414">
            <v>12.2</v>
          </cell>
          <cell r="K414">
            <v>558</v>
          </cell>
          <cell r="L414" t="str">
            <v>HZK</v>
          </cell>
          <cell r="N414">
            <v>33.6366142817756</v>
          </cell>
        </row>
        <row r="415">
          <cell r="E415" t="str">
            <v>HGC-Lib-2461230</v>
          </cell>
          <cell r="F415" t="str">
            <v>12 K9-WT-toti2</v>
          </cell>
          <cell r="G415">
            <v>6</v>
          </cell>
          <cell r="H415" t="str">
            <v>cut&amp;tag文库</v>
          </cell>
          <cell r="I415" t="str">
            <v>WH</v>
          </cell>
          <cell r="J415">
            <v>9.2200000000000006</v>
          </cell>
          <cell r="K415">
            <v>561</v>
          </cell>
          <cell r="L415" t="str">
            <v>HZK</v>
          </cell>
          <cell r="N415">
            <v>25.284519402166499</v>
          </cell>
        </row>
        <row r="416">
          <cell r="E416" t="str">
            <v>HGC-Lib-2461231</v>
          </cell>
          <cell r="F416" t="str">
            <v>13 K9-KO-toti1</v>
          </cell>
          <cell r="G416">
            <v>6</v>
          </cell>
          <cell r="H416" t="str">
            <v>cut&amp;tag文库</v>
          </cell>
          <cell r="I416" t="str">
            <v>YHT</v>
          </cell>
          <cell r="J416">
            <v>11.4</v>
          </cell>
          <cell r="K416">
            <v>551</v>
          </cell>
          <cell r="L416" t="str">
            <v>HZK</v>
          </cell>
          <cell r="N416">
            <v>31.830238726790501</v>
          </cell>
        </row>
        <row r="417">
          <cell r="E417" t="str">
            <v>HGC-Lib-2461232</v>
          </cell>
          <cell r="F417" t="str">
            <v>14 K9-KO-toti2</v>
          </cell>
          <cell r="G417">
            <v>6</v>
          </cell>
          <cell r="H417" t="str">
            <v>cut&amp;tag文库</v>
          </cell>
          <cell r="I417" t="str">
            <v>YHT</v>
          </cell>
          <cell r="J417">
            <v>14.9</v>
          </cell>
          <cell r="K417">
            <v>548</v>
          </cell>
          <cell r="L417" t="str">
            <v>HZK</v>
          </cell>
          <cell r="N417">
            <v>41.830432341381197</v>
          </cell>
        </row>
        <row r="418">
          <cell r="E418" t="str">
            <v>HGC-Lib-2461233</v>
          </cell>
          <cell r="F418" t="str">
            <v>15 K9-OE-toti1</v>
          </cell>
          <cell r="G418">
            <v>6</v>
          </cell>
          <cell r="H418" t="str">
            <v>cut&amp;tag文库</v>
          </cell>
          <cell r="I418" t="str">
            <v>YHT</v>
          </cell>
          <cell r="J418">
            <v>30</v>
          </cell>
          <cell r="K418">
            <v>443</v>
          </cell>
          <cell r="L418" t="str">
            <v>HZK</v>
          </cell>
          <cell r="N418">
            <v>104.184754297621</v>
          </cell>
        </row>
        <row r="419">
          <cell r="E419" t="str">
            <v>HGC-Lib-2461234</v>
          </cell>
          <cell r="F419" t="str">
            <v>16 K9-OE-toti2</v>
          </cell>
          <cell r="G419">
            <v>6</v>
          </cell>
          <cell r="H419" t="str">
            <v>cut&amp;tag文库</v>
          </cell>
          <cell r="I419" t="str">
            <v>YHT</v>
          </cell>
          <cell r="J419">
            <v>23.2</v>
          </cell>
          <cell r="K419">
            <v>423</v>
          </cell>
          <cell r="L419" t="str">
            <v>HZK</v>
          </cell>
          <cell r="N419">
            <v>84.378977995999307</v>
          </cell>
        </row>
        <row r="420">
          <cell r="E420" t="str">
            <v>HGC-Lib-2461235</v>
          </cell>
          <cell r="F420" t="str">
            <v>Me-sdg701-H3K4me3-1</v>
          </cell>
          <cell r="G420" t="str">
            <v>6G</v>
          </cell>
          <cell r="H420" t="str">
            <v>CUT&amp;Tag文库</v>
          </cell>
          <cell r="I420" t="str">
            <v>YHT</v>
          </cell>
          <cell r="J420">
            <v>70</v>
          </cell>
          <cell r="K420">
            <v>528</v>
          </cell>
          <cell r="L420" t="str">
            <v>HZK</v>
          </cell>
          <cell r="N420">
            <v>203.96270396270401</v>
          </cell>
        </row>
        <row r="421">
          <cell r="E421" t="str">
            <v>HGC-Lib-2461236</v>
          </cell>
          <cell r="F421" t="str">
            <v>Me-sdg701-H3K4me3-2</v>
          </cell>
          <cell r="G421" t="str">
            <v>6G</v>
          </cell>
          <cell r="H421" t="str">
            <v>CUT&amp;Tag文库</v>
          </cell>
          <cell r="I421" t="str">
            <v>YHT</v>
          </cell>
          <cell r="J421">
            <v>68.400000000000006</v>
          </cell>
          <cell r="K421">
            <v>529</v>
          </cell>
          <cell r="L421" t="str">
            <v>HZK</v>
          </cell>
          <cell r="N421">
            <v>198.923949396539</v>
          </cell>
        </row>
        <row r="422">
          <cell r="E422" t="str">
            <v>HGC-Lib-2461237</v>
          </cell>
          <cell r="F422" t="str">
            <v>Mi-sdg701-H3K4me3-1</v>
          </cell>
          <cell r="G422" t="str">
            <v>6G</v>
          </cell>
          <cell r="H422" t="str">
            <v>CUT&amp;Tag文库</v>
          </cell>
          <cell r="I422" t="str">
            <v>YHT</v>
          </cell>
          <cell r="J422">
            <v>74.8</v>
          </cell>
          <cell r="K422">
            <v>507</v>
          </cell>
          <cell r="L422" t="str">
            <v>HZK</v>
          </cell>
          <cell r="N422">
            <v>226.97617963890099</v>
          </cell>
        </row>
        <row r="423">
          <cell r="E423" t="str">
            <v>HGC-Lib-2461238</v>
          </cell>
          <cell r="F423" t="str">
            <v>Mi-sdg701-H3K4me3-2</v>
          </cell>
          <cell r="G423" t="str">
            <v>6G</v>
          </cell>
          <cell r="H423" t="str">
            <v>CUT&amp;Tag文库</v>
          </cell>
          <cell r="I423" t="str">
            <v>YHT</v>
          </cell>
          <cell r="J423">
            <v>69.8</v>
          </cell>
          <cell r="K423">
            <v>502</v>
          </cell>
          <cell r="L423" t="str">
            <v>HZK</v>
          </cell>
          <cell r="N423">
            <v>213.91357646337701</v>
          </cell>
        </row>
        <row r="424">
          <cell r="E424" t="str">
            <v>HGC-Lib-2461239</v>
          </cell>
          <cell r="F424" t="str">
            <v>Me-sdg723-H3K4me3-1</v>
          </cell>
          <cell r="G424" t="str">
            <v>6G</v>
          </cell>
          <cell r="H424" t="str">
            <v>CUT&amp;Tag文库</v>
          </cell>
          <cell r="I424" t="str">
            <v>YHT</v>
          </cell>
          <cell r="J424">
            <v>18.3</v>
          </cell>
          <cell r="K424">
            <v>533</v>
          </cell>
          <cell r="L424" t="str">
            <v>HZK</v>
          </cell>
          <cell r="N424">
            <v>52.821474960311697</v>
          </cell>
        </row>
        <row r="425">
          <cell r="E425" t="str">
            <v>HGC-Lib-2461240</v>
          </cell>
          <cell r="F425" t="str">
            <v>Me-sdg723-H3K4me3-2</v>
          </cell>
          <cell r="G425" t="str">
            <v>6G</v>
          </cell>
          <cell r="H425" t="str">
            <v>CUT&amp;Tag文库</v>
          </cell>
          <cell r="I425" t="str">
            <v>YHT</v>
          </cell>
          <cell r="J425">
            <v>13.9</v>
          </cell>
          <cell r="K425">
            <v>522</v>
          </cell>
          <cell r="L425" t="str">
            <v>HZK</v>
          </cell>
          <cell r="N425">
            <v>40.966696139109899</v>
          </cell>
        </row>
        <row r="426">
          <cell r="E426" t="str">
            <v>HGC-Lib-2461241</v>
          </cell>
          <cell r="F426" t="str">
            <v>Mi-sdg723-H3K4me3-1</v>
          </cell>
          <cell r="G426" t="str">
            <v>6G</v>
          </cell>
          <cell r="H426" t="str">
            <v>CUT&amp;Tag文库</v>
          </cell>
          <cell r="I426" t="str">
            <v>YHT</v>
          </cell>
          <cell r="J426">
            <v>86.6</v>
          </cell>
          <cell r="K426">
            <v>515</v>
          </cell>
          <cell r="L426" t="str">
            <v>HZK</v>
          </cell>
          <cell r="N426">
            <v>258.70052277819298</v>
          </cell>
        </row>
        <row r="427">
          <cell r="E427" t="str">
            <v>HGC-Lib-2461242</v>
          </cell>
          <cell r="F427" t="str">
            <v>Mi-sdg723-H3K4me3-2</v>
          </cell>
          <cell r="G427" t="str">
            <v>6G</v>
          </cell>
          <cell r="H427" t="str">
            <v>CUT&amp;Tag文库</v>
          </cell>
          <cell r="I427" t="str">
            <v>YHT</v>
          </cell>
          <cell r="J427">
            <v>80.599999999999994</v>
          </cell>
          <cell r="K427">
            <v>522</v>
          </cell>
          <cell r="L427" t="str">
            <v>HZK</v>
          </cell>
          <cell r="N427">
            <v>237.54789272030601</v>
          </cell>
        </row>
        <row r="428">
          <cell r="E428" t="str">
            <v>HGC-Lib-2461411</v>
          </cell>
          <cell r="F428" t="str">
            <v>C1</v>
          </cell>
          <cell r="G428">
            <v>10</v>
          </cell>
          <cell r="H428" t="str">
            <v>ATAC-Seq文库</v>
          </cell>
          <cell r="I428" t="str">
            <v>YHT</v>
          </cell>
          <cell r="J428">
            <v>17.5</v>
          </cell>
          <cell r="K428">
            <v>300</v>
          </cell>
          <cell r="L428" t="str">
            <v>HZK</v>
          </cell>
          <cell r="N428">
            <v>89.743589743589794</v>
          </cell>
        </row>
        <row r="429">
          <cell r="E429" t="str">
            <v>HGC-Lib-2461412</v>
          </cell>
          <cell r="F429" t="str">
            <v>C2</v>
          </cell>
          <cell r="G429">
            <v>10</v>
          </cell>
          <cell r="H429" t="str">
            <v>ATAC-Seq文库</v>
          </cell>
          <cell r="I429" t="str">
            <v>YHT</v>
          </cell>
          <cell r="J429">
            <v>9.1</v>
          </cell>
          <cell r="K429">
            <v>332</v>
          </cell>
          <cell r="L429" t="str">
            <v>HZK</v>
          </cell>
          <cell r="N429">
            <v>42.168674698795201</v>
          </cell>
        </row>
        <row r="430">
          <cell r="E430" t="str">
            <v>HGC-Lib-2461413</v>
          </cell>
          <cell r="F430" t="str">
            <v>C3</v>
          </cell>
          <cell r="G430">
            <v>10</v>
          </cell>
          <cell r="H430" t="str">
            <v>ATAC-Seq文库</v>
          </cell>
          <cell r="I430" t="str">
            <v>YHT</v>
          </cell>
          <cell r="J430">
            <v>15.7</v>
          </cell>
          <cell r="K430">
            <v>313</v>
          </cell>
          <cell r="L430" t="str">
            <v>HZK</v>
          </cell>
          <cell r="N430">
            <v>77.168837552224105</v>
          </cell>
        </row>
        <row r="431">
          <cell r="E431" t="str">
            <v>HGC-Lib-2461414</v>
          </cell>
          <cell r="F431" t="str">
            <v>DM1</v>
          </cell>
          <cell r="G431">
            <v>10</v>
          </cell>
          <cell r="H431" t="str">
            <v>ATAC-Seq文库</v>
          </cell>
          <cell r="I431" t="str">
            <v>YHT</v>
          </cell>
          <cell r="J431">
            <v>14.3</v>
          </cell>
          <cell r="K431">
            <v>325</v>
          </cell>
          <cell r="L431" t="str">
            <v>HZK</v>
          </cell>
          <cell r="N431">
            <v>67.692307692307693</v>
          </cell>
        </row>
        <row r="432">
          <cell r="E432" t="str">
            <v>HGC-Lib-2461415</v>
          </cell>
          <cell r="F432" t="str">
            <v>DM2</v>
          </cell>
          <cell r="G432">
            <v>10</v>
          </cell>
          <cell r="H432" t="str">
            <v>ATAC-Seq文库</v>
          </cell>
          <cell r="I432" t="str">
            <v>YHT</v>
          </cell>
          <cell r="J432">
            <v>15</v>
          </cell>
          <cell r="K432">
            <v>340</v>
          </cell>
          <cell r="L432" t="str">
            <v>HZK</v>
          </cell>
          <cell r="N432">
            <v>67.873303167420801</v>
          </cell>
        </row>
        <row r="433">
          <cell r="E433" t="str">
            <v>HGC-Lib-2461416</v>
          </cell>
          <cell r="F433" t="str">
            <v>DM3</v>
          </cell>
          <cell r="G433">
            <v>10</v>
          </cell>
          <cell r="H433" t="str">
            <v>ATAC-Seq文库</v>
          </cell>
          <cell r="I433" t="str">
            <v>YHT</v>
          </cell>
          <cell r="J433">
            <v>26.8</v>
          </cell>
          <cell r="K433">
            <v>321</v>
          </cell>
          <cell r="L433" t="str">
            <v>HZK</v>
          </cell>
          <cell r="N433">
            <v>128.444763958783</v>
          </cell>
        </row>
        <row r="434">
          <cell r="E434" t="str">
            <v>HGC-Lib-2460519</v>
          </cell>
          <cell r="F434" t="str">
            <v>CXG</v>
          </cell>
          <cell r="G434">
            <v>10</v>
          </cell>
          <cell r="H434" t="str">
            <v>10x空间转录组</v>
          </cell>
          <cell r="I434" t="str">
            <v>TY</v>
          </cell>
          <cell r="J434">
            <v>5.08</v>
          </cell>
          <cell r="K434">
            <v>302</v>
          </cell>
          <cell r="L434" t="str">
            <v>YHT</v>
          </cell>
          <cell r="N434">
            <v>25.878757004584799</v>
          </cell>
        </row>
        <row r="435">
          <cell r="E435" t="str">
            <v>HGC-Lib-2460520</v>
          </cell>
          <cell r="F435" t="str">
            <v>XX</v>
          </cell>
          <cell r="G435">
            <v>10</v>
          </cell>
          <cell r="H435" t="str">
            <v>10x空间转录组</v>
          </cell>
          <cell r="I435" t="str">
            <v>TY</v>
          </cell>
          <cell r="J435">
            <v>13.3</v>
          </cell>
          <cell r="K435">
            <v>305</v>
          </cell>
          <cell r="L435" t="str">
            <v>YHT</v>
          </cell>
          <cell r="N435">
            <v>67.087011349306394</v>
          </cell>
        </row>
        <row r="436">
          <cell r="E436" t="str">
            <v>HGC-Lib-2460521</v>
          </cell>
          <cell r="F436" t="str">
            <v>ZXT</v>
          </cell>
          <cell r="G436">
            <v>10</v>
          </cell>
          <cell r="H436" t="str">
            <v>10x空间转录组</v>
          </cell>
          <cell r="I436" t="str">
            <v>TY</v>
          </cell>
          <cell r="J436">
            <v>10.9</v>
          </cell>
          <cell r="K436">
            <v>278</v>
          </cell>
          <cell r="L436" t="str">
            <v>YHT</v>
          </cell>
          <cell r="N436">
            <v>60.320973990038702</v>
          </cell>
        </row>
        <row r="437">
          <cell r="E437" t="str">
            <v>HGC-Lib-2460522</v>
          </cell>
          <cell r="F437" t="str">
            <v>YDF</v>
          </cell>
          <cell r="G437">
            <v>10</v>
          </cell>
          <cell r="H437" t="str">
            <v>10x空间转录组</v>
          </cell>
          <cell r="I437" t="str">
            <v>TY</v>
          </cell>
          <cell r="J437">
            <v>8.98</v>
          </cell>
          <cell r="K437">
            <v>290</v>
          </cell>
          <cell r="L437" t="str">
            <v>YHT</v>
          </cell>
          <cell r="N437">
            <v>47.639257294429697</v>
          </cell>
        </row>
        <row r="438">
          <cell r="E438" t="str">
            <v>HGC-Lib-2457888</v>
          </cell>
          <cell r="F438">
            <v>1</v>
          </cell>
          <cell r="G438">
            <v>6</v>
          </cell>
          <cell r="H438" t="str">
            <v>mRNA文库</v>
          </cell>
          <cell r="I438" t="str">
            <v>XCL</v>
          </cell>
          <cell r="J438" t="str">
            <v>/</v>
          </cell>
          <cell r="K438" t="str">
            <v>/</v>
          </cell>
          <cell r="L438" t="str">
            <v>GZQ</v>
          </cell>
          <cell r="N438" t="e">
            <v>#VALUE!</v>
          </cell>
        </row>
        <row r="439">
          <cell r="E439" t="str">
            <v>HGC-Lib-2457889</v>
          </cell>
          <cell r="F439">
            <v>2</v>
          </cell>
          <cell r="G439">
            <v>6</v>
          </cell>
          <cell r="H439" t="str">
            <v>mRNA文库</v>
          </cell>
          <cell r="I439" t="str">
            <v>XCL</v>
          </cell>
          <cell r="J439">
            <v>5.42</v>
          </cell>
          <cell r="K439">
            <v>440</v>
          </cell>
          <cell r="L439" t="str">
            <v>GZQ</v>
          </cell>
          <cell r="N439">
            <v>18.951048951049</v>
          </cell>
        </row>
        <row r="440">
          <cell r="E440" t="str">
            <v>HGC-Lib-2457890</v>
          </cell>
          <cell r="F440">
            <v>3</v>
          </cell>
          <cell r="G440">
            <v>6</v>
          </cell>
          <cell r="H440" t="str">
            <v>mRNA文库</v>
          </cell>
          <cell r="I440" t="str">
            <v>XCL</v>
          </cell>
          <cell r="J440">
            <v>4.82</v>
          </cell>
          <cell r="K440">
            <v>387</v>
          </cell>
          <cell r="L440" t="str">
            <v>GZQ</v>
          </cell>
          <cell r="N440">
            <v>19.161200556549399</v>
          </cell>
        </row>
        <row r="441">
          <cell r="E441" t="str">
            <v>HGC-Lib-2457891</v>
          </cell>
          <cell r="F441">
            <v>4</v>
          </cell>
          <cell r="G441">
            <v>6</v>
          </cell>
          <cell r="H441" t="str">
            <v>mRNA文库</v>
          </cell>
          <cell r="I441" t="str">
            <v>XCL</v>
          </cell>
          <cell r="J441">
            <v>17.5</v>
          </cell>
          <cell r="K441">
            <v>415</v>
          </cell>
          <cell r="L441" t="str">
            <v>GZQ</v>
          </cell>
          <cell r="N441">
            <v>64.874884151992603</v>
          </cell>
        </row>
        <row r="442">
          <cell r="E442" t="str">
            <v>HGC-Lib-2457892</v>
          </cell>
          <cell r="F442">
            <v>5</v>
          </cell>
          <cell r="G442">
            <v>6</v>
          </cell>
          <cell r="H442" t="str">
            <v>mRNA文库</v>
          </cell>
          <cell r="I442" t="str">
            <v>XCL</v>
          </cell>
          <cell r="J442">
            <v>6.52</v>
          </cell>
          <cell r="K442">
            <v>412</v>
          </cell>
          <cell r="L442" t="str">
            <v>GZQ</v>
          </cell>
          <cell r="N442">
            <v>24.346527259148601</v>
          </cell>
        </row>
        <row r="443">
          <cell r="E443" t="str">
            <v>HGC-Lib-2460436</v>
          </cell>
          <cell r="F443">
            <v>6</v>
          </cell>
          <cell r="G443">
            <v>6</v>
          </cell>
          <cell r="H443" t="str">
            <v>mRNA文库</v>
          </cell>
          <cell r="I443" t="str">
            <v>XCL</v>
          </cell>
          <cell r="J443">
            <v>10.199999999999999</v>
          </cell>
          <cell r="K443">
            <v>406</v>
          </cell>
          <cell r="L443" t="str">
            <v>GZQ</v>
          </cell>
          <cell r="N443">
            <v>38.6510041682455</v>
          </cell>
        </row>
        <row r="444">
          <cell r="E444" t="str">
            <v>HGC-Lib-2460437</v>
          </cell>
          <cell r="F444">
            <v>7</v>
          </cell>
          <cell r="G444">
            <v>6</v>
          </cell>
          <cell r="H444" t="str">
            <v>mRNA文库</v>
          </cell>
          <cell r="I444" t="str">
            <v>XCL</v>
          </cell>
          <cell r="J444">
            <v>5.38</v>
          </cell>
          <cell r="K444">
            <v>450</v>
          </cell>
          <cell r="L444" t="str">
            <v>GZQ</v>
          </cell>
          <cell r="N444">
            <v>18.393162393162399</v>
          </cell>
        </row>
        <row r="445">
          <cell r="E445" t="str">
            <v>HGC-Lib-2460438</v>
          </cell>
          <cell r="F445">
            <v>8</v>
          </cell>
          <cell r="G445">
            <v>6</v>
          </cell>
          <cell r="H445" t="str">
            <v>mRNA文库</v>
          </cell>
          <cell r="I445" t="str">
            <v>XCL</v>
          </cell>
          <cell r="J445" t="str">
            <v>/</v>
          </cell>
          <cell r="K445" t="str">
            <v>/</v>
          </cell>
          <cell r="L445" t="str">
            <v>GZQ</v>
          </cell>
          <cell r="N445" t="e">
            <v>#VALUE!</v>
          </cell>
        </row>
        <row r="446">
          <cell r="E446" t="str">
            <v>HGC-Lib-2460439</v>
          </cell>
          <cell r="F446">
            <v>9</v>
          </cell>
          <cell r="G446">
            <v>6</v>
          </cell>
          <cell r="H446" t="str">
            <v>mRNA文库</v>
          </cell>
          <cell r="I446" t="str">
            <v>XCL</v>
          </cell>
          <cell r="J446">
            <v>28</v>
          </cell>
          <cell r="K446">
            <v>436</v>
          </cell>
          <cell r="L446" t="str">
            <v>GZQ</v>
          </cell>
          <cell r="N446">
            <v>98.800282286520797</v>
          </cell>
        </row>
        <row r="447">
          <cell r="E447" t="str">
            <v>HGC-Lib-2460440</v>
          </cell>
          <cell r="F447">
            <v>10</v>
          </cell>
          <cell r="G447">
            <v>6</v>
          </cell>
          <cell r="H447" t="str">
            <v>mRNA文库</v>
          </cell>
          <cell r="I447" t="str">
            <v>XCL</v>
          </cell>
          <cell r="J447">
            <v>15.3</v>
          </cell>
          <cell r="K447">
            <v>381</v>
          </cell>
          <cell r="L447" t="str">
            <v>GZQ</v>
          </cell>
          <cell r="N447">
            <v>61.780738946093301</v>
          </cell>
        </row>
        <row r="448">
          <cell r="E448" t="str">
            <v>HGC-Lib-2460441</v>
          </cell>
          <cell r="F448">
            <v>11</v>
          </cell>
          <cell r="G448">
            <v>6</v>
          </cell>
          <cell r="H448" t="str">
            <v>mRNA文库</v>
          </cell>
          <cell r="I448" t="str">
            <v>XCL</v>
          </cell>
          <cell r="J448">
            <v>13.8</v>
          </cell>
          <cell r="K448">
            <v>459</v>
          </cell>
          <cell r="L448" t="str">
            <v>GZQ</v>
          </cell>
          <cell r="N448">
            <v>46.254399195575701</v>
          </cell>
        </row>
        <row r="449">
          <cell r="E449" t="str">
            <v>HGC-Lib-2460442</v>
          </cell>
          <cell r="F449">
            <v>12</v>
          </cell>
          <cell r="G449">
            <v>6</v>
          </cell>
          <cell r="H449" t="str">
            <v>mRNA文库</v>
          </cell>
          <cell r="I449" t="str">
            <v>XCL</v>
          </cell>
          <cell r="J449">
            <v>15.4</v>
          </cell>
          <cell r="K449">
            <v>361</v>
          </cell>
          <cell r="L449" t="str">
            <v>GZQ</v>
          </cell>
          <cell r="N449">
            <v>65.629661197528193</v>
          </cell>
        </row>
        <row r="450">
          <cell r="E450" t="str">
            <v>HGC-Lib-2460443</v>
          </cell>
          <cell r="F450">
            <v>13</v>
          </cell>
          <cell r="G450">
            <v>6</v>
          </cell>
          <cell r="H450" t="str">
            <v>mRNA文库</v>
          </cell>
          <cell r="I450" t="str">
            <v>XCL</v>
          </cell>
          <cell r="J450" t="str">
            <v>/</v>
          </cell>
          <cell r="K450" t="str">
            <v>/</v>
          </cell>
          <cell r="L450" t="str">
            <v>GZQ</v>
          </cell>
          <cell r="N450" t="e">
            <v>#VALUE!</v>
          </cell>
        </row>
        <row r="451">
          <cell r="E451" t="str">
            <v>HGC-Lib-2460444</v>
          </cell>
          <cell r="F451">
            <v>14</v>
          </cell>
          <cell r="G451">
            <v>6</v>
          </cell>
          <cell r="H451" t="str">
            <v>mRNA文库</v>
          </cell>
          <cell r="I451" t="str">
            <v>XCL</v>
          </cell>
          <cell r="J451">
            <v>8.76</v>
          </cell>
          <cell r="K451">
            <v>377</v>
          </cell>
          <cell r="L451" t="str">
            <v>GZQ</v>
          </cell>
          <cell r="N451">
            <v>35.747806570087697</v>
          </cell>
        </row>
        <row r="452">
          <cell r="E452" t="str">
            <v>HGC-Lib-2460445</v>
          </cell>
          <cell r="F452">
            <v>15</v>
          </cell>
          <cell r="G452">
            <v>6</v>
          </cell>
          <cell r="H452" t="str">
            <v>mRNA文库</v>
          </cell>
          <cell r="I452" t="str">
            <v>XCL</v>
          </cell>
          <cell r="J452">
            <v>2.9</v>
          </cell>
          <cell r="K452">
            <v>416</v>
          </cell>
          <cell r="L452" t="str">
            <v>GZQ</v>
          </cell>
          <cell r="N452">
            <v>10.7248520710059</v>
          </cell>
        </row>
        <row r="453">
          <cell r="E453" t="str">
            <v>HGC-Lib-2460446</v>
          </cell>
          <cell r="F453">
            <v>16</v>
          </cell>
          <cell r="G453">
            <v>6</v>
          </cell>
          <cell r="H453" t="str">
            <v>mRNA文库</v>
          </cell>
          <cell r="I453" t="str">
            <v>XCL</v>
          </cell>
          <cell r="J453">
            <v>3.52</v>
          </cell>
          <cell r="K453">
            <v>413</v>
          </cell>
          <cell r="L453" t="str">
            <v>GZQ</v>
          </cell>
          <cell r="N453">
            <v>13.112311417396199</v>
          </cell>
        </row>
        <row r="454">
          <cell r="E454" t="str">
            <v>HGC-Lib-2460447</v>
          </cell>
          <cell r="F454">
            <v>17</v>
          </cell>
          <cell r="G454">
            <v>6</v>
          </cell>
          <cell r="H454" t="str">
            <v>mRNA文库</v>
          </cell>
          <cell r="I454" t="str">
            <v>XCL</v>
          </cell>
          <cell r="J454">
            <v>9.6999999999999993</v>
          </cell>
          <cell r="K454">
            <v>415</v>
          </cell>
          <cell r="L454" t="str">
            <v>GZQ</v>
          </cell>
          <cell r="N454">
            <v>35.959221501390203</v>
          </cell>
        </row>
        <row r="455">
          <cell r="E455" t="str">
            <v>HGC-Lib-2460448</v>
          </cell>
          <cell r="F455">
            <v>18</v>
          </cell>
          <cell r="G455">
            <v>6</v>
          </cell>
          <cell r="H455" t="str">
            <v>mRNA文库</v>
          </cell>
          <cell r="I455" t="str">
            <v>XCL</v>
          </cell>
          <cell r="J455">
            <v>17.399999999999999</v>
          </cell>
          <cell r="K455">
            <v>370</v>
          </cell>
          <cell r="L455" t="str">
            <v>GZQ</v>
          </cell>
          <cell r="N455">
            <v>72.349272349272397</v>
          </cell>
        </row>
        <row r="456">
          <cell r="E456" t="str">
            <v>HGC-Lib-2460449</v>
          </cell>
          <cell r="F456">
            <v>19</v>
          </cell>
          <cell r="G456">
            <v>6</v>
          </cell>
          <cell r="H456" t="str">
            <v>mRNA文库</v>
          </cell>
          <cell r="I456" t="str">
            <v>XCL</v>
          </cell>
          <cell r="J456">
            <v>6.56</v>
          </cell>
          <cell r="K456">
            <v>466</v>
          </cell>
          <cell r="L456" t="str">
            <v>GZQ</v>
          </cell>
          <cell r="N456">
            <v>21.657312644437098</v>
          </cell>
        </row>
        <row r="457">
          <cell r="E457" t="str">
            <v>HGC-Lib-2460450</v>
          </cell>
          <cell r="F457">
            <v>20</v>
          </cell>
          <cell r="G457">
            <v>6</v>
          </cell>
          <cell r="H457" t="str">
            <v>mRNA文库</v>
          </cell>
          <cell r="I457" t="str">
            <v>XCL</v>
          </cell>
          <cell r="J457">
            <v>16.8</v>
          </cell>
          <cell r="K457">
            <v>396</v>
          </cell>
          <cell r="L457" t="str">
            <v>GZQ</v>
          </cell>
          <cell r="N457">
            <v>65.2680652680653</v>
          </cell>
        </row>
        <row r="458">
          <cell r="E458" t="str">
            <v>HGC-Lib-2460451</v>
          </cell>
          <cell r="F458">
            <v>21</v>
          </cell>
          <cell r="G458">
            <v>6</v>
          </cell>
          <cell r="H458" t="str">
            <v>mRNA文库</v>
          </cell>
          <cell r="I458" t="str">
            <v>XCL</v>
          </cell>
          <cell r="J458">
            <v>6.48</v>
          </cell>
          <cell r="K458">
            <v>417</v>
          </cell>
          <cell r="L458" t="str">
            <v>GZQ</v>
          </cell>
          <cell r="N458">
            <v>23.907028223575001</v>
          </cell>
        </row>
        <row r="459">
          <cell r="E459" t="str">
            <v>HGC-Lib-2460452</v>
          </cell>
          <cell r="F459">
            <v>22</v>
          </cell>
          <cell r="G459">
            <v>6</v>
          </cell>
          <cell r="H459" t="str">
            <v>mRNA文库</v>
          </cell>
          <cell r="I459" t="str">
            <v>XCL</v>
          </cell>
          <cell r="J459">
            <v>3.28</v>
          </cell>
          <cell r="K459">
            <v>404</v>
          </cell>
          <cell r="L459" t="str">
            <v>GZQ</v>
          </cell>
          <cell r="N459">
            <v>12.490479817212499</v>
          </cell>
        </row>
        <row r="460">
          <cell r="E460" t="str">
            <v>HGC-Lib-2460453</v>
          </cell>
          <cell r="F460">
            <v>23</v>
          </cell>
          <cell r="G460">
            <v>6</v>
          </cell>
          <cell r="H460" t="str">
            <v>mRNA文库</v>
          </cell>
          <cell r="I460" t="str">
            <v>XCL</v>
          </cell>
          <cell r="J460">
            <v>3.58</v>
          </cell>
          <cell r="K460">
            <v>401</v>
          </cell>
          <cell r="L460" t="str">
            <v>GZQ</v>
          </cell>
          <cell r="N460">
            <v>13.734893535392301</v>
          </cell>
        </row>
        <row r="461">
          <cell r="E461" t="str">
            <v>HGC-Lib-2460454</v>
          </cell>
          <cell r="F461">
            <v>24</v>
          </cell>
          <cell r="G461">
            <v>6</v>
          </cell>
          <cell r="H461" t="str">
            <v>mRNA文库</v>
          </cell>
          <cell r="I461" t="str">
            <v>XCL</v>
          </cell>
          <cell r="J461">
            <v>5.66</v>
          </cell>
          <cell r="K461">
            <v>436</v>
          </cell>
          <cell r="L461" t="str">
            <v>GZQ</v>
          </cell>
          <cell r="N461">
            <v>19.9717713479181</v>
          </cell>
        </row>
        <row r="462">
          <cell r="E462" t="str">
            <v>HGC-Lib-2460455</v>
          </cell>
          <cell r="F462">
            <v>25</v>
          </cell>
          <cell r="G462">
            <v>6</v>
          </cell>
          <cell r="H462" t="str">
            <v>mRNA文库</v>
          </cell>
          <cell r="I462" t="str">
            <v>XCL</v>
          </cell>
          <cell r="J462">
            <v>22.4</v>
          </cell>
          <cell r="K462">
            <v>365</v>
          </cell>
          <cell r="L462" t="str">
            <v>GZQ</v>
          </cell>
          <cell r="N462">
            <v>94.415173867228702</v>
          </cell>
        </row>
        <row r="463">
          <cell r="E463" t="str">
            <v>HGC-Lib-2460456</v>
          </cell>
          <cell r="F463">
            <v>26</v>
          </cell>
          <cell r="G463">
            <v>6</v>
          </cell>
          <cell r="H463" t="str">
            <v>mRNA文库</v>
          </cell>
          <cell r="I463" t="str">
            <v>XCL</v>
          </cell>
          <cell r="J463">
            <v>20.2</v>
          </cell>
          <cell r="K463">
            <v>330</v>
          </cell>
          <cell r="L463" t="str">
            <v>GZQ</v>
          </cell>
          <cell r="N463">
            <v>94.172494172494197</v>
          </cell>
        </row>
        <row r="464">
          <cell r="E464" t="str">
            <v>HGC-Lib-2460457</v>
          </cell>
          <cell r="F464">
            <v>27</v>
          </cell>
          <cell r="G464">
            <v>6</v>
          </cell>
          <cell r="H464" t="str">
            <v>mRNA文库</v>
          </cell>
          <cell r="I464" t="str">
            <v>XCL</v>
          </cell>
          <cell r="J464">
            <v>24.8</v>
          </cell>
          <cell r="K464">
            <v>340</v>
          </cell>
          <cell r="L464" t="str">
            <v>GZQ</v>
          </cell>
          <cell r="N464">
            <v>112.217194570136</v>
          </cell>
        </row>
        <row r="465">
          <cell r="E465" t="str">
            <v>HGC-Lib-2460458</v>
          </cell>
          <cell r="F465">
            <v>28</v>
          </cell>
          <cell r="G465">
            <v>6</v>
          </cell>
          <cell r="H465" t="str">
            <v>mRNA文库</v>
          </cell>
          <cell r="I465" t="str">
            <v>XCL</v>
          </cell>
          <cell r="J465">
            <v>21.6</v>
          </cell>
          <cell r="K465">
            <v>349</v>
          </cell>
          <cell r="L465" t="str">
            <v>GZQ</v>
          </cell>
          <cell r="N465">
            <v>95.217103813092393</v>
          </cell>
        </row>
        <row r="466">
          <cell r="E466" t="str">
            <v>HGC-Lib-2460459</v>
          </cell>
          <cell r="F466">
            <v>29</v>
          </cell>
          <cell r="G466">
            <v>6</v>
          </cell>
          <cell r="H466" t="str">
            <v>mRNA文库</v>
          </cell>
          <cell r="I466" t="str">
            <v>XCL</v>
          </cell>
          <cell r="J466">
            <v>9.24</v>
          </cell>
          <cell r="K466">
            <v>377</v>
          </cell>
          <cell r="L466" t="str">
            <v>GZQ</v>
          </cell>
          <cell r="N466">
            <v>37.706590491736399</v>
          </cell>
        </row>
        <row r="467">
          <cell r="E467" t="str">
            <v>HGC-Lib-2460460</v>
          </cell>
          <cell r="F467">
            <v>30</v>
          </cell>
          <cell r="G467">
            <v>6</v>
          </cell>
          <cell r="H467" t="str">
            <v>mRNA文库</v>
          </cell>
          <cell r="I467" t="str">
            <v>XCL</v>
          </cell>
          <cell r="J467">
            <v>37</v>
          </cell>
          <cell r="K467">
            <v>357</v>
          </cell>
          <cell r="L467" t="str">
            <v>GZQ</v>
          </cell>
          <cell r="N467">
            <v>159.44839474251199</v>
          </cell>
        </row>
        <row r="468">
          <cell r="E468" t="str">
            <v>HGC-Lib-2460461</v>
          </cell>
          <cell r="F468">
            <v>31</v>
          </cell>
          <cell r="G468">
            <v>6</v>
          </cell>
          <cell r="H468" t="str">
            <v>mRNA文库</v>
          </cell>
          <cell r="I468" t="str">
            <v>XCL</v>
          </cell>
          <cell r="J468">
            <v>31.2</v>
          </cell>
          <cell r="K468">
            <v>328</v>
          </cell>
          <cell r="L468" t="str">
            <v>GZQ</v>
          </cell>
          <cell r="N468">
            <v>146.34146341463401</v>
          </cell>
        </row>
        <row r="469">
          <cell r="E469" t="str">
            <v>HGC-Lib-2460462</v>
          </cell>
          <cell r="F469">
            <v>32</v>
          </cell>
          <cell r="G469">
            <v>6</v>
          </cell>
          <cell r="H469" t="str">
            <v>mRNA文库</v>
          </cell>
          <cell r="I469" t="str">
            <v>XCL</v>
          </cell>
          <cell r="J469">
            <v>25.6</v>
          </cell>
          <cell r="K469">
            <v>315</v>
          </cell>
          <cell r="L469" t="str">
            <v>GZQ</v>
          </cell>
          <cell r="N469">
            <v>125.030525030525</v>
          </cell>
        </row>
        <row r="470">
          <cell r="E470" t="str">
            <v>HGC-Lib-2460463</v>
          </cell>
          <cell r="F470">
            <v>33</v>
          </cell>
          <cell r="G470">
            <v>6</v>
          </cell>
          <cell r="H470" t="str">
            <v>mRNA文库</v>
          </cell>
          <cell r="I470" t="str">
            <v>XCL</v>
          </cell>
          <cell r="J470">
            <v>40.6</v>
          </cell>
          <cell r="K470">
            <v>369</v>
          </cell>
          <cell r="L470" t="str">
            <v>GZQ</v>
          </cell>
          <cell r="N470">
            <v>169.27246195538899</v>
          </cell>
        </row>
        <row r="471">
          <cell r="E471" t="str">
            <v>HGC-Lib-2460464</v>
          </cell>
          <cell r="F471">
            <v>34</v>
          </cell>
          <cell r="G471">
            <v>6</v>
          </cell>
          <cell r="H471" t="str">
            <v>mRNA文库</v>
          </cell>
          <cell r="I471" t="str">
            <v>XCL</v>
          </cell>
          <cell r="J471">
            <v>33.4</v>
          </cell>
          <cell r="K471">
            <v>326</v>
          </cell>
          <cell r="L471" t="str">
            <v>GZQ</v>
          </cell>
          <cell r="N471">
            <v>157.62151958471</v>
          </cell>
        </row>
        <row r="472">
          <cell r="E472" t="str">
            <v>HGC-Lib-2460465</v>
          </cell>
          <cell r="F472">
            <v>35</v>
          </cell>
          <cell r="G472">
            <v>6</v>
          </cell>
          <cell r="H472" t="str">
            <v>mRNA文库</v>
          </cell>
          <cell r="I472" t="str">
            <v>XCL</v>
          </cell>
          <cell r="J472">
            <v>39.4</v>
          </cell>
          <cell r="K472">
            <v>295</v>
          </cell>
          <cell r="L472" t="str">
            <v>GZQ</v>
          </cell>
          <cell r="N472">
            <v>205.47588005215101</v>
          </cell>
        </row>
        <row r="473">
          <cell r="E473" t="str">
            <v>HGC-Lib-2460466</v>
          </cell>
          <cell r="F473">
            <v>36</v>
          </cell>
          <cell r="G473">
            <v>6</v>
          </cell>
          <cell r="H473" t="str">
            <v>mRNA文库</v>
          </cell>
          <cell r="I473" t="str">
            <v>XCL</v>
          </cell>
          <cell r="J473">
            <v>29</v>
          </cell>
          <cell r="K473">
            <v>287</v>
          </cell>
          <cell r="L473" t="str">
            <v>GZQ</v>
          </cell>
          <cell r="N473">
            <v>155.45430179576499</v>
          </cell>
        </row>
        <row r="474">
          <cell r="E474" t="str">
            <v>HGC-Lib-2460467</v>
          </cell>
          <cell r="F474">
            <v>37</v>
          </cell>
          <cell r="G474">
            <v>6</v>
          </cell>
          <cell r="H474" t="str">
            <v>mRNA文库</v>
          </cell>
          <cell r="I474" t="str">
            <v>XCL</v>
          </cell>
          <cell r="J474">
            <v>32.200000000000003</v>
          </cell>
          <cell r="K474">
            <v>343</v>
          </cell>
          <cell r="L474" t="str">
            <v>GZQ</v>
          </cell>
          <cell r="N474">
            <v>144.42700156985899</v>
          </cell>
        </row>
        <row r="475">
          <cell r="E475" t="str">
            <v>HGC-Lib-2460468</v>
          </cell>
          <cell r="F475">
            <v>38</v>
          </cell>
          <cell r="G475">
            <v>6</v>
          </cell>
          <cell r="H475" t="str">
            <v>mRNA文库</v>
          </cell>
          <cell r="I475" t="str">
            <v>XCL</v>
          </cell>
          <cell r="J475">
            <v>7.62</v>
          </cell>
          <cell r="K475">
            <v>372</v>
          </cell>
          <cell r="L475" t="str">
            <v>GZQ</v>
          </cell>
          <cell r="N475">
            <v>31.513647642679899</v>
          </cell>
        </row>
        <row r="476">
          <cell r="E476" t="str">
            <v>HGC-Lib-2460469</v>
          </cell>
          <cell r="F476">
            <v>39</v>
          </cell>
          <cell r="G476">
            <v>6</v>
          </cell>
          <cell r="H476" t="str">
            <v>mRNA文库</v>
          </cell>
          <cell r="I476" t="str">
            <v>XCL</v>
          </cell>
          <cell r="J476">
            <v>45.6</v>
          </cell>
          <cell r="K476">
            <v>348</v>
          </cell>
          <cell r="L476" t="str">
            <v>GZQ</v>
          </cell>
          <cell r="N476">
            <v>201.59151193634</v>
          </cell>
        </row>
        <row r="477">
          <cell r="E477" t="str">
            <v>HGC-Lib-2460470</v>
          </cell>
          <cell r="F477">
            <v>40</v>
          </cell>
          <cell r="G477">
            <v>6</v>
          </cell>
          <cell r="H477" t="str">
            <v>mRNA文库</v>
          </cell>
          <cell r="I477" t="str">
            <v>XCL</v>
          </cell>
          <cell r="J477">
            <v>31.8</v>
          </cell>
          <cell r="K477">
            <v>340</v>
          </cell>
          <cell r="L477" t="str">
            <v>GZQ</v>
          </cell>
          <cell r="N477">
            <v>143.89140271493201</v>
          </cell>
        </row>
        <row r="478">
          <cell r="E478" t="str">
            <v>HGC-Lib-2460471</v>
          </cell>
          <cell r="F478">
            <v>41</v>
          </cell>
          <cell r="G478">
            <v>6</v>
          </cell>
          <cell r="H478" t="str">
            <v>mRNA文库</v>
          </cell>
          <cell r="I478" t="str">
            <v>XCL</v>
          </cell>
          <cell r="J478">
            <v>10.7</v>
          </cell>
          <cell r="K478">
            <v>314</v>
          </cell>
          <cell r="L478" t="str">
            <v>GZQ</v>
          </cell>
          <cell r="N478">
            <v>52.425281724644798</v>
          </cell>
        </row>
        <row r="479">
          <cell r="E479" t="str">
            <v>HGC-Lib-2460472</v>
          </cell>
          <cell r="F479">
            <v>42</v>
          </cell>
          <cell r="G479">
            <v>6</v>
          </cell>
          <cell r="H479" t="str">
            <v>mRNA文库</v>
          </cell>
          <cell r="I479" t="str">
            <v>XCL</v>
          </cell>
          <cell r="J479">
            <v>2.88</v>
          </cell>
          <cell r="K479">
            <v>366</v>
          </cell>
          <cell r="L479" t="str">
            <v>GZQ</v>
          </cell>
          <cell r="N479">
            <v>12.1059268600252</v>
          </cell>
        </row>
        <row r="480">
          <cell r="E480" t="str">
            <v>HGC-Lib-2460473</v>
          </cell>
          <cell r="F480">
            <v>43</v>
          </cell>
          <cell r="G480">
            <v>6</v>
          </cell>
          <cell r="H480" t="str">
            <v>mRNA文库</v>
          </cell>
          <cell r="I480" t="str">
            <v>XCL</v>
          </cell>
          <cell r="J480">
            <v>16.600000000000001</v>
          </cell>
          <cell r="K480">
            <v>378</v>
          </cell>
          <cell r="L480" t="str">
            <v>GZQ</v>
          </cell>
          <cell r="N480">
            <v>67.562067562067597</v>
          </cell>
        </row>
        <row r="481">
          <cell r="E481" t="str">
            <v>HGC-Lib-2460474</v>
          </cell>
          <cell r="F481">
            <v>44</v>
          </cell>
          <cell r="G481">
            <v>6</v>
          </cell>
          <cell r="H481" t="str">
            <v>mRNA文库</v>
          </cell>
          <cell r="I481" t="str">
            <v>XCL</v>
          </cell>
          <cell r="J481">
            <v>21.4</v>
          </cell>
          <cell r="K481">
            <v>355</v>
          </cell>
          <cell r="L481" t="str">
            <v>GZQ</v>
          </cell>
          <cell r="N481">
            <v>92.741061755146305</v>
          </cell>
        </row>
        <row r="482">
          <cell r="E482" t="str">
            <v>HGC-Lib-2460475</v>
          </cell>
          <cell r="F482">
            <v>45</v>
          </cell>
          <cell r="G482">
            <v>6</v>
          </cell>
          <cell r="H482" t="str">
            <v>mRNA文库</v>
          </cell>
          <cell r="I482" t="str">
            <v>XCL</v>
          </cell>
          <cell r="J482">
            <v>28.6</v>
          </cell>
          <cell r="K482">
            <v>350</v>
          </cell>
          <cell r="L482" t="str">
            <v>GZQ</v>
          </cell>
          <cell r="N482">
            <v>125.71428571428601</v>
          </cell>
        </row>
        <row r="483">
          <cell r="E483" t="str">
            <v>HGC-Lib-2460476</v>
          </cell>
          <cell r="F483">
            <v>46</v>
          </cell>
          <cell r="G483">
            <v>6</v>
          </cell>
          <cell r="H483" t="str">
            <v>mRNA文库</v>
          </cell>
          <cell r="I483" t="str">
            <v>XCL</v>
          </cell>
          <cell r="J483">
            <v>28</v>
          </cell>
          <cell r="K483">
            <v>342</v>
          </cell>
          <cell r="L483" t="str">
            <v>GZQ</v>
          </cell>
          <cell r="N483">
            <v>125.9559154296</v>
          </cell>
        </row>
        <row r="484">
          <cell r="E484" t="str">
            <v>HGC-Lib-2460477</v>
          </cell>
          <cell r="F484">
            <v>47</v>
          </cell>
          <cell r="G484">
            <v>6</v>
          </cell>
          <cell r="H484" t="str">
            <v>mRNA文库</v>
          </cell>
          <cell r="I484" t="str">
            <v>XCL</v>
          </cell>
          <cell r="J484">
            <v>39.200000000000003</v>
          </cell>
          <cell r="K484">
            <v>333</v>
          </cell>
          <cell r="L484" t="str">
            <v>GZQ</v>
          </cell>
          <cell r="N484">
            <v>181.10418110418101</v>
          </cell>
        </row>
        <row r="485">
          <cell r="E485" t="str">
            <v>HGC-Lib-2460478</v>
          </cell>
          <cell r="F485">
            <v>48</v>
          </cell>
          <cell r="G485">
            <v>6</v>
          </cell>
          <cell r="H485" t="str">
            <v>mRNA文库</v>
          </cell>
          <cell r="I485" t="str">
            <v>XCL</v>
          </cell>
          <cell r="J485">
            <v>41.2</v>
          </cell>
          <cell r="K485">
            <v>365</v>
          </cell>
          <cell r="L485" t="str">
            <v>GZQ</v>
          </cell>
          <cell r="N485">
            <v>173.656480505796</v>
          </cell>
        </row>
        <row r="486">
          <cell r="E486" t="str">
            <v>HGC-Lib-2461417</v>
          </cell>
          <cell r="F486" t="str">
            <v>N_B_N4714-01-10X5P62-post</v>
          </cell>
          <cell r="G486">
            <v>100</v>
          </cell>
          <cell r="H486" t="str">
            <v>10x 5'单细胞</v>
          </cell>
          <cell r="I486" t="str">
            <v>GZQ</v>
          </cell>
          <cell r="J486">
            <v>20.6</v>
          </cell>
          <cell r="N486" t="e">
            <v>#DIV/0!</v>
          </cell>
        </row>
        <row r="487">
          <cell r="E487" t="str">
            <v>HGC-Lib-2461418</v>
          </cell>
          <cell r="F487" t="str">
            <v>N_B_N4714-01-10X5TCRP62-post-2</v>
          </cell>
          <cell r="G487">
            <v>10</v>
          </cell>
          <cell r="H487" t="str">
            <v>TCR文库</v>
          </cell>
          <cell r="I487" t="str">
            <v>GZQ</v>
          </cell>
          <cell r="J487">
            <v>48.6</v>
          </cell>
          <cell r="N487" t="e">
            <v>#DIV/0!</v>
          </cell>
        </row>
        <row r="488">
          <cell r="E488" t="str">
            <v>HGC-Lib-2461419</v>
          </cell>
          <cell r="F488" t="str">
            <v>N_B_N4715-1Y-10X5PI32</v>
          </cell>
          <cell r="G488">
            <v>100</v>
          </cell>
          <cell r="H488" t="str">
            <v>10x 5'单细胞</v>
          </cell>
          <cell r="I488" t="str">
            <v>GZQ</v>
          </cell>
          <cell r="J488">
            <v>20</v>
          </cell>
          <cell r="N488" t="e">
            <v>#DIV/0!</v>
          </cell>
        </row>
        <row r="489">
          <cell r="E489" t="str">
            <v>HGC-Lib-2461420</v>
          </cell>
          <cell r="F489" t="str">
            <v>N_B_N4715-1Y-10X5TCRPI32-2</v>
          </cell>
          <cell r="G489">
            <v>10</v>
          </cell>
          <cell r="H489" t="str">
            <v>TCR文库</v>
          </cell>
          <cell r="I489" t="str">
            <v>GZQ</v>
          </cell>
          <cell r="J489">
            <v>35.6</v>
          </cell>
          <cell r="N489" t="e">
            <v>#DIV/0!</v>
          </cell>
        </row>
        <row r="490">
          <cell r="E490" t="str">
            <v>HGC-Lib-2461421</v>
          </cell>
          <cell r="F490" t="str">
            <v>N_B_N4715-1Y-10X5BCRPI32-3</v>
          </cell>
          <cell r="G490">
            <v>10</v>
          </cell>
          <cell r="H490" t="str">
            <v>BCR文库</v>
          </cell>
          <cell r="I490" t="str">
            <v>GZQ</v>
          </cell>
          <cell r="J490">
            <v>40.200000000000003</v>
          </cell>
          <cell r="N490" t="e">
            <v>#DIV/0!</v>
          </cell>
        </row>
        <row r="491">
          <cell r="E491" t="str">
            <v>HGC-Lib-2461422</v>
          </cell>
          <cell r="F491" t="str">
            <v>N_B_N4716-02-10X5NC-single1</v>
          </cell>
          <cell r="G491">
            <v>100</v>
          </cell>
          <cell r="H491" t="str">
            <v>10x 5'单细胞</v>
          </cell>
          <cell r="I491" t="str">
            <v>GZQ</v>
          </cell>
          <cell r="J491">
            <v>22.2</v>
          </cell>
          <cell r="N491" t="e">
            <v>#DIV/0!</v>
          </cell>
        </row>
        <row r="492">
          <cell r="E492" t="str">
            <v>HGC-Lib-2461423</v>
          </cell>
          <cell r="F492" t="str">
            <v>N_B_N4716-02-10X5TCRNC-single1</v>
          </cell>
          <cell r="G492">
            <v>10</v>
          </cell>
          <cell r="H492" t="str">
            <v>TCR文库</v>
          </cell>
          <cell r="I492" t="str">
            <v>GZQ</v>
          </cell>
          <cell r="J492">
            <v>49.2</v>
          </cell>
          <cell r="N492" t="e">
            <v>#DIV/0!</v>
          </cell>
        </row>
        <row r="493">
          <cell r="E493" t="str">
            <v>HGC-Lib-2461424</v>
          </cell>
          <cell r="F493" t="str">
            <v>N_B_N4716-02-10X5BCRNC-single1</v>
          </cell>
          <cell r="G493">
            <v>10</v>
          </cell>
          <cell r="H493" t="str">
            <v>BCR文库</v>
          </cell>
          <cell r="I493" t="str">
            <v>GZQ</v>
          </cell>
          <cell r="J493">
            <v>57.6</v>
          </cell>
          <cell r="N493" t="e">
            <v>#DIV/0!</v>
          </cell>
        </row>
        <row r="494">
          <cell r="E494" t="str">
            <v>HGC-Lib-2461425</v>
          </cell>
          <cell r="F494" t="str">
            <v>N_B_N4716-0B-10X52160T-M</v>
          </cell>
          <cell r="G494">
            <v>100</v>
          </cell>
          <cell r="H494" t="str">
            <v>10x 5'单细胞</v>
          </cell>
          <cell r="I494" t="str">
            <v>GZQ</v>
          </cell>
          <cell r="J494">
            <v>21.6</v>
          </cell>
          <cell r="N494" t="e">
            <v>#DIV/0!</v>
          </cell>
        </row>
        <row r="495">
          <cell r="E495" t="str">
            <v>HGC-Lib-2461426</v>
          </cell>
          <cell r="F495" t="str">
            <v>N_B_N4716-0C-10X52160NT-M</v>
          </cell>
          <cell r="G495">
            <v>100</v>
          </cell>
          <cell r="H495" t="str">
            <v>10x 5'单细胞</v>
          </cell>
          <cell r="I495" t="str">
            <v>GZQ</v>
          </cell>
          <cell r="J495">
            <v>26.8</v>
          </cell>
          <cell r="N495" t="e">
            <v>#DIV/0!</v>
          </cell>
        </row>
        <row r="496">
          <cell r="E496" t="str">
            <v>HGC-Lib-2461427</v>
          </cell>
          <cell r="F496" t="str">
            <v>N_B_N4716-0D-10X52086T-M</v>
          </cell>
          <cell r="G496">
            <v>100</v>
          </cell>
          <cell r="H496" t="str">
            <v>10x 5'单细胞</v>
          </cell>
          <cell r="I496" t="str">
            <v>GZQ</v>
          </cell>
          <cell r="J496">
            <v>25.6</v>
          </cell>
          <cell r="N496" t="e">
            <v>#DIV/0!</v>
          </cell>
        </row>
        <row r="497">
          <cell r="E497" t="str">
            <v>HGC-Lib-2461428</v>
          </cell>
          <cell r="F497" t="str">
            <v>N_B_N4716-0F-10X51999T-M</v>
          </cell>
          <cell r="G497">
            <v>100</v>
          </cell>
          <cell r="H497" t="str">
            <v>10x 5'单细胞</v>
          </cell>
          <cell r="I497" t="str">
            <v>GZQ</v>
          </cell>
          <cell r="J497">
            <v>27.4</v>
          </cell>
          <cell r="N497" t="e">
            <v>#DIV/0!</v>
          </cell>
        </row>
        <row r="498">
          <cell r="E498" t="str">
            <v>HGC-Lib-2461429</v>
          </cell>
          <cell r="F498" t="str">
            <v>N_B_N4716-0G-10X51999NT-M</v>
          </cell>
          <cell r="G498">
            <v>100</v>
          </cell>
          <cell r="H498" t="str">
            <v>10x 5'单细胞</v>
          </cell>
          <cell r="I498" t="str">
            <v>GZQ</v>
          </cell>
          <cell r="J498">
            <v>20.2</v>
          </cell>
          <cell r="N498" t="e">
            <v>#DIV/0!</v>
          </cell>
        </row>
        <row r="499">
          <cell r="E499" t="str">
            <v>HGC-Lib-2461430</v>
          </cell>
          <cell r="F499" t="str">
            <v>N_B_N4716-0H-10X52176T-M</v>
          </cell>
          <cell r="G499">
            <v>100</v>
          </cell>
          <cell r="H499" t="str">
            <v>10x 5'单细胞</v>
          </cell>
          <cell r="I499" t="str">
            <v>GZQ</v>
          </cell>
          <cell r="J499">
            <v>25.6</v>
          </cell>
          <cell r="N499" t="e">
            <v>#DIV/0!</v>
          </cell>
        </row>
        <row r="500">
          <cell r="E500" t="str">
            <v>HGC-Lib-2461431</v>
          </cell>
          <cell r="F500" t="str">
            <v>N_B_N4716-0J-10X52176NT-M</v>
          </cell>
          <cell r="G500">
            <v>100</v>
          </cell>
          <cell r="H500" t="str">
            <v>10x 5'单细胞</v>
          </cell>
          <cell r="I500" t="str">
            <v>GZQ</v>
          </cell>
          <cell r="J500">
            <v>14.8</v>
          </cell>
          <cell r="N500" t="e">
            <v>#DIV/0!</v>
          </cell>
        </row>
        <row r="501">
          <cell r="E501" t="str">
            <v>HGC-Lib-2461432</v>
          </cell>
          <cell r="F501" t="str">
            <v>N_B_N4716-0B-10X5TCR2160T-M-2</v>
          </cell>
          <cell r="G501">
            <v>10</v>
          </cell>
          <cell r="H501" t="str">
            <v>TCR文库</v>
          </cell>
          <cell r="I501" t="str">
            <v>GZQ</v>
          </cell>
          <cell r="J501">
            <v>60.6</v>
          </cell>
          <cell r="N501" t="e">
            <v>#DIV/0!</v>
          </cell>
        </row>
        <row r="502">
          <cell r="E502" t="str">
            <v>HGC-Lib-2461433</v>
          </cell>
          <cell r="F502" t="str">
            <v>N_B_N4716-0C-10X5TCR2160NT-M-2</v>
          </cell>
          <cell r="G502">
            <v>10</v>
          </cell>
          <cell r="H502" t="str">
            <v>TCR文库</v>
          </cell>
          <cell r="I502" t="str">
            <v>GZQ</v>
          </cell>
          <cell r="J502">
            <v>70.8</v>
          </cell>
          <cell r="N502" t="e">
            <v>#DIV/0!</v>
          </cell>
        </row>
        <row r="503">
          <cell r="E503" t="str">
            <v>HGC-Lib-2461434</v>
          </cell>
          <cell r="F503" t="str">
            <v>N_B_N4716-0D-10X5TCR2086T-M-2</v>
          </cell>
          <cell r="G503">
            <v>10</v>
          </cell>
          <cell r="H503" t="str">
            <v>TCR文库</v>
          </cell>
          <cell r="I503" t="str">
            <v>GZQ</v>
          </cell>
          <cell r="J503">
            <v>53.4</v>
          </cell>
          <cell r="N503" t="e">
            <v>#DIV/0!</v>
          </cell>
        </row>
        <row r="504">
          <cell r="E504" t="str">
            <v>HGC-Lib-2461435</v>
          </cell>
          <cell r="F504" t="str">
            <v>N_B_N4716-0F-10X5TCR1999T-M-2</v>
          </cell>
          <cell r="G504">
            <v>10</v>
          </cell>
          <cell r="H504" t="str">
            <v>TCR文库</v>
          </cell>
          <cell r="I504" t="str">
            <v>GZQ</v>
          </cell>
          <cell r="J504">
            <v>90.2</v>
          </cell>
          <cell r="N504" t="e">
            <v>#DIV/0!</v>
          </cell>
        </row>
        <row r="505">
          <cell r="E505" t="str">
            <v>HGC-Lib-2461436</v>
          </cell>
          <cell r="F505" t="str">
            <v>N_B_N4716-0G-10X5TCR1999NT-M-2</v>
          </cell>
          <cell r="G505">
            <v>10</v>
          </cell>
          <cell r="H505" t="str">
            <v>TCR文库</v>
          </cell>
          <cell r="I505" t="str">
            <v>GZQ</v>
          </cell>
          <cell r="J505">
            <v>69</v>
          </cell>
          <cell r="N505" t="e">
            <v>#DIV/0!</v>
          </cell>
        </row>
        <row r="506">
          <cell r="E506" t="str">
            <v>HGC-Lib-2461437</v>
          </cell>
          <cell r="F506" t="str">
            <v>N_B_N4716-0H-10X5TCR2176T-M-2</v>
          </cell>
          <cell r="G506">
            <v>10</v>
          </cell>
          <cell r="H506" t="str">
            <v>TCR文库</v>
          </cell>
          <cell r="I506" t="str">
            <v>GZQ</v>
          </cell>
          <cell r="J506">
            <v>53.6</v>
          </cell>
          <cell r="N506" t="e">
            <v>#DIV/0!</v>
          </cell>
        </row>
        <row r="507">
          <cell r="E507" t="str">
            <v>HGC-Lib-2461438</v>
          </cell>
          <cell r="F507" t="str">
            <v>N_B_N4716-0J-10X5TCR2176NT-M-2</v>
          </cell>
          <cell r="G507">
            <v>10</v>
          </cell>
          <cell r="H507" t="str">
            <v>TCR文库</v>
          </cell>
          <cell r="I507" t="str">
            <v>GZQ</v>
          </cell>
          <cell r="J507">
            <v>54.8</v>
          </cell>
          <cell r="N507" t="e">
            <v>#DIV/0!</v>
          </cell>
        </row>
        <row r="508">
          <cell r="E508" t="str">
            <v>HGC-Lib-2461439</v>
          </cell>
          <cell r="F508" t="str">
            <v>N_B_N4716-0B-10X5BCR2160T-M-3</v>
          </cell>
          <cell r="G508">
            <v>10</v>
          </cell>
          <cell r="H508" t="str">
            <v>BCR文库</v>
          </cell>
          <cell r="I508" t="str">
            <v>GZQ</v>
          </cell>
          <cell r="J508">
            <v>42.8</v>
          </cell>
          <cell r="N508" t="e">
            <v>#DIV/0!</v>
          </cell>
        </row>
        <row r="509">
          <cell r="E509" t="str">
            <v>HGC-Lib-2461440</v>
          </cell>
          <cell r="F509" t="str">
            <v>N_B_N4716-0C-10X5BCR2160NT-M-3</v>
          </cell>
          <cell r="G509">
            <v>10</v>
          </cell>
          <cell r="H509" t="str">
            <v>BCR文库</v>
          </cell>
          <cell r="I509" t="str">
            <v>GZQ</v>
          </cell>
          <cell r="J509">
            <v>41.4</v>
          </cell>
          <cell r="N509" t="e">
            <v>#DIV/0!</v>
          </cell>
        </row>
        <row r="510">
          <cell r="E510" t="str">
            <v>HGC-Lib-2461441</v>
          </cell>
          <cell r="F510" t="str">
            <v>N_B_N4716-0D-10X5BCR2086T-M-3</v>
          </cell>
          <cell r="G510">
            <v>10</v>
          </cell>
          <cell r="H510" t="str">
            <v>BCR文库</v>
          </cell>
          <cell r="I510" t="str">
            <v>GZQ</v>
          </cell>
          <cell r="J510">
            <v>38</v>
          </cell>
          <cell r="N510" t="e">
            <v>#DIV/0!</v>
          </cell>
        </row>
        <row r="511">
          <cell r="E511" t="str">
            <v>HGC-Lib-2461442</v>
          </cell>
          <cell r="F511" t="str">
            <v>N_B_N4716-0F-10X5BCR1999T-M-3</v>
          </cell>
          <cell r="G511">
            <v>10</v>
          </cell>
          <cell r="H511" t="str">
            <v>BCR文库</v>
          </cell>
          <cell r="I511" t="str">
            <v>GZQ</v>
          </cell>
          <cell r="J511">
            <v>54</v>
          </cell>
          <cell r="N511" t="e">
            <v>#DIV/0!</v>
          </cell>
        </row>
        <row r="512">
          <cell r="E512" t="str">
            <v>HGC-Lib-2461443</v>
          </cell>
          <cell r="F512" t="str">
            <v>N_B_N4716-0G-10X5BCR1999NT-M-3</v>
          </cell>
          <cell r="G512">
            <v>10</v>
          </cell>
          <cell r="H512" t="str">
            <v>BCR文库</v>
          </cell>
          <cell r="I512" t="str">
            <v>GZQ</v>
          </cell>
          <cell r="J512">
            <v>30</v>
          </cell>
          <cell r="N512" t="e">
            <v>#DIV/0!</v>
          </cell>
        </row>
        <row r="513">
          <cell r="E513" t="str">
            <v>HGC-Lib-2461444</v>
          </cell>
          <cell r="F513" t="str">
            <v>N_B_N4716-0H-10X5BCR2176T-M-3</v>
          </cell>
          <cell r="G513">
            <v>10</v>
          </cell>
          <cell r="H513" t="str">
            <v>BCR文库</v>
          </cell>
          <cell r="I513" t="str">
            <v>GZQ</v>
          </cell>
          <cell r="J513">
            <v>49.4</v>
          </cell>
          <cell r="N513" t="e">
            <v>#DIV/0!</v>
          </cell>
        </row>
        <row r="514">
          <cell r="E514" t="str">
            <v>HGC-Lib-2461445</v>
          </cell>
          <cell r="F514" t="str">
            <v>N_B_N4716-0J-10X5BCR2176NT-M-3</v>
          </cell>
          <cell r="G514">
            <v>10</v>
          </cell>
          <cell r="H514" t="str">
            <v>BCR文库</v>
          </cell>
          <cell r="I514" t="str">
            <v>GZQ</v>
          </cell>
          <cell r="J514">
            <v>33.200000000000003</v>
          </cell>
          <cell r="N514" t="e">
            <v>#DIV/0!</v>
          </cell>
        </row>
        <row r="515">
          <cell r="E515" t="str">
            <v>HGC-Lib-2461446</v>
          </cell>
          <cell r="F515" t="str">
            <v>N_B_N4716-6Q-10X50716T</v>
          </cell>
          <cell r="G515">
            <v>100</v>
          </cell>
          <cell r="H515" t="str">
            <v>10x 5'单细胞</v>
          </cell>
          <cell r="I515" t="str">
            <v>GZQ</v>
          </cell>
          <cell r="J515">
            <v>26.8</v>
          </cell>
          <cell r="N515" t="e">
            <v>#DIV/0!</v>
          </cell>
        </row>
        <row r="516">
          <cell r="E516" t="str">
            <v>HGC-Lib-2461447</v>
          </cell>
          <cell r="F516" t="str">
            <v>N_B_N4716-6Q-10X5TCR0716T-3</v>
          </cell>
          <cell r="G516">
            <v>10</v>
          </cell>
          <cell r="H516" t="str">
            <v>TCR文库</v>
          </cell>
          <cell r="I516" t="str">
            <v>GZQ</v>
          </cell>
          <cell r="J516">
            <v>60.2</v>
          </cell>
          <cell r="N516" t="e">
            <v>#DIV/0!</v>
          </cell>
        </row>
        <row r="517">
          <cell r="E517" t="str">
            <v>HGC-Lib-2461448</v>
          </cell>
          <cell r="F517" t="str">
            <v>N_B_N4718-12-BDv211</v>
          </cell>
          <cell r="G517">
            <v>100</v>
          </cell>
          <cell r="H517" t="str">
            <v>BD-单细胞</v>
          </cell>
          <cell r="I517" t="str">
            <v>GZQ</v>
          </cell>
          <cell r="J517">
            <v>23</v>
          </cell>
          <cell r="N517" t="e">
            <v>#DIV/0!</v>
          </cell>
        </row>
        <row r="518">
          <cell r="E518" t="str">
            <v>HGC-Lib-2461449</v>
          </cell>
          <cell r="F518" t="str">
            <v>N_B_N4718-13-BDv27</v>
          </cell>
          <cell r="G518">
            <v>100</v>
          </cell>
          <cell r="H518" t="str">
            <v>BD-单细胞</v>
          </cell>
          <cell r="I518" t="str">
            <v>GZQ</v>
          </cell>
          <cell r="J518">
            <v>19</v>
          </cell>
          <cell r="N518" t="e">
            <v>#DIV/0!</v>
          </cell>
        </row>
        <row r="519">
          <cell r="E519" t="str">
            <v>HGC-Lib-2461450</v>
          </cell>
          <cell r="F519" t="str">
            <v>N_B_N4718-14-BDv28</v>
          </cell>
          <cell r="G519">
            <v>100</v>
          </cell>
          <cell r="H519" t="str">
            <v>BD-单细胞</v>
          </cell>
          <cell r="I519" t="str">
            <v>GZQ</v>
          </cell>
          <cell r="J519">
            <v>15.7</v>
          </cell>
          <cell r="N519" t="e">
            <v>#DIV/0!</v>
          </cell>
        </row>
        <row r="520">
          <cell r="E520" t="str">
            <v>HGC-Lib-2461451</v>
          </cell>
          <cell r="F520" t="str">
            <v>N_B_N4718-15-BDv23</v>
          </cell>
          <cell r="G520">
            <v>100</v>
          </cell>
          <cell r="H520" t="str">
            <v>BD-单细胞</v>
          </cell>
          <cell r="I520" t="str">
            <v>GZQ</v>
          </cell>
          <cell r="J520">
            <v>17.5</v>
          </cell>
          <cell r="N520" t="e">
            <v>#DIV/0!</v>
          </cell>
        </row>
        <row r="521">
          <cell r="E521" t="str">
            <v>HGC-Lib-2461452</v>
          </cell>
          <cell r="F521" t="str">
            <v>N_B_N4718-16-BDv210</v>
          </cell>
          <cell r="G521">
            <v>100</v>
          </cell>
          <cell r="H521" t="str">
            <v>BD-单细胞</v>
          </cell>
          <cell r="I521" t="str">
            <v>GZQ</v>
          </cell>
          <cell r="J521">
            <v>16.3</v>
          </cell>
          <cell r="N521" t="e">
            <v>#DIV/0!</v>
          </cell>
        </row>
        <row r="522">
          <cell r="E522" t="str">
            <v>HGC-Lib-2461453</v>
          </cell>
          <cell r="F522" t="str">
            <v>N_B_N4718-17-BDv29</v>
          </cell>
          <cell r="G522">
            <v>100</v>
          </cell>
          <cell r="H522" t="str">
            <v>BD-单细胞</v>
          </cell>
          <cell r="I522" t="str">
            <v>GZQ</v>
          </cell>
          <cell r="J522">
            <v>18.7</v>
          </cell>
          <cell r="N522" t="e">
            <v>#DIV/0!</v>
          </cell>
        </row>
        <row r="523">
          <cell r="E523" t="str">
            <v>HGC-Lib-2461454</v>
          </cell>
          <cell r="F523" t="str">
            <v>N_B_N4722-03-BDv21938999</v>
          </cell>
          <cell r="G523">
            <v>100</v>
          </cell>
          <cell r="H523" t="str">
            <v>BD-单细胞</v>
          </cell>
          <cell r="I523" t="str">
            <v>GZQ</v>
          </cell>
          <cell r="J523">
            <v>20.8</v>
          </cell>
          <cell r="N523" t="e">
            <v>#DIV/0!</v>
          </cell>
        </row>
        <row r="524">
          <cell r="E524" t="str">
            <v>HGC-Lib-2461455</v>
          </cell>
          <cell r="F524" t="str">
            <v>N_B_N4722-2U-BDv2MV1</v>
          </cell>
          <cell r="G524">
            <v>100</v>
          </cell>
          <cell r="H524" t="str">
            <v>BD-单细胞</v>
          </cell>
          <cell r="I524" t="str">
            <v>GZQ</v>
          </cell>
          <cell r="J524">
            <v>21</v>
          </cell>
          <cell r="N524" t="e">
            <v>#DIV/0!</v>
          </cell>
        </row>
        <row r="525">
          <cell r="E525" t="str">
            <v>HGC-Lib-2461456</v>
          </cell>
          <cell r="F525" t="str">
            <v>N_B_N4722-2V-BDv2AV1</v>
          </cell>
          <cell r="G525">
            <v>100</v>
          </cell>
          <cell r="H525" t="str">
            <v>BD-单细胞</v>
          </cell>
          <cell r="I525" t="str">
            <v>GZQ</v>
          </cell>
          <cell r="J525">
            <v>20.8</v>
          </cell>
          <cell r="N525" t="e">
            <v>#DIV/0!</v>
          </cell>
        </row>
        <row r="526">
          <cell r="E526" t="str">
            <v>HGC-Lib-2461457</v>
          </cell>
          <cell r="F526" t="str">
            <v>N_B_N4723-0Q-BDv2MV2</v>
          </cell>
          <cell r="G526">
            <v>100</v>
          </cell>
          <cell r="H526" t="str">
            <v>BD-单细胞</v>
          </cell>
          <cell r="I526" t="str">
            <v>GZQ</v>
          </cell>
          <cell r="J526">
            <v>20.6</v>
          </cell>
          <cell r="N526" t="e">
            <v>#DIV/0!</v>
          </cell>
        </row>
        <row r="527">
          <cell r="E527" t="str">
            <v>HGC-Lib-2461458</v>
          </cell>
          <cell r="F527" t="str">
            <v>N_B_N4723-0R-BDv2AV2</v>
          </cell>
          <cell r="G527">
            <v>100</v>
          </cell>
          <cell r="H527" t="str">
            <v>BD-单细胞</v>
          </cell>
          <cell r="I527" t="str">
            <v>GZQ</v>
          </cell>
          <cell r="J527">
            <v>18.3</v>
          </cell>
          <cell r="N527" t="e">
            <v>#DIV/0!</v>
          </cell>
        </row>
        <row r="528">
          <cell r="E528" t="str">
            <v>HGC-Lib-2461459</v>
          </cell>
          <cell r="F528" t="str">
            <v>CB-T28</v>
          </cell>
          <cell r="G528">
            <v>5</v>
          </cell>
          <cell r="H528" t="str">
            <v>PCR产物文库</v>
          </cell>
          <cell r="I528" t="str">
            <v>GZQ</v>
          </cell>
          <cell r="J528">
            <v>26.8</v>
          </cell>
          <cell r="K528">
            <v>478</v>
          </cell>
          <cell r="L528" t="str">
            <v>GZQ</v>
          </cell>
          <cell r="N528">
            <v>86.256839394914707</v>
          </cell>
        </row>
        <row r="529">
          <cell r="E529" t="str">
            <v>HGC-Lib-2461460</v>
          </cell>
          <cell r="F529" t="str">
            <v>1leaf ribo-seq lib</v>
          </cell>
          <cell r="G529">
            <v>5</v>
          </cell>
          <cell r="H529" t="str">
            <v>small RNA文库</v>
          </cell>
          <cell r="I529" t="str">
            <v>GZQ</v>
          </cell>
          <cell r="J529" t="str">
            <v>/</v>
          </cell>
          <cell r="K529">
            <v>332</v>
          </cell>
          <cell r="L529" t="str">
            <v>GZQ</v>
          </cell>
          <cell r="N529" t="e">
            <v>#VALUE!</v>
          </cell>
        </row>
        <row r="530">
          <cell r="E530" t="str">
            <v>HGC-Lib-2461461</v>
          </cell>
          <cell r="F530" t="str">
            <v>1-1leaf ribo-seq lib</v>
          </cell>
          <cell r="G530">
            <v>5</v>
          </cell>
          <cell r="H530" t="str">
            <v>small RNA文库</v>
          </cell>
          <cell r="I530" t="str">
            <v>GZQ</v>
          </cell>
          <cell r="J530">
            <v>0.26600000000000001</v>
          </cell>
          <cell r="K530">
            <v>297</v>
          </cell>
          <cell r="L530" t="str">
            <v>GZQ</v>
          </cell>
          <cell r="N530">
            <v>1.3778813778813801</v>
          </cell>
        </row>
        <row r="531">
          <cell r="E531" t="str">
            <v>HGC-Lib-2461462</v>
          </cell>
          <cell r="F531" t="str">
            <v>2root ribo-seq lib</v>
          </cell>
          <cell r="G531">
            <v>5</v>
          </cell>
          <cell r="H531" t="str">
            <v>small RNA文库</v>
          </cell>
          <cell r="I531" t="str">
            <v>GZQ</v>
          </cell>
          <cell r="J531">
            <v>0.86599999999999999</v>
          </cell>
          <cell r="K531">
            <v>268</v>
          </cell>
          <cell r="L531" t="str">
            <v>GZQ</v>
          </cell>
          <cell r="N531">
            <v>4.9712973593570604</v>
          </cell>
        </row>
        <row r="532">
          <cell r="E532" t="str">
            <v>HGC-Lib-2461463</v>
          </cell>
          <cell r="F532" t="str">
            <v>2-1root ribo-seq lib</v>
          </cell>
          <cell r="G532">
            <v>5</v>
          </cell>
          <cell r="H532" t="str">
            <v>small RNA文库</v>
          </cell>
          <cell r="I532" t="str">
            <v>GZQ</v>
          </cell>
          <cell r="J532">
            <v>2.42</v>
          </cell>
          <cell r="K532">
            <v>267</v>
          </cell>
          <cell r="L532" t="str">
            <v>GZQ</v>
          </cell>
          <cell r="N532">
            <v>13.944108326130801</v>
          </cell>
        </row>
        <row r="533">
          <cell r="E533" t="str">
            <v>HGC-Lib-2461464</v>
          </cell>
          <cell r="F533" t="str">
            <v>A240731-1</v>
          </cell>
          <cell r="G533">
            <v>24</v>
          </cell>
          <cell r="H533" t="str">
            <v>PCR产物文库</v>
          </cell>
          <cell r="I533" t="str">
            <v>ZZ</v>
          </cell>
          <cell r="J533">
            <v>24.4</v>
          </cell>
          <cell r="K533">
            <v>328</v>
          </cell>
          <cell r="L533" t="str">
            <v>GZQ</v>
          </cell>
          <cell r="N533">
            <v>114.44652908067501</v>
          </cell>
        </row>
        <row r="534">
          <cell r="E534" t="str">
            <v>HGC-Lib-2461465</v>
          </cell>
          <cell r="F534" t="str">
            <v>A240731-2</v>
          </cell>
          <cell r="G534">
            <v>20</v>
          </cell>
          <cell r="H534" t="str">
            <v>PCR产物文库</v>
          </cell>
          <cell r="I534" t="str">
            <v>ZZ</v>
          </cell>
          <cell r="J534">
            <v>4.46</v>
          </cell>
          <cell r="K534">
            <v>310</v>
          </cell>
          <cell r="L534" t="str">
            <v>GZQ</v>
          </cell>
          <cell r="N534">
            <v>22.133995037220799</v>
          </cell>
        </row>
        <row r="535">
          <cell r="E535" t="str">
            <v>HGC-Lib-2461466</v>
          </cell>
          <cell r="F535" t="str">
            <v>20240729_WTA_B PDO</v>
          </cell>
          <cell r="G535">
            <v>255</v>
          </cell>
          <cell r="H535" t="str">
            <v>BD-单细胞</v>
          </cell>
          <cell r="I535" t="str">
            <v>ZZ</v>
          </cell>
          <cell r="J535">
            <v>18.8</v>
          </cell>
          <cell r="K535">
            <v>535</v>
          </cell>
          <cell r="L535" t="str">
            <v>GZQ</v>
          </cell>
          <cell r="N535">
            <v>54.061826024442801</v>
          </cell>
        </row>
        <row r="536">
          <cell r="E536" t="str">
            <v>HGC-Lib-2461467</v>
          </cell>
          <cell r="F536" t="str">
            <v>20240729-ST-B PDO</v>
          </cell>
          <cell r="G536">
            <v>45</v>
          </cell>
          <cell r="H536" t="str">
            <v>BD-单细胞</v>
          </cell>
          <cell r="I536" t="str">
            <v>ZZ</v>
          </cell>
          <cell r="J536">
            <v>10.5</v>
          </cell>
          <cell r="K536">
            <v>301</v>
          </cell>
          <cell r="L536" t="str">
            <v>GZQ</v>
          </cell>
          <cell r="N536">
            <v>53.667262969588499</v>
          </cell>
        </row>
        <row r="537">
          <cell r="E537" t="str">
            <v>HGC-Lib-2461468</v>
          </cell>
          <cell r="F537" t="str">
            <v>20240730_WTA_肺PDO</v>
          </cell>
          <cell r="G537">
            <v>255</v>
          </cell>
          <cell r="H537" t="str">
            <v>BD-单细胞</v>
          </cell>
          <cell r="I537" t="str">
            <v>ZZ</v>
          </cell>
          <cell r="J537">
            <v>27.4</v>
          </cell>
          <cell r="K537">
            <v>477</v>
          </cell>
          <cell r="L537" t="str">
            <v>GZQ</v>
          </cell>
          <cell r="N537">
            <v>88.372843089824201</v>
          </cell>
        </row>
        <row r="538">
          <cell r="E538" t="str">
            <v>HGC-Lib-2461469</v>
          </cell>
          <cell r="F538" t="str">
            <v>20240730-ST-肺PDO</v>
          </cell>
          <cell r="G538">
            <v>45</v>
          </cell>
          <cell r="H538" t="str">
            <v>BD-单细胞</v>
          </cell>
          <cell r="I538" t="str">
            <v>ZZ</v>
          </cell>
          <cell r="J538">
            <v>4.9000000000000004</v>
          </cell>
          <cell r="K538">
            <v>292</v>
          </cell>
          <cell r="L538" t="str">
            <v>GZQ</v>
          </cell>
          <cell r="N538">
            <v>25.816649104320302</v>
          </cell>
        </row>
        <row r="539">
          <cell r="E539" t="str">
            <v>HGC-Lib-2461470</v>
          </cell>
          <cell r="F539" t="str">
            <v>CH-3</v>
          </cell>
          <cell r="G539">
            <v>5</v>
          </cell>
          <cell r="H539" t="str">
            <v>PCR产物文库</v>
          </cell>
          <cell r="I539" t="str">
            <v>ZZ</v>
          </cell>
          <cell r="J539">
            <v>76.599999999999994</v>
          </cell>
          <cell r="K539">
            <v>410</v>
          </cell>
          <cell r="L539" t="str">
            <v>GZQ</v>
          </cell>
          <cell r="N539">
            <v>287.42964352720497</v>
          </cell>
        </row>
        <row r="540">
          <cell r="E540" t="str">
            <v>HGC-Lib-2461471</v>
          </cell>
          <cell r="F540" t="str">
            <v>NL-4</v>
          </cell>
          <cell r="G540">
            <v>5</v>
          </cell>
          <cell r="H540" t="str">
            <v>PCR产物文库</v>
          </cell>
          <cell r="I540" t="str">
            <v>ZZ</v>
          </cell>
          <cell r="J540">
            <v>94.2</v>
          </cell>
          <cell r="K540">
            <v>403</v>
          </cell>
          <cell r="L540" t="str">
            <v>GZQ</v>
          </cell>
          <cell r="N540">
            <v>359.61061271235002</v>
          </cell>
        </row>
        <row r="541">
          <cell r="E541" t="str">
            <v>HGC-Lib-2461472</v>
          </cell>
          <cell r="F541" t="str">
            <v>5Z-6</v>
          </cell>
          <cell r="G541">
            <v>5</v>
          </cell>
          <cell r="H541" t="str">
            <v>PCR产物文库</v>
          </cell>
          <cell r="I541" t="str">
            <v>ZZ</v>
          </cell>
          <cell r="J541">
            <v>110</v>
          </cell>
          <cell r="K541">
            <v>441</v>
          </cell>
          <cell r="L541" t="str">
            <v>GZQ</v>
          </cell>
          <cell r="N541">
            <v>383.74324088609802</v>
          </cell>
        </row>
        <row r="542">
          <cell r="E542" t="str">
            <v>HGC-Lib-2461473</v>
          </cell>
          <cell r="F542" t="str">
            <v>5Z-7</v>
          </cell>
          <cell r="G542">
            <v>5</v>
          </cell>
          <cell r="H542" t="str">
            <v>PCR产物文库</v>
          </cell>
          <cell r="I542" t="str">
            <v>ZZ</v>
          </cell>
          <cell r="J542">
            <v>100</v>
          </cell>
          <cell r="K542">
            <v>436</v>
          </cell>
          <cell r="L542" t="str">
            <v>GZQ</v>
          </cell>
          <cell r="N542">
            <v>352.858151023289</v>
          </cell>
        </row>
        <row r="543">
          <cell r="E543" t="str">
            <v>HGC-POOL-2461489</v>
          </cell>
          <cell r="F543" t="str">
            <v>SB93</v>
          </cell>
          <cell r="G543">
            <v>60</v>
          </cell>
          <cell r="H543" t="str">
            <v>10× 3'单细胞</v>
          </cell>
          <cell r="I543" t="str">
            <v>ZZ</v>
          </cell>
          <cell r="J543">
            <v>1.79</v>
          </cell>
          <cell r="K543">
            <v>432</v>
          </cell>
          <cell r="L543" t="str">
            <v>GZQ</v>
          </cell>
          <cell r="N543">
            <v>6.3746438746438798</v>
          </cell>
        </row>
        <row r="544">
          <cell r="E544" t="str">
            <v>HGC-Lib-2461490</v>
          </cell>
          <cell r="F544" t="str">
            <v>Con</v>
          </cell>
          <cell r="G544">
            <v>30</v>
          </cell>
          <cell r="H544" t="str">
            <v>墨卓单细胞平台</v>
          </cell>
          <cell r="I544" t="str">
            <v>ZZ</v>
          </cell>
          <cell r="J544">
            <v>27.8</v>
          </cell>
          <cell r="K544">
            <v>486</v>
          </cell>
          <cell r="L544" t="str">
            <v>GZQ</v>
          </cell>
          <cell r="N544">
            <v>88.0025324469769</v>
          </cell>
        </row>
        <row r="545">
          <cell r="E545" t="str">
            <v>HGC-Lib-2461491</v>
          </cell>
          <cell r="F545" t="str">
            <v>YI</v>
          </cell>
          <cell r="G545">
            <v>30</v>
          </cell>
          <cell r="H545" t="str">
            <v>墨卓单细胞平台</v>
          </cell>
          <cell r="I545" t="str">
            <v>ZZ</v>
          </cell>
          <cell r="J545">
            <v>29.8</v>
          </cell>
          <cell r="K545">
            <v>491</v>
          </cell>
          <cell r="L545" t="str">
            <v>GZQ</v>
          </cell>
          <cell r="N545">
            <v>93.373022089926394</v>
          </cell>
        </row>
        <row r="546">
          <cell r="E546" t="str">
            <v>HGC-Lib-2461492</v>
          </cell>
          <cell r="F546" t="str">
            <v>CD19-KD1</v>
          </cell>
          <cell r="G546">
            <v>30</v>
          </cell>
          <cell r="H546" t="str">
            <v>10× 3'单细胞</v>
          </cell>
          <cell r="I546" t="str">
            <v>ZZ</v>
          </cell>
          <cell r="J546">
            <v>12.2</v>
          </cell>
          <cell r="K546">
            <v>511</v>
          </cell>
          <cell r="L546" t="str">
            <v>GZQ</v>
          </cell>
          <cell r="N546">
            <v>36.7303928947765</v>
          </cell>
        </row>
        <row r="547">
          <cell r="E547" t="str">
            <v>HGC-Lib-2461493</v>
          </cell>
          <cell r="F547" t="str">
            <v>WT1</v>
          </cell>
          <cell r="G547">
            <v>6</v>
          </cell>
          <cell r="H547" t="str">
            <v>ATAC-Seq文库</v>
          </cell>
          <cell r="I547" t="str">
            <v>ZZ</v>
          </cell>
          <cell r="J547">
            <v>71.599999999999994</v>
          </cell>
          <cell r="K547">
            <v>313</v>
          </cell>
          <cell r="L547" t="str">
            <v>GZQ</v>
          </cell>
          <cell r="N547">
            <v>351.929220938806</v>
          </cell>
        </row>
        <row r="548">
          <cell r="E548" t="str">
            <v>HGC-Lib-2461494</v>
          </cell>
          <cell r="F548" t="str">
            <v>WT2</v>
          </cell>
          <cell r="G548">
            <v>6</v>
          </cell>
          <cell r="H548" t="str">
            <v>ATAC-Seq文库</v>
          </cell>
          <cell r="I548" t="str">
            <v>ZZ</v>
          </cell>
          <cell r="J548">
            <v>39.4</v>
          </cell>
          <cell r="K548">
            <v>454</v>
          </cell>
          <cell r="L548" t="str">
            <v>GZQ</v>
          </cell>
          <cell r="N548">
            <v>133.514063029482</v>
          </cell>
        </row>
        <row r="549">
          <cell r="E549" t="str">
            <v>HGC-Lib-2461495</v>
          </cell>
          <cell r="F549" t="str">
            <v>WT3</v>
          </cell>
          <cell r="G549">
            <v>6</v>
          </cell>
          <cell r="H549" t="str">
            <v>ATAC-Seq文库</v>
          </cell>
          <cell r="I549" t="str">
            <v>ZZ</v>
          </cell>
          <cell r="J549">
            <v>30.4</v>
          </cell>
          <cell r="K549">
            <v>592</v>
          </cell>
          <cell r="L549" t="str">
            <v>GZQ</v>
          </cell>
          <cell r="N549">
            <v>79.002079002079</v>
          </cell>
        </row>
        <row r="550">
          <cell r="E550" t="str">
            <v>HGC-Lib-2461496</v>
          </cell>
          <cell r="F550" t="str">
            <v>AK</v>
          </cell>
          <cell r="G550">
            <v>6</v>
          </cell>
          <cell r="H550" t="str">
            <v>ATAC-Seq文库</v>
          </cell>
          <cell r="I550" t="str">
            <v>ZZ</v>
          </cell>
          <cell r="J550">
            <v>48.8</v>
          </cell>
          <cell r="K550">
            <v>628</v>
          </cell>
          <cell r="L550" t="str">
            <v>GZQ</v>
          </cell>
          <cell r="N550">
            <v>119.54924056834901</v>
          </cell>
        </row>
        <row r="551">
          <cell r="E551" t="str">
            <v>HGC-Lib-2461621</v>
          </cell>
          <cell r="F551" t="str">
            <v>FOCLFC240727016</v>
          </cell>
          <cell r="G551">
            <v>12</v>
          </cell>
          <cell r="H551" t="str">
            <v>其他碱基不平衡文库</v>
          </cell>
          <cell r="I551" t="str">
            <v>GZQ</v>
          </cell>
          <cell r="J551">
            <v>9</v>
          </cell>
          <cell r="N551" t="e">
            <v>#DIV/0!</v>
          </cell>
        </row>
        <row r="552">
          <cell r="E552" t="str">
            <v>HGC-Lib-2461622</v>
          </cell>
          <cell r="F552" t="str">
            <v>PMLPMA240726215</v>
          </cell>
          <cell r="G552">
            <v>12</v>
          </cell>
          <cell r="H552" t="str">
            <v>其他碱基不平衡文库</v>
          </cell>
          <cell r="I552" t="str">
            <v>GZQ</v>
          </cell>
          <cell r="J552">
            <v>45</v>
          </cell>
          <cell r="N552" t="e">
            <v>#DIV/0!</v>
          </cell>
        </row>
        <row r="553">
          <cell r="E553" t="str">
            <v>HGC-Lib-2461623</v>
          </cell>
          <cell r="F553" t="str">
            <v>PMLPMA240727061</v>
          </cell>
          <cell r="G553">
            <v>12</v>
          </cell>
          <cell r="H553" t="str">
            <v>其他碱基不平衡文库</v>
          </cell>
          <cell r="I553" t="str">
            <v>GZQ</v>
          </cell>
          <cell r="J553">
            <v>70</v>
          </cell>
          <cell r="N553" t="e">
            <v>#DIV/0!</v>
          </cell>
        </row>
        <row r="554">
          <cell r="E554" t="str">
            <v>HGC-Lib-2461624</v>
          </cell>
          <cell r="F554" t="str">
            <v>LC240727107X1</v>
          </cell>
          <cell r="G554">
            <v>10</v>
          </cell>
          <cell r="H554" t="str">
            <v>singleron-3'转录组文库</v>
          </cell>
          <cell r="I554" t="str">
            <v>GZQ</v>
          </cell>
          <cell r="J554">
            <v>15.2</v>
          </cell>
          <cell r="N554" t="e">
            <v>#DIV/0!</v>
          </cell>
        </row>
        <row r="555">
          <cell r="E555" t="str">
            <v>HGC-Lib-2461625</v>
          </cell>
          <cell r="F555" t="str">
            <v>LC240727107X2</v>
          </cell>
          <cell r="G555">
            <v>10</v>
          </cell>
          <cell r="H555" t="str">
            <v>singleron-3'转录组文库</v>
          </cell>
          <cell r="I555" t="str">
            <v>GZQ</v>
          </cell>
          <cell r="J555">
            <v>17.7</v>
          </cell>
          <cell r="N555" t="e">
            <v>#DIV/0!</v>
          </cell>
        </row>
        <row r="556">
          <cell r="E556" t="str">
            <v>HGC-Lib-2461626</v>
          </cell>
          <cell r="F556" t="str">
            <v>LA240726213</v>
          </cell>
          <cell r="G556">
            <v>100</v>
          </cell>
          <cell r="H556" t="str">
            <v>singleron-3'转录组文库</v>
          </cell>
          <cell r="I556" t="str">
            <v>GZQ</v>
          </cell>
          <cell r="J556">
            <v>22</v>
          </cell>
          <cell r="N556" t="e">
            <v>#DIV/0!</v>
          </cell>
        </row>
        <row r="557">
          <cell r="E557" t="str">
            <v>HGC-Lib-2461627</v>
          </cell>
          <cell r="F557" t="str">
            <v>LC240727002</v>
          </cell>
          <cell r="G557">
            <v>100</v>
          </cell>
          <cell r="H557" t="str">
            <v>singleron-3'转录组文库</v>
          </cell>
          <cell r="I557" t="str">
            <v>GZQ</v>
          </cell>
          <cell r="J557">
            <v>18.600000000000001</v>
          </cell>
          <cell r="N557" t="e">
            <v>#DIV/0!</v>
          </cell>
        </row>
        <row r="558">
          <cell r="E558" t="str">
            <v>HGC-Lib-2461628</v>
          </cell>
          <cell r="F558" t="str">
            <v>LA240727034</v>
          </cell>
          <cell r="G558">
            <v>100</v>
          </cell>
          <cell r="H558" t="str">
            <v>singleron-3'转录组文库</v>
          </cell>
          <cell r="I558" t="str">
            <v>GZQ</v>
          </cell>
          <cell r="J558">
            <v>22.6</v>
          </cell>
          <cell r="N558" t="e">
            <v>#DIV/0!</v>
          </cell>
        </row>
        <row r="559">
          <cell r="E559" t="str">
            <v>HGC-Lib-2461629</v>
          </cell>
          <cell r="F559" t="str">
            <v>LA240727033</v>
          </cell>
          <cell r="G559">
            <v>100</v>
          </cell>
          <cell r="H559" t="str">
            <v>singleron-3'转录组文库</v>
          </cell>
          <cell r="I559" t="str">
            <v>GZQ</v>
          </cell>
          <cell r="J559">
            <v>21</v>
          </cell>
          <cell r="N559" t="e">
            <v>#DIV/0!</v>
          </cell>
        </row>
        <row r="560">
          <cell r="E560" t="str">
            <v>HGC-Lib-2461630</v>
          </cell>
          <cell r="F560" t="str">
            <v>LA240727035</v>
          </cell>
          <cell r="G560">
            <v>100</v>
          </cell>
          <cell r="H560" t="str">
            <v>singleron-3'转录组文库</v>
          </cell>
          <cell r="I560" t="str">
            <v>GZQ</v>
          </cell>
          <cell r="J560">
            <v>17.3</v>
          </cell>
          <cell r="N560" t="e">
            <v>#DIV/0!</v>
          </cell>
        </row>
        <row r="561">
          <cell r="E561" t="str">
            <v>HGC-Lib-2461631</v>
          </cell>
          <cell r="F561" t="str">
            <v>LA240728045</v>
          </cell>
          <cell r="G561">
            <v>100</v>
          </cell>
          <cell r="H561" t="str">
            <v>singleron-3'转录组文库</v>
          </cell>
          <cell r="I561" t="str">
            <v>GZQ</v>
          </cell>
          <cell r="J561">
            <v>21</v>
          </cell>
          <cell r="N561" t="e">
            <v>#DIV/0!</v>
          </cell>
        </row>
        <row r="562">
          <cell r="E562" t="str">
            <v>HGC-Lib-2461632</v>
          </cell>
          <cell r="F562" t="str">
            <v>LC240203079</v>
          </cell>
          <cell r="G562">
            <v>150</v>
          </cell>
          <cell r="H562" t="str">
            <v>singleron-3'转录组文库</v>
          </cell>
          <cell r="I562" t="str">
            <v>GZQ</v>
          </cell>
          <cell r="J562">
            <v>17</v>
          </cell>
          <cell r="N562" t="e">
            <v>#DIV/0!</v>
          </cell>
        </row>
        <row r="563">
          <cell r="E563" t="str">
            <v>HGC-Lib-2461633</v>
          </cell>
          <cell r="F563" t="str">
            <v>LC240717041</v>
          </cell>
          <cell r="G563">
            <v>150</v>
          </cell>
          <cell r="H563" t="str">
            <v>singleron-3'转录组文库</v>
          </cell>
          <cell r="I563" t="str">
            <v>GZQ</v>
          </cell>
          <cell r="J563">
            <v>20.399999999999999</v>
          </cell>
          <cell r="N563" t="e">
            <v>#DIV/0!</v>
          </cell>
        </row>
        <row r="564">
          <cell r="E564" t="str">
            <v>HGC-Lib-2461634</v>
          </cell>
          <cell r="F564" t="str">
            <v>LA240203078</v>
          </cell>
          <cell r="G564">
            <v>150</v>
          </cell>
          <cell r="H564" t="str">
            <v>singleron-3'转录组文库</v>
          </cell>
          <cell r="I564" t="str">
            <v>GZQ</v>
          </cell>
          <cell r="J564">
            <v>15.3</v>
          </cell>
          <cell r="N564" t="e">
            <v>#DIV/0!</v>
          </cell>
        </row>
        <row r="565">
          <cell r="E565" t="str">
            <v>HGC-Lib-2461635</v>
          </cell>
          <cell r="F565" t="str">
            <v>LA240523078</v>
          </cell>
          <cell r="G565">
            <v>150</v>
          </cell>
          <cell r="H565" t="str">
            <v>singleron-3'转录组文库</v>
          </cell>
          <cell r="I565" t="str">
            <v>GZQ</v>
          </cell>
          <cell r="J565">
            <v>30.8</v>
          </cell>
          <cell r="N565" t="e">
            <v>#DIV/0!</v>
          </cell>
        </row>
        <row r="566">
          <cell r="E566" t="str">
            <v>HGC-Lib-2461636</v>
          </cell>
          <cell r="F566" t="str">
            <v>LA240409051</v>
          </cell>
          <cell r="G566">
            <v>150</v>
          </cell>
          <cell r="H566" t="str">
            <v>singleron-3'转录组文库</v>
          </cell>
          <cell r="I566" t="str">
            <v>GZQ</v>
          </cell>
          <cell r="J566">
            <v>28.6</v>
          </cell>
          <cell r="N566" t="e">
            <v>#DIV/0!</v>
          </cell>
        </row>
        <row r="567">
          <cell r="E567" t="str">
            <v>HGC-Lib-2461637</v>
          </cell>
          <cell r="F567" t="str">
            <v>LA240409050</v>
          </cell>
          <cell r="G567">
            <v>150</v>
          </cell>
          <cell r="H567" t="str">
            <v>singleron-3'转录组文库</v>
          </cell>
          <cell r="I567" t="str">
            <v>GZQ</v>
          </cell>
          <cell r="J567">
            <v>32.4</v>
          </cell>
          <cell r="N567" t="e">
            <v>#DIV/0!</v>
          </cell>
        </row>
        <row r="568">
          <cell r="E568" t="str">
            <v>HGC-Lib-2461638</v>
          </cell>
          <cell r="F568" t="str">
            <v>LA240523079</v>
          </cell>
          <cell r="G568">
            <v>150</v>
          </cell>
          <cell r="H568" t="str">
            <v>singleron-3'转录组文库</v>
          </cell>
          <cell r="I568" t="str">
            <v>GZQ</v>
          </cell>
          <cell r="J568">
            <v>17</v>
          </cell>
          <cell r="N568" t="e">
            <v>#DIV/0!</v>
          </cell>
        </row>
        <row r="569">
          <cell r="E569" t="str">
            <v>HGC-Lib-2461639</v>
          </cell>
          <cell r="F569" t="str">
            <v>LC240717042</v>
          </cell>
          <cell r="G569">
            <v>150</v>
          </cell>
          <cell r="H569" t="str">
            <v>singleron-3'转录组文库</v>
          </cell>
          <cell r="I569" t="str">
            <v>GZQ</v>
          </cell>
          <cell r="J569">
            <v>15.8</v>
          </cell>
          <cell r="N569" t="e">
            <v>#DIV/0!</v>
          </cell>
        </row>
        <row r="570">
          <cell r="E570" t="str">
            <v>HGC-Lib-2461640</v>
          </cell>
          <cell r="F570" t="str">
            <v>ATACLC240729027</v>
          </cell>
          <cell r="G570">
            <v>40</v>
          </cell>
          <cell r="H570" t="str">
            <v>其他碱基不平衡文库</v>
          </cell>
          <cell r="I570" t="str">
            <v>GZQ</v>
          </cell>
          <cell r="J570">
            <v>20.8</v>
          </cell>
          <cell r="N570" t="e">
            <v>#DIV/0!</v>
          </cell>
        </row>
        <row r="571">
          <cell r="E571" t="str">
            <v>HGC-Lib-2461641</v>
          </cell>
          <cell r="F571" t="str">
            <v>ATACLC240729028</v>
          </cell>
          <cell r="G571">
            <v>40</v>
          </cell>
          <cell r="H571" t="str">
            <v>其他碱基不平衡文库</v>
          </cell>
          <cell r="I571" t="str">
            <v>GZQ</v>
          </cell>
          <cell r="J571">
            <v>49.8</v>
          </cell>
          <cell r="N571" t="e">
            <v>#DIV/0!</v>
          </cell>
        </row>
        <row r="572">
          <cell r="E572" t="str">
            <v>HGC-Lib-2461642</v>
          </cell>
          <cell r="F572" t="str">
            <v>R240801009</v>
          </cell>
          <cell r="G572">
            <v>10</v>
          </cell>
          <cell r="H572" t="str">
            <v>singleron-3'转录组文库</v>
          </cell>
          <cell r="I572" t="str">
            <v>GZQ</v>
          </cell>
          <cell r="J572">
            <v>0.20799999999999999</v>
          </cell>
          <cell r="K572" t="str">
            <v>/</v>
          </cell>
          <cell r="N572" t="e">
            <v>#VALUE!</v>
          </cell>
        </row>
        <row r="573">
          <cell r="E573" t="str">
            <v>HGC-Lib-2461643</v>
          </cell>
          <cell r="F573" t="str">
            <v>R240801010</v>
          </cell>
          <cell r="G573">
            <v>10</v>
          </cell>
          <cell r="H573" t="str">
            <v>singleron-3'转录组文库</v>
          </cell>
          <cell r="I573" t="str">
            <v>GZQ</v>
          </cell>
          <cell r="J573">
            <v>0.25800000000000001</v>
          </cell>
          <cell r="K573" t="str">
            <v>/</v>
          </cell>
          <cell r="N573" t="e">
            <v>#VALUE!</v>
          </cell>
        </row>
        <row r="574">
          <cell r="E574" t="str">
            <v>HGC-Lib-2461644</v>
          </cell>
          <cell r="F574" t="str">
            <v>R240801011</v>
          </cell>
          <cell r="G574">
            <v>10</v>
          </cell>
          <cell r="H574" t="str">
            <v>singleron-3'转录组文库</v>
          </cell>
          <cell r="I574" t="str">
            <v>GZQ</v>
          </cell>
          <cell r="J574">
            <v>0.48599999999999999</v>
          </cell>
          <cell r="K574" t="str">
            <v>/</v>
          </cell>
          <cell r="N574" t="e">
            <v>#VALUE!</v>
          </cell>
        </row>
        <row r="575">
          <cell r="E575" t="str">
            <v>HGC-Lib-2461645</v>
          </cell>
          <cell r="F575" t="str">
            <v>R240801012</v>
          </cell>
          <cell r="G575">
            <v>10</v>
          </cell>
          <cell r="H575" t="str">
            <v>singleron-3'转录组文库</v>
          </cell>
          <cell r="I575" t="str">
            <v>GZQ</v>
          </cell>
          <cell r="J575">
            <v>0.32200000000000001</v>
          </cell>
          <cell r="K575" t="str">
            <v>/</v>
          </cell>
          <cell r="N575" t="e">
            <v>#VALUE!</v>
          </cell>
        </row>
        <row r="576">
          <cell r="E576" t="str">
            <v>HGC-Lib-2461646</v>
          </cell>
          <cell r="F576" t="str">
            <v>R240801013</v>
          </cell>
          <cell r="G576">
            <v>10</v>
          </cell>
          <cell r="H576" t="str">
            <v>singleron-3'转录组文库</v>
          </cell>
          <cell r="I576" t="str">
            <v>GZQ</v>
          </cell>
          <cell r="J576">
            <v>0.42</v>
          </cell>
          <cell r="K576" t="str">
            <v>/</v>
          </cell>
          <cell r="N576" t="e">
            <v>#VALUE!</v>
          </cell>
        </row>
        <row r="577">
          <cell r="E577" t="str">
            <v>HGC-Lib-2461647</v>
          </cell>
          <cell r="F577" t="str">
            <v>R240801014</v>
          </cell>
          <cell r="G577">
            <v>10</v>
          </cell>
          <cell r="H577" t="str">
            <v>singleron-3'转录组文库</v>
          </cell>
          <cell r="I577" t="str">
            <v>GZQ</v>
          </cell>
          <cell r="J577">
            <v>0.16400000000000001</v>
          </cell>
          <cell r="K577" t="str">
            <v>/</v>
          </cell>
          <cell r="N577" t="e">
            <v>#VALUE!</v>
          </cell>
        </row>
        <row r="578">
          <cell r="E578" t="str">
            <v>HGC-Lib-2461607</v>
          </cell>
          <cell r="F578" t="str">
            <v>231cas9-nc</v>
          </cell>
          <cell r="G578" t="str">
            <v>6G</v>
          </cell>
          <cell r="H578" t="str">
            <v>PCR产物文库</v>
          </cell>
          <cell r="I578" t="str">
            <v>YHT</v>
          </cell>
          <cell r="J578">
            <v>7.52</v>
          </cell>
          <cell r="K578">
            <v>395</v>
          </cell>
          <cell r="L578" t="str">
            <v>HZK</v>
          </cell>
          <cell r="N578">
            <v>29.289191820837399</v>
          </cell>
        </row>
        <row r="579">
          <cell r="E579" t="str">
            <v>HGC-Lib-2461608</v>
          </cell>
          <cell r="F579" t="str">
            <v>231cas9-sgUb</v>
          </cell>
          <cell r="G579" t="str">
            <v>6G</v>
          </cell>
          <cell r="H579" t="str">
            <v>PCR产物文库</v>
          </cell>
          <cell r="I579" t="str">
            <v>YHT</v>
          </cell>
          <cell r="J579">
            <v>11.3</v>
          </cell>
          <cell r="K579">
            <v>411</v>
          </cell>
          <cell r="L579" t="str">
            <v>HZK</v>
          </cell>
          <cell r="N579">
            <v>42.2983342691372</v>
          </cell>
        </row>
        <row r="580">
          <cell r="E580" t="str">
            <v>HGC-Lib-2461609</v>
          </cell>
          <cell r="F580" t="str">
            <v>231cas9-all</v>
          </cell>
          <cell r="G580" t="str">
            <v>6G</v>
          </cell>
          <cell r="H580" t="str">
            <v>PCR产物文库</v>
          </cell>
          <cell r="I580" t="str">
            <v>YHT</v>
          </cell>
          <cell r="J580">
            <v>10.4</v>
          </cell>
          <cell r="K580">
            <v>403</v>
          </cell>
          <cell r="L580" t="str">
            <v>HZK</v>
          </cell>
          <cell r="N580">
            <v>39.702233250620402</v>
          </cell>
        </row>
        <row r="581">
          <cell r="E581" t="str">
            <v>HGC-Lib-2461610</v>
          </cell>
          <cell r="F581" t="str">
            <v>yinxing</v>
          </cell>
          <cell r="G581" t="str">
            <v>6G</v>
          </cell>
          <cell r="H581" t="str">
            <v>cut&amp;tag文库</v>
          </cell>
          <cell r="I581" t="str">
            <v>YHT</v>
          </cell>
          <cell r="J581">
            <v>0.46</v>
          </cell>
          <cell r="K581">
            <v>432</v>
          </cell>
          <cell r="L581" t="str">
            <v>YHT</v>
          </cell>
          <cell r="N581">
            <v>1.6381766381766401</v>
          </cell>
        </row>
        <row r="582">
          <cell r="E582" t="str">
            <v>HGC-Lib-2461611</v>
          </cell>
          <cell r="F582" t="str">
            <v>yangxing-ac</v>
          </cell>
          <cell r="G582" t="str">
            <v>6G</v>
          </cell>
          <cell r="H582" t="str">
            <v>cut&amp;tag文库</v>
          </cell>
          <cell r="I582" t="str">
            <v>YHT</v>
          </cell>
          <cell r="J582">
            <v>17</v>
          </cell>
          <cell r="K582">
            <v>481</v>
          </cell>
          <cell r="L582" t="str">
            <v>HZK</v>
          </cell>
          <cell r="N582">
            <v>54.373900527746699</v>
          </cell>
        </row>
        <row r="583">
          <cell r="E583" t="str">
            <v>HGC-Lib-2461612</v>
          </cell>
          <cell r="F583" t="str">
            <v>NC-H3Me2</v>
          </cell>
          <cell r="G583" t="str">
            <v>6G</v>
          </cell>
          <cell r="H583" t="str">
            <v>cut&amp;tag文库</v>
          </cell>
          <cell r="I583" t="str">
            <v>YHT</v>
          </cell>
          <cell r="J583">
            <v>8.82</v>
          </cell>
          <cell r="K583">
            <v>465</v>
          </cell>
          <cell r="L583" t="str">
            <v>HZK</v>
          </cell>
          <cell r="N583">
            <v>29.181141439206002</v>
          </cell>
        </row>
        <row r="584">
          <cell r="E584" t="str">
            <v>HGC-Lib-2461613</v>
          </cell>
          <cell r="F584" t="str">
            <v>KO-H3Me2</v>
          </cell>
          <cell r="G584" t="str">
            <v>6G</v>
          </cell>
          <cell r="H584" t="str">
            <v>cut&amp;tag文库</v>
          </cell>
          <cell r="I584" t="str">
            <v>YHT</v>
          </cell>
          <cell r="J584">
            <v>0.69399999999999995</v>
          </cell>
          <cell r="K584">
            <v>447</v>
          </cell>
          <cell r="L584" t="str">
            <v>YHT</v>
          </cell>
          <cell r="N584">
            <v>2.3885733952848001</v>
          </cell>
        </row>
        <row r="585">
          <cell r="E585" t="str">
            <v>HGC-Lib-2461614</v>
          </cell>
          <cell r="F585" t="str">
            <v>NC-2A</v>
          </cell>
          <cell r="G585" t="str">
            <v>6G</v>
          </cell>
          <cell r="H585" t="str">
            <v>cut&amp;tag文库</v>
          </cell>
          <cell r="I585" t="str">
            <v>YHT</v>
          </cell>
          <cell r="J585">
            <v>2.08</v>
          </cell>
          <cell r="K585">
            <v>447</v>
          </cell>
          <cell r="L585" t="str">
            <v>HZK</v>
          </cell>
          <cell r="N585">
            <v>7.1588366890380302</v>
          </cell>
        </row>
        <row r="586">
          <cell r="E586" t="str">
            <v>HGC-Lib-2461615</v>
          </cell>
          <cell r="F586" t="str">
            <v>KO-2A</v>
          </cell>
          <cell r="G586" t="str">
            <v>6G</v>
          </cell>
          <cell r="H586" t="str">
            <v>cut&amp;tag文库</v>
          </cell>
          <cell r="I586" t="str">
            <v>YHT</v>
          </cell>
          <cell r="J586">
            <v>3.94</v>
          </cell>
          <cell r="K586">
            <v>429</v>
          </cell>
          <cell r="L586" t="str">
            <v>HZK</v>
          </cell>
          <cell r="N586">
            <v>14.1294602833064</v>
          </cell>
        </row>
        <row r="587">
          <cell r="E587" t="str">
            <v>HGC-2461616</v>
          </cell>
          <cell r="F587" t="str">
            <v>GZD</v>
          </cell>
          <cell r="G587">
            <v>100</v>
          </cell>
          <cell r="H587" t="str">
            <v>10X5端转录组文库</v>
          </cell>
          <cell r="I587" t="str">
            <v>YHT</v>
          </cell>
          <cell r="J587">
            <v>38.6</v>
          </cell>
          <cell r="K587">
            <v>449</v>
          </cell>
          <cell r="L587" t="str">
            <v>HZK</v>
          </cell>
          <cell r="N587">
            <v>132.25972246016801</v>
          </cell>
        </row>
        <row r="588">
          <cell r="E588" t="str">
            <v>HGC-2461617</v>
          </cell>
          <cell r="F588" t="str">
            <v>GZD-TCR</v>
          </cell>
          <cell r="G588">
            <v>10</v>
          </cell>
          <cell r="H588" t="str">
            <v>TCR文库编号</v>
          </cell>
          <cell r="I588" t="str">
            <v>YHT</v>
          </cell>
          <cell r="J588">
            <v>24.2</v>
          </cell>
          <cell r="K588">
            <v>565</v>
          </cell>
          <cell r="L588" t="str">
            <v>HZK</v>
          </cell>
          <cell r="N588">
            <v>65.895166780122494</v>
          </cell>
        </row>
        <row r="589">
          <cell r="E589" t="str">
            <v>HGC-Lib-2461618</v>
          </cell>
          <cell r="F589" t="str">
            <v>WK0801-1</v>
          </cell>
          <cell r="G589">
            <v>35</v>
          </cell>
          <cell r="H589" t="str">
            <v>WES/panel捕获文库</v>
          </cell>
          <cell r="I589" t="str">
            <v>YHT</v>
          </cell>
          <cell r="J589">
            <v>9.44</v>
          </cell>
          <cell r="K589">
            <v>338</v>
          </cell>
          <cell r="L589" t="str">
            <v>HZK</v>
          </cell>
          <cell r="N589">
            <v>42.9676832043696</v>
          </cell>
        </row>
        <row r="590">
          <cell r="E590" t="str">
            <v>HGC-Lib-2461619</v>
          </cell>
          <cell r="F590" t="str">
            <v>WK0801-2</v>
          </cell>
          <cell r="G590">
            <v>90</v>
          </cell>
          <cell r="H590" t="str">
            <v>WES/panel捕获文库</v>
          </cell>
          <cell r="I590" t="str">
            <v>YHT</v>
          </cell>
          <cell r="J590">
            <v>35.799999999999997</v>
          </cell>
          <cell r="K590">
            <v>384</v>
          </cell>
          <cell r="L590" t="str">
            <v>HZK</v>
          </cell>
          <cell r="N590">
            <v>143.42948717948701</v>
          </cell>
        </row>
        <row r="591">
          <cell r="E591" t="str">
            <v>HGC-Lib-2461620</v>
          </cell>
          <cell r="F591" t="str">
            <v>NGS20240801</v>
          </cell>
          <cell r="G591">
            <v>1</v>
          </cell>
          <cell r="H591" t="str">
            <v>多重PCR产物文库</v>
          </cell>
          <cell r="I591" t="str">
            <v>YHT</v>
          </cell>
          <cell r="J591">
            <v>10</v>
          </cell>
          <cell r="N591" t="e">
            <v>#DIV/0!</v>
          </cell>
        </row>
        <row r="592">
          <cell r="E592" t="str">
            <v>HGC-Lib-2461660</v>
          </cell>
          <cell r="F592">
            <v>1</v>
          </cell>
          <cell r="G592">
            <v>15</v>
          </cell>
          <cell r="H592" t="str">
            <v>ATAC-Seq libraries</v>
          </cell>
          <cell r="I592" t="str">
            <v>YHT</v>
          </cell>
          <cell r="J592">
            <v>12.1</v>
          </cell>
          <cell r="K592">
            <v>292</v>
          </cell>
          <cell r="L592" t="str">
            <v>HZK</v>
          </cell>
          <cell r="N592">
            <v>63.751317175974698</v>
          </cell>
        </row>
        <row r="593">
          <cell r="E593" t="str">
            <v>HGC-Lib-2461661</v>
          </cell>
          <cell r="F593">
            <v>2</v>
          </cell>
          <cell r="G593">
            <v>15</v>
          </cell>
          <cell r="H593" t="str">
            <v>ATAC-Seq libraries</v>
          </cell>
          <cell r="I593" t="str">
            <v>YHT</v>
          </cell>
          <cell r="J593">
            <v>6.4</v>
          </cell>
          <cell r="K593">
            <v>291</v>
          </cell>
          <cell r="L593" t="str">
            <v>HZK</v>
          </cell>
          <cell r="N593">
            <v>33.835580227332798</v>
          </cell>
        </row>
        <row r="594">
          <cell r="E594" t="str">
            <v>HGC-Lib-2461662</v>
          </cell>
          <cell r="F594">
            <v>3</v>
          </cell>
          <cell r="G594">
            <v>15</v>
          </cell>
          <cell r="H594" t="str">
            <v>ATAC-Seq libraries</v>
          </cell>
          <cell r="I594" t="str">
            <v>YHT</v>
          </cell>
          <cell r="J594">
            <v>3.82</v>
          </cell>
          <cell r="K594">
            <v>293</v>
          </cell>
          <cell r="L594" t="str">
            <v>HZK</v>
          </cell>
          <cell r="N594">
            <v>20.057757941717</v>
          </cell>
        </row>
        <row r="595">
          <cell r="E595" t="str">
            <v>HGC-Lib-2461663</v>
          </cell>
          <cell r="F595">
            <v>4</v>
          </cell>
          <cell r="G595">
            <v>15</v>
          </cell>
          <cell r="H595" t="str">
            <v>ATAC-Seq libraries</v>
          </cell>
          <cell r="I595" t="str">
            <v>YHT</v>
          </cell>
          <cell r="J595">
            <v>6.3</v>
          </cell>
          <cell r="K595">
            <v>282</v>
          </cell>
          <cell r="L595" t="str">
            <v>HZK</v>
          </cell>
          <cell r="N595">
            <v>34.369885433715197</v>
          </cell>
        </row>
        <row r="596">
          <cell r="E596" t="str">
            <v>HGC-Lib-2461664</v>
          </cell>
          <cell r="F596">
            <v>5</v>
          </cell>
          <cell r="G596">
            <v>15</v>
          </cell>
          <cell r="H596" t="str">
            <v>ATAC-Seq libraries</v>
          </cell>
          <cell r="I596" t="str">
            <v>YHT</v>
          </cell>
          <cell r="J596">
            <v>3.76</v>
          </cell>
          <cell r="K596">
            <v>284</v>
          </cell>
          <cell r="L596" t="str">
            <v>HZK</v>
          </cell>
          <cell r="N596">
            <v>20.368364030335901</v>
          </cell>
        </row>
        <row r="597">
          <cell r="E597" t="str">
            <v>HGC-Lib-2461665</v>
          </cell>
          <cell r="F597">
            <v>6</v>
          </cell>
          <cell r="G597">
            <v>15</v>
          </cell>
          <cell r="H597" t="str">
            <v>ATAC-Seq libraries</v>
          </cell>
          <cell r="I597" t="str">
            <v>YHT</v>
          </cell>
          <cell r="J597">
            <v>7.74</v>
          </cell>
          <cell r="K597">
            <v>266</v>
          </cell>
          <cell r="L597" t="str">
            <v>HZK</v>
          </cell>
          <cell r="N597">
            <v>44.765760555234202</v>
          </cell>
        </row>
        <row r="598">
          <cell r="E598" t="str">
            <v>HGC-Lib-2461666</v>
          </cell>
          <cell r="F598">
            <v>7</v>
          </cell>
          <cell r="G598">
            <v>15</v>
          </cell>
          <cell r="H598" t="str">
            <v>ATAC-Seq libraries</v>
          </cell>
          <cell r="I598" t="str">
            <v>YHT</v>
          </cell>
          <cell r="J598">
            <v>10.9</v>
          </cell>
          <cell r="K598">
            <v>357</v>
          </cell>
          <cell r="L598" t="str">
            <v>HZK</v>
          </cell>
          <cell r="N598">
            <v>46.972635207929301</v>
          </cell>
        </row>
        <row r="599">
          <cell r="E599" t="str">
            <v>HGC-Lib-2461667</v>
          </cell>
          <cell r="F599">
            <v>8</v>
          </cell>
          <cell r="G599">
            <v>15</v>
          </cell>
          <cell r="H599" t="str">
            <v>ATAC-Seq libraries</v>
          </cell>
          <cell r="I599" t="str">
            <v>YHT</v>
          </cell>
          <cell r="J599">
            <v>3.62</v>
          </cell>
          <cell r="K599">
            <v>362</v>
          </cell>
          <cell r="L599" t="str">
            <v>HZK</v>
          </cell>
          <cell r="N599">
            <v>15.384615384615399</v>
          </cell>
        </row>
        <row r="600">
          <cell r="E600" t="str">
            <v>HGC-Lib-2461668</v>
          </cell>
          <cell r="F600">
            <v>9</v>
          </cell>
          <cell r="G600">
            <v>15</v>
          </cell>
          <cell r="H600" t="str">
            <v>ATAC-Seq libraries</v>
          </cell>
          <cell r="I600" t="str">
            <v>YHT</v>
          </cell>
          <cell r="J600">
            <v>9.6</v>
          </cell>
          <cell r="K600">
            <v>365</v>
          </cell>
          <cell r="L600" t="str">
            <v>HZK</v>
          </cell>
          <cell r="N600">
            <v>40.463645943098001</v>
          </cell>
        </row>
        <row r="601">
          <cell r="E601" t="str">
            <v>HGC-Lib-2461669</v>
          </cell>
          <cell r="F601">
            <v>10</v>
          </cell>
          <cell r="G601">
            <v>15</v>
          </cell>
          <cell r="H601" t="str">
            <v>ATAC-Seq libraries</v>
          </cell>
          <cell r="I601" t="str">
            <v>YHT</v>
          </cell>
          <cell r="J601">
            <v>17</v>
          </cell>
          <cell r="K601">
            <v>385</v>
          </cell>
          <cell r="L601" t="str">
            <v>HZK</v>
          </cell>
          <cell r="N601">
            <v>67.932067932067895</v>
          </cell>
        </row>
        <row r="602">
          <cell r="E602" t="str">
            <v>HGC-Lib-2461670</v>
          </cell>
          <cell r="F602">
            <v>11</v>
          </cell>
          <cell r="G602">
            <v>15</v>
          </cell>
          <cell r="H602" t="str">
            <v>ATAC-Seq libraries</v>
          </cell>
          <cell r="I602" t="str">
            <v>YHT</v>
          </cell>
          <cell r="J602">
            <v>17.2</v>
          </cell>
          <cell r="K602">
            <v>365</v>
          </cell>
          <cell r="L602" t="str">
            <v>HZK</v>
          </cell>
          <cell r="N602">
            <v>72.497365648050604</v>
          </cell>
        </row>
        <row r="603">
          <cell r="E603" t="str">
            <v>HGC-Lib-2461671</v>
          </cell>
          <cell r="F603">
            <v>12</v>
          </cell>
          <cell r="G603">
            <v>15</v>
          </cell>
          <cell r="H603" t="str">
            <v>ATAC-Seq libraries</v>
          </cell>
          <cell r="I603" t="str">
            <v>YHT</v>
          </cell>
          <cell r="J603">
            <v>12.9</v>
          </cell>
          <cell r="K603">
            <v>378</v>
          </cell>
          <cell r="L603" t="str">
            <v>HZK</v>
          </cell>
          <cell r="N603">
            <v>52.503052503052501</v>
          </cell>
        </row>
        <row r="604">
          <cell r="E604" t="str">
            <v>HGC-Lib-2461678</v>
          </cell>
          <cell r="F604" t="str">
            <v>YNDX-55-library</v>
          </cell>
          <cell r="G604">
            <v>10</v>
          </cell>
          <cell r="H604" t="str">
            <v>10× 3'单细胞</v>
          </cell>
          <cell r="I604" t="str">
            <v>YHT</v>
          </cell>
          <cell r="J604">
            <v>7.9</v>
          </cell>
          <cell r="K604">
            <v>504</v>
          </cell>
          <cell r="L604" t="str">
            <v>HZK</v>
          </cell>
          <cell r="N604">
            <v>24.1147741147741</v>
          </cell>
        </row>
        <row r="605">
          <cell r="E605" t="str">
            <v>HGC-POOL-2461689</v>
          </cell>
          <cell r="F605" t="str">
            <v>TYF0731</v>
          </cell>
          <cell r="G605">
            <v>12</v>
          </cell>
          <cell r="H605" t="str">
            <v>ATAC-Seq文库</v>
          </cell>
          <cell r="I605" t="str">
            <v>YHT</v>
          </cell>
          <cell r="J605">
            <v>2.42</v>
          </cell>
          <cell r="K605">
            <v>420</v>
          </cell>
          <cell r="L605" t="str">
            <v>HZK</v>
          </cell>
          <cell r="N605">
            <v>8.8644688644688596</v>
          </cell>
        </row>
        <row r="606">
          <cell r="E606" t="str">
            <v>HGC-POOL-2461690</v>
          </cell>
          <cell r="F606" t="str">
            <v>YWY_240731_NPM1_K27</v>
          </cell>
          <cell r="G606">
            <v>36</v>
          </cell>
          <cell r="H606" t="str">
            <v>Chip-Seq</v>
          </cell>
          <cell r="I606" t="str">
            <v>YHT</v>
          </cell>
          <cell r="J606">
            <v>2.5</v>
          </cell>
          <cell r="K606">
            <v>406</v>
          </cell>
          <cell r="L606" t="str">
            <v>HZK</v>
          </cell>
          <cell r="N606">
            <v>9.4732853353542996</v>
          </cell>
        </row>
        <row r="607">
          <cell r="E607" t="str">
            <v>HGC-POOL-2461691</v>
          </cell>
          <cell r="F607" t="str">
            <v>QX-sdg2-24h</v>
          </cell>
          <cell r="G607">
            <v>9</v>
          </cell>
          <cell r="H607" t="str">
            <v>mRNA文库</v>
          </cell>
          <cell r="I607" t="str">
            <v>YHT</v>
          </cell>
          <cell r="J607">
            <v>8.5399999999999991</v>
          </cell>
          <cell r="K607">
            <v>253</v>
          </cell>
          <cell r="L607" t="str">
            <v>HZK</v>
          </cell>
          <cell r="N607">
            <v>51.930678017634499</v>
          </cell>
        </row>
        <row r="608">
          <cell r="E608" t="str">
            <v>HGC-Lib-2461730</v>
          </cell>
          <cell r="F608" t="str">
            <v>HitomXNN397</v>
          </cell>
          <cell r="G608">
            <v>2</v>
          </cell>
          <cell r="H608" t="str">
            <v>PCR片段文库</v>
          </cell>
          <cell r="I608" t="str">
            <v>YHT</v>
          </cell>
          <cell r="J608">
            <v>52.4</v>
          </cell>
          <cell r="K608">
            <v>432</v>
          </cell>
          <cell r="L608" t="str">
            <v>HZK</v>
          </cell>
          <cell r="N608">
            <v>186.609686609687</v>
          </cell>
        </row>
        <row r="609">
          <cell r="E609" t="str">
            <v>HGC-Lib-2461731</v>
          </cell>
          <cell r="F609" t="str">
            <v>HitomXNN398</v>
          </cell>
          <cell r="G609">
            <v>2</v>
          </cell>
          <cell r="H609" t="str">
            <v>PCR片段文库</v>
          </cell>
          <cell r="I609" t="str">
            <v>YHT</v>
          </cell>
          <cell r="J609">
            <v>58.6</v>
          </cell>
          <cell r="K609">
            <v>408</v>
          </cell>
          <cell r="L609" t="str">
            <v>HZK</v>
          </cell>
          <cell r="N609">
            <v>220.965309200603</v>
          </cell>
        </row>
        <row r="610">
          <cell r="E610" t="str">
            <v>HGC-Lib-2461732</v>
          </cell>
          <cell r="F610" t="str">
            <v>N_B_N4717-04-10X5OI-Liver</v>
          </cell>
          <cell r="G610">
            <v>100</v>
          </cell>
          <cell r="H610" t="str">
            <v>10x 5'单细胞</v>
          </cell>
          <cell r="I610" t="str">
            <v>YHT</v>
          </cell>
          <cell r="J610">
            <v>23.2</v>
          </cell>
          <cell r="N610" t="e">
            <v>#DIV/0!</v>
          </cell>
        </row>
        <row r="611">
          <cell r="E611" t="str">
            <v>HGC-Lib-2461733</v>
          </cell>
          <cell r="F611" t="str">
            <v>N_B_N4717-05-10X5OI-Spleen</v>
          </cell>
          <cell r="G611">
            <v>100</v>
          </cell>
          <cell r="H611" t="str">
            <v>10x 5'单细胞</v>
          </cell>
          <cell r="I611" t="str">
            <v>YHT</v>
          </cell>
          <cell r="J611">
            <v>18.5</v>
          </cell>
          <cell r="N611" t="e">
            <v>#DIV/0!</v>
          </cell>
        </row>
        <row r="612">
          <cell r="E612" t="str">
            <v>HGC-Lib-2461734</v>
          </cell>
          <cell r="F612" t="str">
            <v>N_B_N4717-06-10X5OI-Kidney</v>
          </cell>
          <cell r="G612">
            <v>100</v>
          </cell>
          <cell r="H612" t="str">
            <v>10x 5'单细胞</v>
          </cell>
          <cell r="I612" t="str">
            <v>YHT</v>
          </cell>
          <cell r="J612">
            <v>27</v>
          </cell>
          <cell r="N612" t="e">
            <v>#DIV/0!</v>
          </cell>
        </row>
        <row r="613">
          <cell r="E613" t="str">
            <v>HGC-Lib-2461735</v>
          </cell>
          <cell r="F613" t="str">
            <v>N_B_N4717-07-10X5OI-SI</v>
          </cell>
          <cell r="G613">
            <v>100</v>
          </cell>
          <cell r="H613" t="str">
            <v>10x 5'单细胞</v>
          </cell>
          <cell r="I613" t="str">
            <v>YHT</v>
          </cell>
          <cell r="J613">
            <v>28.2</v>
          </cell>
          <cell r="N613" t="e">
            <v>#DIV/0!</v>
          </cell>
        </row>
        <row r="614">
          <cell r="E614" t="str">
            <v>HGC-Lib-2461736</v>
          </cell>
          <cell r="F614" t="str">
            <v>N_B_N4717-08-10X5OI-CO</v>
          </cell>
          <cell r="G614">
            <v>100</v>
          </cell>
          <cell r="H614" t="str">
            <v>10x 5'单细胞</v>
          </cell>
          <cell r="I614" t="str">
            <v>YHT</v>
          </cell>
          <cell r="J614">
            <v>28.6</v>
          </cell>
          <cell r="N614" t="e">
            <v>#DIV/0!</v>
          </cell>
        </row>
        <row r="615">
          <cell r="E615" t="str">
            <v>HGC-Lib-2461737</v>
          </cell>
          <cell r="F615" t="str">
            <v>N_B_N4717-09-10X5OI-Lung</v>
          </cell>
          <cell r="G615">
            <v>100</v>
          </cell>
          <cell r="H615" t="str">
            <v>10x 5'单细胞</v>
          </cell>
          <cell r="I615" t="str">
            <v>YHT</v>
          </cell>
          <cell r="J615">
            <v>17.3</v>
          </cell>
          <cell r="N615" t="e">
            <v>#DIV/0!</v>
          </cell>
        </row>
        <row r="616">
          <cell r="E616" t="str">
            <v>HGC-Lib-2461738</v>
          </cell>
          <cell r="F616" t="str">
            <v>N_B_N4717-0A-10X5OI-BM</v>
          </cell>
          <cell r="G616">
            <v>100</v>
          </cell>
          <cell r="H616" t="str">
            <v>10x 5'单细胞</v>
          </cell>
          <cell r="I616" t="str">
            <v>YHT</v>
          </cell>
          <cell r="J616">
            <v>14.1</v>
          </cell>
          <cell r="N616" t="e">
            <v>#DIV/0!</v>
          </cell>
        </row>
        <row r="617">
          <cell r="E617" t="str">
            <v>HGC-Lib-2461739</v>
          </cell>
          <cell r="F617" t="str">
            <v>N_B_N4717-0B-10X5OI-Pan</v>
          </cell>
          <cell r="G617">
            <v>100</v>
          </cell>
          <cell r="H617" t="str">
            <v>10x 5'单细胞</v>
          </cell>
          <cell r="I617" t="str">
            <v>YHT</v>
          </cell>
          <cell r="J617">
            <v>25.8</v>
          </cell>
          <cell r="N617" t="e">
            <v>#DIV/0!</v>
          </cell>
        </row>
        <row r="618">
          <cell r="E618" t="str">
            <v>HGC-Lib-2461740</v>
          </cell>
          <cell r="F618" t="str">
            <v>N_B_N4717-0C-10X5OI-Thy</v>
          </cell>
          <cell r="G618">
            <v>100</v>
          </cell>
          <cell r="H618" t="str">
            <v>10x 5'单细胞</v>
          </cell>
          <cell r="I618" t="str">
            <v>YHT</v>
          </cell>
          <cell r="J618">
            <v>13.7</v>
          </cell>
          <cell r="N618" t="e">
            <v>#DIV/0!</v>
          </cell>
        </row>
        <row r="619">
          <cell r="E619" t="str">
            <v>HGC-Lib-2461741</v>
          </cell>
          <cell r="F619" t="str">
            <v>N_B_N4717-0D-10X5OI-LN-1</v>
          </cell>
          <cell r="G619">
            <v>100</v>
          </cell>
          <cell r="H619" t="str">
            <v>10x 5'单细胞</v>
          </cell>
          <cell r="I619" t="str">
            <v>YHT</v>
          </cell>
          <cell r="J619">
            <v>17.5</v>
          </cell>
          <cell r="N619" t="e">
            <v>#DIV/0!</v>
          </cell>
        </row>
        <row r="620">
          <cell r="E620" t="str">
            <v>HGC-Lib-2461742</v>
          </cell>
          <cell r="F620" t="str">
            <v>N_B_N4717-0E-10X5OI-LN-2</v>
          </cell>
          <cell r="G620">
            <v>100</v>
          </cell>
          <cell r="H620" t="str">
            <v>10x 5'单细胞</v>
          </cell>
          <cell r="I620" t="str">
            <v>YHT</v>
          </cell>
          <cell r="J620">
            <v>13.3</v>
          </cell>
          <cell r="N620" t="e">
            <v>#DIV/0!</v>
          </cell>
        </row>
        <row r="621">
          <cell r="E621" t="str">
            <v>HGC-Lib-2461743</v>
          </cell>
          <cell r="F621" t="str">
            <v>N_B_N4717-0F-10X5OI-LN-3</v>
          </cell>
          <cell r="G621">
            <v>100</v>
          </cell>
          <cell r="H621" t="str">
            <v>10x 5'单细胞</v>
          </cell>
          <cell r="I621" t="str">
            <v>YHT</v>
          </cell>
          <cell r="J621">
            <v>19.600000000000001</v>
          </cell>
          <cell r="N621" t="e">
            <v>#DIV/0!</v>
          </cell>
        </row>
        <row r="622">
          <cell r="E622" t="str">
            <v>HGC-Lib-2461744</v>
          </cell>
          <cell r="F622" t="str">
            <v>N_B_N4717-05-10X5TCROI-Spleen-2</v>
          </cell>
          <cell r="G622">
            <v>10</v>
          </cell>
          <cell r="H622" t="str">
            <v>TCR文库</v>
          </cell>
          <cell r="I622" t="str">
            <v>YHT</v>
          </cell>
          <cell r="J622">
            <v>59.8</v>
          </cell>
          <cell r="N622" t="e">
            <v>#DIV/0!</v>
          </cell>
        </row>
        <row r="623">
          <cell r="E623" t="str">
            <v>HGC-Lib-2461745</v>
          </cell>
          <cell r="F623" t="str">
            <v>N_B_N4717-0A-10X5TCROI-BM-2</v>
          </cell>
          <cell r="G623">
            <v>10</v>
          </cell>
          <cell r="H623" t="str">
            <v>TCR文库</v>
          </cell>
          <cell r="I623" t="str">
            <v>YHT</v>
          </cell>
          <cell r="J623">
            <v>39.6</v>
          </cell>
          <cell r="N623" t="e">
            <v>#DIV/0!</v>
          </cell>
        </row>
        <row r="624">
          <cell r="E624" t="str">
            <v>HGC-Lib-2461746</v>
          </cell>
          <cell r="F624" t="str">
            <v>N_B_N4717-0D-10X5TCROI-LN-1-2</v>
          </cell>
          <cell r="G624">
            <v>10</v>
          </cell>
          <cell r="H624" t="str">
            <v>TCR文库</v>
          </cell>
          <cell r="I624" t="str">
            <v>YHT</v>
          </cell>
          <cell r="J624">
            <v>51.4</v>
          </cell>
          <cell r="N624" t="e">
            <v>#DIV/0!</v>
          </cell>
        </row>
        <row r="625">
          <cell r="E625" t="str">
            <v>HGC-Lib-2461747</v>
          </cell>
          <cell r="F625" t="str">
            <v>N_B_N4717-0E-10X5TCROI-LN-2-2</v>
          </cell>
          <cell r="G625">
            <v>10</v>
          </cell>
          <cell r="H625" t="str">
            <v>TCR文库</v>
          </cell>
          <cell r="I625" t="str">
            <v>YHT</v>
          </cell>
          <cell r="J625">
            <v>46.2</v>
          </cell>
          <cell r="N625" t="e">
            <v>#DIV/0!</v>
          </cell>
        </row>
        <row r="626">
          <cell r="E626" t="str">
            <v>HGC-Lib-2461748</v>
          </cell>
          <cell r="F626" t="str">
            <v>N_B_N4717-0F-10X5TCROI-LN-3-2</v>
          </cell>
          <cell r="G626">
            <v>10</v>
          </cell>
          <cell r="H626" t="str">
            <v>TCR文库</v>
          </cell>
          <cell r="I626" t="str">
            <v>WH</v>
          </cell>
          <cell r="J626">
            <v>56.6</v>
          </cell>
          <cell r="N626" t="e">
            <v>#DIV/0!</v>
          </cell>
        </row>
        <row r="627">
          <cell r="E627" t="str">
            <v>HGC-Lib-2461749</v>
          </cell>
          <cell r="F627" t="str">
            <v>N_B_N4717-05-10X5BCROI-Spleen-3</v>
          </cell>
          <cell r="G627">
            <v>10</v>
          </cell>
          <cell r="H627" t="str">
            <v>BCR文库</v>
          </cell>
          <cell r="I627" t="str">
            <v>WH</v>
          </cell>
          <cell r="J627">
            <v>47.4</v>
          </cell>
          <cell r="N627" t="e">
            <v>#DIV/0!</v>
          </cell>
        </row>
        <row r="628">
          <cell r="E628" t="str">
            <v>HGC-Lib-2461750</v>
          </cell>
          <cell r="F628" t="str">
            <v>N_B_N4717-0A-10X5BCROI-BM-3</v>
          </cell>
          <cell r="G628">
            <v>10</v>
          </cell>
          <cell r="H628" t="str">
            <v>BCR文库</v>
          </cell>
          <cell r="I628" t="str">
            <v>WH</v>
          </cell>
          <cell r="J628">
            <v>17.8</v>
          </cell>
          <cell r="N628" t="e">
            <v>#DIV/0!</v>
          </cell>
        </row>
        <row r="629">
          <cell r="E629" t="str">
            <v>HGC-Lib-2461751</v>
          </cell>
          <cell r="F629" t="str">
            <v>N_B_N4717-0D-10X5BCROI-LN-1-3</v>
          </cell>
          <cell r="G629">
            <v>10</v>
          </cell>
          <cell r="H629" t="str">
            <v>BCR文库</v>
          </cell>
          <cell r="I629" t="str">
            <v>WH</v>
          </cell>
          <cell r="J629">
            <v>35.799999999999997</v>
          </cell>
          <cell r="N629" t="e">
            <v>#DIV/0!</v>
          </cell>
        </row>
        <row r="630">
          <cell r="E630" t="str">
            <v>HGC-Lib-2461752</v>
          </cell>
          <cell r="F630" t="str">
            <v>N_B_N4717-0E-10X5BCROI-LN-2-3</v>
          </cell>
          <cell r="G630">
            <v>10</v>
          </cell>
          <cell r="H630" t="str">
            <v>BCR文库</v>
          </cell>
          <cell r="I630" t="str">
            <v>WH</v>
          </cell>
          <cell r="J630">
            <v>41.2</v>
          </cell>
          <cell r="N630" t="e">
            <v>#DIV/0!</v>
          </cell>
        </row>
        <row r="631">
          <cell r="E631" t="str">
            <v>HGC-Lib-2461753</v>
          </cell>
          <cell r="F631" t="str">
            <v>N_B_N4717-0F-10X5BCROI-LN-3-3</v>
          </cell>
          <cell r="G631">
            <v>10</v>
          </cell>
          <cell r="H631" t="str">
            <v>BCR文库</v>
          </cell>
          <cell r="I631" t="str">
            <v>WH</v>
          </cell>
          <cell r="J631">
            <v>42.8</v>
          </cell>
          <cell r="N631" t="e">
            <v>#DIV/0!</v>
          </cell>
        </row>
        <row r="632">
          <cell r="E632" t="str">
            <v>HGC-Lib-2461754</v>
          </cell>
          <cell r="F632" t="str">
            <v>N_B_N4719-22-10X5OI-Sto</v>
          </cell>
          <cell r="G632">
            <v>100</v>
          </cell>
          <cell r="H632" t="str">
            <v>10x 5'单细胞</v>
          </cell>
          <cell r="I632" t="str">
            <v>WH</v>
          </cell>
          <cell r="J632">
            <v>19.3</v>
          </cell>
          <cell r="N632" t="e">
            <v>#DIV/0!</v>
          </cell>
        </row>
        <row r="633">
          <cell r="E633" t="str">
            <v>HGC-Lib-2461755</v>
          </cell>
          <cell r="F633" t="str">
            <v>N_B_N4719-22-10X5TCROI-Sto-2</v>
          </cell>
          <cell r="G633">
            <v>10</v>
          </cell>
          <cell r="H633" t="str">
            <v>TCR文库</v>
          </cell>
          <cell r="I633" t="str">
            <v>WH</v>
          </cell>
          <cell r="J633">
            <v>64.400000000000006</v>
          </cell>
          <cell r="N633" t="e">
            <v>#DIV/0!</v>
          </cell>
        </row>
        <row r="634">
          <cell r="E634" t="str">
            <v>HGC-Lib-2461756</v>
          </cell>
          <cell r="F634" t="str">
            <v>N_B_N4719-22-10X5BCROI-Sto-3</v>
          </cell>
          <cell r="G634">
            <v>10</v>
          </cell>
          <cell r="H634" t="str">
            <v>BCR文库</v>
          </cell>
          <cell r="I634" t="str">
            <v>WH</v>
          </cell>
          <cell r="J634">
            <v>24.4</v>
          </cell>
          <cell r="N634" t="e">
            <v>#DIV/0!</v>
          </cell>
        </row>
        <row r="635">
          <cell r="E635" t="str">
            <v>HGC-Lib-2461757</v>
          </cell>
          <cell r="F635" t="str">
            <v>N_B_N4715-40-10X3T6COE-CUMS</v>
          </cell>
          <cell r="G635">
            <v>100</v>
          </cell>
          <cell r="H635" t="str">
            <v>10× 3'单细胞</v>
          </cell>
          <cell r="I635" t="str">
            <v>WH</v>
          </cell>
          <cell r="J635">
            <v>24</v>
          </cell>
          <cell r="N635" t="e">
            <v>#DIV/0!</v>
          </cell>
        </row>
        <row r="636">
          <cell r="E636" t="str">
            <v>HGC-Lib-2461758</v>
          </cell>
          <cell r="F636" t="str">
            <v>N_B_N4715-41-10X3T6COE-noCUMS</v>
          </cell>
          <cell r="G636">
            <v>100</v>
          </cell>
          <cell r="H636" t="str">
            <v>10× 3'单细胞</v>
          </cell>
          <cell r="I636" t="str">
            <v>WH</v>
          </cell>
          <cell r="J636">
            <v>22.8</v>
          </cell>
          <cell r="N636" t="e">
            <v>#DIV/0!</v>
          </cell>
        </row>
        <row r="637">
          <cell r="E637" t="str">
            <v>HGC-Lib-2461759</v>
          </cell>
          <cell r="F637" t="str">
            <v>N_B_N4715-42-10X3WT-CUMS</v>
          </cell>
          <cell r="G637">
            <v>100</v>
          </cell>
          <cell r="H637" t="str">
            <v>10× 3'单细胞</v>
          </cell>
          <cell r="I637" t="str">
            <v>WH</v>
          </cell>
          <cell r="J637">
            <v>12.9</v>
          </cell>
          <cell r="N637" t="e">
            <v>#DIV/0!</v>
          </cell>
        </row>
        <row r="638">
          <cell r="E638" t="str">
            <v>HGC-Lib-2461760</v>
          </cell>
          <cell r="F638" t="str">
            <v>N_B_N4715-43-10X3WT-noCUMS</v>
          </cell>
          <cell r="G638">
            <v>100</v>
          </cell>
          <cell r="H638" t="str">
            <v>10× 3'单细胞</v>
          </cell>
          <cell r="I638" t="str">
            <v>WH</v>
          </cell>
          <cell r="J638">
            <v>24</v>
          </cell>
          <cell r="N638" t="e">
            <v>#DIV/0!</v>
          </cell>
        </row>
        <row r="639">
          <cell r="E639" t="str">
            <v>HGC-Lib-2461761</v>
          </cell>
          <cell r="F639" t="str">
            <v>N_B_N4717-0V-10X3CR-rHA021</v>
          </cell>
          <cell r="G639">
            <v>150</v>
          </cell>
          <cell r="H639" t="str">
            <v>10× 3'单细胞</v>
          </cell>
          <cell r="I639" t="str">
            <v>WH</v>
          </cell>
          <cell r="J639">
            <v>7.08</v>
          </cell>
          <cell r="N639" t="e">
            <v>#DIV/0!</v>
          </cell>
        </row>
        <row r="640">
          <cell r="E640" t="str">
            <v>HGC-Lib-2461762</v>
          </cell>
          <cell r="F640" t="str">
            <v>N_B_N4723-29-10X3Pan-T</v>
          </cell>
          <cell r="G640">
            <v>100</v>
          </cell>
          <cell r="H640" t="str">
            <v>10× 3'单细胞</v>
          </cell>
          <cell r="I640" t="str">
            <v>WH</v>
          </cell>
          <cell r="J640">
            <v>12.3</v>
          </cell>
          <cell r="N640" t="e">
            <v>#DIV/0!</v>
          </cell>
        </row>
        <row r="641">
          <cell r="E641" t="str">
            <v>HGC-Lib-2461777</v>
          </cell>
          <cell r="F641" t="str">
            <v>T872-1</v>
          </cell>
          <cell r="G641">
            <v>6</v>
          </cell>
          <cell r="H641" t="str">
            <v>mRNA文库</v>
          </cell>
          <cell r="I641" t="str">
            <v>WH</v>
          </cell>
          <cell r="J641">
            <v>7.14</v>
          </cell>
          <cell r="N641" t="e">
            <v>#DIV/0!</v>
          </cell>
        </row>
        <row r="642">
          <cell r="E642" t="str">
            <v>HGC-Lib-2461778</v>
          </cell>
          <cell r="F642" t="str">
            <v>T872-2</v>
          </cell>
          <cell r="G642">
            <v>6</v>
          </cell>
          <cell r="H642" t="str">
            <v>mRNA文库</v>
          </cell>
          <cell r="I642" t="str">
            <v>WH</v>
          </cell>
          <cell r="J642">
            <v>8.34</v>
          </cell>
          <cell r="N642" t="e">
            <v>#DIV/0!</v>
          </cell>
        </row>
        <row r="643">
          <cell r="E643" t="str">
            <v>HGC-Lib-2461779</v>
          </cell>
          <cell r="F643" t="str">
            <v>T872-3</v>
          </cell>
          <cell r="G643">
            <v>6</v>
          </cell>
          <cell r="H643" t="str">
            <v>mRNA文库</v>
          </cell>
          <cell r="I643" t="str">
            <v>WH</v>
          </cell>
          <cell r="J643">
            <v>12.9</v>
          </cell>
          <cell r="N643" t="e">
            <v>#DIV/0!</v>
          </cell>
        </row>
        <row r="644">
          <cell r="E644" t="str">
            <v>HGC-Lib-2461780</v>
          </cell>
          <cell r="F644" t="str">
            <v>T872-4</v>
          </cell>
          <cell r="G644">
            <v>6</v>
          </cell>
          <cell r="H644" t="str">
            <v>mRNA文库</v>
          </cell>
          <cell r="I644" t="str">
            <v>WH</v>
          </cell>
          <cell r="J644">
            <v>12</v>
          </cell>
          <cell r="N644" t="e">
            <v>#DIV/0!</v>
          </cell>
        </row>
        <row r="645">
          <cell r="E645" t="str">
            <v>HGC-Lib-2461781</v>
          </cell>
          <cell r="F645" t="str">
            <v>T872-5</v>
          </cell>
          <cell r="G645">
            <v>6</v>
          </cell>
          <cell r="H645" t="str">
            <v>mRNA文库</v>
          </cell>
          <cell r="I645" t="str">
            <v>WH</v>
          </cell>
          <cell r="J645">
            <v>7.78</v>
          </cell>
          <cell r="N645" t="e">
            <v>#DIV/0!</v>
          </cell>
        </row>
        <row r="646">
          <cell r="E646" t="str">
            <v>HGC-Lib-2461782</v>
          </cell>
          <cell r="F646" t="str">
            <v>T872-6</v>
          </cell>
          <cell r="G646">
            <v>6</v>
          </cell>
          <cell r="H646" t="str">
            <v>mRNA文库</v>
          </cell>
          <cell r="I646" t="str">
            <v>WH</v>
          </cell>
          <cell r="J646">
            <v>5.98</v>
          </cell>
          <cell r="N646" t="e">
            <v>#DIV/0!</v>
          </cell>
        </row>
        <row r="647">
          <cell r="E647" t="str">
            <v>HGC-Lib-2461840</v>
          </cell>
          <cell r="F647" t="str">
            <v>LC240730028</v>
          </cell>
          <cell r="G647">
            <v>10</v>
          </cell>
          <cell r="H647" t="str">
            <v>singleron-3'转录组文库</v>
          </cell>
          <cell r="I647" t="str">
            <v>WH</v>
          </cell>
          <cell r="J647">
            <v>27.2</v>
          </cell>
          <cell r="N647" t="e">
            <v>#DIV/0!</v>
          </cell>
        </row>
        <row r="648">
          <cell r="E648" t="str">
            <v>HGC-Lib-2461841</v>
          </cell>
          <cell r="F648" t="str">
            <v>LC240730029</v>
          </cell>
          <cell r="G648">
            <v>10</v>
          </cell>
          <cell r="H648" t="str">
            <v>singleron-3'转录组文库</v>
          </cell>
          <cell r="I648" t="str">
            <v>WH</v>
          </cell>
          <cell r="J648">
            <v>29.4</v>
          </cell>
          <cell r="N648" t="e">
            <v>#DIV/0!</v>
          </cell>
        </row>
        <row r="649">
          <cell r="E649" t="str">
            <v>HGC-Lib-2461842</v>
          </cell>
          <cell r="F649" t="str">
            <v>LC240730030</v>
          </cell>
          <cell r="G649">
            <v>10</v>
          </cell>
          <cell r="H649" t="str">
            <v>singleron-3'转录组文库</v>
          </cell>
          <cell r="I649" t="str">
            <v>WH</v>
          </cell>
          <cell r="J649">
            <v>23.8</v>
          </cell>
          <cell r="N649" t="e">
            <v>#DIV/0!</v>
          </cell>
        </row>
        <row r="650">
          <cell r="E650" t="str">
            <v>HGC-Lib-2461843</v>
          </cell>
          <cell r="F650" t="str">
            <v>LC240730031</v>
          </cell>
          <cell r="G650">
            <v>10</v>
          </cell>
          <cell r="H650" t="str">
            <v>singleron-3'转录组文库</v>
          </cell>
          <cell r="I650" t="str">
            <v>WH</v>
          </cell>
          <cell r="J650">
            <v>21.2</v>
          </cell>
          <cell r="N650" t="e">
            <v>#DIV/0!</v>
          </cell>
        </row>
        <row r="651">
          <cell r="E651" t="str">
            <v>HGC-Lib-2461844</v>
          </cell>
          <cell r="F651" t="str">
            <v>LA240728064X1</v>
          </cell>
          <cell r="G651">
            <v>90</v>
          </cell>
          <cell r="H651" t="str">
            <v>singleron-3'转录组文库</v>
          </cell>
          <cell r="I651" t="str">
            <v>WH</v>
          </cell>
          <cell r="J651">
            <v>30</v>
          </cell>
          <cell r="N651" t="e">
            <v>#DIV/0!</v>
          </cell>
        </row>
        <row r="652">
          <cell r="E652" t="str">
            <v>HGC-Lib-2461845</v>
          </cell>
          <cell r="F652" t="str">
            <v>ATACLC240730091</v>
          </cell>
          <cell r="G652">
            <v>40</v>
          </cell>
          <cell r="H652" t="str">
            <v>singleron-ATAC文库</v>
          </cell>
          <cell r="I652" t="str">
            <v>WH</v>
          </cell>
          <cell r="J652">
            <v>80.8</v>
          </cell>
          <cell r="N652" t="e">
            <v>#DIV/0!</v>
          </cell>
        </row>
        <row r="653">
          <cell r="E653" t="str">
            <v>HGC-Lib-2461846</v>
          </cell>
          <cell r="F653" t="str">
            <v>LA240728001</v>
          </cell>
          <cell r="G653">
            <v>90</v>
          </cell>
          <cell r="H653" t="str">
            <v>singleron-3'转录组文库</v>
          </cell>
          <cell r="I653" t="str">
            <v>WH</v>
          </cell>
          <cell r="J653">
            <v>22.8</v>
          </cell>
          <cell r="N653" t="e">
            <v>#DIV/0!</v>
          </cell>
        </row>
        <row r="654">
          <cell r="E654" t="str">
            <v>HGC-Lib-2461847</v>
          </cell>
          <cell r="F654" t="str">
            <v>LA240728002</v>
          </cell>
          <cell r="G654">
            <v>90</v>
          </cell>
          <cell r="H654" t="str">
            <v>singleron-3'转录组文库</v>
          </cell>
          <cell r="I654" t="str">
            <v>WH</v>
          </cell>
          <cell r="J654">
            <v>24.4</v>
          </cell>
          <cell r="N654" t="e">
            <v>#DIV/0!</v>
          </cell>
        </row>
        <row r="655">
          <cell r="E655" t="str">
            <v>HGC-Lib-2461848</v>
          </cell>
          <cell r="F655" t="str">
            <v>LHC240729002</v>
          </cell>
          <cell r="G655">
            <v>200</v>
          </cell>
          <cell r="H655" t="str">
            <v>singleron-3'转录组文库</v>
          </cell>
          <cell r="I655" t="str">
            <v>WH</v>
          </cell>
          <cell r="J655">
            <v>20.399999999999999</v>
          </cell>
          <cell r="N655" t="e">
            <v>#DIV/0!</v>
          </cell>
        </row>
        <row r="656">
          <cell r="E656" t="str">
            <v>HGC-Lib-2461849</v>
          </cell>
          <cell r="F656" t="str">
            <v>LHC240729001</v>
          </cell>
          <cell r="G656">
            <v>200</v>
          </cell>
          <cell r="H656" t="str">
            <v>singleron-3'转录组文库</v>
          </cell>
          <cell r="I656" t="str">
            <v>WH</v>
          </cell>
          <cell r="J656">
            <v>21.4</v>
          </cell>
          <cell r="N656" t="e">
            <v>#DIV/0!</v>
          </cell>
        </row>
        <row r="657">
          <cell r="E657" t="str">
            <v>HGC-Lib-2461850</v>
          </cell>
          <cell r="F657" t="str">
            <v>LC240726039</v>
          </cell>
          <cell r="G657">
            <v>150</v>
          </cell>
          <cell r="H657" t="str">
            <v>singleron-3'转录组文库</v>
          </cell>
          <cell r="I657" t="str">
            <v>WH</v>
          </cell>
          <cell r="J657">
            <v>13.2</v>
          </cell>
          <cell r="N657" t="e">
            <v>#DIV/0!</v>
          </cell>
        </row>
        <row r="658">
          <cell r="E658" t="str">
            <v>HGC-Lib-2461851</v>
          </cell>
          <cell r="F658" t="str">
            <v>LA240727019</v>
          </cell>
          <cell r="G658">
            <v>100</v>
          </cell>
          <cell r="H658" t="str">
            <v>singleron-3'转录组文库</v>
          </cell>
          <cell r="I658" t="str">
            <v>WH</v>
          </cell>
          <cell r="J658">
            <v>28.8</v>
          </cell>
          <cell r="N658" t="e">
            <v>#DIV/0!</v>
          </cell>
        </row>
        <row r="659">
          <cell r="E659" t="str">
            <v>HGC-Lib-2461852</v>
          </cell>
          <cell r="F659" t="str">
            <v>PROLHASHPROHC240727001</v>
          </cell>
          <cell r="G659">
            <v>60</v>
          </cell>
          <cell r="H659" t="str">
            <v>其他碱基不平衡文库</v>
          </cell>
          <cell r="I659" t="str">
            <v>WH</v>
          </cell>
          <cell r="J659">
            <v>19.2</v>
          </cell>
          <cell r="N659" t="e">
            <v>#DIV/0!</v>
          </cell>
        </row>
        <row r="660">
          <cell r="E660" t="str">
            <v>HGC-Lib-2461853</v>
          </cell>
          <cell r="F660" t="str">
            <v>LHASHPROHC240727001</v>
          </cell>
          <cell r="G660">
            <v>200</v>
          </cell>
          <cell r="H660" t="str">
            <v>singleron-3'转录组文库</v>
          </cell>
          <cell r="I660" t="str">
            <v>WH</v>
          </cell>
          <cell r="J660">
            <v>19.100000000000001</v>
          </cell>
          <cell r="N660" t="e">
            <v>#DIV/0!</v>
          </cell>
        </row>
        <row r="661">
          <cell r="E661" t="str">
            <v>HGC-Lib-2461854</v>
          </cell>
          <cell r="F661" t="str">
            <v>HASLHASHPROHC240727001</v>
          </cell>
          <cell r="G661">
            <v>12</v>
          </cell>
          <cell r="H661" t="str">
            <v>其他碱基不平衡文库</v>
          </cell>
          <cell r="I661" t="str">
            <v>WH</v>
          </cell>
          <cell r="J661">
            <v>81</v>
          </cell>
          <cell r="N661" t="e">
            <v>#DIV/0!</v>
          </cell>
        </row>
        <row r="662">
          <cell r="E662" t="str">
            <v>HGC-Lib-2461855</v>
          </cell>
          <cell r="F662" t="str">
            <v>LA240725089</v>
          </cell>
          <cell r="G662">
            <v>30</v>
          </cell>
          <cell r="H662" t="str">
            <v>singleron-3'转录组文库</v>
          </cell>
          <cell r="I662" t="str">
            <v>WH</v>
          </cell>
          <cell r="J662">
            <v>16.3</v>
          </cell>
          <cell r="N662" t="e">
            <v>#DIV/0!</v>
          </cell>
        </row>
        <row r="663">
          <cell r="E663" t="str">
            <v>HGC-Lib-2461856</v>
          </cell>
          <cell r="F663" t="str">
            <v>LA240725088</v>
          </cell>
          <cell r="G663">
            <v>30</v>
          </cell>
          <cell r="H663" t="str">
            <v>singleron-3'转录组文库</v>
          </cell>
          <cell r="I663" t="str">
            <v>WH</v>
          </cell>
          <cell r="J663">
            <v>16.5</v>
          </cell>
          <cell r="N663" t="e">
            <v>#DIV/0!</v>
          </cell>
        </row>
        <row r="664">
          <cell r="E664" t="str">
            <v>HGC-Lib-2461857</v>
          </cell>
          <cell r="F664" t="str">
            <v>LA240725087</v>
          </cell>
          <cell r="G664">
            <v>30</v>
          </cell>
          <cell r="H664" t="str">
            <v>singleron-3'转录组文库</v>
          </cell>
          <cell r="I664" t="str">
            <v>WH</v>
          </cell>
          <cell r="J664">
            <v>17.2</v>
          </cell>
          <cell r="N664" t="e">
            <v>#DIV/0!</v>
          </cell>
        </row>
        <row r="665">
          <cell r="E665" t="str">
            <v>HGC-Lib-2461858</v>
          </cell>
          <cell r="F665" t="str">
            <v>LA240725085X2</v>
          </cell>
          <cell r="G665">
            <v>30</v>
          </cell>
          <cell r="H665" t="str">
            <v>singleron-3'转录组文库</v>
          </cell>
          <cell r="I665" t="str">
            <v>WH</v>
          </cell>
          <cell r="J665">
            <v>20.8</v>
          </cell>
          <cell r="N665" t="e">
            <v>#DIV/0!</v>
          </cell>
        </row>
        <row r="666">
          <cell r="E666" t="str">
            <v>HGC-Lib-2461859</v>
          </cell>
          <cell r="F666" t="str">
            <v>LA240725086</v>
          </cell>
          <cell r="G666">
            <v>30</v>
          </cell>
          <cell r="H666" t="str">
            <v>singleron-3'转录组文库</v>
          </cell>
          <cell r="I666" t="str">
            <v>WH</v>
          </cell>
          <cell r="J666">
            <v>18.899999999999999</v>
          </cell>
          <cell r="N666" t="e">
            <v>#DIV/0!</v>
          </cell>
        </row>
        <row r="667">
          <cell r="E667" t="str">
            <v>HGC-Lib-2461860</v>
          </cell>
          <cell r="F667" t="str">
            <v>LA240725082</v>
          </cell>
          <cell r="G667">
            <v>30</v>
          </cell>
          <cell r="H667" t="str">
            <v>singleron-3'转录组文库</v>
          </cell>
          <cell r="I667" t="str">
            <v>WH</v>
          </cell>
          <cell r="J667">
            <v>17.8</v>
          </cell>
          <cell r="N667" t="e">
            <v>#DIV/0!</v>
          </cell>
        </row>
        <row r="668">
          <cell r="E668" t="str">
            <v>HGC-Lib-2461861</v>
          </cell>
          <cell r="F668" t="str">
            <v>LA240725083</v>
          </cell>
          <cell r="G668">
            <v>30</v>
          </cell>
          <cell r="H668" t="str">
            <v>singleron-3'转录组文库</v>
          </cell>
          <cell r="I668" t="str">
            <v>WH</v>
          </cell>
          <cell r="J668">
            <v>18</v>
          </cell>
          <cell r="N668" t="e">
            <v>#DIV/0!</v>
          </cell>
        </row>
        <row r="669">
          <cell r="E669" t="str">
            <v>HGC-Lib-2461862</v>
          </cell>
          <cell r="F669" t="str">
            <v>LA240725084</v>
          </cell>
          <cell r="G669">
            <v>30</v>
          </cell>
          <cell r="H669" t="str">
            <v>singleron-3'转录组文库</v>
          </cell>
          <cell r="I669" t="str">
            <v>WH</v>
          </cell>
          <cell r="J669">
            <v>18.100000000000001</v>
          </cell>
          <cell r="N669" t="e">
            <v>#DIV/0!</v>
          </cell>
        </row>
        <row r="670">
          <cell r="E670" t="str">
            <v>HGC-Lib-2461863</v>
          </cell>
          <cell r="F670" t="str">
            <v>ATACLC240731028X2</v>
          </cell>
          <cell r="G670">
            <v>10</v>
          </cell>
          <cell r="H670" t="str">
            <v>singleron-ATAC文库</v>
          </cell>
          <cell r="I670" t="str">
            <v>WH</v>
          </cell>
          <cell r="J670">
            <v>70.599999999999994</v>
          </cell>
          <cell r="N670" t="e">
            <v>#DIV/0!</v>
          </cell>
        </row>
        <row r="671">
          <cell r="E671" t="str">
            <v>HGC-Lib-2461864</v>
          </cell>
          <cell r="F671" t="str">
            <v>ATACLC240731025X1</v>
          </cell>
          <cell r="G671">
            <v>10</v>
          </cell>
          <cell r="H671" t="str">
            <v>singleron-ATAC文库</v>
          </cell>
          <cell r="I671" t="str">
            <v>WH</v>
          </cell>
          <cell r="J671">
            <v>77.400000000000006</v>
          </cell>
          <cell r="N671" t="e">
            <v>#DIV/0!</v>
          </cell>
        </row>
        <row r="672">
          <cell r="E672" t="str">
            <v>HGC-Lib-2461865</v>
          </cell>
          <cell r="F672" t="str">
            <v>ATACLC240731026X1</v>
          </cell>
          <cell r="G672">
            <v>10</v>
          </cell>
          <cell r="H672" t="str">
            <v>singleron-ATAC文库</v>
          </cell>
          <cell r="I672" t="str">
            <v>WH</v>
          </cell>
          <cell r="J672">
            <v>51</v>
          </cell>
          <cell r="N672" t="e">
            <v>#DIV/0!</v>
          </cell>
        </row>
        <row r="673">
          <cell r="E673" t="str">
            <v>HGC-Lib-2461866</v>
          </cell>
          <cell r="F673" t="str">
            <v>ATACLC240731025X2</v>
          </cell>
          <cell r="G673">
            <v>10</v>
          </cell>
          <cell r="H673" t="str">
            <v>singleron-ATAC文库</v>
          </cell>
          <cell r="I673" t="str">
            <v>WH</v>
          </cell>
          <cell r="J673">
            <v>35.799999999999997</v>
          </cell>
          <cell r="N673" t="e">
            <v>#DIV/0!</v>
          </cell>
        </row>
        <row r="674">
          <cell r="E674" t="str">
            <v>HGC-Lib-2461867</v>
          </cell>
          <cell r="F674" t="str">
            <v>LFTBC240726022</v>
          </cell>
          <cell r="G674">
            <v>90</v>
          </cell>
          <cell r="H674" t="str">
            <v>singleron-3'全长转录组文库</v>
          </cell>
          <cell r="I674" t="str">
            <v>WH</v>
          </cell>
          <cell r="J674">
            <v>19.600000000000001</v>
          </cell>
          <cell r="N674" t="e">
            <v>#DIV/0!</v>
          </cell>
        </row>
        <row r="675">
          <cell r="E675" t="str">
            <v>HGC-Lib-2461868</v>
          </cell>
          <cell r="F675" t="str">
            <v>LFTBC240726023</v>
          </cell>
          <cell r="G675">
            <v>90</v>
          </cell>
          <cell r="H675" t="str">
            <v>singleron-3'全长转录组文库</v>
          </cell>
          <cell r="I675" t="str">
            <v>WH</v>
          </cell>
          <cell r="J675">
            <v>22</v>
          </cell>
          <cell r="N675" t="e">
            <v>#DIV/0!</v>
          </cell>
        </row>
        <row r="676">
          <cell r="E676" t="str">
            <v>HGC-Lib-2461869</v>
          </cell>
          <cell r="F676" t="str">
            <v>LFTBA240729036</v>
          </cell>
          <cell r="G676">
            <v>70</v>
          </cell>
          <cell r="H676" t="str">
            <v>singleron-3'全长转录组文库</v>
          </cell>
          <cell r="I676" t="str">
            <v>WH</v>
          </cell>
          <cell r="J676">
            <v>35.799999999999997</v>
          </cell>
          <cell r="N676" t="e">
            <v>#DIV/0!</v>
          </cell>
        </row>
        <row r="677">
          <cell r="E677" t="str">
            <v>HGC-Lib-2461870</v>
          </cell>
          <cell r="F677" t="str">
            <v>LC240728059</v>
          </cell>
          <cell r="G677">
            <v>100</v>
          </cell>
          <cell r="H677" t="str">
            <v>singleron-3'转录组文库</v>
          </cell>
          <cell r="I677" t="str">
            <v>WWH</v>
          </cell>
          <cell r="J677">
            <v>21</v>
          </cell>
          <cell r="N677" t="e">
            <v>#DIV/0!</v>
          </cell>
        </row>
        <row r="678">
          <cell r="E678" t="str">
            <v>HGC-Lib-2461871</v>
          </cell>
          <cell r="F678" t="str">
            <v>LC240729031</v>
          </cell>
          <cell r="G678">
            <v>100</v>
          </cell>
          <cell r="H678" t="str">
            <v>singleron-3'转录组文库</v>
          </cell>
          <cell r="I678" t="str">
            <v>WWH</v>
          </cell>
          <cell r="J678">
            <v>26</v>
          </cell>
          <cell r="N678" t="e">
            <v>#DIV/0!</v>
          </cell>
        </row>
        <row r="679">
          <cell r="E679" t="str">
            <v>HGC-Lib-2461872</v>
          </cell>
          <cell r="F679" t="str">
            <v>LC240729033</v>
          </cell>
          <cell r="G679">
            <v>100</v>
          </cell>
          <cell r="H679" t="str">
            <v>singleron-3'转录组文库</v>
          </cell>
          <cell r="I679" t="str">
            <v>WWH</v>
          </cell>
          <cell r="J679">
            <v>16.399999999999999</v>
          </cell>
          <cell r="N679" t="e">
            <v>#DIV/0!</v>
          </cell>
        </row>
        <row r="680">
          <cell r="E680" t="str">
            <v>HGC-Lib-2461873</v>
          </cell>
          <cell r="F680" t="str">
            <v>LA231019021CJ</v>
          </cell>
          <cell r="G680">
            <v>110</v>
          </cell>
          <cell r="H680" t="str">
            <v>singleron-3'转录组文库</v>
          </cell>
          <cell r="I680" t="str">
            <v>WWH</v>
          </cell>
          <cell r="J680">
            <v>15.2</v>
          </cell>
          <cell r="N680" t="e">
            <v>#DIV/0!</v>
          </cell>
        </row>
        <row r="681">
          <cell r="E681" t="str">
            <v>HGC-Lib-2461874</v>
          </cell>
          <cell r="F681" t="str">
            <v>FOCLFC240727018</v>
          </cell>
          <cell r="G681">
            <v>12</v>
          </cell>
          <cell r="H681" t="str">
            <v>其他碱基不平衡文库</v>
          </cell>
          <cell r="I681" t="str">
            <v>WWH</v>
          </cell>
          <cell r="J681">
            <v>6.54</v>
          </cell>
          <cell r="N681" t="e">
            <v>#DIV/0!</v>
          </cell>
        </row>
        <row r="682">
          <cell r="E682" t="str">
            <v>HGC-Lib-2461875</v>
          </cell>
          <cell r="F682" t="str">
            <v>PROLPROC240728006</v>
          </cell>
          <cell r="G682">
            <v>23</v>
          </cell>
          <cell r="H682" t="str">
            <v>其他碱基不平衡文库</v>
          </cell>
          <cell r="I682" t="str">
            <v>WWH</v>
          </cell>
          <cell r="J682">
            <v>51.6</v>
          </cell>
          <cell r="N682" t="e">
            <v>#DIV/0!</v>
          </cell>
        </row>
        <row r="683">
          <cell r="E683" t="str">
            <v>HGC-Lib-2461876</v>
          </cell>
          <cell r="F683" t="str">
            <v>PROLPROC240728007</v>
          </cell>
          <cell r="G683">
            <v>23</v>
          </cell>
          <cell r="H683" t="str">
            <v>其他碱基不平衡文库</v>
          </cell>
          <cell r="I683" t="str">
            <v>WWH</v>
          </cell>
          <cell r="J683">
            <v>51.6</v>
          </cell>
          <cell r="N683" t="e">
            <v>#DIV/0!</v>
          </cell>
        </row>
        <row r="684">
          <cell r="E684" t="str">
            <v>HGC-Lib-2461877</v>
          </cell>
          <cell r="F684" t="str">
            <v>PROLPROC240728008</v>
          </cell>
          <cell r="G684">
            <v>23</v>
          </cell>
          <cell r="H684" t="str">
            <v>其他碱基不平衡文库</v>
          </cell>
          <cell r="I684" t="str">
            <v>WWH</v>
          </cell>
          <cell r="J684">
            <v>31.6</v>
          </cell>
          <cell r="N684" t="e">
            <v>#DIV/0!</v>
          </cell>
        </row>
        <row r="685">
          <cell r="E685" t="str">
            <v>HGC-Lib-2461878</v>
          </cell>
          <cell r="F685" t="str">
            <v>PROLPROC240728009</v>
          </cell>
          <cell r="G685">
            <v>23</v>
          </cell>
          <cell r="H685" t="str">
            <v>其他碱基不平衡文库</v>
          </cell>
          <cell r="I685" t="str">
            <v>WWH</v>
          </cell>
          <cell r="J685">
            <v>33</v>
          </cell>
          <cell r="N685" t="e">
            <v>#DIV/0!</v>
          </cell>
        </row>
        <row r="686">
          <cell r="E686" t="str">
            <v>HGC-Lib-2461879</v>
          </cell>
          <cell r="F686" t="str">
            <v>LFTBC240725066CK</v>
          </cell>
          <cell r="G686">
            <v>90</v>
          </cell>
          <cell r="H686" t="str">
            <v>singleron-3'全长转录组文库</v>
          </cell>
          <cell r="I686" t="str">
            <v>WWH</v>
          </cell>
          <cell r="J686">
            <v>20.2</v>
          </cell>
          <cell r="N686" t="e">
            <v>#DIV/0!</v>
          </cell>
        </row>
        <row r="687">
          <cell r="E687" t="str">
            <v>HGC-Lib-2461880</v>
          </cell>
          <cell r="F687" t="str">
            <v>LPROC240728006</v>
          </cell>
          <cell r="G687">
            <v>180</v>
          </cell>
          <cell r="H687" t="str">
            <v>singleron-3'转录组文库</v>
          </cell>
          <cell r="I687" t="str">
            <v>WWH</v>
          </cell>
          <cell r="J687">
            <v>18.899999999999999</v>
          </cell>
          <cell r="N687" t="e">
            <v>#DIV/0!</v>
          </cell>
        </row>
        <row r="688">
          <cell r="E688" t="str">
            <v>HGC-Lib-2461881</v>
          </cell>
          <cell r="F688" t="str">
            <v>LPROC240728007</v>
          </cell>
          <cell r="G688">
            <v>180</v>
          </cell>
          <cell r="H688" t="str">
            <v>singleron-3'转录组文库</v>
          </cell>
          <cell r="I688" t="str">
            <v>WWH</v>
          </cell>
          <cell r="J688">
            <v>16.600000000000001</v>
          </cell>
          <cell r="N688" t="e">
            <v>#DIV/0!</v>
          </cell>
        </row>
        <row r="689">
          <cell r="E689" t="str">
            <v>HGC-Lib-2461882</v>
          </cell>
          <cell r="F689" t="str">
            <v>LPROC240728008</v>
          </cell>
          <cell r="G689">
            <v>180</v>
          </cell>
          <cell r="H689" t="str">
            <v>singleron-3'转录组文库</v>
          </cell>
          <cell r="I689" t="str">
            <v>WWH</v>
          </cell>
          <cell r="J689">
            <v>19.5</v>
          </cell>
          <cell r="N689" t="e">
            <v>#DIV/0!</v>
          </cell>
        </row>
        <row r="690">
          <cell r="E690" t="str">
            <v>HGC-Lib-2461883</v>
          </cell>
          <cell r="F690" t="str">
            <v>LPROC240728009</v>
          </cell>
          <cell r="G690">
            <v>180</v>
          </cell>
          <cell r="H690" t="str">
            <v>singleron-3'转录组文库</v>
          </cell>
          <cell r="I690" t="str">
            <v>WWH</v>
          </cell>
          <cell r="J690">
            <v>17.100000000000001</v>
          </cell>
          <cell r="N690" t="e">
            <v>#DIV/0!</v>
          </cell>
        </row>
        <row r="691">
          <cell r="E691" t="str">
            <v>HGC-Lib-2461884</v>
          </cell>
          <cell r="F691" t="str">
            <v>LFTBA240725065X2</v>
          </cell>
          <cell r="G691">
            <v>90</v>
          </cell>
          <cell r="H691" t="str">
            <v>singleron-3'全长转录组文库</v>
          </cell>
          <cell r="I691" t="str">
            <v>WWH</v>
          </cell>
          <cell r="J691">
            <v>20.8</v>
          </cell>
          <cell r="N691" t="e">
            <v>#DIV/0!</v>
          </cell>
        </row>
        <row r="692">
          <cell r="E692" t="str">
            <v>HGC-Lib-2461885</v>
          </cell>
          <cell r="F692" t="str">
            <v>LFTBA240725067X2</v>
          </cell>
          <cell r="G692">
            <v>90</v>
          </cell>
          <cell r="H692" t="str">
            <v>singleron-3'全长转录组文库</v>
          </cell>
          <cell r="I692" t="str">
            <v>WWH</v>
          </cell>
          <cell r="J692">
            <v>11.9</v>
          </cell>
          <cell r="N692" t="e">
            <v>#DIV/0!</v>
          </cell>
        </row>
        <row r="693">
          <cell r="E693" t="str">
            <v>HGC-Lib-2461886</v>
          </cell>
          <cell r="F693" t="str">
            <v>LFTBC240725064X2</v>
          </cell>
          <cell r="G693">
            <v>90</v>
          </cell>
          <cell r="H693" t="str">
            <v>singleron-3'全长转录组文库</v>
          </cell>
          <cell r="I693" t="str">
            <v>WWH</v>
          </cell>
          <cell r="J693">
            <v>13.4</v>
          </cell>
          <cell r="N693" t="e">
            <v>#DIV/0!</v>
          </cell>
        </row>
        <row r="694">
          <cell r="E694" t="str">
            <v>HGC-Lib-2461887</v>
          </cell>
          <cell r="F694" t="str">
            <v>LA240726225</v>
          </cell>
          <cell r="G694">
            <v>100</v>
          </cell>
          <cell r="H694" t="str">
            <v>singleron-3'转录组文库</v>
          </cell>
          <cell r="I694" t="str">
            <v>WWH</v>
          </cell>
          <cell r="J694">
            <v>24.2</v>
          </cell>
          <cell r="N694" t="e">
            <v>#DIV/0!</v>
          </cell>
        </row>
        <row r="695">
          <cell r="E695" t="str">
            <v>HGC-Lib-2461888</v>
          </cell>
          <cell r="F695" t="str">
            <v>LA240726227</v>
          </cell>
          <cell r="G695">
            <v>100</v>
          </cell>
          <cell r="H695" t="str">
            <v>singleron-3'转录组文库</v>
          </cell>
          <cell r="I695" t="str">
            <v>WWH</v>
          </cell>
          <cell r="J695">
            <v>12.5</v>
          </cell>
          <cell r="N695" t="e">
            <v>#DIV/0!</v>
          </cell>
        </row>
        <row r="696">
          <cell r="E696" t="str">
            <v>HGC-Lib-2461889</v>
          </cell>
          <cell r="F696" t="str">
            <v>LA240726228</v>
          </cell>
          <cell r="G696">
            <v>100</v>
          </cell>
          <cell r="H696" t="str">
            <v>singleron-3'转录组文库</v>
          </cell>
          <cell r="I696" t="str">
            <v>WWH</v>
          </cell>
          <cell r="J696">
            <v>12.6</v>
          </cell>
          <cell r="N696" t="e">
            <v>#DIV/0!</v>
          </cell>
        </row>
        <row r="697">
          <cell r="E697" t="str">
            <v>HGC-Lib-2461890</v>
          </cell>
          <cell r="F697" t="str">
            <v>LA240726230</v>
          </cell>
          <cell r="G697">
            <v>100</v>
          </cell>
          <cell r="H697" t="str">
            <v>singleron-3'转录组文库</v>
          </cell>
          <cell r="I697" t="str">
            <v>WWH</v>
          </cell>
          <cell r="J697">
            <v>15.4</v>
          </cell>
          <cell r="N697" t="e">
            <v>#DIV/0!</v>
          </cell>
        </row>
        <row r="698">
          <cell r="E698" t="str">
            <v>HGC-Lib-2461891</v>
          </cell>
          <cell r="F698" t="str">
            <v>LA240726231</v>
          </cell>
          <cell r="G698">
            <v>100</v>
          </cell>
          <cell r="H698" t="str">
            <v>singleron-3'转录组文库</v>
          </cell>
          <cell r="I698" t="str">
            <v>WWH</v>
          </cell>
          <cell r="J698">
            <v>15.7</v>
          </cell>
          <cell r="N698" t="e">
            <v>#DIV/0!</v>
          </cell>
        </row>
        <row r="699">
          <cell r="E699" t="str">
            <v>HGC-Lib-2461892</v>
          </cell>
          <cell r="F699" t="str">
            <v>LA240726232</v>
          </cell>
          <cell r="G699">
            <v>100</v>
          </cell>
          <cell r="H699" t="str">
            <v>singleron-3'转录组文库</v>
          </cell>
          <cell r="I699" t="str">
            <v>WWH</v>
          </cell>
          <cell r="J699">
            <v>15.9</v>
          </cell>
          <cell r="N699" t="e">
            <v>#DIV/0!</v>
          </cell>
        </row>
        <row r="700">
          <cell r="E700" t="str">
            <v>HGC-Lib-2461893</v>
          </cell>
          <cell r="F700" t="str">
            <v>LA240727043</v>
          </cell>
          <cell r="G700">
            <v>100</v>
          </cell>
          <cell r="H700" t="str">
            <v>singleron-3'转录组文库</v>
          </cell>
          <cell r="I700" t="str">
            <v>WWH</v>
          </cell>
          <cell r="J700">
            <v>18.8</v>
          </cell>
          <cell r="N700" t="e">
            <v>#DIV/0!</v>
          </cell>
        </row>
        <row r="701">
          <cell r="E701" t="str">
            <v>HGC-Lib-2461894</v>
          </cell>
          <cell r="F701" t="str">
            <v>LA240727044</v>
          </cell>
          <cell r="G701">
            <v>100</v>
          </cell>
          <cell r="H701" t="str">
            <v>singleron-3'转录组文库</v>
          </cell>
          <cell r="I701" t="str">
            <v>WWH</v>
          </cell>
          <cell r="J701">
            <v>15</v>
          </cell>
          <cell r="N701" t="e">
            <v>#DIV/0!</v>
          </cell>
        </row>
        <row r="702">
          <cell r="E702" t="str">
            <v>HGC-Lib-2461895</v>
          </cell>
          <cell r="F702" t="str">
            <v>LA240727045</v>
          </cell>
          <cell r="G702">
            <v>100</v>
          </cell>
          <cell r="H702" t="str">
            <v>singleron-3'转录组文库</v>
          </cell>
          <cell r="I702" t="str">
            <v>WWH</v>
          </cell>
          <cell r="J702">
            <v>21.4</v>
          </cell>
          <cell r="N702" t="e">
            <v>#DIV/0!</v>
          </cell>
        </row>
        <row r="703">
          <cell r="E703" t="str">
            <v>HGC-Lib-2461896</v>
          </cell>
          <cell r="F703" t="str">
            <v>LA240727046</v>
          </cell>
          <cell r="G703">
            <v>100</v>
          </cell>
          <cell r="H703" t="str">
            <v>singleron-3'转录组文库</v>
          </cell>
          <cell r="I703" t="str">
            <v>WWH</v>
          </cell>
          <cell r="J703">
            <v>18.600000000000001</v>
          </cell>
          <cell r="N703" t="e">
            <v>#DIV/0!</v>
          </cell>
        </row>
        <row r="704">
          <cell r="E704" t="str">
            <v>HGC-POOL-2461897</v>
          </cell>
          <cell r="F704" t="str">
            <v>PCRD-240802-001</v>
          </cell>
          <cell r="G704">
            <v>60</v>
          </cell>
          <cell r="H704" t="str">
            <v>singleron-3'转录组文库</v>
          </cell>
          <cell r="I704" t="str">
            <v>WWH</v>
          </cell>
          <cell r="J704">
            <v>18.100000000000001</v>
          </cell>
          <cell r="N704" t="e">
            <v>#DIV/0!</v>
          </cell>
        </row>
        <row r="705">
          <cell r="E705" t="str">
            <v>HGC-POOL-2461898</v>
          </cell>
          <cell r="F705" t="str">
            <v>PCRD-240802-002</v>
          </cell>
          <cell r="G705">
            <v>30</v>
          </cell>
          <cell r="H705" t="str">
            <v>singleron-3'转录组文库</v>
          </cell>
          <cell r="I705" t="str">
            <v>WWH</v>
          </cell>
          <cell r="J705">
            <v>6.06</v>
          </cell>
          <cell r="N705" t="e">
            <v>#DIV/0!</v>
          </cell>
        </row>
        <row r="706">
          <cell r="E706" t="str">
            <v>HGC-POOL-2461899</v>
          </cell>
          <cell r="F706" t="str">
            <v>PCRD-240802-006</v>
          </cell>
          <cell r="G706">
            <v>28</v>
          </cell>
          <cell r="H706" t="str">
            <v>singleron-3'转录组文库</v>
          </cell>
          <cell r="I706" t="str">
            <v>WWH</v>
          </cell>
          <cell r="J706">
            <v>7.02</v>
          </cell>
          <cell r="N706" t="e">
            <v>#DIV/0!</v>
          </cell>
        </row>
        <row r="707">
          <cell r="E707" t="str">
            <v>HGC-Lib-2461900</v>
          </cell>
          <cell r="F707" t="str">
            <v>R240802050</v>
          </cell>
          <cell r="G707">
            <v>5</v>
          </cell>
          <cell r="H707" t="str">
            <v>singleron-3'转录组文库</v>
          </cell>
          <cell r="I707" t="str">
            <v>WWH</v>
          </cell>
          <cell r="J707">
            <v>28.4</v>
          </cell>
          <cell r="N707" t="e">
            <v>#DIV/0!</v>
          </cell>
        </row>
        <row r="708">
          <cell r="E708" t="str">
            <v>HGC-Lib-2461901</v>
          </cell>
          <cell r="F708" t="str">
            <v>R240802051</v>
          </cell>
          <cell r="G708">
            <v>5</v>
          </cell>
          <cell r="H708" t="str">
            <v>singleron-3'转录组文库</v>
          </cell>
          <cell r="I708" t="str">
            <v>WWH</v>
          </cell>
          <cell r="J708">
            <v>24.6</v>
          </cell>
          <cell r="N708" t="e">
            <v>#DIV/0!</v>
          </cell>
        </row>
        <row r="709">
          <cell r="E709" t="str">
            <v>HGC-Lib-2461902</v>
          </cell>
          <cell r="F709" t="str">
            <v>R240802052</v>
          </cell>
          <cell r="G709">
            <v>5</v>
          </cell>
          <cell r="H709" t="str">
            <v>singleron-3'转录组文库</v>
          </cell>
          <cell r="I709" t="str">
            <v>WWH</v>
          </cell>
          <cell r="J709">
            <v>21.4</v>
          </cell>
          <cell r="N709" t="e">
            <v>#DIV/0!</v>
          </cell>
        </row>
        <row r="710">
          <cell r="E710" t="str">
            <v>HGC-Lib-2461903</v>
          </cell>
          <cell r="F710" t="str">
            <v>R240802053</v>
          </cell>
          <cell r="G710">
            <v>5</v>
          </cell>
          <cell r="H710" t="str">
            <v>singleron-3'转录组文库</v>
          </cell>
          <cell r="I710" t="str">
            <v>WWH</v>
          </cell>
          <cell r="J710">
            <v>29.4</v>
          </cell>
          <cell r="N710" t="e">
            <v>#DIV/0!</v>
          </cell>
        </row>
        <row r="711">
          <cell r="E711" t="str">
            <v>HGC-Lib-2461904</v>
          </cell>
          <cell r="F711" t="str">
            <v>R240802054</v>
          </cell>
          <cell r="G711">
            <v>5</v>
          </cell>
          <cell r="H711" t="str">
            <v>singleron-3'转录组文库</v>
          </cell>
          <cell r="I711" t="str">
            <v>WWH</v>
          </cell>
          <cell r="J711">
            <v>20.6</v>
          </cell>
          <cell r="N711" t="e">
            <v>#DIV/0!</v>
          </cell>
        </row>
        <row r="712">
          <cell r="E712" t="str">
            <v>HGC-Lib-2461905</v>
          </cell>
          <cell r="F712" t="str">
            <v>R240802055</v>
          </cell>
          <cell r="G712">
            <v>5</v>
          </cell>
          <cell r="H712" t="str">
            <v>singleron-3'转录组文库</v>
          </cell>
          <cell r="I712" t="str">
            <v>WWH</v>
          </cell>
          <cell r="J712">
            <v>20.399999999999999</v>
          </cell>
          <cell r="N712" t="e">
            <v>#DIV/0!</v>
          </cell>
        </row>
        <row r="713">
          <cell r="E713" t="str">
            <v>HGC-Lib-2461906</v>
          </cell>
          <cell r="F713" t="str">
            <v>R240802056</v>
          </cell>
          <cell r="G713">
            <v>5</v>
          </cell>
          <cell r="H713" t="str">
            <v>singleron-3'转录组文库</v>
          </cell>
          <cell r="I713" t="str">
            <v>WWH</v>
          </cell>
          <cell r="J713">
            <v>24</v>
          </cell>
          <cell r="N713" t="e">
            <v>#DIV/0!</v>
          </cell>
        </row>
        <row r="714">
          <cell r="E714" t="str">
            <v>HGC-Lib-2461907</v>
          </cell>
          <cell r="F714" t="str">
            <v>R240802057</v>
          </cell>
          <cell r="G714">
            <v>5</v>
          </cell>
          <cell r="H714" t="str">
            <v>singleron-3'转录组文库</v>
          </cell>
          <cell r="I714" t="str">
            <v>WWH</v>
          </cell>
          <cell r="J714">
            <v>22.8</v>
          </cell>
          <cell r="N714" t="e">
            <v>#DIV/0!</v>
          </cell>
        </row>
        <row r="715">
          <cell r="E715" t="str">
            <v>HGC-Lib-2461908</v>
          </cell>
          <cell r="F715" t="str">
            <v>R240802058</v>
          </cell>
          <cell r="G715">
            <v>5</v>
          </cell>
          <cell r="H715" t="str">
            <v>singleron-3'转录组文库</v>
          </cell>
          <cell r="I715" t="str">
            <v>WWH</v>
          </cell>
          <cell r="J715">
            <v>18.5</v>
          </cell>
          <cell r="N715" t="e">
            <v>#DIV/0!</v>
          </cell>
        </row>
        <row r="716">
          <cell r="E716" t="str">
            <v>HGC-Lib-2461909</v>
          </cell>
          <cell r="F716" t="str">
            <v>R240725026</v>
          </cell>
          <cell r="G716">
            <v>20</v>
          </cell>
          <cell r="H716" t="str">
            <v>mRNA文库</v>
          </cell>
          <cell r="I716" t="str">
            <v>WWH</v>
          </cell>
          <cell r="J716">
            <v>3.96</v>
          </cell>
          <cell r="N716" t="e">
            <v>#DIV/0!</v>
          </cell>
        </row>
        <row r="717">
          <cell r="E717" t="str">
            <v>HGC-Lib-2461910</v>
          </cell>
          <cell r="F717" t="str">
            <v>R240725033</v>
          </cell>
          <cell r="G717">
            <v>20</v>
          </cell>
          <cell r="H717" t="str">
            <v>mRNA文库</v>
          </cell>
          <cell r="I717" t="str">
            <v>WWH</v>
          </cell>
          <cell r="J717">
            <v>3.72</v>
          </cell>
          <cell r="N717" t="e">
            <v>#DIV/0!</v>
          </cell>
        </row>
        <row r="718">
          <cell r="E718" t="str">
            <v>HGC-Lib-2461911</v>
          </cell>
          <cell r="F718" t="str">
            <v>R240725043</v>
          </cell>
          <cell r="G718">
            <v>20</v>
          </cell>
          <cell r="H718" t="str">
            <v>mRNA文库</v>
          </cell>
          <cell r="I718" t="str">
            <v>WWH</v>
          </cell>
          <cell r="J718">
            <v>3.94</v>
          </cell>
          <cell r="N718" t="e">
            <v>#DIV/0!</v>
          </cell>
        </row>
        <row r="719">
          <cell r="E719" t="str">
            <v>HGC-Lib-2461912</v>
          </cell>
          <cell r="F719" t="str">
            <v>R240725050</v>
          </cell>
          <cell r="G719">
            <v>20</v>
          </cell>
          <cell r="H719" t="str">
            <v>mRNA文库</v>
          </cell>
          <cell r="I719" t="str">
            <v>WWH</v>
          </cell>
          <cell r="J719">
            <v>4.24</v>
          </cell>
          <cell r="N719" t="e">
            <v>#DIV/0!</v>
          </cell>
        </row>
        <row r="720">
          <cell r="E720" t="str">
            <v>HGC-Lib-2461925</v>
          </cell>
          <cell r="F720" t="str">
            <v>NGS0324039-3</v>
          </cell>
          <cell r="G720">
            <v>6</v>
          </cell>
          <cell r="H720" t="str">
            <v>mRNA文库</v>
          </cell>
          <cell r="I720" t="str">
            <v>ZZ</v>
          </cell>
          <cell r="J720">
            <v>13.3</v>
          </cell>
          <cell r="N720" t="e">
            <v>#DIV/0!</v>
          </cell>
        </row>
        <row r="721">
          <cell r="E721" t="str">
            <v>HGC-Lib-2461926</v>
          </cell>
          <cell r="F721" t="str">
            <v>NGS0324039-5</v>
          </cell>
          <cell r="G721">
            <v>6</v>
          </cell>
          <cell r="H721" t="str">
            <v>mRNA文库</v>
          </cell>
          <cell r="I721" t="str">
            <v>ZZ</v>
          </cell>
          <cell r="J721">
            <v>16.8</v>
          </cell>
          <cell r="N721" t="e">
            <v>#DIV/0!</v>
          </cell>
        </row>
        <row r="722">
          <cell r="E722" t="str">
            <v>HGC-Lib-2461927</v>
          </cell>
          <cell r="F722" t="str">
            <v>NGS0324039-9</v>
          </cell>
          <cell r="G722">
            <v>6</v>
          </cell>
          <cell r="H722" t="str">
            <v>mRNA文库</v>
          </cell>
          <cell r="I722" t="str">
            <v>ZZ</v>
          </cell>
          <cell r="J722">
            <v>16.5</v>
          </cell>
          <cell r="N722" t="e">
            <v>#DIV/0!</v>
          </cell>
        </row>
        <row r="723">
          <cell r="E723" t="str">
            <v>HGC-Lib-2461928</v>
          </cell>
          <cell r="F723" t="str">
            <v>NGS0324040-2</v>
          </cell>
          <cell r="G723">
            <v>6</v>
          </cell>
          <cell r="H723" t="str">
            <v>mRNA文库</v>
          </cell>
          <cell r="I723" t="str">
            <v>ZZ</v>
          </cell>
          <cell r="J723">
            <v>15.2</v>
          </cell>
          <cell r="N723" t="e">
            <v>#DIV/0!</v>
          </cell>
        </row>
        <row r="724">
          <cell r="E724" t="str">
            <v>HGC-Lib-2461929</v>
          </cell>
          <cell r="F724" t="str">
            <v>NGS0324040-3</v>
          </cell>
          <cell r="G724">
            <v>6</v>
          </cell>
          <cell r="H724" t="str">
            <v>mRNA文库</v>
          </cell>
          <cell r="I724" t="str">
            <v>ZZ</v>
          </cell>
          <cell r="J724">
            <v>14.1</v>
          </cell>
          <cell r="N724" t="e">
            <v>#DIV/0!</v>
          </cell>
        </row>
        <row r="725">
          <cell r="E725" t="str">
            <v>HGC-Lib-2461930</v>
          </cell>
          <cell r="F725" t="str">
            <v>NGS0324040-4</v>
          </cell>
          <cell r="G725">
            <v>6</v>
          </cell>
          <cell r="H725" t="str">
            <v>mRNA文库</v>
          </cell>
          <cell r="I725" t="str">
            <v>ZZ</v>
          </cell>
          <cell r="J725">
            <v>13.7</v>
          </cell>
          <cell r="N725" t="e">
            <v>#DIV/0!</v>
          </cell>
        </row>
        <row r="726">
          <cell r="E726" t="str">
            <v>HGC-Lib-2461937</v>
          </cell>
          <cell r="F726" t="str">
            <v>ZS97-mi-1</v>
          </cell>
          <cell r="G726">
            <v>6</v>
          </cell>
          <cell r="H726" t="str">
            <v>RNA-seq文库</v>
          </cell>
          <cell r="I726" t="str">
            <v>ZZ</v>
          </cell>
          <cell r="J726">
            <v>29</v>
          </cell>
          <cell r="K726">
            <v>342</v>
          </cell>
          <cell r="L726" t="str">
            <v>WH</v>
          </cell>
          <cell r="N726">
            <v>130.45434098065701</v>
          </cell>
        </row>
        <row r="727">
          <cell r="E727" t="str">
            <v>HGC-Lib-2461938</v>
          </cell>
          <cell r="F727" t="str">
            <v>ZS97-mi-2</v>
          </cell>
          <cell r="G727">
            <v>6</v>
          </cell>
          <cell r="H727" t="str">
            <v>RNA-seq文库</v>
          </cell>
          <cell r="I727" t="str">
            <v>ZZ</v>
          </cell>
          <cell r="J727">
            <v>18.399999999999999</v>
          </cell>
          <cell r="K727">
            <v>337</v>
          </cell>
          <cell r="L727" t="str">
            <v>WH</v>
          </cell>
          <cell r="N727">
            <v>83.999086966446001</v>
          </cell>
        </row>
        <row r="728">
          <cell r="E728" t="str">
            <v>HGC-Lib-2461939</v>
          </cell>
          <cell r="F728" t="str">
            <v>ZS97-mi-3</v>
          </cell>
          <cell r="G728">
            <v>6</v>
          </cell>
          <cell r="H728" t="str">
            <v>RNA-seq文库</v>
          </cell>
          <cell r="I728" t="str">
            <v>ZZ</v>
          </cell>
          <cell r="J728">
            <v>22.6</v>
          </cell>
          <cell r="K728">
            <v>342</v>
          </cell>
          <cell r="L728" t="str">
            <v>WH</v>
          </cell>
          <cell r="N728">
            <v>101.66441745389101</v>
          </cell>
        </row>
        <row r="729">
          <cell r="E729" t="str">
            <v>HGC-Lib-2461940</v>
          </cell>
          <cell r="F729" t="str">
            <v>sdg723-mi-1</v>
          </cell>
          <cell r="G729">
            <v>6</v>
          </cell>
          <cell r="H729" t="str">
            <v>RNA-seq文库</v>
          </cell>
          <cell r="I729" t="str">
            <v>ZZ</v>
          </cell>
          <cell r="J729">
            <v>20.399999999999999</v>
          </cell>
          <cell r="K729">
            <v>342</v>
          </cell>
          <cell r="L729" t="str">
            <v>WH</v>
          </cell>
          <cell r="N729">
            <v>91.767881241565505</v>
          </cell>
        </row>
        <row r="730">
          <cell r="E730" t="str">
            <v>HGC-Lib-2461941</v>
          </cell>
          <cell r="F730" t="str">
            <v>sdg723-mi-2</v>
          </cell>
          <cell r="G730">
            <v>6</v>
          </cell>
          <cell r="H730" t="str">
            <v>RNA-seq文库</v>
          </cell>
          <cell r="I730" t="str">
            <v>ZZ</v>
          </cell>
          <cell r="J730">
            <v>19.899999999999999</v>
          </cell>
          <cell r="K730">
            <v>345</v>
          </cell>
          <cell r="L730" t="str">
            <v>WH</v>
          </cell>
          <cell r="N730">
            <v>88.740245261984398</v>
          </cell>
        </row>
        <row r="731">
          <cell r="E731" t="str">
            <v>HGC-Lib-2461942</v>
          </cell>
          <cell r="F731" t="str">
            <v>sdg723-mi-3</v>
          </cell>
          <cell r="G731">
            <v>6</v>
          </cell>
          <cell r="H731" t="str">
            <v>RNA-seq文库</v>
          </cell>
          <cell r="I731" t="str">
            <v>ZZ</v>
          </cell>
          <cell r="J731">
            <v>19.7</v>
          </cell>
          <cell r="K731">
            <v>340</v>
          </cell>
          <cell r="L731" t="str">
            <v>WH</v>
          </cell>
          <cell r="N731">
            <v>89.140271493212694</v>
          </cell>
        </row>
        <row r="732">
          <cell r="E732" t="str">
            <v>HGC-Lib-2461943</v>
          </cell>
          <cell r="F732" t="str">
            <v>sdg701-mi-1</v>
          </cell>
          <cell r="G732">
            <v>6</v>
          </cell>
          <cell r="H732" t="str">
            <v>RNA-seq文库</v>
          </cell>
          <cell r="I732" t="str">
            <v>ZZ</v>
          </cell>
          <cell r="J732">
            <v>19.3</v>
          </cell>
          <cell r="K732">
            <v>338</v>
          </cell>
          <cell r="L732" t="str">
            <v>WH</v>
          </cell>
          <cell r="N732">
            <v>87.8470641784251</v>
          </cell>
        </row>
        <row r="733">
          <cell r="E733" t="str">
            <v>HGC-Lib-2461944</v>
          </cell>
          <cell r="F733" t="str">
            <v>sdg701-mi-2</v>
          </cell>
          <cell r="G733">
            <v>6</v>
          </cell>
          <cell r="H733" t="str">
            <v>RNA-seq文库</v>
          </cell>
          <cell r="I733" t="str">
            <v>ZZ</v>
          </cell>
          <cell r="J733">
            <v>19.3</v>
          </cell>
          <cell r="K733">
            <v>343</v>
          </cell>
          <cell r="L733" t="str">
            <v>WH</v>
          </cell>
          <cell r="N733">
            <v>86.566494729759995</v>
          </cell>
        </row>
        <row r="734">
          <cell r="E734" t="str">
            <v>HGC-Lib-2461945</v>
          </cell>
          <cell r="F734" t="str">
            <v>sdg701-mi-3</v>
          </cell>
          <cell r="G734">
            <v>6</v>
          </cell>
          <cell r="H734" t="str">
            <v>RNA-seq文库</v>
          </cell>
          <cell r="I734" t="str">
            <v>ZZ</v>
          </cell>
          <cell r="J734">
            <v>19.7</v>
          </cell>
          <cell r="K734">
            <v>348</v>
          </cell>
          <cell r="L734" t="str">
            <v>WH</v>
          </cell>
          <cell r="N734">
            <v>87.091069849690498</v>
          </cell>
        </row>
        <row r="735">
          <cell r="E735" t="str">
            <v>HGC-Lib-2461946</v>
          </cell>
          <cell r="F735" t="str">
            <v>SY63-pollen-1</v>
          </cell>
          <cell r="G735">
            <v>10</v>
          </cell>
          <cell r="H735" t="str">
            <v>RNA-seq文库</v>
          </cell>
          <cell r="I735" t="str">
            <v>ZZ</v>
          </cell>
          <cell r="J735" t="str">
            <v>/</v>
          </cell>
          <cell r="K735" t="str">
            <v>/</v>
          </cell>
          <cell r="L735" t="str">
            <v>GZQ</v>
          </cell>
          <cell r="N735" t="e">
            <v>#VALUE!</v>
          </cell>
        </row>
        <row r="736">
          <cell r="E736" t="str">
            <v>HGC-Lib-2461947</v>
          </cell>
          <cell r="F736" t="str">
            <v>SY63-pollen-2</v>
          </cell>
          <cell r="G736">
            <v>10</v>
          </cell>
          <cell r="H736" t="str">
            <v>RNA-seq文库</v>
          </cell>
          <cell r="I736" t="str">
            <v>ZZ</v>
          </cell>
          <cell r="J736">
            <v>28.6</v>
          </cell>
          <cell r="K736">
            <v>299</v>
          </cell>
          <cell r="L736" t="str">
            <v>WH</v>
          </cell>
          <cell r="N736">
            <v>147.157190635452</v>
          </cell>
        </row>
        <row r="737">
          <cell r="E737" t="str">
            <v>HGC-Lib-2461948</v>
          </cell>
          <cell r="F737" t="str">
            <v>SY63-pollen-3</v>
          </cell>
          <cell r="G737">
            <v>10</v>
          </cell>
          <cell r="H737" t="str">
            <v>RNA-seq文库</v>
          </cell>
          <cell r="I737" t="str">
            <v>ZZ</v>
          </cell>
          <cell r="J737">
            <v>0.16600000000000001</v>
          </cell>
          <cell r="K737">
            <v>269</v>
          </cell>
          <cell r="L737" t="str">
            <v>GZQ</v>
          </cell>
          <cell r="N737">
            <v>0.94938518730340304</v>
          </cell>
        </row>
        <row r="738">
          <cell r="E738" t="str">
            <v>HGC-Lib-2461949</v>
          </cell>
          <cell r="F738" t="str">
            <v>sdg703-mi-1</v>
          </cell>
          <cell r="G738">
            <v>6</v>
          </cell>
          <cell r="H738" t="str">
            <v>RNA-seq文库</v>
          </cell>
          <cell r="I738" t="str">
            <v>ZZ</v>
          </cell>
          <cell r="J738">
            <v>19.3</v>
          </cell>
          <cell r="K738">
            <v>355</v>
          </cell>
          <cell r="L738" t="str">
            <v>WH</v>
          </cell>
          <cell r="N738">
            <v>83.640303358613195</v>
          </cell>
        </row>
        <row r="739">
          <cell r="E739" t="str">
            <v>HGC-Lib-2461950</v>
          </cell>
          <cell r="F739" t="str">
            <v>GZSZH-ATAC-1</v>
          </cell>
          <cell r="G739">
            <v>10</v>
          </cell>
          <cell r="H739" t="str">
            <v>ATAC-Seq文库</v>
          </cell>
          <cell r="I739" t="str">
            <v>ZZ</v>
          </cell>
          <cell r="J739">
            <v>87</v>
          </cell>
          <cell r="K739">
            <v>340</v>
          </cell>
          <cell r="L739" t="str">
            <v>WH</v>
          </cell>
          <cell r="N739">
            <v>393.665158371041</v>
          </cell>
        </row>
        <row r="740">
          <cell r="E740" t="str">
            <v>HGC-Lib-2461951</v>
          </cell>
          <cell r="F740" t="str">
            <v>GZSZH-ATAC-2</v>
          </cell>
          <cell r="G740">
            <v>10</v>
          </cell>
          <cell r="H740" t="str">
            <v>ATAC-Seq文库</v>
          </cell>
          <cell r="I740" t="str">
            <v>ZZ</v>
          </cell>
          <cell r="J740">
            <v>38.5</v>
          </cell>
          <cell r="K740">
            <v>299</v>
          </cell>
          <cell r="L740" t="str">
            <v>WH</v>
          </cell>
          <cell r="N740">
            <v>198.09621816310801</v>
          </cell>
        </row>
        <row r="741">
          <cell r="E741" t="str">
            <v>HGC-Lib-2461952</v>
          </cell>
          <cell r="F741" t="str">
            <v>EZSZH-ATAC-1</v>
          </cell>
          <cell r="G741">
            <v>10</v>
          </cell>
          <cell r="H741" t="str">
            <v>ATAC-Seq文库</v>
          </cell>
          <cell r="I741" t="str">
            <v>ZZ</v>
          </cell>
          <cell r="J741">
            <v>39.4</v>
          </cell>
          <cell r="K741">
            <v>727</v>
          </cell>
          <cell r="L741" t="str">
            <v>WH</v>
          </cell>
          <cell r="N741">
            <v>83.377420378795904</v>
          </cell>
        </row>
        <row r="742">
          <cell r="E742" t="str">
            <v>HGC-Lib-2461953</v>
          </cell>
          <cell r="F742" t="str">
            <v>EZSZH-ATAC-2</v>
          </cell>
          <cell r="G742">
            <v>10</v>
          </cell>
          <cell r="H742" t="str">
            <v>ATAC-Seq文库</v>
          </cell>
          <cell r="I742" t="str">
            <v>ZZ</v>
          </cell>
          <cell r="J742">
            <v>43.6</v>
          </cell>
          <cell r="K742">
            <v>707</v>
          </cell>
          <cell r="L742" t="str">
            <v>WH</v>
          </cell>
          <cell r="N742">
            <v>94.875421608094896</v>
          </cell>
        </row>
        <row r="743">
          <cell r="E743" t="str">
            <v>HGC-Lib-2461960</v>
          </cell>
          <cell r="F743" t="str">
            <v>14-31</v>
          </cell>
          <cell r="G743">
            <v>3</v>
          </cell>
          <cell r="H743" t="str">
            <v>PCR产物文库</v>
          </cell>
          <cell r="I743" t="str">
            <v>ZZ</v>
          </cell>
          <cell r="J743">
            <v>1.53</v>
          </cell>
          <cell r="K743">
            <v>334</v>
          </cell>
          <cell r="L743" t="str">
            <v>GZQ</v>
          </cell>
          <cell r="N743">
            <v>7.0474435743896802</v>
          </cell>
        </row>
        <row r="744">
          <cell r="E744" t="str">
            <v>HGC-Lib-2461961</v>
          </cell>
          <cell r="F744" t="str">
            <v>14-32</v>
          </cell>
          <cell r="G744">
            <v>3</v>
          </cell>
          <cell r="H744" t="str">
            <v>PCR产物文库</v>
          </cell>
          <cell r="I744" t="str">
            <v>ZZ</v>
          </cell>
          <cell r="J744">
            <v>2.12</v>
          </cell>
          <cell r="K744">
            <v>316</v>
          </cell>
          <cell r="L744" t="str">
            <v>GZQ</v>
          </cell>
          <cell r="N744">
            <v>10.3213242453749</v>
          </cell>
        </row>
        <row r="745">
          <cell r="E745" t="str">
            <v>HGC-Lib-2461962</v>
          </cell>
          <cell r="F745" t="str">
            <v>14-33</v>
          </cell>
          <cell r="G745">
            <v>3</v>
          </cell>
          <cell r="H745" t="str">
            <v>PCR产物文库</v>
          </cell>
          <cell r="I745" t="str">
            <v>ZZ</v>
          </cell>
          <cell r="J745">
            <v>1.79</v>
          </cell>
          <cell r="K745">
            <v>305</v>
          </cell>
          <cell r="L745" t="str">
            <v>GZQ</v>
          </cell>
          <cell r="N745">
            <v>9.0290037831021408</v>
          </cell>
        </row>
        <row r="746">
          <cell r="E746" t="str">
            <v>HGC-Lib-2461963</v>
          </cell>
          <cell r="F746" t="str">
            <v>15-31</v>
          </cell>
          <cell r="G746">
            <v>3</v>
          </cell>
          <cell r="H746" t="str">
            <v>PCR产物文库</v>
          </cell>
          <cell r="I746" t="str">
            <v>ZZ</v>
          </cell>
          <cell r="J746">
            <v>2.1</v>
          </cell>
          <cell r="K746">
            <v>327</v>
          </cell>
          <cell r="L746" t="str">
            <v>GZQ</v>
          </cell>
          <cell r="N746">
            <v>9.8800282286520797</v>
          </cell>
        </row>
        <row r="747">
          <cell r="E747" t="str">
            <v>HGC-Lib-2461964</v>
          </cell>
          <cell r="F747" t="str">
            <v>15-32</v>
          </cell>
          <cell r="G747">
            <v>3</v>
          </cell>
          <cell r="H747" t="str">
            <v>PCR产物文库</v>
          </cell>
          <cell r="I747" t="str">
            <v>ZZ</v>
          </cell>
          <cell r="J747">
            <v>1.86</v>
          </cell>
          <cell r="K747">
            <v>319</v>
          </cell>
          <cell r="L747" t="str">
            <v>GZQ</v>
          </cell>
          <cell r="N747">
            <v>8.9703400048227593</v>
          </cell>
        </row>
        <row r="748">
          <cell r="E748" t="str">
            <v>HGC-Lib-2461965</v>
          </cell>
          <cell r="F748" t="str">
            <v>15-33</v>
          </cell>
          <cell r="G748">
            <v>3</v>
          </cell>
          <cell r="H748" t="str">
            <v>PCR产物文库</v>
          </cell>
          <cell r="I748" t="str">
            <v>ZZ</v>
          </cell>
          <cell r="J748">
            <v>1.75</v>
          </cell>
          <cell r="K748">
            <v>310</v>
          </cell>
          <cell r="L748" t="str">
            <v>GZQ</v>
          </cell>
          <cell r="N748">
            <v>8.6848635235732008</v>
          </cell>
        </row>
        <row r="749">
          <cell r="E749" t="str">
            <v>HGC-Lib-2461966</v>
          </cell>
          <cell r="F749" t="str">
            <v>16-34</v>
          </cell>
          <cell r="G749">
            <v>3</v>
          </cell>
          <cell r="H749" t="str">
            <v>PCR产物文库</v>
          </cell>
          <cell r="I749" t="str">
            <v>ZZ</v>
          </cell>
          <cell r="J749">
            <v>4.5599999999999996</v>
          </cell>
          <cell r="K749">
            <v>721</v>
          </cell>
          <cell r="L749" t="str">
            <v>GZQ</v>
          </cell>
          <cell r="N749">
            <v>9.7300757494932206</v>
          </cell>
        </row>
        <row r="750">
          <cell r="E750" t="str">
            <v>HGC-Lib-2461967</v>
          </cell>
          <cell r="F750" t="str">
            <v>16-35</v>
          </cell>
          <cell r="G750">
            <v>3</v>
          </cell>
          <cell r="H750" t="str">
            <v>PCR产物文库</v>
          </cell>
          <cell r="I750" t="str">
            <v>ZZ</v>
          </cell>
          <cell r="J750">
            <v>4.66</v>
          </cell>
          <cell r="K750">
            <v>575</v>
          </cell>
          <cell r="L750" t="str">
            <v>GZQ</v>
          </cell>
          <cell r="N750">
            <v>12.4682274247492</v>
          </cell>
        </row>
        <row r="751">
          <cell r="E751" t="str">
            <v>HGC-Lib-2461968</v>
          </cell>
          <cell r="F751" t="str">
            <v>16-36</v>
          </cell>
          <cell r="G751">
            <v>3</v>
          </cell>
          <cell r="H751" t="str">
            <v>PCR产物文库</v>
          </cell>
          <cell r="I751" t="str">
            <v>ZZ</v>
          </cell>
          <cell r="J751">
            <v>5.2</v>
          </cell>
          <cell r="K751">
            <v>567</v>
          </cell>
          <cell r="L751" t="str">
            <v>GZQ</v>
          </cell>
          <cell r="N751">
            <v>14.1093474426808</v>
          </cell>
        </row>
        <row r="752">
          <cell r="E752" t="str">
            <v>HGC-Lib-2461969</v>
          </cell>
          <cell r="F752" t="str">
            <v>18-34</v>
          </cell>
          <cell r="G752">
            <v>3</v>
          </cell>
          <cell r="H752" t="str">
            <v>PCR产物文库</v>
          </cell>
          <cell r="I752" t="str">
            <v>ZZ</v>
          </cell>
          <cell r="J752">
            <v>3.86</v>
          </cell>
          <cell r="K752">
            <v>603</v>
          </cell>
          <cell r="L752" t="str">
            <v>GZQ</v>
          </cell>
          <cell r="N752">
            <v>9.84819492282179</v>
          </cell>
        </row>
        <row r="753">
          <cell r="E753" t="str">
            <v>HGC-Lib-2461970</v>
          </cell>
          <cell r="F753" t="str">
            <v>18-35</v>
          </cell>
          <cell r="G753">
            <v>3</v>
          </cell>
          <cell r="H753" t="str">
            <v>PCR产物文库</v>
          </cell>
          <cell r="I753" t="str">
            <v>ZZ</v>
          </cell>
          <cell r="J753">
            <v>5.14</v>
          </cell>
          <cell r="K753">
            <v>831</v>
          </cell>
          <cell r="L753" t="str">
            <v>GZQ</v>
          </cell>
          <cell r="N753">
            <v>9.5158752198463397</v>
          </cell>
        </row>
        <row r="754">
          <cell r="E754" t="str">
            <v>HGC-Lib-2461971</v>
          </cell>
          <cell r="F754" t="str">
            <v>18-36</v>
          </cell>
          <cell r="G754">
            <v>3</v>
          </cell>
          <cell r="H754" t="str">
            <v>PCR产物文库</v>
          </cell>
          <cell r="I754" t="str">
            <v>ZZ</v>
          </cell>
          <cell r="J754">
            <v>6.74</v>
          </cell>
          <cell r="K754">
            <v>816</v>
          </cell>
          <cell r="L754" t="str">
            <v>GZQ</v>
          </cell>
          <cell r="N754">
            <v>12.707390648567101</v>
          </cell>
        </row>
        <row r="755">
          <cell r="E755" t="str">
            <v>HGC-Lib-2461972</v>
          </cell>
          <cell r="F755" t="str">
            <v>16-57</v>
          </cell>
          <cell r="G755">
            <v>3</v>
          </cell>
          <cell r="H755" t="str">
            <v>PCR产物文库</v>
          </cell>
          <cell r="I755" t="str">
            <v>ZZ</v>
          </cell>
          <cell r="J755">
            <v>5.9</v>
          </cell>
          <cell r="K755">
            <v>441</v>
          </cell>
          <cell r="L755" t="str">
            <v>GZQ</v>
          </cell>
          <cell r="N755">
            <v>20.582592011163399</v>
          </cell>
        </row>
        <row r="756">
          <cell r="E756" t="str">
            <v>HGC-Lib-2461973</v>
          </cell>
          <cell r="F756" t="str">
            <v>16-58</v>
          </cell>
          <cell r="G756">
            <v>3</v>
          </cell>
          <cell r="H756" t="str">
            <v>PCR产物文库</v>
          </cell>
          <cell r="I756" t="str">
            <v>ZZ</v>
          </cell>
          <cell r="J756">
            <v>8.1</v>
          </cell>
          <cell r="K756">
            <v>427</v>
          </cell>
          <cell r="L756" t="str">
            <v>GZQ</v>
          </cell>
          <cell r="N756">
            <v>29.183930823275102</v>
          </cell>
        </row>
        <row r="757">
          <cell r="E757" t="str">
            <v>HGC-Lib-2461974</v>
          </cell>
          <cell r="F757" t="str">
            <v>16-59</v>
          </cell>
          <cell r="G757">
            <v>3</v>
          </cell>
          <cell r="H757" t="str">
            <v>PCR产物文库</v>
          </cell>
          <cell r="I757" t="str">
            <v>ZZ</v>
          </cell>
          <cell r="J757">
            <v>4.9000000000000004</v>
          </cell>
          <cell r="K757">
            <v>543</v>
          </cell>
          <cell r="L757" t="str">
            <v>GZQ</v>
          </cell>
          <cell r="N757">
            <v>13.882986258676899</v>
          </cell>
        </row>
        <row r="758">
          <cell r="E758" t="str">
            <v>HGC-Lib-2461975</v>
          </cell>
          <cell r="F758" t="str">
            <v>18-57</v>
          </cell>
          <cell r="G758">
            <v>3</v>
          </cell>
          <cell r="H758" t="str">
            <v>PCR产物文库</v>
          </cell>
          <cell r="I758" t="str">
            <v>ZZ</v>
          </cell>
          <cell r="J758">
            <v>8.4</v>
          </cell>
          <cell r="K758">
            <v>756</v>
          </cell>
          <cell r="L758" t="str">
            <v>GZQ</v>
          </cell>
          <cell r="N758">
            <v>17.094017094017101</v>
          </cell>
        </row>
        <row r="759">
          <cell r="E759" t="str">
            <v>HGC-Lib-2461976</v>
          </cell>
          <cell r="F759" t="str">
            <v>18-58</v>
          </cell>
          <cell r="G759">
            <v>3</v>
          </cell>
          <cell r="H759" t="str">
            <v>PCR产物文库</v>
          </cell>
          <cell r="I759" t="str">
            <v>ZZ</v>
          </cell>
          <cell r="J759">
            <v>5.96</v>
          </cell>
          <cell r="K759">
            <v>806</v>
          </cell>
          <cell r="L759" t="str">
            <v>GZQ</v>
          </cell>
          <cell r="N759">
            <v>11.376216835273899</v>
          </cell>
        </row>
        <row r="760">
          <cell r="E760" t="str">
            <v>HGC-Lib-2461977</v>
          </cell>
          <cell r="F760" t="str">
            <v>18-59</v>
          </cell>
          <cell r="G760">
            <v>3</v>
          </cell>
          <cell r="H760" t="str">
            <v>PCR产物文库</v>
          </cell>
          <cell r="I760" t="str">
            <v>ZZ</v>
          </cell>
          <cell r="J760">
            <v>4.76</v>
          </cell>
          <cell r="K760">
            <v>671</v>
          </cell>
          <cell r="L760" t="str">
            <v>GZQ</v>
          </cell>
          <cell r="N760">
            <v>10.913676487447001</v>
          </cell>
        </row>
        <row r="761">
          <cell r="E761" t="str">
            <v>HGC-Lib-2461978</v>
          </cell>
          <cell r="F761" t="str">
            <v>PAAD-15</v>
          </cell>
          <cell r="G761">
            <v>18</v>
          </cell>
          <cell r="H761" t="str">
            <v>ATAC-Seq文库</v>
          </cell>
          <cell r="I761" t="str">
            <v>ZZ</v>
          </cell>
          <cell r="J761">
            <v>11.2</v>
          </cell>
          <cell r="K761">
            <v>340</v>
          </cell>
          <cell r="L761" t="str">
            <v>WH</v>
          </cell>
          <cell r="N761">
            <v>50.678733031674199</v>
          </cell>
        </row>
        <row r="762">
          <cell r="E762" t="str">
            <v>HGC-Lib-2461979</v>
          </cell>
          <cell r="F762" t="str">
            <v>STAD-30</v>
          </cell>
          <cell r="G762">
            <v>18</v>
          </cell>
          <cell r="H762" t="str">
            <v>ATAC-Seq文库</v>
          </cell>
          <cell r="I762" t="str">
            <v>ZZ</v>
          </cell>
          <cell r="J762">
            <v>13.6</v>
          </cell>
          <cell r="K762">
            <v>307</v>
          </cell>
          <cell r="L762" t="str">
            <v>WH</v>
          </cell>
          <cell r="N762">
            <v>68.153345026309196</v>
          </cell>
        </row>
        <row r="763">
          <cell r="E763" t="str">
            <v>HGC-Lib-2461980</v>
          </cell>
          <cell r="F763" t="str">
            <v>PAAD-30</v>
          </cell>
          <cell r="G763">
            <v>18</v>
          </cell>
          <cell r="H763" t="str">
            <v>ATAC-Seq文库</v>
          </cell>
          <cell r="I763" t="str">
            <v>ZZ</v>
          </cell>
          <cell r="J763">
            <v>22.2</v>
          </cell>
          <cell r="K763">
            <v>255</v>
          </cell>
          <cell r="L763" t="str">
            <v>WH</v>
          </cell>
          <cell r="N763">
            <v>133.93665158370999</v>
          </cell>
        </row>
        <row r="764">
          <cell r="E764" t="str">
            <v>HGC-Lib-2461981</v>
          </cell>
          <cell r="F764" t="str">
            <v>sg1-4</v>
          </cell>
          <cell r="G764">
            <v>5</v>
          </cell>
          <cell r="H764" t="str">
            <v>HI-C文库</v>
          </cell>
          <cell r="I764" t="str">
            <v>ZZ</v>
          </cell>
          <cell r="J764">
            <v>18.100000000000001</v>
          </cell>
          <cell r="K764">
            <v>317</v>
          </cell>
          <cell r="L764" t="str">
            <v>WH</v>
          </cell>
          <cell r="N764">
            <v>87.842756612472698</v>
          </cell>
        </row>
        <row r="765">
          <cell r="E765" t="str">
            <v>HGC-Lib-2461982</v>
          </cell>
          <cell r="F765" t="str">
            <v>HCT116-EV</v>
          </cell>
          <cell r="G765">
            <v>5</v>
          </cell>
          <cell r="H765" t="str">
            <v>HI-C文库</v>
          </cell>
          <cell r="I765" t="str">
            <v>ZZ</v>
          </cell>
          <cell r="J765">
            <v>11.9</v>
          </cell>
          <cell r="K765">
            <v>325</v>
          </cell>
          <cell r="L765" t="str">
            <v>WH</v>
          </cell>
          <cell r="N765">
            <v>56.331360946745598</v>
          </cell>
        </row>
        <row r="766">
          <cell r="E766" t="str">
            <v>HGC-Lib-2461983</v>
          </cell>
          <cell r="F766" t="str">
            <v>OE-delIDR</v>
          </cell>
          <cell r="G766">
            <v>5</v>
          </cell>
          <cell r="H766" t="str">
            <v>HI-C文库</v>
          </cell>
          <cell r="I766" t="str">
            <v>ZZ</v>
          </cell>
          <cell r="J766">
            <v>16.100000000000001</v>
          </cell>
          <cell r="K766">
            <v>343</v>
          </cell>
          <cell r="L766" t="str">
            <v>WH</v>
          </cell>
          <cell r="N766">
            <v>72.213500784929394</v>
          </cell>
        </row>
        <row r="767">
          <cell r="E767" t="str">
            <v>HGC-Lib-2461993</v>
          </cell>
          <cell r="F767" t="str">
            <v>ZYJ1WTA</v>
          </cell>
          <cell r="G767">
            <v>100</v>
          </cell>
          <cell r="H767" t="str">
            <v>BD-单细胞</v>
          </cell>
          <cell r="I767" t="str">
            <v>WH</v>
          </cell>
          <cell r="J767">
            <v>27.8</v>
          </cell>
          <cell r="K767">
            <v>620</v>
          </cell>
          <cell r="L767" t="str">
            <v>WH</v>
          </cell>
          <cell r="N767">
            <v>68.982630272952903</v>
          </cell>
        </row>
        <row r="768">
          <cell r="E768" t="str">
            <v>HGC-Lib-2461994</v>
          </cell>
          <cell r="F768" t="str">
            <v>PYD11</v>
          </cell>
          <cell r="G768">
            <v>4</v>
          </cell>
          <cell r="H768" t="str">
            <v>其他文库类型</v>
          </cell>
          <cell r="I768" t="str">
            <v>WH</v>
          </cell>
          <cell r="J768">
            <v>0.89400000000000002</v>
          </cell>
          <cell r="K768">
            <v>527</v>
          </cell>
          <cell r="L768" t="str">
            <v>GZQ</v>
          </cell>
          <cell r="N768">
            <v>2.6098379798569602</v>
          </cell>
        </row>
        <row r="769">
          <cell r="E769" t="str">
            <v>HGC-Lib-2461995</v>
          </cell>
          <cell r="F769" t="str">
            <v>PYD13</v>
          </cell>
          <cell r="G769">
            <v>4</v>
          </cell>
          <cell r="H769" t="str">
            <v>其他文库类型</v>
          </cell>
          <cell r="I769" t="str">
            <v>WH</v>
          </cell>
          <cell r="J769">
            <v>2.94</v>
          </cell>
          <cell r="K769">
            <v>560</v>
          </cell>
          <cell r="L769" t="str">
            <v>GZQ</v>
          </cell>
          <cell r="N769">
            <v>8.0769230769230802</v>
          </cell>
        </row>
        <row r="770">
          <cell r="E770" t="str">
            <v>HGC-Lib-2461996</v>
          </cell>
          <cell r="F770" t="str">
            <v>PYD16</v>
          </cell>
          <cell r="G770">
            <v>4</v>
          </cell>
          <cell r="H770" t="str">
            <v>其他文库类型</v>
          </cell>
          <cell r="I770" t="str">
            <v>WH</v>
          </cell>
          <cell r="J770">
            <v>0.85199999999999998</v>
          </cell>
          <cell r="K770">
            <v>566</v>
          </cell>
          <cell r="L770" t="str">
            <v>GZQ</v>
          </cell>
          <cell r="N770">
            <v>2.3158466974721401</v>
          </cell>
        </row>
        <row r="771">
          <cell r="E771" t="str">
            <v>HGC-Lib-2461997</v>
          </cell>
          <cell r="F771" t="str">
            <v>PYD18</v>
          </cell>
          <cell r="G771">
            <v>4</v>
          </cell>
          <cell r="H771" t="str">
            <v>其他文库类型</v>
          </cell>
          <cell r="I771" t="str">
            <v>WH</v>
          </cell>
          <cell r="J771">
            <v>0.55200000000000005</v>
          </cell>
          <cell r="K771">
            <v>522</v>
          </cell>
          <cell r="L771" t="str">
            <v>GZQ</v>
          </cell>
          <cell r="N771">
            <v>1.6268788682581801</v>
          </cell>
        </row>
        <row r="772">
          <cell r="E772" t="str">
            <v>HGC-Lib-2461998</v>
          </cell>
          <cell r="F772" t="str">
            <v>PYD19</v>
          </cell>
          <cell r="G772">
            <v>4</v>
          </cell>
          <cell r="H772" t="str">
            <v>其他文库类型</v>
          </cell>
          <cell r="I772" t="str">
            <v>WH</v>
          </cell>
          <cell r="J772">
            <v>3.06</v>
          </cell>
          <cell r="K772">
            <v>558</v>
          </cell>
          <cell r="L772" t="str">
            <v>GZQ</v>
          </cell>
          <cell r="N772">
            <v>8.4367245657568208</v>
          </cell>
        </row>
        <row r="773">
          <cell r="E773" t="str">
            <v>HGC-Lib-2461999</v>
          </cell>
          <cell r="F773" t="str">
            <v>PYD21</v>
          </cell>
          <cell r="G773">
            <v>4</v>
          </cell>
          <cell r="H773" t="str">
            <v>其他文库类型</v>
          </cell>
          <cell r="I773" t="str">
            <v>WH</v>
          </cell>
          <cell r="J773">
            <v>0.33600000000000002</v>
          </cell>
          <cell r="K773">
            <v>525</v>
          </cell>
          <cell r="L773" t="str">
            <v>GZQ</v>
          </cell>
          <cell r="N773">
            <v>0.984615384615385</v>
          </cell>
        </row>
        <row r="774">
          <cell r="E774" t="str">
            <v>HGC-Lib-2462000</v>
          </cell>
          <cell r="F774" t="str">
            <v>PYD22</v>
          </cell>
          <cell r="G774">
            <v>4</v>
          </cell>
          <cell r="H774" t="str">
            <v>其他文库类型</v>
          </cell>
          <cell r="I774" t="str">
            <v>WH</v>
          </cell>
          <cell r="J774">
            <v>0.372</v>
          </cell>
          <cell r="K774">
            <v>525</v>
          </cell>
          <cell r="L774" t="str">
            <v>GZQ</v>
          </cell>
          <cell r="N774">
            <v>1.09010989010989</v>
          </cell>
        </row>
        <row r="775">
          <cell r="E775" t="str">
            <v>HGC-Lib-2462001</v>
          </cell>
          <cell r="F775" t="str">
            <v>PYD23</v>
          </cell>
          <cell r="G775">
            <v>4</v>
          </cell>
          <cell r="H775" t="str">
            <v>其他文库类型</v>
          </cell>
          <cell r="I775" t="str">
            <v>WH</v>
          </cell>
          <cell r="J775">
            <v>0.33200000000000002</v>
          </cell>
          <cell r="K775">
            <v>564</v>
          </cell>
          <cell r="L775" t="str">
            <v>GZQ</v>
          </cell>
          <cell r="N775">
            <v>0.90561920349154401</v>
          </cell>
        </row>
        <row r="776">
          <cell r="E776" t="str">
            <v>HGC-Lib-2462002</v>
          </cell>
          <cell r="F776" t="str">
            <v>PYD24</v>
          </cell>
          <cell r="G776">
            <v>4</v>
          </cell>
          <cell r="H776" t="str">
            <v>其他文库类型</v>
          </cell>
          <cell r="I776" t="str">
            <v>WH</v>
          </cell>
          <cell r="J776">
            <v>0.186</v>
          </cell>
          <cell r="K776">
            <v>568</v>
          </cell>
          <cell r="L776" t="str">
            <v>GZQ</v>
          </cell>
          <cell r="N776">
            <v>0.50379198266522196</v>
          </cell>
        </row>
        <row r="777">
          <cell r="E777" t="str">
            <v>HGC-Lib-2462003</v>
          </cell>
          <cell r="F777" t="str">
            <v>PYD25</v>
          </cell>
          <cell r="G777">
            <v>4</v>
          </cell>
          <cell r="H777" t="str">
            <v>其他文库类型</v>
          </cell>
          <cell r="I777" t="str">
            <v>WH</v>
          </cell>
          <cell r="J777">
            <v>0.54800000000000004</v>
          </cell>
          <cell r="K777">
            <v>530</v>
          </cell>
          <cell r="L777" t="str">
            <v>GZQ</v>
          </cell>
          <cell r="N777">
            <v>1.5907111756168399</v>
          </cell>
        </row>
        <row r="778">
          <cell r="E778" t="str">
            <v>HGC-Lib-2462004</v>
          </cell>
          <cell r="F778" t="str">
            <v>lave-2000</v>
          </cell>
          <cell r="G778">
            <v>3</v>
          </cell>
          <cell r="H778" t="str">
            <v>mRNA文库</v>
          </cell>
          <cell r="I778" t="str">
            <v>WH</v>
          </cell>
          <cell r="J778">
            <v>0.214</v>
          </cell>
          <cell r="K778">
            <v>278</v>
          </cell>
          <cell r="L778" t="str">
            <v>GZQ</v>
          </cell>
          <cell r="N778">
            <v>1.1842833425567201</v>
          </cell>
        </row>
        <row r="779">
          <cell r="E779" t="str">
            <v>HGC-POOL-2462005</v>
          </cell>
          <cell r="F779" t="str">
            <v>AMB8libs2</v>
          </cell>
          <cell r="G779">
            <v>80</v>
          </cell>
          <cell r="H779" t="str">
            <v>ATAC-Seq文库</v>
          </cell>
          <cell r="I779" t="str">
            <v>WH</v>
          </cell>
          <cell r="J779">
            <v>0.83799999999999997</v>
          </cell>
          <cell r="K779">
            <v>253</v>
          </cell>
          <cell r="L779" t="str">
            <v>GZQ</v>
          </cell>
          <cell r="N779">
            <v>5.0957737914259704</v>
          </cell>
        </row>
        <row r="780">
          <cell r="E780" t="str">
            <v>HGC-POOL-2462006</v>
          </cell>
          <cell r="F780" t="str">
            <v>WK0803-1</v>
          </cell>
          <cell r="G780">
            <v>30</v>
          </cell>
          <cell r="H780" t="str">
            <v>WES/panel捕获文库</v>
          </cell>
          <cell r="I780" t="str">
            <v>WH</v>
          </cell>
          <cell r="J780">
            <v>2.96</v>
          </cell>
          <cell r="K780">
            <v>365</v>
          </cell>
          <cell r="L780" t="str">
            <v>GZQ</v>
          </cell>
          <cell r="N780">
            <v>12.4762908324552</v>
          </cell>
        </row>
        <row r="781">
          <cell r="E781" t="str">
            <v>HGC-POOL-2462007</v>
          </cell>
          <cell r="F781" t="str">
            <v>Library-FGQ-36</v>
          </cell>
          <cell r="G781">
            <v>12</v>
          </cell>
          <cell r="H781" t="str">
            <v>多重PCR产物文库</v>
          </cell>
          <cell r="I781" t="str">
            <v>WH</v>
          </cell>
          <cell r="J781">
            <v>33.1</v>
          </cell>
          <cell r="K781">
            <v>405</v>
          </cell>
          <cell r="L781" t="str">
            <v>WH</v>
          </cell>
          <cell r="N781">
            <v>125.73599240265899</v>
          </cell>
        </row>
        <row r="782">
          <cell r="E782" t="str">
            <v>HGC-Lib-2462016</v>
          </cell>
          <cell r="F782" t="str">
            <v>B65-Liver-dUTP</v>
          </cell>
          <cell r="G782">
            <v>6</v>
          </cell>
          <cell r="H782" t="str">
            <v>mRNA文库</v>
          </cell>
          <cell r="I782" t="str">
            <v>WH</v>
          </cell>
          <cell r="J782">
            <v>6.94</v>
          </cell>
          <cell r="K782">
            <v>397</v>
          </cell>
          <cell r="L782" t="str">
            <v>GZQ</v>
          </cell>
          <cell r="N782">
            <v>26.8940127882193</v>
          </cell>
        </row>
        <row r="783">
          <cell r="E783" t="str">
            <v>HGC-Lib-2462017</v>
          </cell>
          <cell r="F783" t="str">
            <v>B66-Liver-dUTP</v>
          </cell>
          <cell r="G783">
            <v>6</v>
          </cell>
          <cell r="H783" t="str">
            <v>mRNA文库</v>
          </cell>
          <cell r="I783" t="str">
            <v>WH</v>
          </cell>
          <cell r="J783">
            <v>6.7</v>
          </cell>
          <cell r="K783">
            <v>395</v>
          </cell>
          <cell r="L783" t="str">
            <v>GZQ</v>
          </cell>
          <cell r="N783">
            <v>26.095423563777999</v>
          </cell>
        </row>
        <row r="784">
          <cell r="E784" t="str">
            <v>HGC-Lib-2462018</v>
          </cell>
          <cell r="F784" t="str">
            <v>EM1551-Liver-dUTP</v>
          </cell>
          <cell r="G784">
            <v>6</v>
          </cell>
          <cell r="H784" t="str">
            <v>mRNA文库</v>
          </cell>
          <cell r="I784" t="str">
            <v>WH</v>
          </cell>
          <cell r="J784">
            <v>5.4</v>
          </cell>
          <cell r="K784">
            <v>408</v>
          </cell>
          <cell r="L784" t="str">
            <v>GZQ</v>
          </cell>
          <cell r="N784">
            <v>20.3619909502262</v>
          </cell>
        </row>
        <row r="785">
          <cell r="E785" t="str">
            <v>HGC-Lib-2462019</v>
          </cell>
          <cell r="F785" t="str">
            <v>EM1552-Liver-dUTP</v>
          </cell>
          <cell r="G785">
            <v>6</v>
          </cell>
          <cell r="H785" t="str">
            <v>mRNA文库</v>
          </cell>
          <cell r="I785" t="str">
            <v>WH</v>
          </cell>
          <cell r="J785">
            <v>6.62</v>
          </cell>
          <cell r="K785">
            <v>403</v>
          </cell>
          <cell r="L785" t="str">
            <v>GZQ</v>
          </cell>
          <cell r="N785">
            <v>25.271998472991001</v>
          </cell>
        </row>
        <row r="786">
          <cell r="E786" t="str">
            <v>HGC-Lib-2462020</v>
          </cell>
          <cell r="F786" t="str">
            <v>EM1553-Liver-dUTP</v>
          </cell>
          <cell r="G786">
            <v>6</v>
          </cell>
          <cell r="H786" t="str">
            <v>mRNA文库</v>
          </cell>
          <cell r="I786" t="str">
            <v>WH</v>
          </cell>
          <cell r="J786">
            <v>10.5</v>
          </cell>
          <cell r="K786">
            <v>382</v>
          </cell>
          <cell r="L786" t="str">
            <v>GZQ</v>
          </cell>
          <cell r="N786">
            <v>42.287555376560597</v>
          </cell>
        </row>
        <row r="787">
          <cell r="E787" t="str">
            <v>HGC-Lib-2462021</v>
          </cell>
          <cell r="F787" t="str">
            <v>EM1554-Liver-dUTP</v>
          </cell>
          <cell r="G787">
            <v>6</v>
          </cell>
          <cell r="H787" t="str">
            <v>mRNA文库</v>
          </cell>
          <cell r="I787" t="str">
            <v>WH</v>
          </cell>
          <cell r="J787">
            <v>9.9600000000000009</v>
          </cell>
          <cell r="K787">
            <v>333</v>
          </cell>
          <cell r="L787" t="str">
            <v>GZQ</v>
          </cell>
          <cell r="N787">
            <v>46.015246015245999</v>
          </cell>
        </row>
        <row r="788">
          <cell r="E788" t="str">
            <v>HGC-Lib-2462022</v>
          </cell>
          <cell r="F788" t="str">
            <v>EM1555-Liver-dUTP</v>
          </cell>
          <cell r="G788">
            <v>6</v>
          </cell>
          <cell r="H788" t="str">
            <v>mRNA文库</v>
          </cell>
          <cell r="I788" t="str">
            <v>WH</v>
          </cell>
          <cell r="J788">
            <v>10.199999999999999</v>
          </cell>
          <cell r="K788">
            <v>308</v>
          </cell>
          <cell r="L788" t="str">
            <v>GZQ</v>
          </cell>
          <cell r="N788">
            <v>50.9490509490509</v>
          </cell>
        </row>
        <row r="789">
          <cell r="E789" t="str">
            <v>HGC-Lib-2462023</v>
          </cell>
          <cell r="F789" t="str">
            <v>EM1556-Liver-dUTP</v>
          </cell>
          <cell r="G789">
            <v>6</v>
          </cell>
          <cell r="H789" t="str">
            <v>mRNA文库</v>
          </cell>
          <cell r="I789" t="str">
            <v>WH</v>
          </cell>
          <cell r="J789">
            <v>14.6</v>
          </cell>
          <cell r="K789">
            <v>319</v>
          </cell>
          <cell r="L789" t="str">
            <v>GZQ</v>
          </cell>
          <cell r="N789">
            <v>70.412346274415199</v>
          </cell>
        </row>
        <row r="790">
          <cell r="E790" t="str">
            <v>HGC-Lib-2462024</v>
          </cell>
          <cell r="F790" t="str">
            <v>W0Y</v>
          </cell>
          <cell r="G790">
            <v>9</v>
          </cell>
          <cell r="H790" t="str">
            <v>cut&amp;tag文库</v>
          </cell>
          <cell r="I790" t="str">
            <v>WH</v>
          </cell>
          <cell r="J790">
            <v>36.9</v>
          </cell>
          <cell r="K790">
            <v>453</v>
          </cell>
          <cell r="L790" t="str">
            <v>WH</v>
          </cell>
          <cell r="N790">
            <v>125.31839021905201</v>
          </cell>
        </row>
        <row r="791">
          <cell r="E791" t="str">
            <v>HGC-Lib-2462025</v>
          </cell>
          <cell r="F791" t="str">
            <v>W3Y</v>
          </cell>
          <cell r="G791">
            <v>9</v>
          </cell>
          <cell r="H791" t="str">
            <v>cut&amp;tag文库</v>
          </cell>
          <cell r="I791" t="str">
            <v>WH</v>
          </cell>
          <cell r="J791">
            <v>100</v>
          </cell>
          <cell r="K791">
            <v>441</v>
          </cell>
          <cell r="L791" t="str">
            <v>WH</v>
          </cell>
          <cell r="N791">
            <v>348.85749171463499</v>
          </cell>
        </row>
        <row r="792">
          <cell r="E792" t="str">
            <v>HGC-Lib-2462026</v>
          </cell>
          <cell r="F792" t="str">
            <v>W3H</v>
          </cell>
          <cell r="G792">
            <v>9</v>
          </cell>
          <cell r="H792" t="str">
            <v>cut&amp;tag文库</v>
          </cell>
          <cell r="I792" t="str">
            <v>WH</v>
          </cell>
          <cell r="J792">
            <v>55</v>
          </cell>
          <cell r="K792">
            <v>527</v>
          </cell>
          <cell r="L792" t="str">
            <v>WH</v>
          </cell>
          <cell r="N792">
            <v>160.560502116479</v>
          </cell>
        </row>
        <row r="793">
          <cell r="E793" t="str">
            <v>HGC-Lib-2462027</v>
          </cell>
          <cell r="F793" t="str">
            <v>K0Y</v>
          </cell>
          <cell r="G793">
            <v>9</v>
          </cell>
          <cell r="H793" t="str">
            <v>cut&amp;tag文库</v>
          </cell>
          <cell r="I793" t="str">
            <v>WH</v>
          </cell>
          <cell r="J793">
            <v>65.599999999999994</v>
          </cell>
          <cell r="K793">
            <v>457</v>
          </cell>
          <cell r="L793" t="str">
            <v>WH</v>
          </cell>
          <cell r="N793">
            <v>220.83824272008101</v>
          </cell>
        </row>
        <row r="794">
          <cell r="E794" t="str">
            <v>HGC-Lib-2462028</v>
          </cell>
          <cell r="F794" t="str">
            <v>K3Y</v>
          </cell>
          <cell r="G794">
            <v>9</v>
          </cell>
          <cell r="H794" t="str">
            <v>cut&amp;tag文库</v>
          </cell>
          <cell r="I794" t="str">
            <v>WH</v>
          </cell>
          <cell r="J794">
            <v>56.2</v>
          </cell>
          <cell r="K794">
            <v>404</v>
          </cell>
          <cell r="L794" t="str">
            <v>WH</v>
          </cell>
          <cell r="N794">
            <v>214.01370906321401</v>
          </cell>
        </row>
        <row r="795">
          <cell r="E795" t="str">
            <v>HGC-POOL-2462029</v>
          </cell>
          <cell r="F795" t="str">
            <v>RS</v>
          </cell>
          <cell r="G795">
            <v>30</v>
          </cell>
          <cell r="H795" t="str">
            <v>mRNA文库</v>
          </cell>
          <cell r="I795" t="str">
            <v>WH</v>
          </cell>
          <cell r="J795">
            <v>3.1</v>
          </cell>
          <cell r="K795">
            <v>341</v>
          </cell>
          <cell r="L795" t="str">
            <v>GZQ</v>
          </cell>
          <cell r="N795">
            <v>13.986013986013999</v>
          </cell>
        </row>
        <row r="796">
          <cell r="E796" t="str">
            <v>HGC-POOL-2462030</v>
          </cell>
          <cell r="F796" t="str">
            <v>YUZH</v>
          </cell>
          <cell r="G796">
            <v>22</v>
          </cell>
          <cell r="H796" t="str">
            <v>mRNA文库</v>
          </cell>
          <cell r="I796" t="str">
            <v>WH</v>
          </cell>
          <cell r="J796">
            <v>4.84</v>
          </cell>
          <cell r="K796">
            <v>503</v>
          </cell>
          <cell r="L796" t="str">
            <v>GZQ</v>
          </cell>
          <cell r="N796">
            <v>14.8034867716776</v>
          </cell>
        </row>
        <row r="797">
          <cell r="E797" t="str">
            <v>HGC-Lib-2462031</v>
          </cell>
          <cell r="F797" t="str">
            <v>DW7-1</v>
          </cell>
          <cell r="G797">
            <v>10</v>
          </cell>
          <cell r="H797" t="str">
            <v>ATAC-Seq文库</v>
          </cell>
          <cell r="I797" t="str">
            <v>WH</v>
          </cell>
          <cell r="J797">
            <v>32</v>
          </cell>
          <cell r="K797">
            <v>311</v>
          </cell>
          <cell r="L797" t="str">
            <v>GZQ</v>
          </cell>
          <cell r="N797">
            <v>158.29829334652501</v>
          </cell>
        </row>
        <row r="798">
          <cell r="E798" t="str">
            <v>HGC-Lib-2462032</v>
          </cell>
          <cell r="F798" t="str">
            <v>DW7-2</v>
          </cell>
          <cell r="G798">
            <v>10</v>
          </cell>
          <cell r="H798" t="str">
            <v>ATAC-Seq文库</v>
          </cell>
          <cell r="I798" t="str">
            <v>WH</v>
          </cell>
          <cell r="J798">
            <v>5.64</v>
          </cell>
          <cell r="K798">
            <v>353</v>
          </cell>
          <cell r="L798" t="str">
            <v>GZQ</v>
          </cell>
          <cell r="N798">
            <v>24.580518631510099</v>
          </cell>
        </row>
        <row r="799">
          <cell r="E799" t="str">
            <v>HGC-Lib-2462033</v>
          </cell>
          <cell r="F799" t="str">
            <v>DW7-3</v>
          </cell>
          <cell r="G799">
            <v>10</v>
          </cell>
          <cell r="H799" t="str">
            <v>ATAC-Seq文库</v>
          </cell>
          <cell r="I799" t="str">
            <v>WH</v>
          </cell>
          <cell r="J799">
            <v>6.14</v>
          </cell>
          <cell r="K799">
            <v>390</v>
          </cell>
          <cell r="L799" t="str">
            <v>GZQ</v>
          </cell>
          <cell r="N799">
            <v>24.220907297830401</v>
          </cell>
        </row>
        <row r="800">
          <cell r="E800" t="str">
            <v>HGC-Lib-2462034</v>
          </cell>
          <cell r="F800" t="str">
            <v>DW7-4</v>
          </cell>
          <cell r="G800">
            <v>10</v>
          </cell>
          <cell r="H800" t="str">
            <v>ATAC-Seq文库</v>
          </cell>
          <cell r="I800" t="str">
            <v>WH</v>
          </cell>
          <cell r="J800">
            <v>10.9</v>
          </cell>
          <cell r="K800">
            <v>447</v>
          </cell>
          <cell r="L800" t="str">
            <v>GZQ</v>
          </cell>
          <cell r="N800">
            <v>37.515057649285801</v>
          </cell>
        </row>
        <row r="801">
          <cell r="E801" t="str">
            <v>HGC-Lib-2462035</v>
          </cell>
          <cell r="F801" t="str">
            <v>DW7-5</v>
          </cell>
          <cell r="G801">
            <v>10</v>
          </cell>
          <cell r="H801" t="str">
            <v>ATAC-Seq文库</v>
          </cell>
          <cell r="I801" t="str">
            <v>WH</v>
          </cell>
          <cell r="J801">
            <v>4.4000000000000004</v>
          </cell>
          <cell r="K801">
            <v>423</v>
          </cell>
          <cell r="L801" t="str">
            <v>GZQ</v>
          </cell>
          <cell r="N801">
            <v>16.0029096199309</v>
          </cell>
        </row>
        <row r="802">
          <cell r="E802" t="str">
            <v>HGC-Lib-2462036</v>
          </cell>
          <cell r="F802" t="str">
            <v>ARP1-CON1</v>
          </cell>
          <cell r="G802">
            <v>6</v>
          </cell>
          <cell r="H802" t="str">
            <v>cut&amp;tag文库</v>
          </cell>
          <cell r="I802" t="str">
            <v>WH</v>
          </cell>
          <cell r="J802">
            <v>0.13</v>
          </cell>
          <cell r="K802" t="str">
            <v>/</v>
          </cell>
          <cell r="L802" t="str">
            <v>GZQ</v>
          </cell>
          <cell r="N802" t="e">
            <v>#VALUE!</v>
          </cell>
        </row>
        <row r="803">
          <cell r="E803" t="str">
            <v>HGC-Lib-2462037</v>
          </cell>
          <cell r="F803" t="str">
            <v>ARP1-CON2</v>
          </cell>
          <cell r="G803">
            <v>6</v>
          </cell>
          <cell r="H803" t="str">
            <v>cut&amp;tag文库</v>
          </cell>
          <cell r="I803" t="str">
            <v>WH</v>
          </cell>
          <cell r="J803">
            <v>0.158</v>
          </cell>
          <cell r="K803" t="str">
            <v>/</v>
          </cell>
          <cell r="L803" t="str">
            <v>GZQ</v>
          </cell>
          <cell r="N803" t="e">
            <v>#VALUE!</v>
          </cell>
        </row>
        <row r="804">
          <cell r="E804" t="str">
            <v>HGC-Lib-2462038</v>
          </cell>
          <cell r="F804" t="str">
            <v>ARP1-#2-1</v>
          </cell>
          <cell r="G804">
            <v>6</v>
          </cell>
          <cell r="H804" t="str">
            <v>cut&amp;tag文库</v>
          </cell>
          <cell r="I804" t="str">
            <v>WH</v>
          </cell>
          <cell r="J804">
            <v>0.218</v>
          </cell>
          <cell r="K804" t="str">
            <v>/</v>
          </cell>
          <cell r="L804" t="str">
            <v>GZQ</v>
          </cell>
          <cell r="N804" t="e">
            <v>#VALUE!</v>
          </cell>
        </row>
        <row r="805">
          <cell r="E805" t="str">
            <v>HGC-Lib-2462039</v>
          </cell>
          <cell r="F805" t="str">
            <v>ARP1-#2-2</v>
          </cell>
          <cell r="G805">
            <v>6</v>
          </cell>
          <cell r="H805" t="str">
            <v>cut&amp;tag文库</v>
          </cell>
          <cell r="I805" t="str">
            <v>WH</v>
          </cell>
          <cell r="J805">
            <v>0.35</v>
          </cell>
          <cell r="K805" t="str">
            <v>/</v>
          </cell>
          <cell r="L805" t="str">
            <v>GZQ</v>
          </cell>
          <cell r="N805" t="e">
            <v>#VALUE!</v>
          </cell>
        </row>
        <row r="806">
          <cell r="E806" t="str">
            <v>HGC-Lib-2462040</v>
          </cell>
          <cell r="F806" t="str">
            <v>ARP1-#4-1</v>
          </cell>
          <cell r="G806">
            <v>6</v>
          </cell>
          <cell r="H806" t="str">
            <v>cut&amp;tag文库</v>
          </cell>
          <cell r="I806" t="str">
            <v>WH</v>
          </cell>
          <cell r="J806">
            <v>0.222</v>
          </cell>
          <cell r="K806" t="str">
            <v>/</v>
          </cell>
          <cell r="L806" t="str">
            <v>GZQ</v>
          </cell>
          <cell r="N806" t="e">
            <v>#VALUE!</v>
          </cell>
        </row>
        <row r="807">
          <cell r="E807" t="str">
            <v>HGC-Lib-2462041</v>
          </cell>
          <cell r="F807" t="str">
            <v>ARP1-#4-2</v>
          </cell>
          <cell r="G807">
            <v>6</v>
          </cell>
          <cell r="H807" t="str">
            <v>cut&amp;tag文库</v>
          </cell>
          <cell r="I807" t="str">
            <v>WH</v>
          </cell>
          <cell r="J807">
            <v>0.188</v>
          </cell>
          <cell r="K807" t="str">
            <v>/</v>
          </cell>
          <cell r="L807" t="str">
            <v>GZQ</v>
          </cell>
          <cell r="N807" t="e">
            <v>#VALUE!</v>
          </cell>
        </row>
        <row r="808">
          <cell r="E808" t="str">
            <v>HGC-Lib-2462090</v>
          </cell>
          <cell r="F808" t="str">
            <v>T820-1</v>
          </cell>
          <cell r="G808">
            <v>6</v>
          </cell>
          <cell r="H808" t="str">
            <v>mRNA文库</v>
          </cell>
          <cell r="I808" t="str">
            <v>WH</v>
          </cell>
          <cell r="J808">
            <v>45.4</v>
          </cell>
          <cell r="N808" t="e">
            <v>#DIV/0!</v>
          </cell>
        </row>
        <row r="809">
          <cell r="E809" t="str">
            <v>HGC-Lib-2462091</v>
          </cell>
          <cell r="F809" t="str">
            <v>B-G-1</v>
          </cell>
          <cell r="G809">
            <v>2</v>
          </cell>
          <cell r="H809" t="str">
            <v>mRNA文库</v>
          </cell>
          <cell r="I809" t="str">
            <v>WH</v>
          </cell>
          <cell r="J809">
            <v>4.8600000000000003</v>
          </cell>
          <cell r="K809">
            <v>281</v>
          </cell>
          <cell r="L809" t="str">
            <v>WH</v>
          </cell>
          <cell r="N809">
            <v>26.608267177662199</v>
          </cell>
        </row>
        <row r="810">
          <cell r="E810" t="str">
            <v>HGC-Lib-2462092</v>
          </cell>
          <cell r="F810" t="str">
            <v>B-SRG-2</v>
          </cell>
          <cell r="G810">
            <v>2</v>
          </cell>
          <cell r="H810" t="str">
            <v>mRNA文库</v>
          </cell>
          <cell r="I810" t="str">
            <v>WH</v>
          </cell>
          <cell r="J810">
            <v>13</v>
          </cell>
          <cell r="K810">
            <v>297</v>
          </cell>
          <cell r="L810" t="str">
            <v>WH</v>
          </cell>
          <cell r="N810">
            <v>67.340067340067307</v>
          </cell>
        </row>
        <row r="811">
          <cell r="E811" t="str">
            <v>HGC-Lib-2462093</v>
          </cell>
          <cell r="F811" t="str">
            <v>HepG21</v>
          </cell>
          <cell r="G811">
            <v>5</v>
          </cell>
          <cell r="H811" t="str">
            <v>HI-C文库</v>
          </cell>
          <cell r="I811" t="str">
            <v>WH</v>
          </cell>
          <cell r="J811">
            <v>9.66</v>
          </cell>
          <cell r="K811">
            <v>391</v>
          </cell>
          <cell r="L811" t="str">
            <v>GZQ</v>
          </cell>
          <cell r="N811">
            <v>38.009049773755699</v>
          </cell>
        </row>
        <row r="812">
          <cell r="E812" t="str">
            <v>HGC-Lib-2462094</v>
          </cell>
          <cell r="F812" t="str">
            <v>HepG22</v>
          </cell>
          <cell r="G812">
            <v>5</v>
          </cell>
          <cell r="H812" t="str">
            <v>HI-C文库</v>
          </cell>
          <cell r="I812" t="str">
            <v>WH</v>
          </cell>
          <cell r="J812">
            <v>8.68</v>
          </cell>
          <cell r="K812">
            <v>388</v>
          </cell>
          <cell r="L812" t="str">
            <v>GZQ</v>
          </cell>
          <cell r="N812">
            <v>34.4171292624901</v>
          </cell>
        </row>
        <row r="813">
          <cell r="E813" t="str">
            <v>HGC-Lib-2462095</v>
          </cell>
          <cell r="F813" t="str">
            <v>HepG2-shnc1</v>
          </cell>
          <cell r="G813">
            <v>5</v>
          </cell>
          <cell r="H813" t="str">
            <v>HI-C文库</v>
          </cell>
          <cell r="I813" t="str">
            <v>WH</v>
          </cell>
          <cell r="J813">
            <v>7.2</v>
          </cell>
          <cell r="K813">
            <v>364</v>
          </cell>
          <cell r="L813" t="str">
            <v>GZQ</v>
          </cell>
          <cell r="N813">
            <v>30.431107354184299</v>
          </cell>
        </row>
        <row r="814">
          <cell r="E814" t="str">
            <v>HGC-Lib-2462096</v>
          </cell>
          <cell r="F814" t="str">
            <v>HepG2-shnc2</v>
          </cell>
          <cell r="G814">
            <v>5</v>
          </cell>
          <cell r="H814" t="str">
            <v>HI-C文库</v>
          </cell>
          <cell r="I814" t="str">
            <v>WH</v>
          </cell>
          <cell r="J814">
            <v>6.5</v>
          </cell>
          <cell r="K814">
            <v>355</v>
          </cell>
          <cell r="L814" t="str">
            <v>GZQ</v>
          </cell>
          <cell r="N814">
            <v>28.169014084507001</v>
          </cell>
        </row>
        <row r="815">
          <cell r="E815" t="str">
            <v>HGC-Lib-2462523</v>
          </cell>
          <cell r="F815" t="str">
            <v>0805X1</v>
          </cell>
          <cell r="G815">
            <v>1000</v>
          </cell>
          <cell r="I815" t="str">
            <v>HZK</v>
          </cell>
          <cell r="J815">
            <v>12.9</v>
          </cell>
          <cell r="K815">
            <v>441</v>
          </cell>
          <cell r="L815" t="str">
            <v>HZK</v>
          </cell>
          <cell r="N815">
            <v>45.002616431187903</v>
          </cell>
        </row>
        <row r="816">
          <cell r="E816" t="str">
            <v>HGC-Lib-2462524</v>
          </cell>
          <cell r="F816" t="str">
            <v>0805X2</v>
          </cell>
          <cell r="G816">
            <v>1000</v>
          </cell>
          <cell r="I816" t="str">
            <v>HZK</v>
          </cell>
          <cell r="J816">
            <v>6.1</v>
          </cell>
          <cell r="K816">
            <v>466</v>
          </cell>
          <cell r="L816" t="str">
            <v>HZK</v>
          </cell>
          <cell r="N816">
            <v>20.138659623638201</v>
          </cell>
        </row>
        <row r="817">
          <cell r="E817" t="str">
            <v>HGC-Lib-2462100</v>
          </cell>
          <cell r="F817" t="str">
            <v>C200</v>
          </cell>
          <cell r="G817">
            <v>6</v>
          </cell>
          <cell r="H817" t="str">
            <v>mRNA文库</v>
          </cell>
          <cell r="I817" t="str">
            <v>ZZ</v>
          </cell>
          <cell r="J817">
            <v>9.08</v>
          </cell>
          <cell r="K817">
            <v>398</v>
          </cell>
          <cell r="L817" t="str">
            <v>XCL</v>
          </cell>
          <cell r="N817">
            <v>35.098569771936603</v>
          </cell>
        </row>
        <row r="818">
          <cell r="E818" t="str">
            <v>HGC-Lib-2462101</v>
          </cell>
          <cell r="F818" t="str">
            <v>C0.5-1</v>
          </cell>
          <cell r="G818">
            <v>6</v>
          </cell>
          <cell r="H818" t="str">
            <v>mRNA文库</v>
          </cell>
          <cell r="I818" t="str">
            <v>ZZ</v>
          </cell>
          <cell r="J818">
            <v>5.04</v>
          </cell>
          <cell r="K818">
            <v>404</v>
          </cell>
          <cell r="L818" t="str">
            <v>XCL</v>
          </cell>
          <cell r="N818">
            <v>19.192688499619202</v>
          </cell>
        </row>
        <row r="819">
          <cell r="E819" t="str">
            <v>HGC-Lib-2462102</v>
          </cell>
          <cell r="F819" t="str">
            <v>C0.5-2</v>
          </cell>
          <cell r="G819">
            <v>6</v>
          </cell>
          <cell r="H819" t="str">
            <v>mRNA文库</v>
          </cell>
          <cell r="I819" t="str">
            <v>ZZ</v>
          </cell>
          <cell r="J819">
            <v>0.39</v>
          </cell>
          <cell r="K819" t="str">
            <v>/</v>
          </cell>
          <cell r="L819" t="str">
            <v>XCL</v>
          </cell>
          <cell r="N819" t="e">
            <v>#VALUE!</v>
          </cell>
        </row>
        <row r="820">
          <cell r="E820" t="str">
            <v>HGC-Lib-2462103</v>
          </cell>
          <cell r="F820" t="str">
            <v>C0.5-3</v>
          </cell>
          <cell r="G820">
            <v>6</v>
          </cell>
          <cell r="H820" t="str">
            <v>mRNA文库</v>
          </cell>
          <cell r="I820" t="str">
            <v>ZZ</v>
          </cell>
          <cell r="J820">
            <v>4.2</v>
          </cell>
          <cell r="K820">
            <v>373</v>
          </cell>
          <cell r="L820" t="str">
            <v>XCL</v>
          </cell>
          <cell r="N820">
            <v>17.323159414312201</v>
          </cell>
        </row>
        <row r="821">
          <cell r="E821" t="str">
            <v>HGC-Lib-2462104</v>
          </cell>
          <cell r="F821" t="str">
            <v>C20-1</v>
          </cell>
          <cell r="G821">
            <v>6</v>
          </cell>
          <cell r="H821" t="str">
            <v>mRNA文库</v>
          </cell>
          <cell r="I821" t="str">
            <v>ZZ</v>
          </cell>
          <cell r="J821">
            <v>1.32</v>
          </cell>
          <cell r="K821">
            <v>392</v>
          </cell>
          <cell r="L821" t="str">
            <v>XCL</v>
          </cell>
          <cell r="N821">
            <v>5.1805337519623196</v>
          </cell>
        </row>
        <row r="822">
          <cell r="E822" t="str">
            <v>HGC-Lib-2462105</v>
          </cell>
          <cell r="F822" t="str">
            <v>C20-2</v>
          </cell>
          <cell r="G822">
            <v>6</v>
          </cell>
          <cell r="H822" t="str">
            <v>mRNA文库</v>
          </cell>
          <cell r="I822" t="str">
            <v>ZZ</v>
          </cell>
          <cell r="J822">
            <v>2.88</v>
          </cell>
          <cell r="K822">
            <v>407</v>
          </cell>
          <cell r="L822" t="str">
            <v>XCL</v>
          </cell>
          <cell r="N822">
            <v>10.8864108864109</v>
          </cell>
        </row>
        <row r="823">
          <cell r="E823" t="str">
            <v>HGC-Lib-2462106</v>
          </cell>
          <cell r="F823" t="str">
            <v>C20-3</v>
          </cell>
          <cell r="G823">
            <v>6</v>
          </cell>
          <cell r="H823" t="str">
            <v>mRNA文库</v>
          </cell>
          <cell r="I823" t="str">
            <v>ZZ</v>
          </cell>
          <cell r="J823">
            <v>1.81</v>
          </cell>
          <cell r="K823">
            <v>386</v>
          </cell>
          <cell r="L823" t="str">
            <v>XCL</v>
          </cell>
          <cell r="N823">
            <v>7.21402949382224</v>
          </cell>
        </row>
        <row r="824">
          <cell r="E824" t="str">
            <v>HGC-Lib-2462107</v>
          </cell>
          <cell r="F824" t="str">
            <v>X50-1</v>
          </cell>
          <cell r="G824">
            <v>6</v>
          </cell>
          <cell r="H824" t="str">
            <v>mRNA文库</v>
          </cell>
          <cell r="I824" t="str">
            <v>ZZ</v>
          </cell>
          <cell r="J824">
            <v>1.52</v>
          </cell>
          <cell r="K824">
            <v>381</v>
          </cell>
          <cell r="L824" t="str">
            <v>XCL</v>
          </cell>
          <cell r="N824">
            <v>6.1376943266707</v>
          </cell>
        </row>
        <row r="825">
          <cell r="E825" t="str">
            <v>HGC-Lib-2462108</v>
          </cell>
          <cell r="F825" t="str">
            <v>X50-2</v>
          </cell>
          <cell r="G825">
            <v>6</v>
          </cell>
          <cell r="H825" t="str">
            <v>mRNA文库</v>
          </cell>
          <cell r="I825" t="str">
            <v>ZZ</v>
          </cell>
          <cell r="J825">
            <v>1.39</v>
          </cell>
          <cell r="K825">
            <v>391</v>
          </cell>
          <cell r="L825" t="str">
            <v>XCL</v>
          </cell>
          <cell r="N825">
            <v>5.4692110958095599</v>
          </cell>
        </row>
        <row r="826">
          <cell r="E826" t="str">
            <v>HGC-Lib-2462109</v>
          </cell>
          <cell r="F826" t="str">
            <v>X50-3</v>
          </cell>
          <cell r="G826">
            <v>6</v>
          </cell>
          <cell r="H826" t="str">
            <v>mRNA文库</v>
          </cell>
          <cell r="I826" t="str">
            <v>ZZ</v>
          </cell>
          <cell r="J826">
            <v>4.76</v>
          </cell>
          <cell r="K826">
            <v>388</v>
          </cell>
          <cell r="L826" t="str">
            <v>XCL</v>
          </cell>
          <cell r="N826">
            <v>18.873909595559098</v>
          </cell>
        </row>
        <row r="827">
          <cell r="E827" t="str">
            <v>HGC-Lib-2462110</v>
          </cell>
          <cell r="F827" t="str">
            <v>X50-4</v>
          </cell>
          <cell r="G827">
            <v>6</v>
          </cell>
          <cell r="H827" t="str">
            <v>mRNA文库</v>
          </cell>
          <cell r="I827" t="str">
            <v>ZZ</v>
          </cell>
          <cell r="J827">
            <v>0.23200000000000001</v>
          </cell>
          <cell r="K827">
            <v>729</v>
          </cell>
          <cell r="L827" t="str">
            <v>XCL</v>
          </cell>
          <cell r="N827">
            <v>0.48960641553234102</v>
          </cell>
        </row>
        <row r="828">
          <cell r="E828" t="str">
            <v>HGC-Lib-2462111</v>
          </cell>
          <cell r="F828" t="str">
            <v>X50-5</v>
          </cell>
          <cell r="G828">
            <v>6</v>
          </cell>
          <cell r="H828" t="str">
            <v>mRNA文库</v>
          </cell>
          <cell r="I828" t="str">
            <v>ZZ</v>
          </cell>
          <cell r="J828">
            <v>3.42</v>
          </cell>
          <cell r="K828">
            <v>382</v>
          </cell>
          <cell r="L828" t="str">
            <v>XCL</v>
          </cell>
          <cell r="N828">
            <v>13.773660894079701</v>
          </cell>
        </row>
        <row r="829">
          <cell r="E829" t="str">
            <v>HGC-Lib-2462112</v>
          </cell>
          <cell r="F829" t="str">
            <v>X50-6</v>
          </cell>
          <cell r="G829">
            <v>6</v>
          </cell>
          <cell r="H829" t="str">
            <v>mRNA文库</v>
          </cell>
          <cell r="I829" t="str">
            <v>ZZ</v>
          </cell>
          <cell r="J829">
            <v>4.42</v>
          </cell>
          <cell r="K829">
            <v>431</v>
          </cell>
          <cell r="L829" t="str">
            <v>XCL</v>
          </cell>
          <cell r="N829">
            <v>15.7772621809745</v>
          </cell>
        </row>
        <row r="830">
          <cell r="E830" t="str">
            <v>HGC-Lib-2462113</v>
          </cell>
          <cell r="F830" t="str">
            <v>X2K-1</v>
          </cell>
          <cell r="G830">
            <v>6</v>
          </cell>
          <cell r="H830" t="str">
            <v>mRNA文库</v>
          </cell>
          <cell r="I830" t="str">
            <v>ZZ</v>
          </cell>
          <cell r="J830">
            <v>4.38</v>
          </cell>
          <cell r="K830">
            <v>356</v>
          </cell>
          <cell r="L830" t="str">
            <v>XCL</v>
          </cell>
          <cell r="N830">
            <v>18.928262748487501</v>
          </cell>
        </row>
        <row r="831">
          <cell r="E831" t="str">
            <v>HGC-Lib-2462114</v>
          </cell>
          <cell r="F831" t="str">
            <v>X2K-2</v>
          </cell>
          <cell r="G831">
            <v>6</v>
          </cell>
          <cell r="H831" t="str">
            <v>mRNA文库</v>
          </cell>
          <cell r="I831" t="str">
            <v>ZZ</v>
          </cell>
          <cell r="J831">
            <v>5.0199999999999996</v>
          </cell>
          <cell r="K831">
            <v>390</v>
          </cell>
          <cell r="L831" t="str">
            <v>XCL</v>
          </cell>
          <cell r="N831">
            <v>19.802761341222901</v>
          </cell>
        </row>
        <row r="832">
          <cell r="E832" t="str">
            <v>HGC-Lib-2462115</v>
          </cell>
          <cell r="F832" t="str">
            <v>X2K-3</v>
          </cell>
          <cell r="G832">
            <v>6</v>
          </cell>
          <cell r="H832" t="str">
            <v>mRNA文库</v>
          </cell>
          <cell r="I832" t="str">
            <v>ZZ</v>
          </cell>
          <cell r="J832">
            <v>4.26</v>
          </cell>
          <cell r="K832">
            <v>419</v>
          </cell>
          <cell r="L832" t="str">
            <v>XCL</v>
          </cell>
          <cell r="N832">
            <v>15.6416375986782</v>
          </cell>
        </row>
        <row r="833">
          <cell r="E833" t="str">
            <v>HGC-Lib-2462116</v>
          </cell>
          <cell r="F833" t="str">
            <v>19-2R</v>
          </cell>
          <cell r="G833">
            <v>6</v>
          </cell>
          <cell r="H833" t="str">
            <v>mRNA文库</v>
          </cell>
          <cell r="I833" t="str">
            <v>ZZ</v>
          </cell>
          <cell r="J833">
            <v>0.374</v>
          </cell>
          <cell r="K833">
            <v>382</v>
          </cell>
          <cell r="L833" t="str">
            <v>XCL</v>
          </cell>
          <cell r="N833">
            <v>1.5062424486508299</v>
          </cell>
        </row>
        <row r="834">
          <cell r="E834" t="str">
            <v>HGC-Lib-2462117</v>
          </cell>
          <cell r="F834" t="str">
            <v>19-5R</v>
          </cell>
          <cell r="G834">
            <v>6</v>
          </cell>
          <cell r="H834" t="str">
            <v>mRNA文库</v>
          </cell>
          <cell r="I834" t="str">
            <v>ZZ</v>
          </cell>
          <cell r="J834">
            <v>0.50800000000000001</v>
          </cell>
          <cell r="K834">
            <v>367</v>
          </cell>
          <cell r="L834" t="str">
            <v>XCL</v>
          </cell>
          <cell r="N834">
            <v>2.1295325927478501</v>
          </cell>
        </row>
        <row r="835">
          <cell r="E835" t="str">
            <v>HGC-Lib-2462118</v>
          </cell>
          <cell r="F835" t="str">
            <v>CD2-2R</v>
          </cell>
          <cell r="G835">
            <v>6</v>
          </cell>
          <cell r="H835" t="str">
            <v>mRNA文库</v>
          </cell>
          <cell r="I835" t="str">
            <v>ZZ</v>
          </cell>
          <cell r="J835">
            <v>1.21</v>
          </cell>
          <cell r="K835">
            <v>368</v>
          </cell>
          <cell r="L835" t="str">
            <v>XCL</v>
          </cell>
          <cell r="N835">
            <v>5.0585284280936396</v>
          </cell>
        </row>
        <row r="836">
          <cell r="E836" t="str">
            <v>HGC-Lib-2462119</v>
          </cell>
          <cell r="F836" t="str">
            <v>CD2-5R</v>
          </cell>
          <cell r="G836">
            <v>6</v>
          </cell>
          <cell r="H836" t="str">
            <v>mRNA文库</v>
          </cell>
          <cell r="I836" t="str">
            <v>ZZ</v>
          </cell>
          <cell r="J836">
            <v>2.04</v>
          </cell>
          <cell r="K836">
            <v>368</v>
          </cell>
          <cell r="L836" t="str">
            <v>XCL</v>
          </cell>
          <cell r="N836">
            <v>8.5284280936454895</v>
          </cell>
        </row>
        <row r="837">
          <cell r="E837" t="str">
            <v>HGC-Lib-2462120</v>
          </cell>
          <cell r="F837" t="str">
            <v>LSL-1</v>
          </cell>
          <cell r="G837">
            <v>6</v>
          </cell>
          <cell r="H837" t="str">
            <v>mRNA文库</v>
          </cell>
          <cell r="I837" t="str">
            <v>ZZ</v>
          </cell>
          <cell r="J837">
            <v>47.6</v>
          </cell>
          <cell r="K837">
            <v>423</v>
          </cell>
          <cell r="L837" t="str">
            <v>HZK</v>
          </cell>
          <cell r="N837">
            <v>173.12238588834299</v>
          </cell>
        </row>
        <row r="838">
          <cell r="E838" t="str">
            <v>HGC-Lib-2462121</v>
          </cell>
          <cell r="F838" t="str">
            <v>LSL-2</v>
          </cell>
          <cell r="G838">
            <v>6</v>
          </cell>
          <cell r="H838" t="str">
            <v>mRNA文库</v>
          </cell>
          <cell r="I838" t="str">
            <v>ZZ</v>
          </cell>
          <cell r="J838">
            <v>25.4</v>
          </cell>
          <cell r="K838">
            <v>405</v>
          </cell>
          <cell r="L838" t="str">
            <v>HZK</v>
          </cell>
          <cell r="N838">
            <v>96.486229819563206</v>
          </cell>
        </row>
        <row r="839">
          <cell r="E839" t="str">
            <v>HGC-Lib-2462122</v>
          </cell>
          <cell r="F839" t="str">
            <v>LYH-1</v>
          </cell>
          <cell r="G839">
            <v>6</v>
          </cell>
          <cell r="H839" t="str">
            <v>mRNA文库</v>
          </cell>
          <cell r="I839" t="str">
            <v>ZZ</v>
          </cell>
          <cell r="J839">
            <v>12.8</v>
          </cell>
          <cell r="K839">
            <v>402</v>
          </cell>
          <cell r="L839" t="str">
            <v>HZK</v>
          </cell>
          <cell r="N839">
            <v>48.985840030616203</v>
          </cell>
        </row>
        <row r="840">
          <cell r="E840" t="str">
            <v>HGC-Lib-2462123</v>
          </cell>
          <cell r="F840" t="str">
            <v>LYH-2</v>
          </cell>
          <cell r="G840">
            <v>6</v>
          </cell>
          <cell r="H840" t="str">
            <v>mRNA文库</v>
          </cell>
          <cell r="I840" t="str">
            <v>ZZ</v>
          </cell>
          <cell r="J840">
            <v>27</v>
          </cell>
          <cell r="K840">
            <v>439</v>
          </cell>
          <cell r="L840" t="str">
            <v>HZK</v>
          </cell>
          <cell r="N840">
            <v>94.620641317679997</v>
          </cell>
        </row>
        <row r="841">
          <cell r="E841" t="str">
            <v>HGC-Lib-2462124</v>
          </cell>
          <cell r="F841" t="str">
            <v>MY-1</v>
          </cell>
          <cell r="G841">
            <v>6</v>
          </cell>
          <cell r="H841" t="str">
            <v>mRNA文库</v>
          </cell>
          <cell r="I841" t="str">
            <v>ZZ</v>
          </cell>
          <cell r="J841">
            <v>32</v>
          </cell>
          <cell r="K841">
            <v>411</v>
          </cell>
          <cell r="L841" t="str">
            <v>HZK</v>
          </cell>
          <cell r="N841">
            <v>119.782893505521</v>
          </cell>
        </row>
        <row r="842">
          <cell r="E842" t="str">
            <v>HGC-Lib-2462125</v>
          </cell>
          <cell r="F842" t="str">
            <v>MY-2</v>
          </cell>
          <cell r="G842">
            <v>6</v>
          </cell>
          <cell r="H842" t="str">
            <v>mRNA文库</v>
          </cell>
          <cell r="I842" t="str">
            <v>ZZ</v>
          </cell>
          <cell r="J842">
            <v>51.4</v>
          </cell>
          <cell r="K842">
            <v>391</v>
          </cell>
          <cell r="L842" t="str">
            <v>HZK</v>
          </cell>
          <cell r="N842">
            <v>202.24277001770599</v>
          </cell>
        </row>
        <row r="843">
          <cell r="E843" t="str">
            <v>HGC-Lib-2462126</v>
          </cell>
          <cell r="F843" t="str">
            <v>XJH-1</v>
          </cell>
          <cell r="G843">
            <v>6</v>
          </cell>
          <cell r="H843" t="str">
            <v>mRNA文库</v>
          </cell>
          <cell r="I843" t="str">
            <v>ZZ</v>
          </cell>
          <cell r="J843">
            <v>15.5</v>
          </cell>
          <cell r="K843">
            <v>404</v>
          </cell>
          <cell r="L843" t="str">
            <v>HZK</v>
          </cell>
          <cell r="N843">
            <v>59.025133282558997</v>
          </cell>
        </row>
        <row r="844">
          <cell r="E844" t="str">
            <v>HGC-Lib-2462127</v>
          </cell>
          <cell r="F844" t="str">
            <v>XJH-2</v>
          </cell>
          <cell r="G844">
            <v>6</v>
          </cell>
          <cell r="H844" t="str">
            <v>mRNA文库</v>
          </cell>
          <cell r="I844" t="str">
            <v>ZZ</v>
          </cell>
          <cell r="J844">
            <v>43.4</v>
          </cell>
          <cell r="K844">
            <v>374</v>
          </cell>
          <cell r="L844" t="str">
            <v>HZK</v>
          </cell>
          <cell r="N844">
            <v>178.52735499794301</v>
          </cell>
        </row>
        <row r="845">
          <cell r="E845" t="str">
            <v>HGC-Lib-2462128</v>
          </cell>
          <cell r="F845" t="str">
            <v>LZC-1</v>
          </cell>
          <cell r="G845">
            <v>6</v>
          </cell>
          <cell r="H845" t="str">
            <v>mRNA文库</v>
          </cell>
          <cell r="I845" t="str">
            <v>ZZ</v>
          </cell>
          <cell r="J845">
            <v>57.8</v>
          </cell>
          <cell r="K845">
            <v>435</v>
          </cell>
          <cell r="L845" t="str">
            <v>HZK</v>
          </cell>
          <cell r="N845">
            <v>204.42086648983201</v>
          </cell>
        </row>
        <row r="846">
          <cell r="E846" t="str">
            <v>HGC-Lib-2462129</v>
          </cell>
          <cell r="F846" t="str">
            <v>LZC-2</v>
          </cell>
          <cell r="G846">
            <v>6</v>
          </cell>
          <cell r="H846" t="str">
            <v>mRNA文库</v>
          </cell>
          <cell r="I846" t="str">
            <v>ZZ</v>
          </cell>
          <cell r="J846">
            <v>55.2</v>
          </cell>
          <cell r="K846">
            <v>437</v>
          </cell>
          <cell r="L846" t="str">
            <v>HZK</v>
          </cell>
          <cell r="N846">
            <v>194.33198380566799</v>
          </cell>
        </row>
        <row r="847">
          <cell r="E847" t="str">
            <v>HGC-Lib-2462130</v>
          </cell>
          <cell r="F847" t="str">
            <v>WY-1</v>
          </cell>
          <cell r="G847">
            <v>6</v>
          </cell>
          <cell r="H847" t="str">
            <v>mRNA文库</v>
          </cell>
          <cell r="I847" t="str">
            <v>ZZ</v>
          </cell>
          <cell r="J847">
            <v>56.6</v>
          </cell>
          <cell r="K847">
            <v>466</v>
          </cell>
          <cell r="L847" t="str">
            <v>HZK</v>
          </cell>
          <cell r="N847">
            <v>186.86034995047899</v>
          </cell>
        </row>
        <row r="848">
          <cell r="E848" t="str">
            <v>HGC-Lib-2462131</v>
          </cell>
          <cell r="F848" t="str">
            <v>WY-2</v>
          </cell>
          <cell r="G848">
            <v>6</v>
          </cell>
          <cell r="H848" t="str">
            <v>mRNA文库</v>
          </cell>
          <cell r="I848" t="str">
            <v>ZZ</v>
          </cell>
          <cell r="J848">
            <v>54.6</v>
          </cell>
          <cell r="K848">
            <v>438</v>
          </cell>
          <cell r="L848" t="str">
            <v>HZK</v>
          </cell>
          <cell r="N848">
            <v>191.780821917808</v>
          </cell>
        </row>
        <row r="849">
          <cell r="E849" t="str">
            <v>HGC-Lib-2462132</v>
          </cell>
          <cell r="F849" t="str">
            <v>YSM-1</v>
          </cell>
          <cell r="G849">
            <v>6</v>
          </cell>
          <cell r="H849" t="str">
            <v>mRNA文库</v>
          </cell>
          <cell r="I849" t="str">
            <v>ZZ</v>
          </cell>
          <cell r="J849">
            <v>16.100000000000001</v>
          </cell>
          <cell r="K849">
            <v>414</v>
          </cell>
          <cell r="L849" t="str">
            <v>HZK</v>
          </cell>
          <cell r="N849">
            <v>59.829059829059801</v>
          </cell>
        </row>
        <row r="850">
          <cell r="E850" t="str">
            <v>HGC-Lib-2462133</v>
          </cell>
          <cell r="F850" t="str">
            <v>YSM-2</v>
          </cell>
          <cell r="G850">
            <v>6</v>
          </cell>
          <cell r="H850" t="str">
            <v>mRNA文库</v>
          </cell>
          <cell r="I850" t="str">
            <v>ZZ</v>
          </cell>
          <cell r="J850">
            <v>33.6</v>
          </cell>
          <cell r="K850">
            <v>443</v>
          </cell>
          <cell r="L850" t="str">
            <v>HZK</v>
          </cell>
          <cell r="N850">
            <v>116.68692481333601</v>
          </cell>
        </row>
        <row r="851">
          <cell r="E851" t="str">
            <v>HGC-Lib-2462134</v>
          </cell>
          <cell r="F851" t="str">
            <v>LHM-1</v>
          </cell>
          <cell r="G851">
            <v>6</v>
          </cell>
          <cell r="H851" t="str">
            <v>mRNA文库</v>
          </cell>
          <cell r="I851" t="str">
            <v>ZZ</v>
          </cell>
          <cell r="J851">
            <v>74.400000000000006</v>
          </cell>
          <cell r="K851">
            <v>424</v>
          </cell>
          <cell r="L851" t="str">
            <v>HZK</v>
          </cell>
          <cell r="N851">
            <v>269.956458635704</v>
          </cell>
        </row>
        <row r="852">
          <cell r="E852" t="str">
            <v>HGC-Lib-2462135</v>
          </cell>
          <cell r="F852" t="str">
            <v>LHM-2</v>
          </cell>
          <cell r="G852">
            <v>6</v>
          </cell>
          <cell r="H852" t="str">
            <v>mRNA文库</v>
          </cell>
          <cell r="I852" t="str">
            <v>ZZ</v>
          </cell>
          <cell r="J852">
            <v>55.8</v>
          </cell>
          <cell r="K852">
            <v>459</v>
          </cell>
          <cell r="L852" t="str">
            <v>HZK</v>
          </cell>
          <cell r="N852">
            <v>187.02865761689301</v>
          </cell>
        </row>
        <row r="853">
          <cell r="E853" t="str">
            <v>HGC-Lib-2462136</v>
          </cell>
          <cell r="F853" t="str">
            <v>XCQ-1</v>
          </cell>
          <cell r="G853">
            <v>6</v>
          </cell>
          <cell r="H853" t="str">
            <v>mRNA文库</v>
          </cell>
          <cell r="I853" t="str">
            <v>ZZ</v>
          </cell>
          <cell r="J853">
            <v>49.4</v>
          </cell>
          <cell r="K853">
            <v>408</v>
          </cell>
          <cell r="L853" t="str">
            <v>HZK</v>
          </cell>
          <cell r="N853">
            <v>186.274509803922</v>
          </cell>
        </row>
        <row r="854">
          <cell r="E854" t="str">
            <v>HGC-Lib-2462137</v>
          </cell>
          <cell r="F854" t="str">
            <v>XCQ-2</v>
          </cell>
          <cell r="G854">
            <v>6</v>
          </cell>
          <cell r="H854" t="str">
            <v>mRNA文库</v>
          </cell>
          <cell r="I854" t="str">
            <v>ZZ</v>
          </cell>
          <cell r="J854">
            <v>47.2</v>
          </cell>
          <cell r="K854">
            <v>404</v>
          </cell>
          <cell r="L854" t="str">
            <v>HZK</v>
          </cell>
          <cell r="N854">
            <v>179.74105102818001</v>
          </cell>
        </row>
        <row r="855">
          <cell r="E855" t="str">
            <v>HGC-Lib-2462138</v>
          </cell>
          <cell r="F855" t="str">
            <v>MQF-1</v>
          </cell>
          <cell r="G855">
            <v>6</v>
          </cell>
          <cell r="H855" t="str">
            <v>mRNA文库</v>
          </cell>
          <cell r="I855" t="str">
            <v>ZZ</v>
          </cell>
          <cell r="J855">
            <v>60.4</v>
          </cell>
          <cell r="K855">
            <v>421</v>
          </cell>
          <cell r="L855" t="str">
            <v>HZK</v>
          </cell>
          <cell r="N855">
            <v>220.719897679518</v>
          </cell>
        </row>
        <row r="856">
          <cell r="E856" t="str">
            <v>HGC-Lib-2462139</v>
          </cell>
          <cell r="F856" t="str">
            <v>MQF-2</v>
          </cell>
          <cell r="G856">
            <v>6</v>
          </cell>
          <cell r="H856" t="str">
            <v>mRNA文库</v>
          </cell>
          <cell r="I856" t="str">
            <v>ZZ</v>
          </cell>
          <cell r="J856">
            <v>63.8</v>
          </cell>
          <cell r="K856">
            <v>402</v>
          </cell>
          <cell r="L856" t="str">
            <v>HZK</v>
          </cell>
          <cell r="N856">
            <v>244.163796402602</v>
          </cell>
        </row>
        <row r="857">
          <cell r="E857" t="str">
            <v>HGC-Lib-2462140</v>
          </cell>
          <cell r="F857" t="str">
            <v>LLF-1</v>
          </cell>
          <cell r="G857">
            <v>6</v>
          </cell>
          <cell r="H857" t="str">
            <v>mRNA文库</v>
          </cell>
          <cell r="I857" t="str">
            <v>ZZ</v>
          </cell>
          <cell r="J857">
            <v>42.4</v>
          </cell>
          <cell r="K857">
            <v>395</v>
          </cell>
          <cell r="L857" t="str">
            <v>HZK</v>
          </cell>
          <cell r="N857">
            <v>165.141187925998</v>
          </cell>
        </row>
        <row r="858">
          <cell r="E858" t="str">
            <v>HGC-Lib-2462141</v>
          </cell>
          <cell r="F858" t="str">
            <v>LLF-2</v>
          </cell>
          <cell r="G858">
            <v>6</v>
          </cell>
          <cell r="H858" t="str">
            <v>mRNA文库</v>
          </cell>
          <cell r="I858" t="str">
            <v>ZZ</v>
          </cell>
          <cell r="J858">
            <v>16.5</v>
          </cell>
          <cell r="K858">
            <v>430</v>
          </cell>
          <cell r="L858" t="str">
            <v>HZK</v>
          </cell>
          <cell r="N858">
            <v>59.033989266547401</v>
          </cell>
        </row>
        <row r="859">
          <cell r="E859" t="str">
            <v>HGC-Lib-2462142</v>
          </cell>
          <cell r="F859" t="str">
            <v>DR-1</v>
          </cell>
          <cell r="G859">
            <v>6</v>
          </cell>
          <cell r="H859" t="str">
            <v>mRNA文库</v>
          </cell>
          <cell r="I859" t="str">
            <v>ZZ</v>
          </cell>
          <cell r="J859">
            <v>15.9</v>
          </cell>
          <cell r="K859">
            <v>405</v>
          </cell>
          <cell r="L859" t="str">
            <v>HZK</v>
          </cell>
          <cell r="N859">
            <v>60.3988603988604</v>
          </cell>
        </row>
        <row r="860">
          <cell r="E860" t="str">
            <v>HGC-Lib-2462143</v>
          </cell>
          <cell r="F860" t="str">
            <v>DR-2</v>
          </cell>
          <cell r="G860">
            <v>6</v>
          </cell>
          <cell r="H860" t="str">
            <v>mRNA文库</v>
          </cell>
          <cell r="I860" t="str">
            <v>ZZ</v>
          </cell>
          <cell r="J860">
            <v>44</v>
          </cell>
          <cell r="K860">
            <v>396</v>
          </cell>
          <cell r="L860" t="str">
            <v>HZK</v>
          </cell>
          <cell r="N860">
            <v>170.94017094017099</v>
          </cell>
        </row>
        <row r="861">
          <cell r="E861" t="str">
            <v>HGC-Lib-2462144</v>
          </cell>
          <cell r="F861" t="str">
            <v>BCX-1</v>
          </cell>
          <cell r="G861">
            <v>6</v>
          </cell>
          <cell r="H861" t="str">
            <v>mRNA文库</v>
          </cell>
          <cell r="I861" t="str">
            <v>ZZ</v>
          </cell>
          <cell r="J861">
            <v>26.8</v>
          </cell>
          <cell r="K861">
            <v>417</v>
          </cell>
          <cell r="L861" t="str">
            <v>HZK</v>
          </cell>
          <cell r="N861">
            <v>98.874746356760696</v>
          </cell>
        </row>
        <row r="862">
          <cell r="E862" t="str">
            <v>HGC-Lib-2462145</v>
          </cell>
          <cell r="F862" t="str">
            <v>BCX-2</v>
          </cell>
          <cell r="G862">
            <v>6</v>
          </cell>
          <cell r="H862" t="str">
            <v>mRNA文库</v>
          </cell>
          <cell r="I862" t="str">
            <v>ZZ</v>
          </cell>
          <cell r="J862">
            <v>7.88</v>
          </cell>
          <cell r="K862">
            <v>416</v>
          </cell>
          <cell r="L862" t="str">
            <v>XCL</v>
          </cell>
          <cell r="N862">
            <v>29.142011834319501</v>
          </cell>
        </row>
        <row r="863">
          <cell r="E863" t="str">
            <v>HGC-Lib-2462146</v>
          </cell>
          <cell r="F863" t="str">
            <v>SYQ-1</v>
          </cell>
          <cell r="G863">
            <v>6</v>
          </cell>
          <cell r="H863" t="str">
            <v>mRNA文库</v>
          </cell>
          <cell r="I863" t="str">
            <v>ZZ</v>
          </cell>
          <cell r="J863">
            <v>1.85</v>
          </cell>
          <cell r="K863">
            <v>406</v>
          </cell>
          <cell r="L863" t="str">
            <v>XCL</v>
          </cell>
          <cell r="N863">
            <v>7.0102311481621804</v>
          </cell>
        </row>
        <row r="864">
          <cell r="E864" t="str">
            <v>HGC-Lib-2462147</v>
          </cell>
          <cell r="F864" t="str">
            <v>SYQ-2</v>
          </cell>
          <cell r="G864">
            <v>6</v>
          </cell>
          <cell r="H864" t="str">
            <v>mRNA文库</v>
          </cell>
          <cell r="I864" t="str">
            <v>ZZ</v>
          </cell>
          <cell r="J864">
            <v>4.78</v>
          </cell>
          <cell r="K864">
            <v>394</v>
          </cell>
          <cell r="L864" t="str">
            <v>XCL</v>
          </cell>
          <cell r="N864">
            <v>18.664584146817599</v>
          </cell>
        </row>
        <row r="865">
          <cell r="E865" t="str">
            <v>HGC-Lib-2462148</v>
          </cell>
          <cell r="F865" t="str">
            <v>YMH-1</v>
          </cell>
          <cell r="G865">
            <v>6</v>
          </cell>
          <cell r="H865" t="str">
            <v>mRNA文库</v>
          </cell>
          <cell r="I865" t="str">
            <v>HZK</v>
          </cell>
          <cell r="J865">
            <v>14.9</v>
          </cell>
          <cell r="K865">
            <v>421</v>
          </cell>
          <cell r="L865" t="str">
            <v>HZK</v>
          </cell>
          <cell r="N865">
            <v>54.4491138315366</v>
          </cell>
        </row>
        <row r="866">
          <cell r="E866" t="str">
            <v>HGC-Lib-2462149</v>
          </cell>
          <cell r="F866" t="str">
            <v>YMH-2</v>
          </cell>
          <cell r="G866">
            <v>6</v>
          </cell>
          <cell r="H866" t="str">
            <v>mRNA文库</v>
          </cell>
          <cell r="I866" t="str">
            <v>HZK</v>
          </cell>
          <cell r="J866">
            <v>12.7</v>
          </cell>
          <cell r="K866">
            <v>439</v>
          </cell>
          <cell r="L866" t="str">
            <v>HZK</v>
          </cell>
          <cell r="N866">
            <v>44.506746101279099</v>
          </cell>
        </row>
        <row r="867">
          <cell r="E867" t="str">
            <v>HGC-Lib-2462150</v>
          </cell>
          <cell r="F867" t="str">
            <v>LY-1</v>
          </cell>
          <cell r="G867">
            <v>6</v>
          </cell>
          <cell r="H867" t="str">
            <v>mRNA文库</v>
          </cell>
          <cell r="I867" t="str">
            <v>HZK</v>
          </cell>
          <cell r="J867">
            <v>2.92</v>
          </cell>
          <cell r="K867">
            <v>439</v>
          </cell>
          <cell r="L867" t="str">
            <v>XCL</v>
          </cell>
          <cell r="N867">
            <v>10.2330471350972</v>
          </cell>
        </row>
        <row r="868">
          <cell r="E868" t="str">
            <v>HGC-Lib-2462151</v>
          </cell>
          <cell r="F868" t="str">
            <v>LY-2</v>
          </cell>
          <cell r="G868">
            <v>6</v>
          </cell>
          <cell r="H868" t="str">
            <v>mRNA文库</v>
          </cell>
          <cell r="I868" t="str">
            <v>HZK</v>
          </cell>
          <cell r="J868">
            <v>13.7</v>
          </cell>
          <cell r="K868">
            <v>422</v>
          </cell>
          <cell r="L868" t="str">
            <v>HZK</v>
          </cell>
          <cell r="N868">
            <v>49.9453153481589</v>
          </cell>
        </row>
        <row r="869">
          <cell r="E869" t="str">
            <v>HGC-Lib-2462152</v>
          </cell>
          <cell r="F869" t="str">
            <v>XGH-1</v>
          </cell>
          <cell r="G869">
            <v>6</v>
          </cell>
          <cell r="H869" t="str">
            <v>mRNA文库</v>
          </cell>
          <cell r="I869" t="str">
            <v>HZK</v>
          </cell>
          <cell r="J869">
            <v>15.8</v>
          </cell>
          <cell r="K869">
            <v>404</v>
          </cell>
          <cell r="L869" t="str">
            <v>HZK</v>
          </cell>
          <cell r="N869">
            <v>60.167555217060197</v>
          </cell>
        </row>
        <row r="870">
          <cell r="E870" t="str">
            <v>HGC-Lib-2462153</v>
          </cell>
          <cell r="F870" t="str">
            <v>XGH-2</v>
          </cell>
          <cell r="G870">
            <v>6</v>
          </cell>
          <cell r="H870" t="str">
            <v>mRNA文库</v>
          </cell>
          <cell r="I870" t="str">
            <v>HZK</v>
          </cell>
          <cell r="J870">
            <v>25.4</v>
          </cell>
          <cell r="K870">
            <v>394</v>
          </cell>
          <cell r="L870" t="str">
            <v>HZK</v>
          </cell>
          <cell r="N870">
            <v>99.180007809449407</v>
          </cell>
        </row>
        <row r="871">
          <cell r="E871" t="str">
            <v>HGC-Lib-2462154</v>
          </cell>
          <cell r="F871" t="str">
            <v>JAC-1</v>
          </cell>
          <cell r="G871">
            <v>6</v>
          </cell>
          <cell r="H871" t="str">
            <v>mRNA文库</v>
          </cell>
          <cell r="I871" t="str">
            <v>HZK</v>
          </cell>
          <cell r="J871">
            <v>30.2</v>
          </cell>
          <cell r="K871">
            <v>405</v>
          </cell>
          <cell r="L871" t="str">
            <v>HZK</v>
          </cell>
          <cell r="N871">
            <v>114.719848053181</v>
          </cell>
        </row>
        <row r="872">
          <cell r="E872" t="str">
            <v>HGC-Lib-2462155</v>
          </cell>
          <cell r="F872" t="str">
            <v>JAC-2</v>
          </cell>
          <cell r="G872">
            <v>6</v>
          </cell>
          <cell r="H872" t="str">
            <v>mRNA文库</v>
          </cell>
          <cell r="I872" t="str">
            <v>HZK</v>
          </cell>
          <cell r="J872">
            <v>12.2</v>
          </cell>
          <cell r="K872">
            <v>403</v>
          </cell>
          <cell r="L872" t="str">
            <v>HZK</v>
          </cell>
          <cell r="N872">
            <v>46.573773620920001</v>
          </cell>
        </row>
        <row r="873">
          <cell r="E873" t="str">
            <v>HGC-Lib-2462156</v>
          </cell>
          <cell r="F873" t="str">
            <v>YJH-1</v>
          </cell>
          <cell r="G873">
            <v>6</v>
          </cell>
          <cell r="H873" t="str">
            <v>mRNA文库</v>
          </cell>
          <cell r="I873" t="str">
            <v>HZK</v>
          </cell>
          <cell r="J873">
            <v>52.2</v>
          </cell>
          <cell r="K873">
            <v>398</v>
          </cell>
          <cell r="L873" t="str">
            <v>HZK</v>
          </cell>
          <cell r="N873">
            <v>201.77812137611099</v>
          </cell>
        </row>
        <row r="874">
          <cell r="E874" t="str">
            <v>HGC-Lib-2462157</v>
          </cell>
          <cell r="F874" t="str">
            <v>YJH-2</v>
          </cell>
          <cell r="G874">
            <v>6</v>
          </cell>
          <cell r="H874" t="str">
            <v>mRNA文库</v>
          </cell>
          <cell r="I874" t="str">
            <v>HZK</v>
          </cell>
          <cell r="J874">
            <v>29.6</v>
          </cell>
          <cell r="K874">
            <v>413</v>
          </cell>
          <cell r="L874" t="str">
            <v>HZK</v>
          </cell>
          <cell r="N874">
            <v>110.262618737195</v>
          </cell>
        </row>
        <row r="875">
          <cell r="E875" t="str">
            <v>HGC-Lib-2462158</v>
          </cell>
          <cell r="F875" t="str">
            <v>LQZ-1</v>
          </cell>
          <cell r="G875">
            <v>6</v>
          </cell>
          <cell r="H875" t="str">
            <v>mRNA文库</v>
          </cell>
          <cell r="I875" t="str">
            <v>HZK</v>
          </cell>
          <cell r="J875">
            <v>38.799999999999997</v>
          </cell>
          <cell r="K875">
            <v>396</v>
          </cell>
          <cell r="L875" t="str">
            <v>HZK</v>
          </cell>
          <cell r="N875">
            <v>150.73815073815101</v>
          </cell>
        </row>
        <row r="876">
          <cell r="E876" t="str">
            <v>HGC-Lib-2462159</v>
          </cell>
          <cell r="F876" t="str">
            <v>LQZ-2</v>
          </cell>
          <cell r="G876">
            <v>6</v>
          </cell>
          <cell r="H876" t="str">
            <v>mRNA文库</v>
          </cell>
          <cell r="I876" t="str">
            <v>HZK</v>
          </cell>
          <cell r="J876">
            <v>27.4</v>
          </cell>
          <cell r="K876">
            <v>406</v>
          </cell>
          <cell r="L876" t="str">
            <v>HZK</v>
          </cell>
          <cell r="N876">
            <v>103.827207275483</v>
          </cell>
        </row>
        <row r="877">
          <cell r="E877" t="str">
            <v>HGC-Lib-2462160</v>
          </cell>
          <cell r="F877" t="str">
            <v>BSA-1</v>
          </cell>
          <cell r="G877">
            <v>6</v>
          </cell>
          <cell r="H877" t="str">
            <v>mRNA文库</v>
          </cell>
          <cell r="I877" t="str">
            <v>HZK</v>
          </cell>
          <cell r="J877">
            <v>46</v>
          </cell>
          <cell r="K877">
            <v>451</v>
          </cell>
          <cell r="L877" t="str">
            <v>HZK</v>
          </cell>
          <cell r="N877">
            <v>156.91625447723001</v>
          </cell>
        </row>
        <row r="878">
          <cell r="E878" t="str">
            <v>HGC-Lib-2462161</v>
          </cell>
          <cell r="F878" t="str">
            <v>BSA-2</v>
          </cell>
          <cell r="G878">
            <v>6</v>
          </cell>
          <cell r="H878" t="str">
            <v>mRNA文库</v>
          </cell>
          <cell r="I878" t="str">
            <v>HZK</v>
          </cell>
          <cell r="J878">
            <v>46.8</v>
          </cell>
          <cell r="K878">
            <v>459</v>
          </cell>
          <cell r="L878" t="str">
            <v>HZK</v>
          </cell>
          <cell r="N878">
            <v>156.862745098039</v>
          </cell>
        </row>
        <row r="879">
          <cell r="E879" t="str">
            <v>HGC-Lib-2462162</v>
          </cell>
          <cell r="F879" t="str">
            <v>BSA-3</v>
          </cell>
          <cell r="G879">
            <v>6</v>
          </cell>
          <cell r="H879" t="str">
            <v>mRNA文库</v>
          </cell>
          <cell r="I879" t="str">
            <v>HZK</v>
          </cell>
          <cell r="J879">
            <v>29</v>
          </cell>
          <cell r="K879">
            <v>462</v>
          </cell>
          <cell r="L879" t="str">
            <v>HZK</v>
          </cell>
          <cell r="N879">
            <v>96.570096570096595</v>
          </cell>
        </row>
        <row r="880">
          <cell r="E880" t="str">
            <v>HGC-Lib-2462163</v>
          </cell>
          <cell r="F880" t="str">
            <v>FGF19-1</v>
          </cell>
          <cell r="G880">
            <v>6</v>
          </cell>
          <cell r="H880" t="str">
            <v>mRNA文库</v>
          </cell>
          <cell r="I880" t="str">
            <v>HZK</v>
          </cell>
          <cell r="J880">
            <v>45</v>
          </cell>
          <cell r="K880">
            <v>461</v>
          </cell>
          <cell r="L880" t="str">
            <v>HZK</v>
          </cell>
          <cell r="N880">
            <v>150.175204405139</v>
          </cell>
        </row>
        <row r="881">
          <cell r="E881" t="str">
            <v>HGC-Lib-2462164</v>
          </cell>
          <cell r="F881" t="str">
            <v>FGF19-2</v>
          </cell>
          <cell r="G881">
            <v>6</v>
          </cell>
          <cell r="H881" t="str">
            <v>mRNA文库</v>
          </cell>
          <cell r="I881" t="str">
            <v>HZK</v>
          </cell>
          <cell r="J881">
            <v>55</v>
          </cell>
          <cell r="K881">
            <v>459</v>
          </cell>
          <cell r="L881" t="str">
            <v>HZK</v>
          </cell>
          <cell r="N881">
            <v>184.347243170773</v>
          </cell>
        </row>
        <row r="882">
          <cell r="E882" t="str">
            <v>HGC-Lib-2462165</v>
          </cell>
          <cell r="F882" t="str">
            <v>FGF19-3</v>
          </cell>
          <cell r="G882">
            <v>6</v>
          </cell>
          <cell r="H882" t="str">
            <v>mRNA文库</v>
          </cell>
          <cell r="I882" t="str">
            <v>HZK</v>
          </cell>
          <cell r="J882">
            <v>48.6</v>
          </cell>
          <cell r="K882">
            <v>429</v>
          </cell>
          <cell r="L882" t="str">
            <v>HZK</v>
          </cell>
          <cell r="N882">
            <v>174.28725121032801</v>
          </cell>
        </row>
        <row r="883">
          <cell r="E883" t="str">
            <v>HGC-Lib-2462166</v>
          </cell>
          <cell r="F883" t="str">
            <v>Cl13_GPX4_KD1_D7_RNA_2</v>
          </cell>
          <cell r="G883">
            <v>8</v>
          </cell>
          <cell r="H883" t="str">
            <v>RNA-seq文库</v>
          </cell>
          <cell r="I883" t="str">
            <v>HZK</v>
          </cell>
          <cell r="J883">
            <v>41.6</v>
          </cell>
          <cell r="K883">
            <v>318</v>
          </cell>
          <cell r="L883" t="str">
            <v>HZK</v>
          </cell>
          <cell r="N883">
            <v>201.25786163522</v>
          </cell>
        </row>
        <row r="884">
          <cell r="E884" t="str">
            <v>HGC-Lib-2462167</v>
          </cell>
          <cell r="F884" t="str">
            <v>Cl13_GPX4_KD2_D7_RNA_2</v>
          </cell>
          <cell r="G884">
            <v>8</v>
          </cell>
          <cell r="H884" t="str">
            <v>RNA-seq文库</v>
          </cell>
          <cell r="I884" t="str">
            <v>HZK</v>
          </cell>
          <cell r="J884">
            <v>43.8</v>
          </cell>
          <cell r="K884">
            <v>313</v>
          </cell>
          <cell r="L884" t="str">
            <v>HZK</v>
          </cell>
          <cell r="N884">
            <v>215.286311132957</v>
          </cell>
        </row>
        <row r="885">
          <cell r="E885" t="str">
            <v>HGC-Lib-2462168</v>
          </cell>
          <cell r="F885" t="str">
            <v>Cl13_GPX4_KDV_D7_RNA_2</v>
          </cell>
          <cell r="G885">
            <v>8</v>
          </cell>
          <cell r="H885" t="str">
            <v>RNA-seq文库</v>
          </cell>
          <cell r="I885" t="str">
            <v>HZK</v>
          </cell>
          <cell r="J885">
            <v>45.6</v>
          </cell>
          <cell r="K885">
            <v>314</v>
          </cell>
          <cell r="L885" t="str">
            <v>HZK</v>
          </cell>
          <cell r="N885">
            <v>223.419892209701</v>
          </cell>
        </row>
        <row r="886">
          <cell r="E886" t="str">
            <v>HGC-Lib-2462169</v>
          </cell>
          <cell r="F886" t="str">
            <v>B16_gp_TME_m1_RNA_2</v>
          </cell>
          <cell r="G886">
            <v>8</v>
          </cell>
          <cell r="H886" t="str">
            <v>RNA-seq文库</v>
          </cell>
          <cell r="I886" t="str">
            <v>HZK</v>
          </cell>
          <cell r="J886">
            <v>44.4</v>
          </cell>
          <cell r="K886">
            <v>320</v>
          </cell>
          <cell r="L886" t="str">
            <v>HZK</v>
          </cell>
          <cell r="N886">
            <v>213.461538461538</v>
          </cell>
        </row>
        <row r="887">
          <cell r="E887" t="str">
            <v>HGC-Lib-2462170</v>
          </cell>
          <cell r="F887" t="str">
            <v>B16_gp_TME_m2_RNA_2</v>
          </cell>
          <cell r="G887">
            <v>8</v>
          </cell>
          <cell r="H887" t="str">
            <v>RNA-seq文库</v>
          </cell>
          <cell r="I887" t="str">
            <v>HZK</v>
          </cell>
          <cell r="J887">
            <v>18.899999999999999</v>
          </cell>
          <cell r="K887">
            <v>390</v>
          </cell>
          <cell r="L887" t="str">
            <v>HZK</v>
          </cell>
          <cell r="N887">
            <v>74.556213017751503</v>
          </cell>
        </row>
        <row r="888">
          <cell r="E888" t="str">
            <v>HGC-Lib-2462171</v>
          </cell>
          <cell r="F888" t="str">
            <v>B16_gp_TME_m3_RNA_2</v>
          </cell>
          <cell r="G888">
            <v>8</v>
          </cell>
          <cell r="H888" t="str">
            <v>RNA-seq文库</v>
          </cell>
          <cell r="I888" t="str">
            <v>HZK</v>
          </cell>
          <cell r="J888">
            <v>39.799999999999997</v>
          </cell>
          <cell r="K888">
            <v>315</v>
          </cell>
          <cell r="L888" t="str">
            <v>HZK</v>
          </cell>
          <cell r="N888">
            <v>194.38339438339401</v>
          </cell>
        </row>
        <row r="889">
          <cell r="E889" t="str">
            <v>HGC-POOL-2462172</v>
          </cell>
          <cell r="F889">
            <v>1</v>
          </cell>
          <cell r="G889">
            <v>12</v>
          </cell>
          <cell r="H889" t="str">
            <v>免疫组库</v>
          </cell>
          <cell r="I889" t="str">
            <v>HZK</v>
          </cell>
          <cell r="J889">
            <v>3.28</v>
          </cell>
          <cell r="K889">
            <v>358</v>
          </cell>
          <cell r="L889" t="str">
            <v>XCL</v>
          </cell>
          <cell r="N889">
            <v>14.095401804899</v>
          </cell>
        </row>
        <row r="890">
          <cell r="E890" t="str">
            <v>HGC-POOL-2462173</v>
          </cell>
          <cell r="F890">
            <v>2</v>
          </cell>
          <cell r="G890">
            <v>12</v>
          </cell>
          <cell r="H890" t="str">
            <v>免疫组库</v>
          </cell>
          <cell r="I890" t="str">
            <v>HZK</v>
          </cell>
          <cell r="J890">
            <v>4.04</v>
          </cell>
          <cell r="K890">
            <v>347</v>
          </cell>
          <cell r="L890" t="str">
            <v>XCL</v>
          </cell>
          <cell r="N890">
            <v>17.911771225892299</v>
          </cell>
        </row>
        <row r="891">
          <cell r="E891" t="str">
            <v>HGC-POOL-2462174</v>
          </cell>
          <cell r="F891">
            <v>3</v>
          </cell>
          <cell r="G891">
            <v>30</v>
          </cell>
          <cell r="H891" t="str">
            <v>免疫组库</v>
          </cell>
          <cell r="I891" t="str">
            <v>HZK</v>
          </cell>
          <cell r="J891">
            <v>3.44</v>
          </cell>
          <cell r="K891">
            <v>344</v>
          </cell>
          <cell r="L891" t="str">
            <v>XCL</v>
          </cell>
          <cell r="N891">
            <v>15.384615384615399</v>
          </cell>
        </row>
        <row r="892">
          <cell r="E892" t="str">
            <v>HGC-POOL-2462175</v>
          </cell>
          <cell r="F892">
            <v>4</v>
          </cell>
          <cell r="G892">
            <v>24</v>
          </cell>
          <cell r="H892" t="str">
            <v>免疫组库</v>
          </cell>
          <cell r="I892" t="str">
            <v>HZK</v>
          </cell>
          <cell r="J892">
            <v>2.2999999999999998</v>
          </cell>
          <cell r="K892">
            <v>350</v>
          </cell>
          <cell r="L892" t="str">
            <v>XCL</v>
          </cell>
          <cell r="N892">
            <v>10.109890109890101</v>
          </cell>
        </row>
        <row r="893">
          <cell r="E893" t="str">
            <v>HGC-POOL-2462176</v>
          </cell>
          <cell r="F893">
            <v>5</v>
          </cell>
          <cell r="G893">
            <v>24</v>
          </cell>
          <cell r="H893" t="str">
            <v>免疫组库</v>
          </cell>
          <cell r="I893" t="str">
            <v>HZK</v>
          </cell>
          <cell r="J893">
            <v>2.2000000000000002</v>
          </cell>
          <cell r="K893">
            <v>342</v>
          </cell>
          <cell r="L893" t="str">
            <v>XCL</v>
          </cell>
          <cell r="N893">
            <v>9.8965362123256906</v>
          </cell>
        </row>
        <row r="894">
          <cell r="E894" t="str">
            <v>HGC-POOL-2462177</v>
          </cell>
          <cell r="F894">
            <v>6</v>
          </cell>
          <cell r="G894">
            <v>30</v>
          </cell>
          <cell r="H894" t="str">
            <v>免疫组库</v>
          </cell>
          <cell r="I894" t="str">
            <v>HZK</v>
          </cell>
          <cell r="J894">
            <v>2.58</v>
          </cell>
          <cell r="K894">
            <v>333</v>
          </cell>
          <cell r="L894" t="str">
            <v>XCL</v>
          </cell>
          <cell r="N894">
            <v>11.919611919611899</v>
          </cell>
        </row>
        <row r="895">
          <cell r="E895" t="str">
            <v>HGC-POOL-2462178</v>
          </cell>
          <cell r="F895">
            <v>7</v>
          </cell>
          <cell r="G895">
            <v>12</v>
          </cell>
          <cell r="H895" t="str">
            <v>免疫组库</v>
          </cell>
          <cell r="I895" t="str">
            <v>HZK</v>
          </cell>
          <cell r="J895">
            <v>6.08</v>
          </cell>
          <cell r="K895">
            <v>329</v>
          </cell>
          <cell r="L895" t="str">
            <v>XCL</v>
          </cell>
          <cell r="N895">
            <v>28.431143324760299</v>
          </cell>
        </row>
        <row r="896">
          <cell r="E896" t="str">
            <v>HGC-POOL-2462179</v>
          </cell>
          <cell r="F896">
            <v>8</v>
          </cell>
          <cell r="G896">
            <v>18</v>
          </cell>
          <cell r="H896" t="str">
            <v>免疫组库</v>
          </cell>
          <cell r="I896" t="str">
            <v>HZK</v>
          </cell>
          <cell r="J896">
            <v>6.32</v>
          </cell>
          <cell r="K896">
            <v>363</v>
          </cell>
          <cell r="L896" t="str">
            <v>XCL</v>
          </cell>
          <cell r="N896">
            <v>26.785335876245</v>
          </cell>
        </row>
        <row r="897">
          <cell r="E897" t="str">
            <v>HGC-POOL-2462180</v>
          </cell>
          <cell r="F897">
            <v>9</v>
          </cell>
          <cell r="G897">
            <v>18</v>
          </cell>
          <cell r="H897" t="str">
            <v>免疫组库</v>
          </cell>
          <cell r="I897" t="str">
            <v>HZK</v>
          </cell>
          <cell r="J897">
            <v>7.82</v>
          </cell>
          <cell r="K897">
            <v>355</v>
          </cell>
          <cell r="L897" t="str">
            <v>XCL</v>
          </cell>
          <cell r="N897">
            <v>33.889490790899202</v>
          </cell>
        </row>
        <row r="898">
          <cell r="E898" t="str">
            <v>HGC-POOL-2462181</v>
          </cell>
          <cell r="F898">
            <v>10</v>
          </cell>
          <cell r="G898">
            <v>12</v>
          </cell>
          <cell r="H898" t="str">
            <v>免疫组库</v>
          </cell>
          <cell r="I898" t="str">
            <v>HZK</v>
          </cell>
          <cell r="J898">
            <v>2.7</v>
          </cell>
          <cell r="K898">
            <v>372</v>
          </cell>
          <cell r="L898" t="str">
            <v>XCL</v>
          </cell>
          <cell r="N898">
            <v>11.166253101737</v>
          </cell>
        </row>
        <row r="899">
          <cell r="E899" t="str">
            <v>HGC-POOL-2462182</v>
          </cell>
          <cell r="F899">
            <v>11</v>
          </cell>
          <cell r="G899">
            <v>12</v>
          </cell>
          <cell r="H899" t="str">
            <v>免疫组库</v>
          </cell>
          <cell r="I899" t="str">
            <v>HZK</v>
          </cell>
          <cell r="J899">
            <v>4.26</v>
          </cell>
          <cell r="K899">
            <v>342</v>
          </cell>
          <cell r="L899" t="str">
            <v>XCL</v>
          </cell>
          <cell r="N899">
            <v>19.163292847503399</v>
          </cell>
        </row>
        <row r="900">
          <cell r="E900" t="str">
            <v>HGC-POOL-2462183</v>
          </cell>
          <cell r="F900">
            <v>12</v>
          </cell>
          <cell r="G900">
            <v>12</v>
          </cell>
          <cell r="H900" t="str">
            <v>免疫组库</v>
          </cell>
          <cell r="I900" t="str">
            <v>HZK</v>
          </cell>
          <cell r="J900">
            <v>3.84</v>
          </cell>
          <cell r="K900">
            <v>336</v>
          </cell>
          <cell r="L900" t="str">
            <v>XCL</v>
          </cell>
          <cell r="N900">
            <v>17.582417582417602</v>
          </cell>
        </row>
        <row r="901">
          <cell r="E901" t="str">
            <v>HGC-POOL-2462184</v>
          </cell>
          <cell r="F901">
            <v>13</v>
          </cell>
          <cell r="G901">
            <v>18</v>
          </cell>
          <cell r="H901" t="str">
            <v>免疫组库</v>
          </cell>
          <cell r="I901" t="str">
            <v>HZK</v>
          </cell>
          <cell r="J901">
            <v>5.96</v>
          </cell>
          <cell r="K901">
            <v>336</v>
          </cell>
          <cell r="L901" t="str">
            <v>XCL</v>
          </cell>
          <cell r="N901">
            <v>27.289377289377299</v>
          </cell>
        </row>
        <row r="902">
          <cell r="E902" t="str">
            <v>HGC-POOL-2462185</v>
          </cell>
          <cell r="F902">
            <v>14</v>
          </cell>
          <cell r="G902">
            <v>24</v>
          </cell>
          <cell r="H902" t="str">
            <v>免疫组库</v>
          </cell>
          <cell r="I902" t="str">
            <v>HZK</v>
          </cell>
          <cell r="J902">
            <v>10.3</v>
          </cell>
          <cell r="K902">
            <v>359</v>
          </cell>
          <cell r="L902" t="str">
            <v>XCL</v>
          </cell>
          <cell r="N902">
            <v>44.139704306835199</v>
          </cell>
        </row>
        <row r="903">
          <cell r="E903" t="str">
            <v>HGC-POOL-2462186</v>
          </cell>
          <cell r="F903">
            <v>15</v>
          </cell>
          <cell r="G903">
            <v>24</v>
          </cell>
          <cell r="H903" t="str">
            <v>免疫组库</v>
          </cell>
          <cell r="I903" t="str">
            <v>HZK</v>
          </cell>
          <cell r="J903">
            <v>7.9</v>
          </cell>
          <cell r="K903">
            <v>330</v>
          </cell>
          <cell r="L903" t="str">
            <v>XCL</v>
          </cell>
          <cell r="N903">
            <v>36.8298368298368</v>
          </cell>
        </row>
        <row r="904">
          <cell r="E904" t="str">
            <v>HGC-POOL-2462187</v>
          </cell>
          <cell r="F904">
            <v>16</v>
          </cell>
          <cell r="G904">
            <v>24</v>
          </cell>
          <cell r="H904" t="str">
            <v>免疫组库</v>
          </cell>
          <cell r="I904" t="str">
            <v>HZK</v>
          </cell>
          <cell r="J904">
            <v>12.7</v>
          </cell>
          <cell r="K904">
            <v>349</v>
          </cell>
          <cell r="L904" t="str">
            <v>XCL</v>
          </cell>
          <cell r="N904">
            <v>55.9841304826978</v>
          </cell>
        </row>
        <row r="905">
          <cell r="E905" t="str">
            <v>HGC-POOL-2462188</v>
          </cell>
          <cell r="F905">
            <v>17</v>
          </cell>
          <cell r="G905">
            <v>24</v>
          </cell>
          <cell r="H905" t="str">
            <v>免疫组库</v>
          </cell>
          <cell r="I905" t="str">
            <v>HZK</v>
          </cell>
          <cell r="J905">
            <v>5.5</v>
          </cell>
          <cell r="K905">
            <v>354</v>
          </cell>
          <cell r="L905" t="str">
            <v>XCL</v>
          </cell>
          <cell r="N905">
            <v>23.9026510212951</v>
          </cell>
        </row>
        <row r="906">
          <cell r="E906" t="str">
            <v>HGC-POOL-2462189</v>
          </cell>
          <cell r="F906">
            <v>18</v>
          </cell>
          <cell r="G906">
            <v>18</v>
          </cell>
          <cell r="H906" t="str">
            <v>免疫组库</v>
          </cell>
          <cell r="I906" t="str">
            <v>HZK</v>
          </cell>
          <cell r="J906">
            <v>2.74</v>
          </cell>
          <cell r="K906">
            <v>379</v>
          </cell>
          <cell r="L906" t="str">
            <v>XCL</v>
          </cell>
          <cell r="N906">
            <v>11.122386847980501</v>
          </cell>
        </row>
        <row r="907">
          <cell r="E907" t="str">
            <v>HGC-POOL-2462190</v>
          </cell>
          <cell r="F907">
            <v>19</v>
          </cell>
          <cell r="G907">
            <v>18</v>
          </cell>
          <cell r="H907" t="str">
            <v>免疫组库</v>
          </cell>
          <cell r="I907" t="str">
            <v>HZK</v>
          </cell>
          <cell r="J907">
            <v>1.94</v>
          </cell>
          <cell r="K907">
            <v>413</v>
          </cell>
          <cell r="L907" t="str">
            <v>XCL</v>
          </cell>
          <cell r="N907">
            <v>7.2266716334512902</v>
          </cell>
        </row>
        <row r="908">
          <cell r="E908" t="str">
            <v>HGC-Lib-2462191</v>
          </cell>
          <cell r="F908" t="str">
            <v>HYN01C-RNA-ZYMO-M-库</v>
          </cell>
          <cell r="G908">
            <v>10</v>
          </cell>
          <cell r="H908" t="str">
            <v>宏转录组文库</v>
          </cell>
          <cell r="I908" t="str">
            <v>HZK</v>
          </cell>
          <cell r="J908">
            <v>4.0599999999999996</v>
          </cell>
          <cell r="K908">
            <v>487</v>
          </cell>
          <cell r="L908" t="str">
            <v>XCL</v>
          </cell>
          <cell r="N908">
            <v>12.8257779181804</v>
          </cell>
        </row>
        <row r="909">
          <cell r="E909" t="str">
            <v>HGC-Lib-2462192</v>
          </cell>
          <cell r="F909" t="str">
            <v>HYN06C-RNA-ZYMO-M-库</v>
          </cell>
          <cell r="G909">
            <v>10</v>
          </cell>
          <cell r="H909" t="str">
            <v>宏转录组文库</v>
          </cell>
          <cell r="I909" t="str">
            <v>HZK</v>
          </cell>
          <cell r="J909">
            <v>14</v>
          </cell>
          <cell r="K909">
            <v>529</v>
          </cell>
          <cell r="L909" t="str">
            <v>HZK</v>
          </cell>
          <cell r="N909">
            <v>40.715428239057701</v>
          </cell>
        </row>
        <row r="910">
          <cell r="E910" t="str">
            <v>HGC-Lib-2462193</v>
          </cell>
          <cell r="F910" t="str">
            <v>HYPAQ083C-RNA-ZYMO-M-库</v>
          </cell>
          <cell r="G910">
            <v>10</v>
          </cell>
          <cell r="H910" t="str">
            <v>宏转录组文库</v>
          </cell>
          <cell r="I910" t="str">
            <v>HZK</v>
          </cell>
          <cell r="J910">
            <v>43.4</v>
          </cell>
          <cell r="K910">
            <v>477</v>
          </cell>
          <cell r="L910" t="str">
            <v>HZK</v>
          </cell>
          <cell r="N910">
            <v>139.97742299629101</v>
          </cell>
        </row>
        <row r="911">
          <cell r="E911" t="str">
            <v>HGC-Lib-2462194</v>
          </cell>
          <cell r="F911" t="str">
            <v>HYPAQ085C-RNA-ZYMO-M-库</v>
          </cell>
          <cell r="G911">
            <v>10</v>
          </cell>
          <cell r="H911" t="str">
            <v>宏转录组文库</v>
          </cell>
          <cell r="I911" t="str">
            <v>HZK</v>
          </cell>
          <cell r="J911">
            <v>74.599999999999994</v>
          </cell>
          <cell r="K911">
            <v>487</v>
          </cell>
          <cell r="L911" t="str">
            <v>HZK</v>
          </cell>
          <cell r="N911">
            <v>235.66577160006301</v>
          </cell>
        </row>
        <row r="912">
          <cell r="E912" t="str">
            <v>HGC-Lib-2462195</v>
          </cell>
          <cell r="F912" t="str">
            <v>HYPAQ088C-RNA-ZYMO-M-库</v>
          </cell>
          <cell r="G912">
            <v>10</v>
          </cell>
          <cell r="H912" t="str">
            <v>宏转录组文库</v>
          </cell>
          <cell r="I912" t="str">
            <v>HZK</v>
          </cell>
          <cell r="J912">
            <v>56.4</v>
          </cell>
          <cell r="K912">
            <v>481</v>
          </cell>
          <cell r="L912" t="str">
            <v>HZK</v>
          </cell>
          <cell r="N912">
            <v>180.393411162642</v>
          </cell>
        </row>
        <row r="913">
          <cell r="E913" t="str">
            <v>HGC-Lib-2462196</v>
          </cell>
          <cell r="F913" t="str">
            <v>HYPAQ092C-RNA-ZYMO-M-库</v>
          </cell>
          <cell r="G913">
            <v>10</v>
          </cell>
          <cell r="H913" t="str">
            <v>宏转录组文库</v>
          </cell>
          <cell r="I913" t="str">
            <v>YHT</v>
          </cell>
          <cell r="J913">
            <v>30</v>
          </cell>
          <cell r="K913">
            <v>386</v>
          </cell>
          <cell r="L913" t="str">
            <v>HZK</v>
          </cell>
          <cell r="N913">
            <v>119.569549621363</v>
          </cell>
        </row>
        <row r="914">
          <cell r="E914" t="str">
            <v>HGC-Lib-2462197</v>
          </cell>
          <cell r="F914" t="str">
            <v>HYPAQ0100C-RNA-ZYMO-M-库</v>
          </cell>
          <cell r="G914">
            <v>10</v>
          </cell>
          <cell r="H914" t="str">
            <v>宏转录组文库</v>
          </cell>
          <cell r="I914" t="str">
            <v>YHT</v>
          </cell>
          <cell r="J914">
            <v>91.8</v>
          </cell>
          <cell r="K914">
            <v>425</v>
          </cell>
          <cell r="L914" t="str">
            <v>HZK</v>
          </cell>
          <cell r="N914">
            <v>332.30769230769198</v>
          </cell>
        </row>
        <row r="915">
          <cell r="E915" t="str">
            <v>HGC-Lib-2462198</v>
          </cell>
          <cell r="F915" t="str">
            <v>HYPAQ081C-RNA-ZYMO-M-库</v>
          </cell>
          <cell r="G915">
            <v>10</v>
          </cell>
          <cell r="H915" t="str">
            <v>宏转录组文库</v>
          </cell>
          <cell r="I915" t="str">
            <v>YHT</v>
          </cell>
          <cell r="J915">
            <v>27</v>
          </cell>
          <cell r="K915">
            <v>495</v>
          </cell>
          <cell r="L915" t="str">
            <v>HZK</v>
          </cell>
          <cell r="N915">
            <v>83.916083916083906</v>
          </cell>
        </row>
        <row r="916">
          <cell r="E916" t="str">
            <v>HGC-Lib-2462199</v>
          </cell>
          <cell r="F916" t="str">
            <v>HYPAQ082C-RNA-ZYMO-M-库</v>
          </cell>
          <cell r="G916">
            <v>10</v>
          </cell>
          <cell r="H916" t="str">
            <v>宏转录组文库</v>
          </cell>
          <cell r="I916" t="str">
            <v>YHT</v>
          </cell>
          <cell r="J916">
            <v>16.100000000000001</v>
          </cell>
          <cell r="K916">
            <v>458</v>
          </cell>
          <cell r="L916" t="str">
            <v>HZK</v>
          </cell>
          <cell r="N916">
            <v>54.081289889150199</v>
          </cell>
        </row>
        <row r="917">
          <cell r="E917" t="str">
            <v>HGC-Lib-2462200</v>
          </cell>
          <cell r="F917" t="str">
            <v>HYPAQ087C-RNA-ZYMO-M-库</v>
          </cell>
          <cell r="G917">
            <v>10</v>
          </cell>
          <cell r="H917" t="str">
            <v>宏转录组文库</v>
          </cell>
          <cell r="I917" t="str">
            <v>YHT</v>
          </cell>
          <cell r="J917">
            <v>76.400000000000006</v>
          </cell>
          <cell r="K917">
            <v>493</v>
          </cell>
          <cell r="L917" t="str">
            <v>HZK</v>
          </cell>
          <cell r="N917">
            <v>238.41472928694</v>
          </cell>
        </row>
        <row r="918">
          <cell r="E918" t="str">
            <v>HGC-Lib-2462201</v>
          </cell>
          <cell r="F918" t="str">
            <v>HYPAQ089C-RNA-ZYMO-M-库</v>
          </cell>
          <cell r="G918">
            <v>10</v>
          </cell>
          <cell r="H918" t="str">
            <v>宏转录组文库</v>
          </cell>
          <cell r="I918" t="str">
            <v>YHT</v>
          </cell>
          <cell r="J918">
            <v>21.8</v>
          </cell>
          <cell r="K918">
            <v>437</v>
          </cell>
          <cell r="L918" t="str">
            <v>HZK</v>
          </cell>
          <cell r="N918">
            <v>76.747051575426894</v>
          </cell>
        </row>
        <row r="919">
          <cell r="E919" t="str">
            <v>HGC-Lib-2462202</v>
          </cell>
          <cell r="F919" t="str">
            <v>HYPAQ090C-RNA-ZYMO-M-库</v>
          </cell>
          <cell r="G919">
            <v>10</v>
          </cell>
          <cell r="H919" t="str">
            <v>宏转录组文库</v>
          </cell>
          <cell r="I919" t="str">
            <v>YHT</v>
          </cell>
          <cell r="J919">
            <v>10</v>
          </cell>
          <cell r="K919">
            <v>432</v>
          </cell>
          <cell r="L919" t="str">
            <v>XCL</v>
          </cell>
          <cell r="N919">
            <v>35.612535612535602</v>
          </cell>
        </row>
        <row r="920">
          <cell r="E920" t="str">
            <v>HGC-Lib-2462203</v>
          </cell>
          <cell r="F920" t="str">
            <v>Ri1</v>
          </cell>
          <cell r="G920">
            <v>3</v>
          </cell>
          <cell r="H920" t="str">
            <v>mRNA文库</v>
          </cell>
          <cell r="I920" t="str">
            <v>YHT</v>
          </cell>
          <cell r="J920">
            <v>19.5</v>
          </cell>
          <cell r="K920">
            <v>509</v>
          </cell>
          <cell r="L920" t="str">
            <v>HZK</v>
          </cell>
          <cell r="N920">
            <v>58.9390962671906</v>
          </cell>
        </row>
        <row r="921">
          <cell r="E921" t="str">
            <v>HGC-Lib-2462204</v>
          </cell>
          <cell r="F921" t="str">
            <v>Ri2</v>
          </cell>
          <cell r="G921">
            <v>3</v>
          </cell>
          <cell r="H921" t="str">
            <v>mRNA文库</v>
          </cell>
          <cell r="I921" t="str">
            <v>YHT</v>
          </cell>
          <cell r="J921">
            <v>13.5</v>
          </cell>
          <cell r="K921">
            <v>502</v>
          </cell>
          <cell r="L921" t="str">
            <v>HZK</v>
          </cell>
          <cell r="N921">
            <v>41.372969659822203</v>
          </cell>
        </row>
        <row r="922">
          <cell r="E922" t="str">
            <v>HGC-Lib-2462205</v>
          </cell>
          <cell r="F922" t="str">
            <v>Ri3</v>
          </cell>
          <cell r="G922">
            <v>3</v>
          </cell>
          <cell r="H922" t="str">
            <v>mRNA文库</v>
          </cell>
          <cell r="I922" t="str">
            <v>YHT</v>
          </cell>
          <cell r="J922">
            <v>17.899999999999999</v>
          </cell>
          <cell r="K922">
            <v>564</v>
          </cell>
          <cell r="L922" t="str">
            <v>HZK</v>
          </cell>
          <cell r="N922">
            <v>48.827059465357301</v>
          </cell>
        </row>
        <row r="923">
          <cell r="E923" t="str">
            <v>HGC-Lib-2462206</v>
          </cell>
          <cell r="F923" t="str">
            <v>Ri4</v>
          </cell>
          <cell r="G923">
            <v>3</v>
          </cell>
          <cell r="H923" t="str">
            <v>mRNA文库</v>
          </cell>
          <cell r="I923" t="str">
            <v>YHT</v>
          </cell>
          <cell r="J923">
            <v>18.600000000000001</v>
          </cell>
          <cell r="K923">
            <v>498</v>
          </cell>
          <cell r="L923" t="str">
            <v>HZK</v>
          </cell>
          <cell r="N923">
            <v>57.4606116774792</v>
          </cell>
        </row>
        <row r="924">
          <cell r="E924" t="str">
            <v>HGC-Lib-2462207</v>
          </cell>
          <cell r="F924" t="str">
            <v>Ri5</v>
          </cell>
          <cell r="G924">
            <v>3</v>
          </cell>
          <cell r="H924" t="str">
            <v>mRNA文库</v>
          </cell>
          <cell r="I924" t="str">
            <v>YHT</v>
          </cell>
          <cell r="J924">
            <v>17.399999999999999</v>
          </cell>
          <cell r="K924">
            <v>511</v>
          </cell>
          <cell r="L924" t="str">
            <v>HZK</v>
          </cell>
          <cell r="N924">
            <v>52.385970194189397</v>
          </cell>
        </row>
        <row r="925">
          <cell r="E925" t="str">
            <v>HGC-Lib-2462208</v>
          </cell>
          <cell r="F925" t="str">
            <v>Ri6</v>
          </cell>
          <cell r="G925">
            <v>3</v>
          </cell>
          <cell r="H925" t="str">
            <v>mRNA文库</v>
          </cell>
          <cell r="I925" t="str">
            <v>YHT</v>
          </cell>
          <cell r="J925">
            <v>16.8</v>
          </cell>
          <cell r="K925">
            <v>532</v>
          </cell>
          <cell r="L925" t="str">
            <v>HZK</v>
          </cell>
          <cell r="N925">
            <v>48.582995951416997</v>
          </cell>
        </row>
        <row r="926">
          <cell r="E926" t="str">
            <v>HGC-Lib-2462525</v>
          </cell>
          <cell r="F926" t="str">
            <v>WK0805-1</v>
          </cell>
          <cell r="G926">
            <v>5</v>
          </cell>
          <cell r="H926" t="str">
            <v>WES/panel捕获文库</v>
          </cell>
          <cell r="I926" t="str">
            <v>YHT</v>
          </cell>
          <cell r="J926">
            <v>1.37</v>
          </cell>
          <cell r="K926">
            <v>416</v>
          </cell>
          <cell r="L926" t="str">
            <v>XCL</v>
          </cell>
          <cell r="N926">
            <v>5.0665680473372801</v>
          </cell>
        </row>
        <row r="927">
          <cell r="E927" t="str">
            <v>HGC-Lib-2462526</v>
          </cell>
          <cell r="F927" t="str">
            <v>WK0805-2</v>
          </cell>
          <cell r="G927">
            <v>10</v>
          </cell>
          <cell r="H927" t="str">
            <v>WES/panel捕获文库</v>
          </cell>
          <cell r="I927" t="str">
            <v>YHT</v>
          </cell>
          <cell r="J927">
            <v>1.83</v>
          </cell>
          <cell r="K927">
            <v>363</v>
          </cell>
          <cell r="L927" t="str">
            <v>XCL</v>
          </cell>
          <cell r="N927">
            <v>7.7558804831532102</v>
          </cell>
        </row>
        <row r="928">
          <cell r="E928" t="str">
            <v>HGC-POOL-2462527</v>
          </cell>
          <cell r="F928" t="str">
            <v>WK0805-4</v>
          </cell>
          <cell r="G928">
            <v>9</v>
          </cell>
          <cell r="H928" t="str">
            <v>WES/panel捕获文库</v>
          </cell>
          <cell r="I928" t="str">
            <v>YHT</v>
          </cell>
          <cell r="J928">
            <v>14.9</v>
          </cell>
          <cell r="K928">
            <v>360</v>
          </cell>
          <cell r="L928" t="str">
            <v>HZK</v>
          </cell>
          <cell r="N928">
            <v>63.675213675213698</v>
          </cell>
        </row>
        <row r="929">
          <cell r="E929" t="str">
            <v>HGC-POOL-2462528</v>
          </cell>
          <cell r="F929" t="str">
            <v>WK0805-5</v>
          </cell>
          <cell r="G929">
            <v>1</v>
          </cell>
          <cell r="H929" t="str">
            <v>WES/panel捕获文库</v>
          </cell>
          <cell r="I929" t="str">
            <v>YHT</v>
          </cell>
          <cell r="J929">
            <v>32.200000000000003</v>
          </cell>
          <cell r="K929">
            <v>410</v>
          </cell>
          <cell r="L929" t="str">
            <v>HZK</v>
          </cell>
          <cell r="N929">
            <v>120.825515947467</v>
          </cell>
        </row>
        <row r="930">
          <cell r="E930" t="str">
            <v>HGC-Lib-2462530</v>
          </cell>
          <cell r="F930" t="str">
            <v>25 RNA-seq lib</v>
          </cell>
          <cell r="G930">
            <v>6</v>
          </cell>
          <cell r="H930" t="str">
            <v>mRNA文库</v>
          </cell>
          <cell r="I930" t="str">
            <v>YHT</v>
          </cell>
          <cell r="J930">
            <v>3.86</v>
          </cell>
          <cell r="K930">
            <v>395</v>
          </cell>
          <cell r="L930" t="str">
            <v>XCL</v>
          </cell>
          <cell r="N930">
            <v>15.034079844206399</v>
          </cell>
        </row>
        <row r="931">
          <cell r="E931" t="str">
            <v>HGC-Lib-2462531</v>
          </cell>
          <cell r="F931" t="str">
            <v>26 RNA-seq lib</v>
          </cell>
          <cell r="G931">
            <v>6</v>
          </cell>
          <cell r="H931" t="str">
            <v>mRNA文库</v>
          </cell>
          <cell r="I931" t="str">
            <v>YHT</v>
          </cell>
          <cell r="J931">
            <v>5.96</v>
          </cell>
          <cell r="K931">
            <v>388</v>
          </cell>
          <cell r="L931" t="str">
            <v>XCL</v>
          </cell>
          <cell r="N931">
            <v>23.6320380650278</v>
          </cell>
        </row>
        <row r="932">
          <cell r="E932" t="str">
            <v>HGC-Lib-2462532</v>
          </cell>
          <cell r="F932" t="str">
            <v>27RNA-seq lib</v>
          </cell>
          <cell r="G932">
            <v>6</v>
          </cell>
          <cell r="H932" t="str">
            <v>mRNA文库</v>
          </cell>
          <cell r="I932" t="str">
            <v>YHT</v>
          </cell>
          <cell r="J932">
            <v>9.58</v>
          </cell>
          <cell r="K932">
            <v>363</v>
          </cell>
          <cell r="L932" t="str">
            <v>XCL</v>
          </cell>
          <cell r="N932">
            <v>40.601822420004197</v>
          </cell>
        </row>
        <row r="933">
          <cell r="E933" t="str">
            <v>HGC-Lib-2462533</v>
          </cell>
          <cell r="F933" t="str">
            <v>28RNA-seq lib</v>
          </cell>
          <cell r="G933">
            <v>6</v>
          </cell>
          <cell r="H933" t="str">
            <v>mRNA文库</v>
          </cell>
          <cell r="I933" t="str">
            <v>YHT</v>
          </cell>
          <cell r="J933">
            <v>14.2</v>
          </cell>
          <cell r="K933">
            <v>351</v>
          </cell>
          <cell r="L933" t="str">
            <v>XCL</v>
          </cell>
          <cell r="N933">
            <v>62.2397545474469</v>
          </cell>
        </row>
        <row r="934">
          <cell r="E934" t="str">
            <v>HGC-Lib-2462544</v>
          </cell>
          <cell r="F934" t="str">
            <v>N</v>
          </cell>
          <cell r="G934">
            <v>6</v>
          </cell>
          <cell r="H934" t="str">
            <v>cut&amp;tag文库</v>
          </cell>
          <cell r="I934" t="str">
            <v>YHT</v>
          </cell>
          <cell r="J934">
            <v>0.21</v>
          </cell>
          <cell r="K934">
            <v>587</v>
          </cell>
          <cell r="L934" t="str">
            <v>XCL</v>
          </cell>
          <cell r="N934">
            <v>0.55038658105097604</v>
          </cell>
        </row>
        <row r="935">
          <cell r="E935" t="str">
            <v>HGC-Lib-2462545</v>
          </cell>
          <cell r="F935" t="str">
            <v>C</v>
          </cell>
          <cell r="G935">
            <v>6</v>
          </cell>
          <cell r="H935" t="str">
            <v>cut&amp;tag文库</v>
          </cell>
          <cell r="I935" t="str">
            <v>YHT</v>
          </cell>
          <cell r="J935">
            <v>0.152</v>
          </cell>
          <cell r="K935">
            <v>470</v>
          </cell>
          <cell r="L935" t="str">
            <v>XCL</v>
          </cell>
          <cell r="N935">
            <v>0.49754500818330599</v>
          </cell>
        </row>
        <row r="936">
          <cell r="E936" t="str">
            <v>HGC-Lib-2462551</v>
          </cell>
          <cell r="F936" t="str">
            <v>LM240328O-4940A</v>
          </cell>
          <cell r="G936">
            <v>1</v>
          </cell>
          <cell r="H936" t="str">
            <v>扩增子文库</v>
          </cell>
          <cell r="I936" t="str">
            <v>TY</v>
          </cell>
          <cell r="J936">
            <v>88.4</v>
          </cell>
          <cell r="N936" t="e">
            <v>#DIV/0!</v>
          </cell>
        </row>
        <row r="937">
          <cell r="E937" t="str">
            <v>HGC-Lib-2462552</v>
          </cell>
          <cell r="F937" t="str">
            <v>LM240328O-4941A</v>
          </cell>
          <cell r="G937">
            <v>2</v>
          </cell>
          <cell r="H937" t="str">
            <v>扩增子文库</v>
          </cell>
          <cell r="I937" t="str">
            <v>TY</v>
          </cell>
          <cell r="J937">
            <v>95.2</v>
          </cell>
          <cell r="N937" t="e">
            <v>#DIV/0!</v>
          </cell>
        </row>
        <row r="938">
          <cell r="E938" t="str">
            <v>HGC-Lib-2462553</v>
          </cell>
          <cell r="F938" t="str">
            <v>LM240328O-4942A</v>
          </cell>
          <cell r="G938">
            <v>1</v>
          </cell>
          <cell r="H938" t="str">
            <v>扩增子文库</v>
          </cell>
          <cell r="I938" t="str">
            <v>TY</v>
          </cell>
          <cell r="J938">
            <v>84</v>
          </cell>
          <cell r="N938" t="e">
            <v>#DIV/0!</v>
          </cell>
        </row>
        <row r="939">
          <cell r="E939" t="str">
            <v>HGC-Lib-2462554</v>
          </cell>
          <cell r="F939" t="str">
            <v>LM240328O-4943A</v>
          </cell>
          <cell r="G939">
            <v>1</v>
          </cell>
          <cell r="H939" t="str">
            <v>扩增子文库</v>
          </cell>
          <cell r="I939" t="str">
            <v>TY</v>
          </cell>
          <cell r="J939">
            <v>67.400000000000006</v>
          </cell>
          <cell r="N939" t="e">
            <v>#DIV/0!</v>
          </cell>
        </row>
        <row r="940">
          <cell r="E940" t="str">
            <v>HGC-Lib-2462555</v>
          </cell>
          <cell r="F940" t="str">
            <v>LM240328O-4944A</v>
          </cell>
          <cell r="G940">
            <v>1</v>
          </cell>
          <cell r="H940" t="str">
            <v>扩增子文库</v>
          </cell>
          <cell r="I940" t="str">
            <v>TY</v>
          </cell>
          <cell r="J940">
            <v>59.4</v>
          </cell>
          <cell r="N940" t="e">
            <v>#DIV/0!</v>
          </cell>
        </row>
        <row r="941">
          <cell r="E941" t="str">
            <v>HGC-Lib-2462556</v>
          </cell>
          <cell r="F941" t="str">
            <v>LM240328O-4945A</v>
          </cell>
          <cell r="G941">
            <v>1</v>
          </cell>
          <cell r="H941" t="str">
            <v>扩增子文库</v>
          </cell>
          <cell r="I941" t="str">
            <v>TY</v>
          </cell>
          <cell r="J941">
            <v>52.8</v>
          </cell>
          <cell r="N941" t="e">
            <v>#DIV/0!</v>
          </cell>
        </row>
        <row r="942">
          <cell r="E942" t="str">
            <v>HGC-Lib-2462557</v>
          </cell>
          <cell r="F942" t="str">
            <v>LM240725O-1075A</v>
          </cell>
          <cell r="G942">
            <v>1</v>
          </cell>
          <cell r="H942" t="str">
            <v>扩增子文库</v>
          </cell>
          <cell r="I942" t="str">
            <v>TY</v>
          </cell>
          <cell r="J942">
            <v>83.4</v>
          </cell>
          <cell r="N942" t="e">
            <v>#DIV/0!</v>
          </cell>
        </row>
        <row r="943">
          <cell r="E943" t="str">
            <v>HGC-Lib-2462558</v>
          </cell>
          <cell r="F943" t="str">
            <v>LD240716O-5236A</v>
          </cell>
          <cell r="G943">
            <v>1</v>
          </cell>
          <cell r="H943" t="str">
            <v>DNA基因组文库</v>
          </cell>
          <cell r="I943" t="str">
            <v>TY</v>
          </cell>
          <cell r="J943">
            <v>34.799999999999997</v>
          </cell>
          <cell r="N943" t="e">
            <v>#DIV/0!</v>
          </cell>
        </row>
        <row r="944">
          <cell r="E944" t="str">
            <v>HGC-Lib-2462559</v>
          </cell>
          <cell r="F944" t="str">
            <v>LD240716O-5237A</v>
          </cell>
          <cell r="G944">
            <v>1</v>
          </cell>
          <cell r="H944" t="str">
            <v>DNA基因组文库</v>
          </cell>
          <cell r="I944" t="str">
            <v>TY</v>
          </cell>
          <cell r="J944">
            <v>33.4</v>
          </cell>
          <cell r="N944" t="e">
            <v>#DIV/0!</v>
          </cell>
        </row>
        <row r="945">
          <cell r="E945" t="str">
            <v>HGC-Lib-2462560</v>
          </cell>
          <cell r="F945" t="str">
            <v>LD240716O-5238A</v>
          </cell>
          <cell r="G945">
            <v>1</v>
          </cell>
          <cell r="H945" t="str">
            <v>DNA基因组文库</v>
          </cell>
          <cell r="I945" t="str">
            <v>TY</v>
          </cell>
          <cell r="J945">
            <v>33.4</v>
          </cell>
          <cell r="N945" t="e">
            <v>#DIV/0!</v>
          </cell>
        </row>
        <row r="946">
          <cell r="E946" t="str">
            <v>HGC-Lib-2462561</v>
          </cell>
          <cell r="F946" t="str">
            <v>LD240716O-5239A</v>
          </cell>
          <cell r="G946">
            <v>1</v>
          </cell>
          <cell r="H946" t="str">
            <v>DNA基因组文库</v>
          </cell>
          <cell r="I946" t="str">
            <v>TY</v>
          </cell>
          <cell r="J946">
            <v>26.4</v>
          </cell>
          <cell r="N946" t="e">
            <v>#DIV/0!</v>
          </cell>
        </row>
        <row r="947">
          <cell r="E947" t="str">
            <v>HGC-Lib-2462562</v>
          </cell>
          <cell r="F947" t="str">
            <v>LD240716O-5240A</v>
          </cell>
          <cell r="G947">
            <v>1</v>
          </cell>
          <cell r="H947" t="str">
            <v>DNA基因组文库</v>
          </cell>
          <cell r="I947" t="str">
            <v>TY</v>
          </cell>
          <cell r="J947">
            <v>26</v>
          </cell>
          <cell r="N947" t="e">
            <v>#DIV/0!</v>
          </cell>
        </row>
        <row r="948">
          <cell r="E948" t="str">
            <v>HGC-Lib-2462563</v>
          </cell>
          <cell r="F948" t="str">
            <v>LD240722D-0578A</v>
          </cell>
          <cell r="G948">
            <v>120</v>
          </cell>
          <cell r="H948" t="str">
            <v>DNA宏基因组文库</v>
          </cell>
          <cell r="I948" t="str">
            <v>TY</v>
          </cell>
          <cell r="J948">
            <v>16.5</v>
          </cell>
          <cell r="N948" t="e">
            <v>#DIV/0!</v>
          </cell>
        </row>
        <row r="949">
          <cell r="E949" t="str">
            <v>HGC-Lib-2462564</v>
          </cell>
          <cell r="F949" t="str">
            <v>LD240722D-0579A</v>
          </cell>
          <cell r="G949">
            <v>120</v>
          </cell>
          <cell r="H949" t="str">
            <v>DNA宏基因组文库</v>
          </cell>
          <cell r="I949" t="str">
            <v>TY</v>
          </cell>
          <cell r="J949">
            <v>17.7</v>
          </cell>
          <cell r="N949" t="e">
            <v>#DIV/0!</v>
          </cell>
        </row>
        <row r="950">
          <cell r="E950" t="str">
            <v>HGC-Lib-2462565</v>
          </cell>
          <cell r="F950" t="str">
            <v>LD240722O-5570A</v>
          </cell>
          <cell r="G950">
            <v>10</v>
          </cell>
          <cell r="H950" t="str">
            <v>DNA宏基因组文库</v>
          </cell>
          <cell r="I950" t="str">
            <v>TY</v>
          </cell>
          <cell r="J950">
            <v>36.6</v>
          </cell>
          <cell r="N950" t="e">
            <v>#DIV/0!</v>
          </cell>
        </row>
        <row r="951">
          <cell r="E951" t="str">
            <v>HGC-Lib-2462566</v>
          </cell>
          <cell r="F951" t="str">
            <v>LD240722O-5571A</v>
          </cell>
          <cell r="G951">
            <v>10</v>
          </cell>
          <cell r="H951" t="str">
            <v>DNA宏基因组文库</v>
          </cell>
          <cell r="I951" t="str">
            <v>TY</v>
          </cell>
          <cell r="J951">
            <v>30.2</v>
          </cell>
          <cell r="N951" t="e">
            <v>#DIV/0!</v>
          </cell>
        </row>
        <row r="952">
          <cell r="E952" t="str">
            <v>HGC-Lib-2462567</v>
          </cell>
          <cell r="F952" t="str">
            <v>LD240722O-5572A</v>
          </cell>
          <cell r="G952">
            <v>10</v>
          </cell>
          <cell r="H952" t="str">
            <v>DNA宏基因组文库</v>
          </cell>
          <cell r="I952" t="str">
            <v>TY</v>
          </cell>
          <cell r="J952">
            <v>20.399999999999999</v>
          </cell>
          <cell r="N952" t="e">
            <v>#DIV/0!</v>
          </cell>
        </row>
        <row r="953">
          <cell r="E953" t="str">
            <v>HGC-Lib-2462568</v>
          </cell>
          <cell r="F953" t="str">
            <v>LD240722O-5573A</v>
          </cell>
          <cell r="G953">
            <v>10</v>
          </cell>
          <cell r="H953" t="str">
            <v>DNA宏基因组文库</v>
          </cell>
          <cell r="I953" t="str">
            <v>TY</v>
          </cell>
          <cell r="J953">
            <v>31.2</v>
          </cell>
          <cell r="N953" t="e">
            <v>#DIV/0!</v>
          </cell>
        </row>
        <row r="954">
          <cell r="E954" t="str">
            <v>HGC-Lib-2462569</v>
          </cell>
          <cell r="F954" t="str">
            <v>LD240722O-5574A</v>
          </cell>
          <cell r="G954">
            <v>10</v>
          </cell>
          <cell r="H954" t="str">
            <v>DNA宏基因组文库</v>
          </cell>
          <cell r="I954" t="str">
            <v>TY</v>
          </cell>
          <cell r="J954">
            <v>19.399999999999999</v>
          </cell>
          <cell r="N954" t="e">
            <v>#DIV/0!</v>
          </cell>
        </row>
        <row r="955">
          <cell r="E955" t="str">
            <v>HGC-Lib-2462570</v>
          </cell>
          <cell r="F955" t="str">
            <v>LD240722O-5575A</v>
          </cell>
          <cell r="G955">
            <v>10</v>
          </cell>
          <cell r="H955" t="str">
            <v>DNA宏基因组文库</v>
          </cell>
          <cell r="I955" t="str">
            <v>TY</v>
          </cell>
          <cell r="J955">
            <v>14.5</v>
          </cell>
          <cell r="N955" t="e">
            <v>#DIV/0!</v>
          </cell>
        </row>
        <row r="956">
          <cell r="E956" t="str">
            <v>HGC-Lib-2462571</v>
          </cell>
          <cell r="F956" t="str">
            <v>LD240722O-5576A</v>
          </cell>
          <cell r="G956">
            <v>10</v>
          </cell>
          <cell r="H956" t="str">
            <v>DNA宏基因组文库</v>
          </cell>
          <cell r="I956" t="str">
            <v>TY</v>
          </cell>
          <cell r="J956">
            <v>16.899999999999999</v>
          </cell>
          <cell r="N956" t="e">
            <v>#DIV/0!</v>
          </cell>
        </row>
        <row r="957">
          <cell r="E957" t="str">
            <v>HGC-Lib-2462572</v>
          </cell>
          <cell r="F957" t="str">
            <v>LD240722O-5577A</v>
          </cell>
          <cell r="G957">
            <v>10</v>
          </cell>
          <cell r="H957" t="str">
            <v>DNA宏基因组文库</v>
          </cell>
          <cell r="I957" t="str">
            <v>TY</v>
          </cell>
          <cell r="J957">
            <v>15.2</v>
          </cell>
          <cell r="N957" t="e">
            <v>#DIV/0!</v>
          </cell>
        </row>
        <row r="958">
          <cell r="E958" t="str">
            <v>HGC-Lib-2462573</v>
          </cell>
          <cell r="F958" t="str">
            <v>LD240722O-5578A</v>
          </cell>
          <cell r="G958">
            <v>10</v>
          </cell>
          <cell r="H958" t="str">
            <v>DNA宏基因组文库</v>
          </cell>
          <cell r="I958" t="str">
            <v>TY</v>
          </cell>
          <cell r="J958">
            <v>20.2</v>
          </cell>
          <cell r="N958" t="e">
            <v>#DIV/0!</v>
          </cell>
        </row>
        <row r="959">
          <cell r="E959" t="str">
            <v>HGC-Lib-2462574</v>
          </cell>
          <cell r="F959" t="str">
            <v>LD240722O-5579A</v>
          </cell>
          <cell r="G959">
            <v>10</v>
          </cell>
          <cell r="H959" t="str">
            <v>DNA宏基因组文库</v>
          </cell>
          <cell r="I959" t="str">
            <v>TY</v>
          </cell>
          <cell r="J959">
            <v>26.4</v>
          </cell>
          <cell r="N959" t="e">
            <v>#DIV/0!</v>
          </cell>
        </row>
        <row r="960">
          <cell r="E960" t="str">
            <v>HGC-Lib-2462575</v>
          </cell>
          <cell r="F960" t="str">
            <v>LD240722O-5580A</v>
          </cell>
          <cell r="G960">
            <v>10</v>
          </cell>
          <cell r="H960" t="str">
            <v>DNA宏基因组文库</v>
          </cell>
          <cell r="I960" t="str">
            <v>TY</v>
          </cell>
          <cell r="J960">
            <v>20.6</v>
          </cell>
          <cell r="N960" t="e">
            <v>#DIV/0!</v>
          </cell>
        </row>
        <row r="961">
          <cell r="E961" t="str">
            <v>HGC-Lib-2462576</v>
          </cell>
          <cell r="F961" t="str">
            <v>LD240722O-5581A</v>
          </cell>
          <cell r="G961">
            <v>10</v>
          </cell>
          <cell r="H961" t="str">
            <v>DNA宏基因组文库</v>
          </cell>
          <cell r="I961" t="str">
            <v>TY</v>
          </cell>
          <cell r="J961">
            <v>38.200000000000003</v>
          </cell>
          <cell r="N961" t="e">
            <v>#DIV/0!</v>
          </cell>
        </row>
        <row r="962">
          <cell r="E962" t="str">
            <v>HGC-Lib-2462577</v>
          </cell>
          <cell r="F962" t="str">
            <v>LD240724O-2073A</v>
          </cell>
          <cell r="G962">
            <v>30</v>
          </cell>
          <cell r="H962" t="str">
            <v>DNA宏基因组文库</v>
          </cell>
          <cell r="I962" t="str">
            <v>TY</v>
          </cell>
          <cell r="J962">
            <v>29.8</v>
          </cell>
          <cell r="N962" t="e">
            <v>#DIV/0!</v>
          </cell>
        </row>
        <row r="963">
          <cell r="E963" t="str">
            <v>HGC-Lib-2462578</v>
          </cell>
          <cell r="F963" t="str">
            <v>LD240724O-2074A</v>
          </cell>
          <cell r="G963">
            <v>30</v>
          </cell>
          <cell r="H963" t="str">
            <v>DNA宏基因组文库</v>
          </cell>
          <cell r="I963" t="str">
            <v>TY</v>
          </cell>
          <cell r="J963">
            <v>39.4</v>
          </cell>
          <cell r="N963" t="e">
            <v>#DIV/0!</v>
          </cell>
        </row>
        <row r="964">
          <cell r="E964" t="str">
            <v>HGC-Lib-2462579</v>
          </cell>
          <cell r="F964" t="str">
            <v>LD240724O-2075A</v>
          </cell>
          <cell r="G964">
            <v>30</v>
          </cell>
          <cell r="H964" t="str">
            <v>DNA宏基因组文库</v>
          </cell>
          <cell r="I964" t="str">
            <v>TY</v>
          </cell>
          <cell r="J964">
            <v>13.1</v>
          </cell>
          <cell r="N964" t="e">
            <v>#DIV/0!</v>
          </cell>
        </row>
        <row r="965">
          <cell r="E965" t="str">
            <v>HGC-Lib-2462580</v>
          </cell>
          <cell r="F965" t="str">
            <v>LD240724O-2076A</v>
          </cell>
          <cell r="G965">
            <v>30</v>
          </cell>
          <cell r="H965" t="str">
            <v>DNA宏基因组文库</v>
          </cell>
          <cell r="I965" t="str">
            <v>TY</v>
          </cell>
          <cell r="J965">
            <v>36.200000000000003</v>
          </cell>
          <cell r="N965" t="e">
            <v>#DIV/0!</v>
          </cell>
        </row>
        <row r="966">
          <cell r="E966" t="str">
            <v>HGC-Lib-2462581</v>
          </cell>
          <cell r="F966" t="str">
            <v>LD240724O-2077A</v>
          </cell>
          <cell r="G966">
            <v>30</v>
          </cell>
          <cell r="H966" t="str">
            <v>DNA宏基因组文库</v>
          </cell>
          <cell r="I966" t="str">
            <v>TY</v>
          </cell>
          <cell r="J966">
            <v>13.1</v>
          </cell>
          <cell r="N966" t="e">
            <v>#DIV/0!</v>
          </cell>
        </row>
        <row r="967">
          <cell r="E967" t="str">
            <v>HGC-Lib-2462582</v>
          </cell>
          <cell r="F967" t="str">
            <v>LD240724O-2078A</v>
          </cell>
          <cell r="G967">
            <v>30</v>
          </cell>
          <cell r="H967" t="str">
            <v>DNA宏基因组文库</v>
          </cell>
          <cell r="I967" t="str">
            <v>TY</v>
          </cell>
          <cell r="J967">
            <v>16.3</v>
          </cell>
          <cell r="N967" t="e">
            <v>#DIV/0!</v>
          </cell>
        </row>
        <row r="968">
          <cell r="E968" t="str">
            <v>HGC-Lib-2462583</v>
          </cell>
          <cell r="F968" t="str">
            <v>LD240724O-2079A</v>
          </cell>
          <cell r="G968">
            <v>30</v>
          </cell>
          <cell r="H968" t="str">
            <v>DNA宏基因组文库</v>
          </cell>
          <cell r="I968" t="str">
            <v>TY</v>
          </cell>
          <cell r="J968">
            <v>16</v>
          </cell>
          <cell r="N968" t="e">
            <v>#DIV/0!</v>
          </cell>
        </row>
        <row r="969">
          <cell r="E969" t="str">
            <v>HGC-Lib-2462584</v>
          </cell>
          <cell r="F969" t="str">
            <v>LD240724O-2080A</v>
          </cell>
          <cell r="G969">
            <v>30</v>
          </cell>
          <cell r="H969" t="str">
            <v>DNA宏基因组文库</v>
          </cell>
          <cell r="I969" t="str">
            <v>TY</v>
          </cell>
          <cell r="J969">
            <v>37.6</v>
          </cell>
          <cell r="N969" t="e">
            <v>#DIV/0!</v>
          </cell>
        </row>
        <row r="970">
          <cell r="E970" t="str">
            <v>HGC-Lib-2462585</v>
          </cell>
          <cell r="F970" t="str">
            <v>LD240724O-2081A</v>
          </cell>
          <cell r="G970">
            <v>30</v>
          </cell>
          <cell r="H970" t="str">
            <v>DNA宏基因组文库</v>
          </cell>
          <cell r="I970" t="str">
            <v>TY</v>
          </cell>
          <cell r="J970">
            <v>26.8</v>
          </cell>
          <cell r="N970" t="e">
            <v>#DIV/0!</v>
          </cell>
        </row>
        <row r="971">
          <cell r="E971" t="str">
            <v>HGC-Lib-2462586</v>
          </cell>
          <cell r="F971" t="str">
            <v>LD240724O-2082A</v>
          </cell>
          <cell r="G971">
            <v>30</v>
          </cell>
          <cell r="H971" t="str">
            <v>DNA宏基因组文库</v>
          </cell>
          <cell r="I971" t="str">
            <v>TY</v>
          </cell>
          <cell r="J971">
            <v>18.7</v>
          </cell>
          <cell r="N971" t="e">
            <v>#DIV/0!</v>
          </cell>
        </row>
        <row r="972">
          <cell r="E972" t="str">
            <v>HGC-Lib-2462587</v>
          </cell>
          <cell r="F972" t="str">
            <v>LD240724O-2083A</v>
          </cell>
          <cell r="G972">
            <v>30</v>
          </cell>
          <cell r="H972" t="str">
            <v>DNA宏基因组文库</v>
          </cell>
          <cell r="I972" t="str">
            <v>TY</v>
          </cell>
          <cell r="J972">
            <v>18.399999999999999</v>
          </cell>
          <cell r="N972" t="e">
            <v>#DIV/0!</v>
          </cell>
        </row>
        <row r="973">
          <cell r="E973" t="str">
            <v>HGC-Lib-2462588</v>
          </cell>
          <cell r="F973" t="str">
            <v>LD240724O-2084A</v>
          </cell>
          <cell r="G973">
            <v>30</v>
          </cell>
          <cell r="H973" t="str">
            <v>DNA宏基因组文库</v>
          </cell>
          <cell r="I973" t="str">
            <v>TY</v>
          </cell>
          <cell r="J973">
            <v>23.6</v>
          </cell>
          <cell r="N973" t="e">
            <v>#DIV/0!</v>
          </cell>
        </row>
        <row r="974">
          <cell r="E974" t="str">
            <v>HGC-Lib-2462589</v>
          </cell>
          <cell r="F974" t="str">
            <v>LD240724O-2085A</v>
          </cell>
          <cell r="G974">
            <v>30</v>
          </cell>
          <cell r="H974" t="str">
            <v>DNA宏基因组文库</v>
          </cell>
          <cell r="I974" t="str">
            <v>TY</v>
          </cell>
          <cell r="J974">
            <v>20.8</v>
          </cell>
          <cell r="N974" t="e">
            <v>#DIV/0!</v>
          </cell>
        </row>
        <row r="975">
          <cell r="E975" t="str">
            <v>HGC-Lib-2462590</v>
          </cell>
          <cell r="F975" t="str">
            <v>LD240724O-2086A</v>
          </cell>
          <cell r="G975">
            <v>30</v>
          </cell>
          <cell r="H975" t="str">
            <v>DNA宏基因组文库</v>
          </cell>
          <cell r="I975" t="str">
            <v>TY</v>
          </cell>
          <cell r="J975">
            <v>16</v>
          </cell>
          <cell r="N975" t="e">
            <v>#DIV/0!</v>
          </cell>
        </row>
        <row r="976">
          <cell r="E976" t="str">
            <v>HGC-Lib-2462591</v>
          </cell>
          <cell r="F976" t="str">
            <v>LD240724O-2087A</v>
          </cell>
          <cell r="G976">
            <v>30</v>
          </cell>
          <cell r="H976" t="str">
            <v>DNA宏基因组文库</v>
          </cell>
          <cell r="I976" t="str">
            <v>TY</v>
          </cell>
          <cell r="J976">
            <v>21</v>
          </cell>
          <cell r="N976" t="e">
            <v>#DIV/0!</v>
          </cell>
        </row>
        <row r="977">
          <cell r="E977" t="str">
            <v>HGC-Lib-2462592</v>
          </cell>
          <cell r="F977" t="str">
            <v>LD240724O-2088A</v>
          </cell>
          <cell r="G977">
            <v>30</v>
          </cell>
          <cell r="H977" t="str">
            <v>DNA宏基因组文库</v>
          </cell>
          <cell r="I977" t="str">
            <v>TY</v>
          </cell>
          <cell r="J977">
            <v>18.899999999999999</v>
          </cell>
          <cell r="N977" t="e">
            <v>#DIV/0!</v>
          </cell>
        </row>
        <row r="978">
          <cell r="E978" t="str">
            <v>HGC-Lib-2462593</v>
          </cell>
          <cell r="F978" t="str">
            <v>LD240724O-2089A</v>
          </cell>
          <cell r="G978">
            <v>30</v>
          </cell>
          <cell r="H978" t="str">
            <v>DNA宏基因组文库</v>
          </cell>
          <cell r="I978" t="str">
            <v>TY</v>
          </cell>
          <cell r="J978">
            <v>20.6</v>
          </cell>
          <cell r="N978" t="e">
            <v>#DIV/0!</v>
          </cell>
        </row>
        <row r="979">
          <cell r="E979" t="str">
            <v>HGC-Lib-2462594</v>
          </cell>
          <cell r="F979" t="str">
            <v>LD240724O-2090A</v>
          </cell>
          <cell r="G979">
            <v>30</v>
          </cell>
          <cell r="H979" t="str">
            <v>DNA宏基因组文库</v>
          </cell>
          <cell r="I979" t="str">
            <v>TY</v>
          </cell>
          <cell r="J979">
            <v>19.7</v>
          </cell>
          <cell r="N979" t="e">
            <v>#DIV/0!</v>
          </cell>
        </row>
        <row r="980">
          <cell r="E980" t="str">
            <v>HGC-Lib-2462595</v>
          </cell>
          <cell r="F980" t="str">
            <v>LD240724O-2091A</v>
          </cell>
          <cell r="G980">
            <v>30</v>
          </cell>
          <cell r="H980" t="str">
            <v>DNA宏基因组文库</v>
          </cell>
          <cell r="I980" t="str">
            <v>TY</v>
          </cell>
          <cell r="J980">
            <v>38</v>
          </cell>
          <cell r="N980" t="e">
            <v>#DIV/0!</v>
          </cell>
        </row>
        <row r="981">
          <cell r="E981" t="str">
            <v>HGC-Lib-2462596</v>
          </cell>
          <cell r="F981" t="str">
            <v>LD240724O-2092A</v>
          </cell>
          <cell r="G981">
            <v>30</v>
          </cell>
          <cell r="H981" t="str">
            <v>DNA宏基因组文库</v>
          </cell>
          <cell r="I981" t="str">
            <v>TY</v>
          </cell>
          <cell r="J981">
            <v>15.8</v>
          </cell>
          <cell r="N981" t="e">
            <v>#DIV/0!</v>
          </cell>
        </row>
        <row r="982">
          <cell r="E982" t="str">
            <v>HGC-Lib-2462597</v>
          </cell>
          <cell r="F982" t="str">
            <v>LD240724O-2093A</v>
          </cell>
          <cell r="G982">
            <v>30</v>
          </cell>
          <cell r="H982" t="str">
            <v>DNA宏基因组文库</v>
          </cell>
          <cell r="I982" t="str">
            <v>TY</v>
          </cell>
          <cell r="J982">
            <v>14.2</v>
          </cell>
          <cell r="N982" t="e">
            <v>#DIV/0!</v>
          </cell>
        </row>
        <row r="983">
          <cell r="E983" t="str">
            <v>HGC-Lib-2462598</v>
          </cell>
          <cell r="F983" t="str">
            <v>LD240724O-2094A</v>
          </cell>
          <cell r="G983">
            <v>30</v>
          </cell>
          <cell r="H983" t="str">
            <v>DNA宏基因组文库</v>
          </cell>
          <cell r="I983" t="str">
            <v>TY</v>
          </cell>
          <cell r="J983">
            <v>15.3</v>
          </cell>
          <cell r="N983" t="e">
            <v>#DIV/0!</v>
          </cell>
        </row>
        <row r="984">
          <cell r="E984" t="str">
            <v>HGC-Lib-2462599</v>
          </cell>
          <cell r="F984" t="str">
            <v>LD240724O-2095A</v>
          </cell>
          <cell r="G984">
            <v>30</v>
          </cell>
          <cell r="H984" t="str">
            <v>DNA宏基因组文库</v>
          </cell>
          <cell r="I984" t="str">
            <v>XCL</v>
          </cell>
          <cell r="J984">
            <v>28.8</v>
          </cell>
          <cell r="N984" t="e">
            <v>#DIV/0!</v>
          </cell>
        </row>
        <row r="985">
          <cell r="E985" t="str">
            <v>HGC-Lib-2462600</v>
          </cell>
          <cell r="F985" t="str">
            <v>LD240724O-2096A</v>
          </cell>
          <cell r="G985">
            <v>30</v>
          </cell>
          <cell r="H985" t="str">
            <v>DNA宏基因组文库</v>
          </cell>
          <cell r="I985" t="str">
            <v>XCL</v>
          </cell>
          <cell r="J985">
            <v>31.6</v>
          </cell>
          <cell r="N985" t="e">
            <v>#DIV/0!</v>
          </cell>
        </row>
        <row r="986">
          <cell r="E986" t="str">
            <v>HGC-Lib-2462601</v>
          </cell>
          <cell r="F986" t="str">
            <v>LD240724O-2097A</v>
          </cell>
          <cell r="G986">
            <v>30</v>
          </cell>
          <cell r="H986" t="str">
            <v>DNA宏基因组文库</v>
          </cell>
          <cell r="I986" t="str">
            <v>XCL</v>
          </cell>
          <cell r="J986">
            <v>22.6</v>
          </cell>
          <cell r="N986" t="e">
            <v>#DIV/0!</v>
          </cell>
        </row>
        <row r="987">
          <cell r="E987" t="str">
            <v>HGC-Lib-2462602</v>
          </cell>
          <cell r="F987" t="str">
            <v>LD240724O-2098A</v>
          </cell>
          <cell r="G987">
            <v>30</v>
          </cell>
          <cell r="H987" t="str">
            <v>DNA宏基因组文库</v>
          </cell>
          <cell r="I987" t="str">
            <v>XCL</v>
          </cell>
          <cell r="J987">
            <v>29.6</v>
          </cell>
          <cell r="N987" t="e">
            <v>#DIV/0!</v>
          </cell>
        </row>
        <row r="988">
          <cell r="E988" t="str">
            <v>HGC-Lib-2462603</v>
          </cell>
          <cell r="F988" t="str">
            <v>LD240724O-2099A</v>
          </cell>
          <cell r="G988">
            <v>30</v>
          </cell>
          <cell r="H988" t="str">
            <v>DNA宏基因组文库</v>
          </cell>
          <cell r="I988" t="str">
            <v>XCL</v>
          </cell>
          <cell r="J988">
            <v>20</v>
          </cell>
          <cell r="N988" t="e">
            <v>#DIV/0!</v>
          </cell>
        </row>
        <row r="989">
          <cell r="E989" t="str">
            <v>HGC-Lib-2462604</v>
          </cell>
          <cell r="F989" t="str">
            <v>LD240724O-2100A</v>
          </cell>
          <cell r="G989">
            <v>30</v>
          </cell>
          <cell r="H989" t="str">
            <v>DNA宏基因组文库</v>
          </cell>
          <cell r="I989" t="str">
            <v>XCL</v>
          </cell>
          <cell r="J989">
            <v>17.2</v>
          </cell>
          <cell r="N989" t="e">
            <v>#DIV/0!</v>
          </cell>
        </row>
        <row r="990">
          <cell r="E990" t="str">
            <v>HGC-Lib-2462605</v>
          </cell>
          <cell r="F990" t="str">
            <v>LD240724O-2101A</v>
          </cell>
          <cell r="G990">
            <v>30</v>
          </cell>
          <cell r="H990" t="str">
            <v>DNA宏基因组文库</v>
          </cell>
          <cell r="I990" t="str">
            <v>XCL</v>
          </cell>
          <cell r="J990">
            <v>22.8</v>
          </cell>
          <cell r="N990" t="e">
            <v>#DIV/0!</v>
          </cell>
        </row>
        <row r="991">
          <cell r="E991" t="str">
            <v>HGC-Lib-2462606</v>
          </cell>
          <cell r="F991" t="str">
            <v>LD240724O-2102A</v>
          </cell>
          <cell r="G991">
            <v>30</v>
          </cell>
          <cell r="H991" t="str">
            <v>DNA宏基因组文库</v>
          </cell>
          <cell r="I991" t="str">
            <v>XCL</v>
          </cell>
          <cell r="J991">
            <v>27.2</v>
          </cell>
          <cell r="N991" t="e">
            <v>#DIV/0!</v>
          </cell>
        </row>
        <row r="992">
          <cell r="E992" t="str">
            <v>HGC-Lib-2462607</v>
          </cell>
          <cell r="F992" t="str">
            <v>LD240724O-2103A</v>
          </cell>
          <cell r="G992">
            <v>30</v>
          </cell>
          <cell r="H992" t="str">
            <v>DNA宏基因组文库</v>
          </cell>
          <cell r="I992" t="str">
            <v>XCL</v>
          </cell>
          <cell r="J992">
            <v>46.2</v>
          </cell>
          <cell r="N992" t="e">
            <v>#DIV/0!</v>
          </cell>
        </row>
        <row r="993">
          <cell r="E993" t="str">
            <v>HGC-Lib-2462608</v>
          </cell>
          <cell r="F993" t="str">
            <v>LD240724O-2104A</v>
          </cell>
          <cell r="G993">
            <v>30</v>
          </cell>
          <cell r="H993" t="str">
            <v>DNA宏基因组文库</v>
          </cell>
          <cell r="I993" t="str">
            <v>XCL</v>
          </cell>
          <cell r="J993">
            <v>19.600000000000001</v>
          </cell>
          <cell r="N993" t="e">
            <v>#DIV/0!</v>
          </cell>
        </row>
        <row r="994">
          <cell r="E994" t="str">
            <v>HGC-Lib-2462609</v>
          </cell>
          <cell r="F994" t="str">
            <v>LD240724O-2105A</v>
          </cell>
          <cell r="G994">
            <v>30</v>
          </cell>
          <cell r="H994" t="str">
            <v>DNA宏基因组文库</v>
          </cell>
          <cell r="I994" t="str">
            <v>XCL</v>
          </cell>
          <cell r="J994">
            <v>30.2</v>
          </cell>
          <cell r="N994" t="e">
            <v>#DIV/0!</v>
          </cell>
        </row>
        <row r="995">
          <cell r="E995" t="str">
            <v>HGC-Lib-2462610</v>
          </cell>
          <cell r="F995" t="str">
            <v>LD240724O-2106A</v>
          </cell>
          <cell r="G995">
            <v>30</v>
          </cell>
          <cell r="H995" t="str">
            <v>DNA宏基因组文库</v>
          </cell>
          <cell r="I995" t="str">
            <v>XCL</v>
          </cell>
          <cell r="J995">
            <v>18.899999999999999</v>
          </cell>
          <cell r="N995" t="e">
            <v>#DIV/0!</v>
          </cell>
        </row>
        <row r="996">
          <cell r="E996" t="str">
            <v>HGC-Lib-2462611</v>
          </cell>
          <cell r="F996" t="str">
            <v>LD240729D-0325A</v>
          </cell>
          <cell r="G996">
            <v>1</v>
          </cell>
          <cell r="H996" t="str">
            <v>DNA病毒组文库</v>
          </cell>
          <cell r="I996" t="str">
            <v>XCL</v>
          </cell>
          <cell r="J996">
            <v>21.6</v>
          </cell>
          <cell r="N996" t="e">
            <v>#DIV/0!</v>
          </cell>
        </row>
        <row r="997">
          <cell r="E997" t="str">
            <v>HGC-Lib-2462612</v>
          </cell>
          <cell r="F997" t="str">
            <v>LD240729D-0326A</v>
          </cell>
          <cell r="G997">
            <v>1</v>
          </cell>
          <cell r="H997" t="str">
            <v>DNA病毒组文库</v>
          </cell>
          <cell r="I997" t="str">
            <v>XCL</v>
          </cell>
          <cell r="J997">
            <v>34</v>
          </cell>
          <cell r="N997" t="e">
            <v>#DIV/0!</v>
          </cell>
        </row>
        <row r="998">
          <cell r="E998" t="str">
            <v>HGC-Lib-2462613</v>
          </cell>
          <cell r="F998" t="str">
            <v>LD240729D-0327A</v>
          </cell>
          <cell r="G998">
            <v>1</v>
          </cell>
          <cell r="H998" t="str">
            <v>DNA病毒组文库</v>
          </cell>
          <cell r="I998" t="str">
            <v>XCL</v>
          </cell>
          <cell r="J998">
            <v>14.1</v>
          </cell>
          <cell r="N998" t="e">
            <v>#DIV/0!</v>
          </cell>
        </row>
        <row r="999">
          <cell r="E999" t="str">
            <v>HGC-Lib-2462614</v>
          </cell>
          <cell r="F999" t="str">
            <v>LD240725D-0153A</v>
          </cell>
          <cell r="G999">
            <v>1</v>
          </cell>
          <cell r="H999" t="str">
            <v>DNA基因组文库</v>
          </cell>
          <cell r="I999" t="str">
            <v>XCL</v>
          </cell>
          <cell r="J999">
            <v>19.899999999999999</v>
          </cell>
          <cell r="N999" t="e">
            <v>#DIV/0!</v>
          </cell>
        </row>
        <row r="1000">
          <cell r="E1000" t="str">
            <v>HGC-Lib-2462615</v>
          </cell>
          <cell r="F1000" t="str">
            <v>LD240725D-0154A</v>
          </cell>
          <cell r="G1000">
            <v>1</v>
          </cell>
          <cell r="H1000" t="str">
            <v>DNA基因组文库</v>
          </cell>
          <cell r="I1000" t="str">
            <v>XCL</v>
          </cell>
          <cell r="J1000">
            <v>27.2</v>
          </cell>
          <cell r="N1000" t="e">
            <v>#DIV/0!</v>
          </cell>
        </row>
        <row r="1001">
          <cell r="E1001" t="str">
            <v>HGC-Lib-2462616</v>
          </cell>
          <cell r="F1001" t="str">
            <v>LD240725D-0155A</v>
          </cell>
          <cell r="G1001">
            <v>1</v>
          </cell>
          <cell r="H1001" t="str">
            <v>DNA基因组文库</v>
          </cell>
          <cell r="I1001" t="str">
            <v>XCL</v>
          </cell>
          <cell r="J1001">
            <v>72.2</v>
          </cell>
          <cell r="N1001" t="e">
            <v>#DIV/0!</v>
          </cell>
        </row>
        <row r="1002">
          <cell r="E1002" t="str">
            <v>HGC-Lib-2462617</v>
          </cell>
          <cell r="F1002" t="str">
            <v>LD240725D-0156A</v>
          </cell>
          <cell r="G1002">
            <v>1</v>
          </cell>
          <cell r="H1002" t="str">
            <v>DNA基因组文库</v>
          </cell>
          <cell r="I1002" t="str">
            <v>XCL</v>
          </cell>
          <cell r="J1002">
            <v>56.6</v>
          </cell>
          <cell r="N1002" t="e">
            <v>#DIV/0!</v>
          </cell>
        </row>
        <row r="1003">
          <cell r="E1003" t="str">
            <v>HGC-Lib-2462618</v>
          </cell>
          <cell r="F1003" t="str">
            <v>LD240725D-0157A</v>
          </cell>
          <cell r="G1003">
            <v>1</v>
          </cell>
          <cell r="H1003" t="str">
            <v>DNA基因组文库</v>
          </cell>
          <cell r="I1003" t="str">
            <v>XCL</v>
          </cell>
          <cell r="J1003">
            <v>38.200000000000003</v>
          </cell>
          <cell r="N1003" t="e">
            <v>#DIV/0!</v>
          </cell>
        </row>
        <row r="1004">
          <cell r="E1004" t="str">
            <v>HGC-Lib-2462619</v>
          </cell>
          <cell r="F1004" t="str">
            <v>LD240725D-0158A</v>
          </cell>
          <cell r="G1004">
            <v>1</v>
          </cell>
          <cell r="H1004" t="str">
            <v>DNA基因组文库</v>
          </cell>
          <cell r="I1004" t="str">
            <v>XCL</v>
          </cell>
          <cell r="J1004">
            <v>35.6</v>
          </cell>
          <cell r="N1004" t="e">
            <v>#DIV/0!</v>
          </cell>
        </row>
        <row r="1005">
          <cell r="E1005" t="str">
            <v>HGC-Lib-2462620</v>
          </cell>
          <cell r="F1005" t="str">
            <v>LD240725D-0159A</v>
          </cell>
          <cell r="G1005">
            <v>1</v>
          </cell>
          <cell r="H1005" t="str">
            <v>DNA基因组文库</v>
          </cell>
          <cell r="I1005" t="str">
            <v>XCL</v>
          </cell>
          <cell r="J1005">
            <v>32.4</v>
          </cell>
          <cell r="N1005" t="e">
            <v>#DIV/0!</v>
          </cell>
        </row>
        <row r="1006">
          <cell r="E1006" t="str">
            <v>HGC-Lib-2462621</v>
          </cell>
          <cell r="F1006" t="str">
            <v>LD240725D-0160A</v>
          </cell>
          <cell r="G1006">
            <v>1</v>
          </cell>
          <cell r="H1006" t="str">
            <v>DNA基因组文库</v>
          </cell>
          <cell r="I1006" t="str">
            <v>XCL</v>
          </cell>
          <cell r="J1006">
            <v>69.8</v>
          </cell>
          <cell r="N1006" t="e">
            <v>#DIV/0!</v>
          </cell>
        </row>
        <row r="1007">
          <cell r="E1007" t="str">
            <v>HGC-Lib-2462622</v>
          </cell>
          <cell r="F1007" t="str">
            <v>LD240725D-0161A</v>
          </cell>
          <cell r="G1007">
            <v>1</v>
          </cell>
          <cell r="H1007" t="str">
            <v>DNA基因组文库</v>
          </cell>
          <cell r="I1007" t="str">
            <v>XCL</v>
          </cell>
          <cell r="J1007">
            <v>18.2</v>
          </cell>
          <cell r="N1007" t="e">
            <v>#DIV/0!</v>
          </cell>
        </row>
        <row r="1008">
          <cell r="E1008" t="str">
            <v>HGC-Lib-2462623</v>
          </cell>
          <cell r="F1008" t="str">
            <v>LD240725D-0162A</v>
          </cell>
          <cell r="G1008">
            <v>1</v>
          </cell>
          <cell r="H1008" t="str">
            <v>DNA基因组文库</v>
          </cell>
          <cell r="I1008" t="str">
            <v>XCL</v>
          </cell>
          <cell r="J1008">
            <v>55.4</v>
          </cell>
          <cell r="N1008" t="e">
            <v>#DIV/0!</v>
          </cell>
        </row>
        <row r="1009">
          <cell r="E1009" t="str">
            <v>HGC-Lib-2462624</v>
          </cell>
          <cell r="F1009" t="str">
            <v>LD240725D-0163A</v>
          </cell>
          <cell r="G1009">
            <v>1</v>
          </cell>
          <cell r="H1009" t="str">
            <v>DNA基因组文库</v>
          </cell>
          <cell r="I1009" t="str">
            <v>XCL</v>
          </cell>
          <cell r="J1009">
            <v>23.4</v>
          </cell>
          <cell r="N1009" t="e">
            <v>#DIV/0!</v>
          </cell>
        </row>
        <row r="1010">
          <cell r="E1010" t="str">
            <v>HGC-Lib-2462625</v>
          </cell>
          <cell r="F1010" t="str">
            <v>LD240725D-0164A</v>
          </cell>
          <cell r="G1010">
            <v>1</v>
          </cell>
          <cell r="H1010" t="str">
            <v>DNA基因组文库</v>
          </cell>
          <cell r="I1010" t="str">
            <v>XCL</v>
          </cell>
          <cell r="J1010">
            <v>70.400000000000006</v>
          </cell>
          <cell r="N1010" t="e">
            <v>#DIV/0!</v>
          </cell>
        </row>
        <row r="1011">
          <cell r="E1011" t="str">
            <v>HGC-Lib-2462626</v>
          </cell>
          <cell r="F1011" t="str">
            <v>LD240725D-0165A</v>
          </cell>
          <cell r="G1011">
            <v>1</v>
          </cell>
          <cell r="H1011" t="str">
            <v>DNA基因组文库</v>
          </cell>
          <cell r="I1011" t="str">
            <v>XCL</v>
          </cell>
          <cell r="J1011">
            <v>36.6</v>
          </cell>
          <cell r="N1011" t="e">
            <v>#DIV/0!</v>
          </cell>
        </row>
        <row r="1012">
          <cell r="E1012" t="str">
            <v>HGC-Lib-2462627</v>
          </cell>
          <cell r="F1012" t="str">
            <v>LD240725D-0166A</v>
          </cell>
          <cell r="G1012">
            <v>1</v>
          </cell>
          <cell r="H1012" t="str">
            <v>DNA基因组文库</v>
          </cell>
          <cell r="I1012" t="str">
            <v>XCL</v>
          </cell>
          <cell r="J1012">
            <v>22.4</v>
          </cell>
          <cell r="N1012" t="e">
            <v>#DIV/0!</v>
          </cell>
        </row>
        <row r="1013">
          <cell r="E1013" t="str">
            <v>HGC-Lib-2462628</v>
          </cell>
          <cell r="F1013" t="str">
            <v>LD240725D-0167A</v>
          </cell>
          <cell r="G1013">
            <v>1</v>
          </cell>
          <cell r="H1013" t="str">
            <v>DNA基因组文库</v>
          </cell>
          <cell r="I1013" t="str">
            <v>XCL</v>
          </cell>
          <cell r="J1013">
            <v>6.06</v>
          </cell>
          <cell r="N1013" t="e">
            <v>#DIV/0!</v>
          </cell>
        </row>
        <row r="1014">
          <cell r="E1014" t="str">
            <v>HGC-Lib-2462629</v>
          </cell>
          <cell r="F1014" t="str">
            <v>LD240725D-0168A</v>
          </cell>
          <cell r="G1014">
            <v>1</v>
          </cell>
          <cell r="H1014" t="str">
            <v>DNA基因组文库</v>
          </cell>
          <cell r="I1014" t="str">
            <v>XCL</v>
          </cell>
          <cell r="J1014">
            <v>20.8</v>
          </cell>
          <cell r="N1014" t="e">
            <v>#DIV/0!</v>
          </cell>
        </row>
        <row r="1015">
          <cell r="E1015" t="str">
            <v>HGC-Lib-2462630</v>
          </cell>
          <cell r="F1015" t="str">
            <v>LD240725D-0169A</v>
          </cell>
          <cell r="G1015">
            <v>1</v>
          </cell>
          <cell r="H1015" t="str">
            <v>DNA基因组文库</v>
          </cell>
          <cell r="I1015" t="str">
            <v>XCL</v>
          </cell>
          <cell r="J1015">
            <v>24.2</v>
          </cell>
          <cell r="N1015" t="e">
            <v>#DIV/0!</v>
          </cell>
        </row>
        <row r="1016">
          <cell r="E1016" t="str">
            <v>HGC-Lib-2462631</v>
          </cell>
          <cell r="F1016" t="str">
            <v>LD240725D-0170A</v>
          </cell>
          <cell r="G1016">
            <v>1</v>
          </cell>
          <cell r="H1016" t="str">
            <v>DNA基因组文库</v>
          </cell>
          <cell r="I1016" t="str">
            <v>XCL</v>
          </cell>
          <cell r="J1016">
            <v>35.6</v>
          </cell>
          <cell r="N1016" t="e">
            <v>#DIV/0!</v>
          </cell>
        </row>
        <row r="1017">
          <cell r="E1017" t="str">
            <v>HGC-Lib-2462632</v>
          </cell>
          <cell r="F1017" t="str">
            <v>LD240725D-0171A</v>
          </cell>
          <cell r="G1017">
            <v>1</v>
          </cell>
          <cell r="H1017" t="str">
            <v>DNA基因组文库</v>
          </cell>
          <cell r="I1017" t="str">
            <v>XCL</v>
          </cell>
          <cell r="J1017">
            <v>30.6</v>
          </cell>
          <cell r="N1017" t="e">
            <v>#DIV/0!</v>
          </cell>
        </row>
        <row r="1018">
          <cell r="E1018" t="str">
            <v>HGC-Lib-2462633</v>
          </cell>
          <cell r="F1018" t="str">
            <v>LD240725D-0172A</v>
          </cell>
          <cell r="G1018">
            <v>1</v>
          </cell>
          <cell r="H1018" t="str">
            <v>DNA基因组文库</v>
          </cell>
          <cell r="I1018" t="str">
            <v>XCL</v>
          </cell>
          <cell r="J1018">
            <v>89.8</v>
          </cell>
          <cell r="N1018" t="e">
            <v>#DIV/0!</v>
          </cell>
        </row>
        <row r="1019">
          <cell r="E1019" t="str">
            <v>HGC-Lib-2462634</v>
          </cell>
          <cell r="F1019" t="str">
            <v>LD230710O-3389A</v>
          </cell>
          <cell r="G1019">
            <v>30</v>
          </cell>
          <cell r="H1019" t="str">
            <v>DNA宏基因组文库</v>
          </cell>
          <cell r="I1019" t="str">
            <v>XCL</v>
          </cell>
          <cell r="J1019">
            <v>80.599999999999994</v>
          </cell>
          <cell r="N1019" t="e">
            <v>#DIV/0!</v>
          </cell>
        </row>
        <row r="1020">
          <cell r="E1020" t="str">
            <v>HGC-Lib-2462635</v>
          </cell>
          <cell r="F1020" t="str">
            <v>LD230710O-3390A</v>
          </cell>
          <cell r="G1020">
            <v>30</v>
          </cell>
          <cell r="H1020" t="str">
            <v>DNA宏基因组文库</v>
          </cell>
          <cell r="I1020" t="str">
            <v>XCL</v>
          </cell>
          <cell r="J1020">
            <v>9.68</v>
          </cell>
          <cell r="N1020" t="e">
            <v>#DIV/0!</v>
          </cell>
        </row>
        <row r="1021">
          <cell r="E1021" t="str">
            <v>HGC-Lib-2462636</v>
          </cell>
          <cell r="F1021" t="str">
            <v>LD230710O-3391A</v>
          </cell>
          <cell r="G1021">
            <v>30</v>
          </cell>
          <cell r="H1021" t="str">
            <v>DNA宏基因组文库</v>
          </cell>
          <cell r="I1021" t="str">
            <v>XCL</v>
          </cell>
          <cell r="J1021">
            <v>87.2</v>
          </cell>
          <cell r="N1021" t="e">
            <v>#DIV/0!</v>
          </cell>
        </row>
        <row r="1022">
          <cell r="E1022" t="str">
            <v>HGC-Lib-2462637</v>
          </cell>
          <cell r="F1022" t="str">
            <v>LD230710O-3392A</v>
          </cell>
          <cell r="G1022">
            <v>30</v>
          </cell>
          <cell r="H1022" t="str">
            <v>DNA宏基因组文库</v>
          </cell>
          <cell r="I1022" t="str">
            <v>XCL</v>
          </cell>
          <cell r="J1022">
            <v>62.8</v>
          </cell>
          <cell r="N1022" t="e">
            <v>#DIV/0!</v>
          </cell>
        </row>
        <row r="1023">
          <cell r="E1023" t="str">
            <v>HGC-Lib-2462638</v>
          </cell>
          <cell r="F1023" t="str">
            <v>LD230710O-3393A</v>
          </cell>
          <cell r="G1023">
            <v>30</v>
          </cell>
          <cell r="H1023" t="str">
            <v>DNA宏基因组文库</v>
          </cell>
          <cell r="I1023" t="str">
            <v>XCL</v>
          </cell>
          <cell r="J1023">
            <v>14.2</v>
          </cell>
          <cell r="N1023" t="e">
            <v>#DIV/0!</v>
          </cell>
        </row>
        <row r="1024">
          <cell r="E1024" t="str">
            <v>HGC-Lib-2462639</v>
          </cell>
          <cell r="F1024" t="str">
            <v>LD230710O-3394A</v>
          </cell>
          <cell r="G1024">
            <v>30</v>
          </cell>
          <cell r="H1024" t="str">
            <v>DNA宏基因组文库</v>
          </cell>
          <cell r="I1024" t="str">
            <v>XCL</v>
          </cell>
          <cell r="J1024">
            <v>39.4</v>
          </cell>
          <cell r="N1024" t="e">
            <v>#DIV/0!</v>
          </cell>
        </row>
        <row r="1025">
          <cell r="E1025" t="str">
            <v>HGC-Lib-2462640</v>
          </cell>
          <cell r="F1025" t="str">
            <v>LD230710O-3395A</v>
          </cell>
          <cell r="G1025">
            <v>30</v>
          </cell>
          <cell r="H1025" t="str">
            <v>DNA宏基因组文库</v>
          </cell>
          <cell r="I1025" t="str">
            <v>XCL</v>
          </cell>
          <cell r="J1025">
            <v>12.9</v>
          </cell>
          <cell r="N1025" t="e">
            <v>#DIV/0!</v>
          </cell>
        </row>
        <row r="1026">
          <cell r="E1026" t="str">
            <v>HGC-Lib-2462641</v>
          </cell>
          <cell r="F1026" t="str">
            <v>LD230710O-3396A</v>
          </cell>
          <cell r="G1026">
            <v>30</v>
          </cell>
          <cell r="H1026" t="str">
            <v>DNA宏基因组文库</v>
          </cell>
          <cell r="I1026" t="str">
            <v>XCL</v>
          </cell>
          <cell r="J1026">
            <v>19.600000000000001</v>
          </cell>
          <cell r="N1026" t="e">
            <v>#DIV/0!</v>
          </cell>
        </row>
        <row r="1027">
          <cell r="E1027" t="str">
            <v>HGC-Lib-2462642</v>
          </cell>
          <cell r="F1027" t="str">
            <v>LD240723D-0971A</v>
          </cell>
          <cell r="G1027">
            <v>20</v>
          </cell>
          <cell r="H1027" t="str">
            <v>DNA宏基因组文库</v>
          </cell>
          <cell r="I1027" t="str">
            <v>XCL</v>
          </cell>
          <cell r="J1027">
            <v>4.68</v>
          </cell>
          <cell r="N1027" t="e">
            <v>#DIV/0!</v>
          </cell>
        </row>
        <row r="1028">
          <cell r="E1028" t="str">
            <v>HGC-Lib-2462643</v>
          </cell>
          <cell r="F1028" t="str">
            <v>LD240723D-0972A</v>
          </cell>
          <cell r="G1028">
            <v>20</v>
          </cell>
          <cell r="H1028" t="str">
            <v>DNA宏基因组文库</v>
          </cell>
          <cell r="I1028" t="str">
            <v>XCL</v>
          </cell>
          <cell r="J1028">
            <v>1.9</v>
          </cell>
          <cell r="N1028" t="e">
            <v>#DIV/0!</v>
          </cell>
        </row>
        <row r="1029">
          <cell r="E1029" t="str">
            <v>HGC-Lib-2462644</v>
          </cell>
          <cell r="F1029" t="str">
            <v>LD240723D-0973A</v>
          </cell>
          <cell r="G1029">
            <v>20</v>
          </cell>
          <cell r="H1029" t="str">
            <v>DNA宏基因组文库</v>
          </cell>
          <cell r="I1029" t="str">
            <v>XCL</v>
          </cell>
          <cell r="J1029">
            <v>13.3</v>
          </cell>
          <cell r="N1029" t="e">
            <v>#DIV/0!</v>
          </cell>
        </row>
        <row r="1030">
          <cell r="E1030" t="str">
            <v>HGC-Lib-2462645</v>
          </cell>
          <cell r="F1030" t="str">
            <v>LD240723D-0974A</v>
          </cell>
          <cell r="G1030">
            <v>20</v>
          </cell>
          <cell r="H1030" t="str">
            <v>DNA宏基因组文库</v>
          </cell>
          <cell r="I1030" t="str">
            <v>XCL</v>
          </cell>
          <cell r="J1030">
            <v>6.08</v>
          </cell>
          <cell r="N1030" t="e">
            <v>#DIV/0!</v>
          </cell>
        </row>
        <row r="1031">
          <cell r="E1031" t="str">
            <v>HGC-Lib-2462646</v>
          </cell>
          <cell r="F1031" t="str">
            <v>LR240521O-1791A</v>
          </cell>
          <cell r="G1031">
            <v>2</v>
          </cell>
          <cell r="H1031" t="str">
            <v>原核链特异性转录组文库</v>
          </cell>
          <cell r="I1031" t="str">
            <v>XCL</v>
          </cell>
          <cell r="J1031">
            <v>27.8</v>
          </cell>
          <cell r="N1031" t="e">
            <v>#DIV/0!</v>
          </cell>
        </row>
        <row r="1032">
          <cell r="E1032" t="str">
            <v>HGC-Lib-2462647</v>
          </cell>
          <cell r="F1032" t="str">
            <v>LR240523O-1381A</v>
          </cell>
          <cell r="G1032">
            <v>1</v>
          </cell>
          <cell r="H1032" t="str">
            <v>原核链特异性转录组文库</v>
          </cell>
          <cell r="I1032" t="str">
            <v>WH</v>
          </cell>
          <cell r="J1032">
            <v>26.4</v>
          </cell>
          <cell r="N1032" t="e">
            <v>#DIV/0!</v>
          </cell>
        </row>
        <row r="1033">
          <cell r="E1033" t="str">
            <v>HGC-Lib-2462648</v>
          </cell>
          <cell r="F1033" t="str">
            <v>LR240626R-0053A</v>
          </cell>
          <cell r="G1033">
            <v>14</v>
          </cell>
          <cell r="H1033" t="str">
            <v>宏转录组文库</v>
          </cell>
          <cell r="I1033" t="str">
            <v>WH</v>
          </cell>
          <cell r="J1033">
            <v>33</v>
          </cell>
          <cell r="N1033" t="e">
            <v>#DIV/0!</v>
          </cell>
        </row>
        <row r="1034">
          <cell r="E1034" t="str">
            <v>HGC-Lib-2462649</v>
          </cell>
          <cell r="F1034" t="str">
            <v>LR240626R-0054A</v>
          </cell>
          <cell r="G1034">
            <v>1</v>
          </cell>
          <cell r="H1034" t="str">
            <v>宏转录组文库</v>
          </cell>
          <cell r="I1034" t="str">
            <v>WH</v>
          </cell>
          <cell r="J1034">
            <v>9.26</v>
          </cell>
          <cell r="N1034" t="e">
            <v>#DIV/0!</v>
          </cell>
        </row>
        <row r="1035">
          <cell r="E1035" t="str">
            <v>HGC-Lib-2462650</v>
          </cell>
          <cell r="F1035" t="str">
            <v>LR240715O-4311A</v>
          </cell>
          <cell r="G1035">
            <v>2</v>
          </cell>
          <cell r="H1035" t="str">
            <v>原核链特异性转录组文库</v>
          </cell>
          <cell r="I1035" t="str">
            <v>WH</v>
          </cell>
          <cell r="J1035">
            <v>22.4</v>
          </cell>
          <cell r="N1035" t="e">
            <v>#DIV/0!</v>
          </cell>
        </row>
        <row r="1036">
          <cell r="E1036" t="str">
            <v>HGC-Lib-2462651</v>
          </cell>
          <cell r="F1036" t="str">
            <v>LR240715O-4312A</v>
          </cell>
          <cell r="G1036">
            <v>2</v>
          </cell>
          <cell r="H1036" t="str">
            <v>原核链特异性转录组文库</v>
          </cell>
          <cell r="I1036" t="str">
            <v>WH</v>
          </cell>
          <cell r="J1036">
            <v>29.8</v>
          </cell>
          <cell r="N1036" t="e">
            <v>#DIV/0!</v>
          </cell>
        </row>
        <row r="1037">
          <cell r="E1037" t="str">
            <v>HGC-Lib-2462652</v>
          </cell>
          <cell r="F1037" t="str">
            <v>LR240715O-4313A</v>
          </cell>
          <cell r="G1037">
            <v>2</v>
          </cell>
          <cell r="H1037" t="str">
            <v>原核链特异性转录组文库</v>
          </cell>
          <cell r="I1037" t="str">
            <v>WH</v>
          </cell>
          <cell r="J1037">
            <v>17.600000000000001</v>
          </cell>
          <cell r="N1037" t="e">
            <v>#DIV/0!</v>
          </cell>
        </row>
        <row r="1038">
          <cell r="E1038" t="str">
            <v>HGC-Lib-2462653</v>
          </cell>
          <cell r="F1038" t="str">
            <v>LR240718O-1213A</v>
          </cell>
          <cell r="G1038">
            <v>3</v>
          </cell>
          <cell r="H1038" t="str">
            <v>原核链特异性转录组文库</v>
          </cell>
          <cell r="I1038" t="str">
            <v>WH</v>
          </cell>
          <cell r="J1038">
            <v>3.64</v>
          </cell>
          <cell r="N1038" t="e">
            <v>#DIV/0!</v>
          </cell>
        </row>
        <row r="1039">
          <cell r="E1039" t="str">
            <v>HGC-Lib-2462654</v>
          </cell>
          <cell r="F1039" t="str">
            <v>LR240718O-1214A</v>
          </cell>
          <cell r="G1039">
            <v>3</v>
          </cell>
          <cell r="H1039" t="str">
            <v>原核链特异性转录组文库</v>
          </cell>
          <cell r="I1039" t="str">
            <v>WH</v>
          </cell>
          <cell r="J1039">
            <v>25.6</v>
          </cell>
          <cell r="N1039" t="e">
            <v>#DIV/0!</v>
          </cell>
        </row>
        <row r="1040">
          <cell r="E1040" t="str">
            <v>HGC-Lib-2462655</v>
          </cell>
          <cell r="F1040" t="str">
            <v>LR240718O-1215A</v>
          </cell>
          <cell r="G1040">
            <v>3</v>
          </cell>
          <cell r="H1040" t="str">
            <v>原核链特异性转录组文库</v>
          </cell>
          <cell r="I1040" t="str">
            <v>WH</v>
          </cell>
          <cell r="J1040">
            <v>6.54</v>
          </cell>
          <cell r="N1040" t="e">
            <v>#DIV/0!</v>
          </cell>
        </row>
        <row r="1041">
          <cell r="E1041" t="str">
            <v>HGC-Lib-2462656</v>
          </cell>
          <cell r="F1041" t="str">
            <v>LR240718O-1216A</v>
          </cell>
          <cell r="G1041">
            <v>3</v>
          </cell>
          <cell r="H1041" t="str">
            <v>原核链特异性转录组文库</v>
          </cell>
          <cell r="I1041" t="str">
            <v>WH</v>
          </cell>
          <cell r="J1041">
            <v>3.14</v>
          </cell>
          <cell r="N1041" t="e">
            <v>#DIV/0!</v>
          </cell>
        </row>
        <row r="1042">
          <cell r="E1042" t="str">
            <v>HGC-Lib-2462657</v>
          </cell>
          <cell r="F1042" t="str">
            <v>LR240718O-1217A</v>
          </cell>
          <cell r="G1042">
            <v>3</v>
          </cell>
          <cell r="H1042" t="str">
            <v>原核链特异性转录组文库</v>
          </cell>
          <cell r="I1042" t="str">
            <v>WH</v>
          </cell>
          <cell r="J1042">
            <v>30.2</v>
          </cell>
          <cell r="N1042" t="e">
            <v>#DIV/0!</v>
          </cell>
        </row>
        <row r="1043">
          <cell r="E1043" t="str">
            <v>HGC-Lib-2462658</v>
          </cell>
          <cell r="F1043" t="str">
            <v>LR240718O-1218A</v>
          </cell>
          <cell r="G1043">
            <v>3</v>
          </cell>
          <cell r="H1043" t="str">
            <v>原核链特异性转录组文库</v>
          </cell>
          <cell r="I1043" t="str">
            <v>WH</v>
          </cell>
          <cell r="J1043">
            <v>12.7</v>
          </cell>
          <cell r="N1043" t="e">
            <v>#DIV/0!</v>
          </cell>
        </row>
        <row r="1044">
          <cell r="E1044" t="str">
            <v>HGC-Lib-2462659</v>
          </cell>
          <cell r="F1044" t="str">
            <v>LR240722O-5404A</v>
          </cell>
          <cell r="G1044">
            <v>2</v>
          </cell>
          <cell r="H1044" t="str">
            <v>原核链特异性转录组文库</v>
          </cell>
          <cell r="I1044" t="str">
            <v>WH</v>
          </cell>
          <cell r="J1044">
            <v>3.98</v>
          </cell>
          <cell r="N1044" t="e">
            <v>#DIV/0!</v>
          </cell>
        </row>
        <row r="1045">
          <cell r="E1045" t="str">
            <v>HGC-Lib-2462660</v>
          </cell>
          <cell r="F1045" t="str">
            <v>LR240722O-5405A</v>
          </cell>
          <cell r="G1045">
            <v>2</v>
          </cell>
          <cell r="H1045" t="str">
            <v>原核链特异性转录组文库</v>
          </cell>
          <cell r="I1045" t="str">
            <v>WH</v>
          </cell>
          <cell r="J1045">
            <v>4.0999999999999996</v>
          </cell>
          <cell r="N1045" t="e">
            <v>#DIV/0!</v>
          </cell>
        </row>
        <row r="1046">
          <cell r="E1046" t="str">
            <v>HGC-Lib-2462661</v>
          </cell>
          <cell r="F1046" t="str">
            <v>LR240722O-5406A</v>
          </cell>
          <cell r="G1046">
            <v>2</v>
          </cell>
          <cell r="H1046" t="str">
            <v>原核链特异性转录组文库</v>
          </cell>
          <cell r="I1046" t="str">
            <v>WH</v>
          </cell>
          <cell r="J1046">
            <v>2.2200000000000002</v>
          </cell>
          <cell r="N1046" t="e">
            <v>#DIV/0!</v>
          </cell>
        </row>
        <row r="1047">
          <cell r="E1047" t="str">
            <v>HGC-Lib-2462662</v>
          </cell>
          <cell r="F1047" t="str">
            <v>LR240722O-5407A</v>
          </cell>
          <cell r="G1047">
            <v>2</v>
          </cell>
          <cell r="H1047" t="str">
            <v>原核链特异性转录组文库</v>
          </cell>
          <cell r="I1047" t="str">
            <v>WH</v>
          </cell>
          <cell r="J1047">
            <v>4.0199999999999996</v>
          </cell>
          <cell r="N1047" t="e">
            <v>#DIV/0!</v>
          </cell>
        </row>
        <row r="1048">
          <cell r="E1048" t="str">
            <v>HGC-Lib-2462663</v>
          </cell>
          <cell r="F1048" t="str">
            <v>LR240722O-5408A</v>
          </cell>
          <cell r="G1048">
            <v>2</v>
          </cell>
          <cell r="H1048" t="str">
            <v>原核链特异性转录组文库</v>
          </cell>
          <cell r="I1048" t="str">
            <v>WH</v>
          </cell>
          <cell r="J1048">
            <v>13.1</v>
          </cell>
          <cell r="N1048" t="e">
            <v>#DIV/0!</v>
          </cell>
        </row>
        <row r="1049">
          <cell r="E1049" t="str">
            <v>HGC-Lib-2462664</v>
          </cell>
          <cell r="F1049" t="str">
            <v>LR240722O-5409A</v>
          </cell>
          <cell r="G1049">
            <v>2</v>
          </cell>
          <cell r="H1049" t="str">
            <v>原核链特异性转录组文库</v>
          </cell>
          <cell r="I1049" t="str">
            <v>WH</v>
          </cell>
          <cell r="J1049">
            <v>6.74</v>
          </cell>
          <cell r="N1049" t="e">
            <v>#DIV/0!</v>
          </cell>
        </row>
        <row r="1050">
          <cell r="E1050" t="str">
            <v>HGC-Lib-2462665</v>
          </cell>
          <cell r="F1050" t="str">
            <v>LR240418O-2562A</v>
          </cell>
          <cell r="G1050">
            <v>10</v>
          </cell>
          <cell r="H1050" t="str">
            <v>宏转录组文库</v>
          </cell>
          <cell r="I1050" t="str">
            <v>WH</v>
          </cell>
          <cell r="J1050">
            <v>12</v>
          </cell>
          <cell r="N1050" t="e">
            <v>#DIV/0!</v>
          </cell>
        </row>
        <row r="1051">
          <cell r="E1051" t="str">
            <v>HGC-Lib-2462666</v>
          </cell>
          <cell r="F1051" t="str">
            <v>LR240723O-4284A</v>
          </cell>
          <cell r="G1051">
            <v>2</v>
          </cell>
          <cell r="H1051" t="str">
            <v>原核链特异性转录组文库</v>
          </cell>
          <cell r="I1051" t="str">
            <v>WH</v>
          </cell>
          <cell r="J1051">
            <v>13.7</v>
          </cell>
          <cell r="N1051" t="e">
            <v>#DIV/0!</v>
          </cell>
        </row>
        <row r="1052">
          <cell r="E1052" t="str">
            <v>HGC-Lib-2462667</v>
          </cell>
          <cell r="F1052" t="str">
            <v>LR240723O-4285A</v>
          </cell>
          <cell r="G1052">
            <v>2</v>
          </cell>
          <cell r="H1052" t="str">
            <v>原核链特异性转录组文库</v>
          </cell>
          <cell r="I1052" t="str">
            <v>WH</v>
          </cell>
          <cell r="J1052">
            <v>13.7</v>
          </cell>
          <cell r="N1052" t="e">
            <v>#DIV/0!</v>
          </cell>
        </row>
        <row r="1053">
          <cell r="E1053" t="str">
            <v>HGC-Lib-2462668</v>
          </cell>
          <cell r="F1053" t="str">
            <v>LR240723O-4286A</v>
          </cell>
          <cell r="G1053">
            <v>2</v>
          </cell>
          <cell r="H1053" t="str">
            <v>原核链特异性转录组文库</v>
          </cell>
          <cell r="I1053" t="str">
            <v>WH</v>
          </cell>
          <cell r="J1053">
            <v>11.8</v>
          </cell>
          <cell r="N1053" t="e">
            <v>#DIV/0!</v>
          </cell>
        </row>
        <row r="1054">
          <cell r="E1054" t="str">
            <v>HGC-Lib-2462669</v>
          </cell>
          <cell r="F1054" t="str">
            <v>LR240723O-4287A</v>
          </cell>
          <cell r="G1054">
            <v>2</v>
          </cell>
          <cell r="H1054" t="str">
            <v>原核链特异性转录组文库</v>
          </cell>
          <cell r="I1054" t="str">
            <v>WH</v>
          </cell>
          <cell r="J1054">
            <v>35.4</v>
          </cell>
          <cell r="N1054" t="e">
            <v>#DIV/0!</v>
          </cell>
        </row>
        <row r="1055">
          <cell r="E1055" t="str">
            <v>HGC-Lib-2462670</v>
          </cell>
          <cell r="F1055" t="str">
            <v>LR240723O-4288A</v>
          </cell>
          <cell r="G1055">
            <v>2</v>
          </cell>
          <cell r="H1055" t="str">
            <v>原核链特异性转录组文库</v>
          </cell>
          <cell r="I1055" t="str">
            <v>WH</v>
          </cell>
          <cell r="J1055">
            <v>10.5</v>
          </cell>
          <cell r="N1055" t="e">
            <v>#DIV/0!</v>
          </cell>
        </row>
        <row r="1056">
          <cell r="E1056" t="str">
            <v>HGC-Lib-2462671</v>
          </cell>
          <cell r="F1056" t="str">
            <v>LR240723O-4289A</v>
          </cell>
          <cell r="G1056">
            <v>2</v>
          </cell>
          <cell r="H1056" t="str">
            <v>原核链特异性转录组文库</v>
          </cell>
          <cell r="I1056" t="str">
            <v>WH</v>
          </cell>
          <cell r="J1056">
            <v>11.3</v>
          </cell>
          <cell r="N1056" t="e">
            <v>#DIV/0!</v>
          </cell>
        </row>
        <row r="1057">
          <cell r="E1057" t="str">
            <v>HGC-Lib-2462672</v>
          </cell>
          <cell r="F1057" t="str">
            <v>LR240723O-4290A</v>
          </cell>
          <cell r="G1057">
            <v>2</v>
          </cell>
          <cell r="H1057" t="str">
            <v>原核链特异性转录组文库</v>
          </cell>
          <cell r="I1057" t="str">
            <v>WH</v>
          </cell>
          <cell r="J1057">
            <v>11.9</v>
          </cell>
          <cell r="N1057" t="e">
            <v>#DIV/0!</v>
          </cell>
        </row>
        <row r="1058">
          <cell r="E1058" t="str">
            <v>HGC-Lib-2462673</v>
          </cell>
          <cell r="F1058" t="str">
            <v>LR240723O-4291A</v>
          </cell>
          <cell r="G1058">
            <v>2</v>
          </cell>
          <cell r="H1058" t="str">
            <v>原核链特异性转录组文库</v>
          </cell>
          <cell r="I1058" t="str">
            <v>WH</v>
          </cell>
          <cell r="J1058">
            <v>13.3</v>
          </cell>
          <cell r="N1058" t="e">
            <v>#DIV/0!</v>
          </cell>
        </row>
        <row r="1059">
          <cell r="E1059" t="str">
            <v>HGC-Lib-2462674</v>
          </cell>
          <cell r="F1059" t="str">
            <v>LR240723O-4292A</v>
          </cell>
          <cell r="G1059">
            <v>2</v>
          </cell>
          <cell r="H1059" t="str">
            <v>原核链特异性转录组文库</v>
          </cell>
          <cell r="I1059" t="str">
            <v>WH</v>
          </cell>
          <cell r="J1059">
            <v>13.1</v>
          </cell>
          <cell r="N1059" t="e">
            <v>#DIV/0!</v>
          </cell>
        </row>
        <row r="1060">
          <cell r="E1060" t="str">
            <v>HGC-Lib-2462675</v>
          </cell>
          <cell r="F1060" t="str">
            <v>LR240724R-0006A</v>
          </cell>
          <cell r="G1060">
            <v>10</v>
          </cell>
          <cell r="H1060" t="str">
            <v>RNA病毒组文库</v>
          </cell>
          <cell r="I1060" t="str">
            <v>WH</v>
          </cell>
          <cell r="J1060">
            <v>14.6</v>
          </cell>
          <cell r="N1060" t="e">
            <v>#DIV/0!</v>
          </cell>
        </row>
        <row r="1061">
          <cell r="E1061" t="str">
            <v>HGC-Lib-2462676</v>
          </cell>
          <cell r="F1061" t="str">
            <v>LR240724R-0007A</v>
          </cell>
          <cell r="G1061">
            <v>10</v>
          </cell>
          <cell r="H1061" t="str">
            <v>RNA病毒组文库</v>
          </cell>
          <cell r="I1061" t="str">
            <v>WH</v>
          </cell>
          <cell r="J1061">
            <v>12.8</v>
          </cell>
          <cell r="N1061" t="e">
            <v>#DIV/0!</v>
          </cell>
        </row>
        <row r="1062">
          <cell r="E1062" t="str">
            <v>HGC-Lib-2462677</v>
          </cell>
          <cell r="F1062" t="str">
            <v>LR240722O-5689A</v>
          </cell>
          <cell r="G1062">
            <v>10</v>
          </cell>
          <cell r="H1062" t="str">
            <v>RNA病毒组文库</v>
          </cell>
          <cell r="I1062" t="str">
            <v>WH</v>
          </cell>
          <cell r="J1062">
            <v>25</v>
          </cell>
          <cell r="N1062" t="e">
            <v>#DIV/0!</v>
          </cell>
        </row>
        <row r="1063">
          <cell r="E1063" t="str">
            <v>HGC-Lib-2462678</v>
          </cell>
          <cell r="F1063" t="str">
            <v>LR240722O-5690A</v>
          </cell>
          <cell r="G1063">
            <v>10</v>
          </cell>
          <cell r="H1063" t="str">
            <v>RNA病毒组文库</v>
          </cell>
          <cell r="I1063" t="str">
            <v>WH</v>
          </cell>
          <cell r="J1063">
            <v>3.72</v>
          </cell>
          <cell r="N1063" t="e">
            <v>#DIV/0!</v>
          </cell>
        </row>
        <row r="1064">
          <cell r="E1064" t="str">
            <v>HGC-Lib-2462679</v>
          </cell>
          <cell r="F1064" t="str">
            <v>LR240722O-5691A</v>
          </cell>
          <cell r="G1064">
            <v>10</v>
          </cell>
          <cell r="H1064" t="str">
            <v>RNA病毒组文库</v>
          </cell>
          <cell r="I1064" t="str">
            <v>WH</v>
          </cell>
          <cell r="J1064">
            <v>2.48</v>
          </cell>
          <cell r="N1064" t="e">
            <v>#DIV/0!</v>
          </cell>
        </row>
        <row r="1065">
          <cell r="E1065" t="str">
            <v>HGC-Lib-2462680</v>
          </cell>
          <cell r="F1065" t="str">
            <v>LR240722O-5692A</v>
          </cell>
          <cell r="G1065">
            <v>10</v>
          </cell>
          <cell r="H1065" t="str">
            <v>RNA病毒组文库</v>
          </cell>
          <cell r="I1065" t="str">
            <v>WH</v>
          </cell>
          <cell r="J1065">
            <v>5.62</v>
          </cell>
          <cell r="N1065" t="e">
            <v>#DIV/0!</v>
          </cell>
        </row>
        <row r="1066">
          <cell r="E1066" t="str">
            <v>HGC-Lib-2462681</v>
          </cell>
          <cell r="F1066" t="str">
            <v>LR240722O-5693A</v>
          </cell>
          <cell r="G1066">
            <v>10</v>
          </cell>
          <cell r="H1066" t="str">
            <v>RNA病毒组文库</v>
          </cell>
          <cell r="I1066" t="str">
            <v>WH</v>
          </cell>
          <cell r="J1066">
            <v>1.74</v>
          </cell>
          <cell r="N1066" t="e">
            <v>#DIV/0!</v>
          </cell>
        </row>
        <row r="1067">
          <cell r="E1067" t="str">
            <v>HGC-Lib-2462682</v>
          </cell>
          <cell r="F1067" t="str">
            <v>LR240722O-5694A</v>
          </cell>
          <cell r="G1067">
            <v>10</v>
          </cell>
          <cell r="H1067" t="str">
            <v>宏转录组文库</v>
          </cell>
          <cell r="I1067" t="str">
            <v>WH</v>
          </cell>
          <cell r="J1067">
            <v>16.399999999999999</v>
          </cell>
          <cell r="N1067" t="e">
            <v>#DIV/0!</v>
          </cell>
        </row>
        <row r="1068">
          <cell r="E1068" t="str">
            <v>HGC-Lib-2462683</v>
          </cell>
          <cell r="F1068" t="str">
            <v>LR240723O-4981A</v>
          </cell>
          <cell r="G1068">
            <v>2</v>
          </cell>
          <cell r="H1068" t="str">
            <v>原核链特异性转录组文库</v>
          </cell>
          <cell r="I1068" t="str">
            <v>WH</v>
          </cell>
          <cell r="J1068">
            <v>14.4</v>
          </cell>
          <cell r="N1068" t="e">
            <v>#DIV/0!</v>
          </cell>
        </row>
        <row r="1069">
          <cell r="E1069" t="str">
            <v>HGC-Lib-2462684</v>
          </cell>
          <cell r="F1069" t="str">
            <v>LR240723O-4982A</v>
          </cell>
          <cell r="G1069">
            <v>2</v>
          </cell>
          <cell r="H1069" t="str">
            <v>原核链特异性转录组文库</v>
          </cell>
          <cell r="I1069" t="str">
            <v>WH</v>
          </cell>
          <cell r="J1069">
            <v>25.6</v>
          </cell>
          <cell r="N1069" t="e">
            <v>#DIV/0!</v>
          </cell>
        </row>
        <row r="1070">
          <cell r="E1070" t="str">
            <v>HGC-Lib-2462685</v>
          </cell>
          <cell r="F1070" t="str">
            <v>LR240723O-4983A</v>
          </cell>
          <cell r="G1070">
            <v>2</v>
          </cell>
          <cell r="H1070" t="str">
            <v>原核链特异性转录组文库</v>
          </cell>
          <cell r="I1070" t="str">
            <v>WH</v>
          </cell>
          <cell r="J1070">
            <v>11.6</v>
          </cell>
          <cell r="N1070" t="e">
            <v>#DIV/0!</v>
          </cell>
        </row>
        <row r="1071">
          <cell r="E1071" t="str">
            <v>HGC-Lib-2462686</v>
          </cell>
          <cell r="F1071" t="str">
            <v>LR240723O-4984A</v>
          </cell>
          <cell r="G1071">
            <v>2</v>
          </cell>
          <cell r="H1071" t="str">
            <v>原核链特异性转录组文库</v>
          </cell>
          <cell r="I1071" t="str">
            <v>WH</v>
          </cell>
          <cell r="J1071">
            <v>9.8000000000000007</v>
          </cell>
          <cell r="N1071" t="e">
            <v>#DIV/0!</v>
          </cell>
        </row>
        <row r="1072">
          <cell r="E1072" t="str">
            <v>HGC-Lib-2462687</v>
          </cell>
          <cell r="F1072" t="str">
            <v>LR240723O-4985A</v>
          </cell>
          <cell r="G1072">
            <v>2</v>
          </cell>
          <cell r="H1072" t="str">
            <v>原核链特异性转录组文库</v>
          </cell>
          <cell r="I1072" t="str">
            <v>WH</v>
          </cell>
          <cell r="J1072">
            <v>13.8</v>
          </cell>
          <cell r="N1072" t="e">
            <v>#DIV/0!</v>
          </cell>
        </row>
        <row r="1073">
          <cell r="E1073" t="str">
            <v>HGC-Lib-2462688</v>
          </cell>
          <cell r="F1073" t="str">
            <v>LR240723O-4986A</v>
          </cell>
          <cell r="G1073">
            <v>2</v>
          </cell>
          <cell r="H1073" t="str">
            <v>原核链特异性转录组文库</v>
          </cell>
          <cell r="I1073" t="str">
            <v>WH</v>
          </cell>
          <cell r="J1073">
            <v>1.75</v>
          </cell>
          <cell r="N1073" t="e">
            <v>#DIV/0!</v>
          </cell>
        </row>
        <row r="1074">
          <cell r="E1074" t="str">
            <v>HGC-Lib-2462689</v>
          </cell>
          <cell r="F1074" t="str">
            <v>LR240723O-4987A</v>
          </cell>
          <cell r="G1074">
            <v>2</v>
          </cell>
          <cell r="H1074" t="str">
            <v>原核链特异性转录组文库</v>
          </cell>
          <cell r="I1074" t="str">
            <v>WH</v>
          </cell>
          <cell r="J1074">
            <v>9.36</v>
          </cell>
          <cell r="N1074" t="e">
            <v>#DIV/0!</v>
          </cell>
        </row>
        <row r="1075">
          <cell r="E1075" t="str">
            <v>HGC-Lib-2462690</v>
          </cell>
          <cell r="F1075" t="str">
            <v>LR240723O-4988A</v>
          </cell>
          <cell r="G1075">
            <v>2</v>
          </cell>
          <cell r="H1075" t="str">
            <v>原核链特异性转录组文库</v>
          </cell>
          <cell r="I1075" t="str">
            <v>WH</v>
          </cell>
          <cell r="J1075">
            <v>2.74</v>
          </cell>
          <cell r="N1075" t="e">
            <v>#DIV/0!</v>
          </cell>
        </row>
        <row r="1076">
          <cell r="E1076" t="str">
            <v>HGC-Lib-2462691</v>
          </cell>
          <cell r="F1076" t="str">
            <v>LR240723O-4989A</v>
          </cell>
          <cell r="G1076">
            <v>2</v>
          </cell>
          <cell r="H1076" t="str">
            <v>原核链特异性转录组文库</v>
          </cell>
          <cell r="I1076" t="str">
            <v>WH</v>
          </cell>
          <cell r="J1076">
            <v>3.56</v>
          </cell>
          <cell r="N1076" t="e">
            <v>#DIV/0!</v>
          </cell>
        </row>
        <row r="1077">
          <cell r="E1077" t="str">
            <v>HGC-Lib-2462692</v>
          </cell>
          <cell r="F1077" t="str">
            <v>LR240723O-4990A</v>
          </cell>
          <cell r="G1077">
            <v>2</v>
          </cell>
          <cell r="H1077" t="str">
            <v>原核链特异性转录组文库</v>
          </cell>
          <cell r="I1077" t="str">
            <v>WH</v>
          </cell>
          <cell r="J1077">
            <v>4.58</v>
          </cell>
          <cell r="N1077" t="e">
            <v>#DIV/0!</v>
          </cell>
        </row>
        <row r="1078">
          <cell r="E1078" t="str">
            <v>HGC-Lib-2462693</v>
          </cell>
          <cell r="F1078" t="str">
            <v>LR240723O-4991A</v>
          </cell>
          <cell r="G1078">
            <v>2</v>
          </cell>
          <cell r="H1078" t="str">
            <v>原核链特异性转录组文库</v>
          </cell>
          <cell r="I1078" t="str">
            <v>WH</v>
          </cell>
          <cell r="J1078">
            <v>2.96</v>
          </cell>
          <cell r="N1078" t="e">
            <v>#DIV/0!</v>
          </cell>
        </row>
        <row r="1079">
          <cell r="E1079" t="str">
            <v>HGC-Lib-2462694</v>
          </cell>
          <cell r="F1079" t="str">
            <v>LR240723O-4992A</v>
          </cell>
          <cell r="G1079">
            <v>2</v>
          </cell>
          <cell r="H1079" t="str">
            <v>原核链特异性转录组文库</v>
          </cell>
          <cell r="I1079" t="str">
            <v>WH</v>
          </cell>
          <cell r="J1079">
            <v>5.0199999999999996</v>
          </cell>
          <cell r="N1079" t="e">
            <v>#DIV/0!</v>
          </cell>
        </row>
        <row r="1080">
          <cell r="E1080" t="str">
            <v>HGC-Lib-2462695</v>
          </cell>
          <cell r="F1080" t="str">
            <v>LR240725O-1928A</v>
          </cell>
          <cell r="G1080">
            <v>2</v>
          </cell>
          <cell r="H1080" t="str">
            <v>原核链特异性转录组文库</v>
          </cell>
          <cell r="I1080" t="str">
            <v>ZZ</v>
          </cell>
          <cell r="J1080">
            <v>20.2</v>
          </cell>
          <cell r="N1080" t="e">
            <v>#DIV/0!</v>
          </cell>
        </row>
        <row r="1081">
          <cell r="E1081" t="str">
            <v>HGC-Lib-2462696</v>
          </cell>
          <cell r="F1081" t="str">
            <v>LR240725O-1929A</v>
          </cell>
          <cell r="G1081">
            <v>2</v>
          </cell>
          <cell r="H1081" t="str">
            <v>原核链特异性转录组文库</v>
          </cell>
          <cell r="I1081" t="str">
            <v>ZZ</v>
          </cell>
          <cell r="J1081">
            <v>9.84</v>
          </cell>
          <cell r="N1081" t="e">
            <v>#DIV/0!</v>
          </cell>
        </row>
        <row r="1082">
          <cell r="E1082" t="str">
            <v>HGC-Lib-2462697</v>
          </cell>
          <cell r="F1082" t="str">
            <v>LR240725O-1930A</v>
          </cell>
          <cell r="G1082">
            <v>2</v>
          </cell>
          <cell r="H1082" t="str">
            <v>原核链特异性转录组文库</v>
          </cell>
          <cell r="I1082" t="str">
            <v>ZZ</v>
          </cell>
          <cell r="J1082">
            <v>7.66</v>
          </cell>
          <cell r="N1082" t="e">
            <v>#DIV/0!</v>
          </cell>
        </row>
        <row r="1083">
          <cell r="E1083" t="str">
            <v>HGC-Lib-2462698</v>
          </cell>
          <cell r="F1083" t="str">
            <v>LR240725O-1931A</v>
          </cell>
          <cell r="G1083">
            <v>2</v>
          </cell>
          <cell r="H1083" t="str">
            <v>原核链特异性转录组文库</v>
          </cell>
          <cell r="I1083" t="str">
            <v>ZZ</v>
          </cell>
          <cell r="J1083">
            <v>8.4600000000000009</v>
          </cell>
          <cell r="N1083" t="e">
            <v>#DIV/0!</v>
          </cell>
        </row>
        <row r="1084">
          <cell r="E1084" t="str">
            <v>HGC-Lib-2462699</v>
          </cell>
          <cell r="F1084" t="str">
            <v>LR240725O-1932A</v>
          </cell>
          <cell r="G1084">
            <v>2</v>
          </cell>
          <cell r="H1084" t="str">
            <v>原核链特异性转录组文库</v>
          </cell>
          <cell r="I1084" t="str">
            <v>ZZ</v>
          </cell>
          <cell r="J1084">
            <v>41.2</v>
          </cell>
          <cell r="N1084" t="e">
            <v>#DIV/0!</v>
          </cell>
        </row>
        <row r="1085">
          <cell r="E1085" t="str">
            <v>HGC-Lib-2462700</v>
          </cell>
          <cell r="F1085" t="str">
            <v>LR240725O-1933A</v>
          </cell>
          <cell r="G1085">
            <v>10</v>
          </cell>
          <cell r="H1085" t="str">
            <v>宏转录组文库</v>
          </cell>
          <cell r="I1085" t="str">
            <v>ZZ</v>
          </cell>
          <cell r="J1085">
            <v>3.3</v>
          </cell>
          <cell r="N1085" t="e">
            <v>#DIV/0!</v>
          </cell>
        </row>
        <row r="1086">
          <cell r="E1086" t="str">
            <v>HGC-Lib-2462701</v>
          </cell>
          <cell r="F1086" t="str">
            <v>LR240725O-1934A</v>
          </cell>
          <cell r="G1086">
            <v>10</v>
          </cell>
          <cell r="H1086" t="str">
            <v>宏转录组文库</v>
          </cell>
          <cell r="I1086" t="str">
            <v>ZZ</v>
          </cell>
          <cell r="J1086">
            <v>21.4</v>
          </cell>
          <cell r="N1086" t="e">
            <v>#DIV/0!</v>
          </cell>
        </row>
        <row r="1087">
          <cell r="E1087" t="str">
            <v>HGC-Lib-2462702</v>
          </cell>
          <cell r="F1087" t="str">
            <v>LR240728O-0026A</v>
          </cell>
          <cell r="G1087">
            <v>2</v>
          </cell>
          <cell r="H1087" t="str">
            <v>原核链特异性转录组文库</v>
          </cell>
          <cell r="I1087" t="str">
            <v>ZZ</v>
          </cell>
          <cell r="J1087">
            <v>10.6</v>
          </cell>
          <cell r="N1087" t="e">
            <v>#DIV/0!</v>
          </cell>
        </row>
        <row r="1088">
          <cell r="E1088" t="str">
            <v>HGC-Lib-2462703</v>
          </cell>
          <cell r="F1088" t="str">
            <v>LR240728O-0027A</v>
          </cell>
          <cell r="G1088">
            <v>2</v>
          </cell>
          <cell r="H1088" t="str">
            <v>原核链特异性转录组文库</v>
          </cell>
          <cell r="I1088" t="str">
            <v>ZZ</v>
          </cell>
          <cell r="J1088">
            <v>9.94</v>
          </cell>
          <cell r="N1088" t="e">
            <v>#DIV/0!</v>
          </cell>
        </row>
        <row r="1089">
          <cell r="E1089" t="str">
            <v>HGC-Lib-2462704</v>
          </cell>
          <cell r="F1089" t="str">
            <v>LR240728O-0028A</v>
          </cell>
          <cell r="G1089">
            <v>2</v>
          </cell>
          <cell r="H1089" t="str">
            <v>原核链特异性转录组文库</v>
          </cell>
          <cell r="I1089" t="str">
            <v>ZZ</v>
          </cell>
          <cell r="J1089">
            <v>10.4</v>
          </cell>
          <cell r="N1089" t="e">
            <v>#DIV/0!</v>
          </cell>
        </row>
        <row r="1090">
          <cell r="E1090" t="str">
            <v>HGC-Lib-2462705</v>
          </cell>
          <cell r="F1090" t="str">
            <v>LR240728O-0029A</v>
          </cell>
          <cell r="G1090">
            <v>2</v>
          </cell>
          <cell r="H1090" t="str">
            <v>原核链特异性转录组文库</v>
          </cell>
          <cell r="I1090" t="str">
            <v>ZZ</v>
          </cell>
          <cell r="J1090">
            <v>15.4</v>
          </cell>
          <cell r="N1090" t="e">
            <v>#DIV/0!</v>
          </cell>
        </row>
        <row r="1091">
          <cell r="E1091" t="str">
            <v>HGC-Lib-2462706</v>
          </cell>
          <cell r="F1091" t="str">
            <v>LR240728O-0030A</v>
          </cell>
          <cell r="G1091">
            <v>2</v>
          </cell>
          <cell r="H1091" t="str">
            <v>原核链特异性转录组文库</v>
          </cell>
          <cell r="I1091" t="str">
            <v>ZZ</v>
          </cell>
          <cell r="J1091">
            <v>18.600000000000001</v>
          </cell>
          <cell r="N1091" t="e">
            <v>#DIV/0!</v>
          </cell>
        </row>
        <row r="1092">
          <cell r="E1092" t="str">
            <v>HGC-Lib-2462707</v>
          </cell>
          <cell r="F1092" t="str">
            <v>LR240728O-0031A</v>
          </cell>
          <cell r="G1092">
            <v>2</v>
          </cell>
          <cell r="H1092" t="str">
            <v>原核链特异性转录组文库</v>
          </cell>
          <cell r="I1092" t="str">
            <v>ZZ</v>
          </cell>
          <cell r="J1092">
            <v>22.4</v>
          </cell>
          <cell r="N1092" t="e">
            <v>#DIV/0!</v>
          </cell>
        </row>
        <row r="1093">
          <cell r="E1093" t="str">
            <v>HGC-Lib-2462708</v>
          </cell>
          <cell r="F1093" t="str">
            <v>LR240728O-0032A</v>
          </cell>
          <cell r="G1093">
            <v>2</v>
          </cell>
          <cell r="H1093" t="str">
            <v>原核链特异性转录组文库</v>
          </cell>
          <cell r="I1093" t="str">
            <v>ZZ</v>
          </cell>
          <cell r="J1093">
            <v>33.799999999999997</v>
          </cell>
          <cell r="N1093" t="e">
            <v>#DIV/0!</v>
          </cell>
        </row>
        <row r="1094">
          <cell r="E1094" t="str">
            <v>HGC-Lib-2462709</v>
          </cell>
          <cell r="F1094" t="str">
            <v>LR240728O-0033A</v>
          </cell>
          <cell r="G1094">
            <v>2</v>
          </cell>
          <cell r="H1094" t="str">
            <v>原核链特异性转录组文库</v>
          </cell>
          <cell r="I1094" t="str">
            <v>ZZ</v>
          </cell>
          <cell r="J1094">
            <v>36.4</v>
          </cell>
          <cell r="N1094" t="e">
            <v>#DIV/0!</v>
          </cell>
        </row>
        <row r="1095">
          <cell r="E1095" t="str">
            <v>HGC-Lib-2462710</v>
          </cell>
          <cell r="F1095" t="str">
            <v>LR240728O-0034A</v>
          </cell>
          <cell r="G1095">
            <v>2</v>
          </cell>
          <cell r="H1095" t="str">
            <v>原核链特异性转录组文库</v>
          </cell>
          <cell r="I1095" t="str">
            <v>ZZ</v>
          </cell>
          <cell r="J1095">
            <v>28.2</v>
          </cell>
          <cell r="N1095" t="e">
            <v>#DIV/0!</v>
          </cell>
        </row>
        <row r="1096">
          <cell r="E1096" t="str">
            <v>HGC-Lib-2462711</v>
          </cell>
          <cell r="F1096" t="str">
            <v>LR240729O-2475A</v>
          </cell>
          <cell r="G1096">
            <v>10</v>
          </cell>
          <cell r="H1096" t="str">
            <v>RNA病毒组文库</v>
          </cell>
          <cell r="I1096" t="str">
            <v>ZZ</v>
          </cell>
          <cell r="J1096">
            <v>5.9</v>
          </cell>
          <cell r="N1096" t="e">
            <v>#DIV/0!</v>
          </cell>
        </row>
        <row r="1097">
          <cell r="E1097" t="str">
            <v>HGC-Lib-2462712</v>
          </cell>
          <cell r="F1097" t="str">
            <v>LR240729O-2476A</v>
          </cell>
          <cell r="G1097">
            <v>10</v>
          </cell>
          <cell r="H1097" t="str">
            <v>RNA病毒组文库</v>
          </cell>
          <cell r="I1097" t="str">
            <v>ZZ</v>
          </cell>
          <cell r="J1097">
            <v>3.78</v>
          </cell>
          <cell r="N1097" t="e">
            <v>#DIV/0!</v>
          </cell>
        </row>
        <row r="1098">
          <cell r="E1098" t="str">
            <v>HGC-Lib-2462713</v>
          </cell>
          <cell r="F1098" t="str">
            <v>LR240729O-2477A</v>
          </cell>
          <cell r="G1098">
            <v>10</v>
          </cell>
          <cell r="H1098" t="str">
            <v>RNA病毒组文库</v>
          </cell>
          <cell r="I1098" t="str">
            <v>ZZ</v>
          </cell>
          <cell r="J1098">
            <v>2.64</v>
          </cell>
          <cell r="N1098" t="e">
            <v>#DIV/0!</v>
          </cell>
        </row>
        <row r="1099">
          <cell r="E1099" t="str">
            <v>HGC-Lib-2462714</v>
          </cell>
          <cell r="F1099" t="str">
            <v>LR240729O-2478A</v>
          </cell>
          <cell r="G1099">
            <v>10</v>
          </cell>
          <cell r="H1099" t="str">
            <v>RNA病毒组文库</v>
          </cell>
          <cell r="I1099" t="str">
            <v>ZZ</v>
          </cell>
          <cell r="J1099">
            <v>3.52</v>
          </cell>
          <cell r="N1099" t="e">
            <v>#DIV/0!</v>
          </cell>
        </row>
        <row r="1100">
          <cell r="E1100" t="str">
            <v>HGC-Lib-2462715</v>
          </cell>
          <cell r="F1100" t="str">
            <v>LR240729O-2479A</v>
          </cell>
          <cell r="G1100">
            <v>10</v>
          </cell>
          <cell r="H1100" t="str">
            <v>RNA病毒组文库</v>
          </cell>
          <cell r="I1100" t="str">
            <v>ZZ</v>
          </cell>
          <cell r="J1100">
            <v>3.44</v>
          </cell>
          <cell r="N1100" t="e">
            <v>#DIV/0!</v>
          </cell>
        </row>
        <row r="1101">
          <cell r="E1101" t="str">
            <v>HGC-Lib-2462716</v>
          </cell>
          <cell r="F1101" t="str">
            <v>LR240729R-0009A</v>
          </cell>
          <cell r="G1101">
            <v>2</v>
          </cell>
          <cell r="H1101" t="str">
            <v>原核链特异性转录组文库</v>
          </cell>
          <cell r="I1101" t="str">
            <v>ZZ</v>
          </cell>
          <cell r="J1101">
            <v>8.4600000000000009</v>
          </cell>
          <cell r="N1101" t="e">
            <v>#DIV/0!</v>
          </cell>
        </row>
        <row r="1102">
          <cell r="E1102" t="str">
            <v>HGC-Lib-2462717</v>
          </cell>
          <cell r="F1102" t="str">
            <v>LR240729R-0010A</v>
          </cell>
          <cell r="G1102">
            <v>2</v>
          </cell>
          <cell r="H1102" t="str">
            <v>原核链特异性转录组文库</v>
          </cell>
          <cell r="I1102" t="str">
            <v>ZZ</v>
          </cell>
          <cell r="J1102">
            <v>8.18</v>
          </cell>
          <cell r="N1102" t="e">
            <v>#DIV/0!</v>
          </cell>
        </row>
        <row r="1103">
          <cell r="E1103" t="str">
            <v>HGC-Lib-2462718</v>
          </cell>
          <cell r="F1103" t="str">
            <v>LR240729R-0011A</v>
          </cell>
          <cell r="G1103">
            <v>2</v>
          </cell>
          <cell r="H1103" t="str">
            <v>原核链特异性转录组文库</v>
          </cell>
          <cell r="I1103" t="str">
            <v>ZZ</v>
          </cell>
          <cell r="J1103">
            <v>4.9800000000000004</v>
          </cell>
          <cell r="N1103" t="e">
            <v>#DIV/0!</v>
          </cell>
        </row>
        <row r="1104">
          <cell r="E1104" t="str">
            <v>HGC-Lib-2462719</v>
          </cell>
          <cell r="F1104" t="str">
            <v>LR240729R-0012A</v>
          </cell>
          <cell r="G1104">
            <v>2</v>
          </cell>
          <cell r="H1104" t="str">
            <v>原核链特异性转录组文库</v>
          </cell>
          <cell r="I1104" t="str">
            <v>ZZ</v>
          </cell>
          <cell r="J1104">
            <v>8.18</v>
          </cell>
          <cell r="N1104" t="e">
            <v>#DIV/0!</v>
          </cell>
        </row>
        <row r="1105">
          <cell r="E1105" t="str">
            <v>HGC-Lib-2462720</v>
          </cell>
          <cell r="F1105" t="str">
            <v>LR240729R-0013A</v>
          </cell>
          <cell r="G1105">
            <v>2</v>
          </cell>
          <cell r="H1105" t="str">
            <v>原核链特异性转录组文库</v>
          </cell>
          <cell r="I1105" t="str">
            <v>ZZ</v>
          </cell>
          <cell r="J1105">
            <v>4.22</v>
          </cell>
          <cell r="N1105" t="e">
            <v>#DIV/0!</v>
          </cell>
        </row>
        <row r="1106">
          <cell r="E1106" t="str">
            <v>HGC-Lib-2462721</v>
          </cell>
          <cell r="F1106" t="str">
            <v>LR240729R-0014A</v>
          </cell>
          <cell r="G1106">
            <v>2</v>
          </cell>
          <cell r="H1106" t="str">
            <v>原核链特异性转录组文库</v>
          </cell>
          <cell r="I1106" t="str">
            <v>ZZ</v>
          </cell>
          <cell r="J1106">
            <v>2.56</v>
          </cell>
          <cell r="N1106" t="e">
            <v>#DIV/0!</v>
          </cell>
        </row>
        <row r="1107">
          <cell r="E1107" t="str">
            <v>HGC-Lib-2462722</v>
          </cell>
          <cell r="F1107" t="str">
            <v>LR240729R-0015A</v>
          </cell>
          <cell r="G1107">
            <v>2</v>
          </cell>
          <cell r="H1107" t="str">
            <v>原核链特异性转录组文库</v>
          </cell>
          <cell r="I1107" t="str">
            <v>ZZ</v>
          </cell>
          <cell r="J1107">
            <v>16.899999999999999</v>
          </cell>
          <cell r="N1107" t="e">
            <v>#DIV/0!</v>
          </cell>
        </row>
        <row r="1108">
          <cell r="E1108" t="str">
            <v>HGC-Lib-2462723</v>
          </cell>
          <cell r="F1108" t="str">
            <v>LR240729R-0016A</v>
          </cell>
          <cell r="G1108">
            <v>2</v>
          </cell>
          <cell r="H1108" t="str">
            <v>原核链特异性转录组文库</v>
          </cell>
          <cell r="I1108" t="str">
            <v>ZZ</v>
          </cell>
          <cell r="J1108">
            <v>10.6</v>
          </cell>
          <cell r="N1108" t="e">
            <v>#DIV/0!</v>
          </cell>
        </row>
        <row r="1109">
          <cell r="E1109" t="str">
            <v>HGC-Lib-2462724</v>
          </cell>
          <cell r="F1109" t="str">
            <v>LR240729R-0017A</v>
          </cell>
          <cell r="G1109">
            <v>2</v>
          </cell>
          <cell r="H1109" t="str">
            <v>原核链特异性转录组文库</v>
          </cell>
          <cell r="I1109" t="str">
            <v>ZZ</v>
          </cell>
          <cell r="J1109">
            <v>24.8</v>
          </cell>
          <cell r="N1109" t="e">
            <v>#DIV/0!</v>
          </cell>
        </row>
        <row r="1110">
          <cell r="E1110" t="str">
            <v>HGC-Lib-2462725</v>
          </cell>
          <cell r="F1110" t="str">
            <v>LM240723D-1011A</v>
          </cell>
          <cell r="G1110">
            <v>1</v>
          </cell>
          <cell r="H1110" t="str">
            <v>扩增子文库</v>
          </cell>
          <cell r="I1110" t="str">
            <v>ZZ</v>
          </cell>
          <cell r="J1110">
            <v>36</v>
          </cell>
          <cell r="N1110" t="e">
            <v>#DIV/0!</v>
          </cell>
        </row>
        <row r="1111">
          <cell r="E1111" t="str">
            <v>HGC-Lib-2462726</v>
          </cell>
          <cell r="F1111" t="str">
            <v>TAO 26W 4</v>
          </cell>
          <cell r="G1111">
            <v>12</v>
          </cell>
          <cell r="H1111" t="str">
            <v>ATAC-Seq文库</v>
          </cell>
          <cell r="I1111" t="str">
            <v>YHT</v>
          </cell>
          <cell r="J1111">
            <v>49.8</v>
          </cell>
          <cell r="K1111">
            <v>379</v>
          </cell>
          <cell r="L1111" t="str">
            <v>HZK</v>
          </cell>
          <cell r="N1111">
            <v>202.15141059468201</v>
          </cell>
        </row>
        <row r="1112">
          <cell r="E1112" t="str">
            <v>HGC-Lib-2462727</v>
          </cell>
          <cell r="F1112" t="str">
            <v>TAO 26W 5</v>
          </cell>
          <cell r="G1112">
            <v>12</v>
          </cell>
          <cell r="H1112" t="str">
            <v>ATAC-Seq文库</v>
          </cell>
          <cell r="I1112" t="str">
            <v>YHT</v>
          </cell>
          <cell r="J1112">
            <v>83.4</v>
          </cell>
          <cell r="K1112">
            <v>249</v>
          </cell>
          <cell r="L1112" t="str">
            <v>HZK</v>
          </cell>
          <cell r="N1112">
            <v>515.29193697868402</v>
          </cell>
        </row>
        <row r="1113">
          <cell r="E1113" t="str">
            <v>HGC-Lib-2462728</v>
          </cell>
          <cell r="F1113" t="str">
            <v>TAO 26W 6</v>
          </cell>
          <cell r="G1113">
            <v>12</v>
          </cell>
          <cell r="H1113" t="str">
            <v>ATAC-Seq文库</v>
          </cell>
          <cell r="I1113" t="str">
            <v>YHT</v>
          </cell>
          <cell r="J1113">
            <v>59.6</v>
          </cell>
          <cell r="K1113">
            <v>276</v>
          </cell>
          <cell r="L1113" t="str">
            <v>HZK</v>
          </cell>
          <cell r="N1113">
            <v>332.21850613154999</v>
          </cell>
        </row>
        <row r="1114">
          <cell r="E1114" t="str">
            <v>HGC-Lib-2462729</v>
          </cell>
          <cell r="F1114" t="str">
            <v>TAO 26W 7</v>
          </cell>
          <cell r="G1114">
            <v>12</v>
          </cell>
          <cell r="H1114" t="str">
            <v>ATAC-Seq文库</v>
          </cell>
          <cell r="I1114" t="str">
            <v>YHT</v>
          </cell>
          <cell r="J1114">
            <v>38.799999999999997</v>
          </cell>
          <cell r="K1114">
            <v>328</v>
          </cell>
          <cell r="L1114" t="str">
            <v>HZK</v>
          </cell>
          <cell r="N1114">
            <v>181.98874296435301</v>
          </cell>
        </row>
        <row r="1115">
          <cell r="E1115" t="str">
            <v>HGC-Lib-2462730</v>
          </cell>
          <cell r="F1115" t="str">
            <v>ERZ 22W 7</v>
          </cell>
          <cell r="G1115">
            <v>12</v>
          </cell>
          <cell r="H1115" t="str">
            <v>ATAC-Seq文库</v>
          </cell>
          <cell r="I1115" t="str">
            <v>YHT</v>
          </cell>
          <cell r="J1115">
            <v>48</v>
          </cell>
          <cell r="K1115">
            <v>345</v>
          </cell>
          <cell r="L1115" t="str">
            <v>HZK</v>
          </cell>
          <cell r="N1115">
            <v>214.046822742475</v>
          </cell>
        </row>
        <row r="1116">
          <cell r="E1116" t="str">
            <v>HGC-Lib-2462731</v>
          </cell>
          <cell r="F1116" t="str">
            <v>ERZ 22W 8</v>
          </cell>
          <cell r="G1116">
            <v>12</v>
          </cell>
          <cell r="H1116" t="str">
            <v>ATAC-Seq文库</v>
          </cell>
          <cell r="I1116" t="str">
            <v>YHT</v>
          </cell>
          <cell r="J1116">
            <v>63.2</v>
          </cell>
          <cell r="K1116">
            <v>346</v>
          </cell>
          <cell r="L1116" t="str">
            <v>HZK</v>
          </cell>
          <cell r="N1116">
            <v>281.01378390395701</v>
          </cell>
        </row>
        <row r="1117">
          <cell r="E1117" t="str">
            <v>HGC-Lib-2462732</v>
          </cell>
          <cell r="F1117" t="str">
            <v>ERZ 22W 9</v>
          </cell>
          <cell r="G1117">
            <v>12</v>
          </cell>
          <cell r="H1117" t="str">
            <v>ATAC-Seq文库</v>
          </cell>
          <cell r="I1117" t="str">
            <v>YHT</v>
          </cell>
          <cell r="J1117">
            <v>44.8</v>
          </cell>
          <cell r="K1117">
            <v>290</v>
          </cell>
          <cell r="L1117" t="str">
            <v>HZK</v>
          </cell>
          <cell r="N1117">
            <v>237.66578249336899</v>
          </cell>
        </row>
        <row r="1118">
          <cell r="E1118" t="str">
            <v>HGC-Lib-2462733</v>
          </cell>
          <cell r="F1118" t="str">
            <v>ERZ 22W 10</v>
          </cell>
          <cell r="G1118">
            <v>12</v>
          </cell>
          <cell r="H1118" t="str">
            <v>ATAC-Seq文库</v>
          </cell>
          <cell r="I1118" t="str">
            <v>YHT</v>
          </cell>
          <cell r="J1118">
            <v>27.8</v>
          </cell>
          <cell r="K1118">
            <v>272</v>
          </cell>
          <cell r="L1118" t="str">
            <v>HZK</v>
          </cell>
          <cell r="N1118">
            <v>157.239819004525</v>
          </cell>
        </row>
        <row r="1119">
          <cell r="E1119" t="str">
            <v>HGC-Lib-2462734</v>
          </cell>
          <cell r="F1119" t="str">
            <v>LFTBHC240730044</v>
          </cell>
          <cell r="G1119">
            <v>200</v>
          </cell>
          <cell r="H1119" t="str">
            <v>singleron-3'全长转录组文库</v>
          </cell>
          <cell r="I1119" t="str">
            <v>GZQ</v>
          </cell>
          <cell r="J1119">
            <v>15.4</v>
          </cell>
          <cell r="N1119" t="e">
            <v>#DIV/0!</v>
          </cell>
        </row>
        <row r="1120">
          <cell r="E1120" t="str">
            <v>HGC-Lib-2462735</v>
          </cell>
          <cell r="F1120" t="str">
            <v>LFTBHC240730043</v>
          </cell>
          <cell r="G1120">
            <v>200</v>
          </cell>
          <cell r="H1120" t="str">
            <v>singleron-3'全长转录组文库</v>
          </cell>
          <cell r="I1120" t="str">
            <v>GZQ</v>
          </cell>
          <cell r="J1120">
            <v>14.6</v>
          </cell>
          <cell r="N1120" t="e">
            <v>#DIV/0!</v>
          </cell>
        </row>
        <row r="1121">
          <cell r="E1121" t="str">
            <v>HGC-Lib-2462736</v>
          </cell>
          <cell r="F1121" t="str">
            <v>LFTBHC240730045</v>
          </cell>
          <cell r="G1121">
            <v>200</v>
          </cell>
          <cell r="H1121" t="str">
            <v>singleron-3'全长转录组文库</v>
          </cell>
          <cell r="I1121" t="str">
            <v>GZQ</v>
          </cell>
          <cell r="J1121">
            <v>10</v>
          </cell>
          <cell r="N1121" t="e">
            <v>#DIV/0!</v>
          </cell>
        </row>
        <row r="1122">
          <cell r="E1122" t="str">
            <v>HGC-Lib-2462737</v>
          </cell>
          <cell r="F1122" t="str">
            <v>LFTA240730039X2</v>
          </cell>
          <cell r="G1122">
            <v>100</v>
          </cell>
          <cell r="H1122" t="str">
            <v>singleron-3'全长转录组文库</v>
          </cell>
          <cell r="I1122" t="str">
            <v>GZQ</v>
          </cell>
          <cell r="J1122">
            <v>11.7</v>
          </cell>
          <cell r="N1122" t="e">
            <v>#DIV/0!</v>
          </cell>
        </row>
        <row r="1123">
          <cell r="E1123" t="str">
            <v>HGC-Lib-2462738</v>
          </cell>
          <cell r="F1123" t="str">
            <v>LFTA240730038</v>
          </cell>
          <cell r="G1123">
            <v>100</v>
          </cell>
          <cell r="H1123" t="str">
            <v>singleron-3'全长转录组文库</v>
          </cell>
          <cell r="I1123" t="str">
            <v>GZQ</v>
          </cell>
          <cell r="J1123">
            <v>13.4</v>
          </cell>
          <cell r="N1123" t="e">
            <v>#DIV/0!</v>
          </cell>
        </row>
        <row r="1124">
          <cell r="E1124" t="str">
            <v>HGC-Lib-2462739</v>
          </cell>
          <cell r="F1124" t="str">
            <v>LFTBA240730037CK</v>
          </cell>
          <cell r="G1124">
            <v>10</v>
          </cell>
          <cell r="H1124" t="str">
            <v>singleron-3'全长转录组文库</v>
          </cell>
          <cell r="I1124" t="str">
            <v>GZQ</v>
          </cell>
          <cell r="J1124">
            <v>39.4</v>
          </cell>
          <cell r="N1124" t="e">
            <v>#DIV/0!</v>
          </cell>
        </row>
        <row r="1125">
          <cell r="E1125" t="str">
            <v>HGC-Lib-2462740</v>
          </cell>
          <cell r="F1125" t="str">
            <v>PMLPMC240802063</v>
          </cell>
          <cell r="G1125">
            <v>12</v>
          </cell>
          <cell r="H1125" t="str">
            <v>其他碱基不平衡文库</v>
          </cell>
          <cell r="I1125" t="str">
            <v>GZQ</v>
          </cell>
          <cell r="J1125">
            <v>80.2</v>
          </cell>
          <cell r="N1125" t="e">
            <v>#DIV/0!</v>
          </cell>
        </row>
        <row r="1126">
          <cell r="E1126" t="str">
            <v>HGC-Lib-2462741</v>
          </cell>
          <cell r="F1126" t="str">
            <v>PMLPMC240802064</v>
          </cell>
          <cell r="G1126">
            <v>12</v>
          </cell>
          <cell r="H1126" t="str">
            <v>其他碱基不平衡文库</v>
          </cell>
          <cell r="I1126" t="str">
            <v>GZQ</v>
          </cell>
          <cell r="J1126">
            <v>28</v>
          </cell>
          <cell r="N1126" t="e">
            <v>#DIV/0!</v>
          </cell>
        </row>
        <row r="1127">
          <cell r="E1127" t="str">
            <v>HGC-Lib-2462742</v>
          </cell>
          <cell r="F1127" t="str">
            <v>PMLPMA240802047</v>
          </cell>
          <cell r="G1127">
            <v>12</v>
          </cell>
          <cell r="H1127" t="str">
            <v>其他碱基不平衡文库</v>
          </cell>
          <cell r="I1127" t="str">
            <v>GZQ</v>
          </cell>
          <cell r="J1127">
            <v>55</v>
          </cell>
          <cell r="N1127" t="e">
            <v>#DIV/0!</v>
          </cell>
        </row>
        <row r="1128">
          <cell r="E1128" t="str">
            <v>HGC-Lib-2462743</v>
          </cell>
          <cell r="F1128" t="str">
            <v>PMLPMC240802066X2</v>
          </cell>
          <cell r="G1128">
            <v>12</v>
          </cell>
          <cell r="H1128" t="str">
            <v>其他碱基不平衡文库</v>
          </cell>
          <cell r="I1128" t="str">
            <v>GZQ</v>
          </cell>
          <cell r="J1128">
            <v>85.6</v>
          </cell>
          <cell r="N1128" t="e">
            <v>#DIV/0!</v>
          </cell>
        </row>
        <row r="1129">
          <cell r="E1129" t="str">
            <v>HGC-Lib-2462744</v>
          </cell>
          <cell r="F1129" t="str">
            <v>LC240730090</v>
          </cell>
          <cell r="G1129">
            <v>100</v>
          </cell>
          <cell r="H1129" t="str">
            <v>singleron-3'转录组文库</v>
          </cell>
          <cell r="I1129" t="str">
            <v>GZQ</v>
          </cell>
          <cell r="J1129">
            <v>19.600000000000001</v>
          </cell>
          <cell r="N1129" t="e">
            <v>#DIV/0!</v>
          </cell>
        </row>
        <row r="1130">
          <cell r="E1130" t="str">
            <v>HGC-Lib-2462745</v>
          </cell>
          <cell r="F1130" t="str">
            <v>LHC240730074</v>
          </cell>
          <cell r="G1130">
            <v>200</v>
          </cell>
          <cell r="H1130" t="str">
            <v>singleron-3'转录组文库</v>
          </cell>
          <cell r="I1130" t="str">
            <v>GZQ</v>
          </cell>
          <cell r="J1130">
            <v>12.1</v>
          </cell>
          <cell r="N1130" t="e">
            <v>#DIV/0!</v>
          </cell>
        </row>
        <row r="1131">
          <cell r="E1131" t="str">
            <v>HGC-Lib-2462746</v>
          </cell>
          <cell r="F1131" t="str">
            <v>LHC240730075</v>
          </cell>
          <cell r="G1131">
            <v>200</v>
          </cell>
          <cell r="H1131" t="str">
            <v>singleron-3'转录组文库</v>
          </cell>
          <cell r="I1131" t="str">
            <v>GZQ</v>
          </cell>
          <cell r="J1131">
            <v>13.2</v>
          </cell>
          <cell r="N1131" t="e">
            <v>#DIV/0!</v>
          </cell>
        </row>
        <row r="1132">
          <cell r="E1132" t="str">
            <v>HGC-Lib-2462747</v>
          </cell>
          <cell r="F1132" t="str">
            <v>LC240730125</v>
          </cell>
          <cell r="G1132">
            <v>100</v>
          </cell>
          <cell r="H1132" t="str">
            <v>singleron-3'转录组文库</v>
          </cell>
          <cell r="I1132" t="str">
            <v>GZQ</v>
          </cell>
          <cell r="J1132">
            <v>8.8800000000000008</v>
          </cell>
          <cell r="N1132" t="e">
            <v>#DIV/0!</v>
          </cell>
        </row>
        <row r="1133">
          <cell r="E1133" t="str">
            <v>HGC-Lib-2462748</v>
          </cell>
          <cell r="F1133" t="str">
            <v>LC240730124</v>
          </cell>
          <cell r="G1133">
            <v>100</v>
          </cell>
          <cell r="H1133" t="str">
            <v>singleron-3'转录组文库</v>
          </cell>
          <cell r="I1133" t="str">
            <v>GZQ</v>
          </cell>
          <cell r="J1133">
            <v>10.8</v>
          </cell>
          <cell r="N1133" t="e">
            <v>#DIV/0!</v>
          </cell>
        </row>
        <row r="1134">
          <cell r="E1134" t="str">
            <v>HGC-Lib-2462749</v>
          </cell>
          <cell r="F1134" t="str">
            <v>LA240730035</v>
          </cell>
          <cell r="G1134">
            <v>100</v>
          </cell>
          <cell r="H1134" t="str">
            <v>singleron-3'转录组文库</v>
          </cell>
          <cell r="I1134" t="str">
            <v>GZQ</v>
          </cell>
          <cell r="J1134">
            <v>9.98</v>
          </cell>
          <cell r="N1134" t="e">
            <v>#DIV/0!</v>
          </cell>
        </row>
        <row r="1135">
          <cell r="E1135" t="str">
            <v>HGC-Lib-2462750</v>
          </cell>
          <cell r="F1135" t="str">
            <v>LA240730032</v>
          </cell>
          <cell r="G1135">
            <v>100</v>
          </cell>
          <cell r="H1135" t="str">
            <v>singleron-3'转录组文库</v>
          </cell>
          <cell r="I1135" t="str">
            <v>GZQ</v>
          </cell>
          <cell r="J1135">
            <v>10</v>
          </cell>
          <cell r="N1135" t="e">
            <v>#DIV/0!</v>
          </cell>
        </row>
        <row r="1136">
          <cell r="E1136" t="str">
            <v>HGC-Lib-2462751</v>
          </cell>
          <cell r="F1136" t="str">
            <v>LA240730033</v>
          </cell>
          <cell r="G1136">
            <v>100</v>
          </cell>
          <cell r="H1136" t="str">
            <v>singleron-3'转录组文库</v>
          </cell>
          <cell r="I1136" t="str">
            <v>GZQ</v>
          </cell>
          <cell r="J1136">
            <v>16.2</v>
          </cell>
          <cell r="N1136" t="e">
            <v>#DIV/0!</v>
          </cell>
        </row>
        <row r="1137">
          <cell r="E1137" t="str">
            <v>HGC-Lib-2462752</v>
          </cell>
          <cell r="F1137" t="str">
            <v>LA240730034</v>
          </cell>
          <cell r="G1137">
            <v>100</v>
          </cell>
          <cell r="H1137" t="str">
            <v>singleron-3'转录组文库</v>
          </cell>
          <cell r="I1137" t="str">
            <v>GZQ</v>
          </cell>
          <cell r="J1137">
            <v>14.3</v>
          </cell>
          <cell r="N1137" t="e">
            <v>#DIV/0!</v>
          </cell>
        </row>
        <row r="1138">
          <cell r="E1138" t="str">
            <v>HGC-Lib-2462753</v>
          </cell>
          <cell r="F1138" t="str">
            <v>LA240728046</v>
          </cell>
          <cell r="G1138">
            <v>100</v>
          </cell>
          <cell r="H1138" t="str">
            <v>singleron-3'转录组文库</v>
          </cell>
          <cell r="I1138" t="str">
            <v>GZQ</v>
          </cell>
          <cell r="J1138">
            <v>27.6</v>
          </cell>
          <cell r="N1138" t="e">
            <v>#DIV/0!</v>
          </cell>
        </row>
        <row r="1139">
          <cell r="E1139" t="str">
            <v>HGC-Lib-2462754</v>
          </cell>
          <cell r="F1139" t="str">
            <v>LC240730128</v>
          </cell>
          <cell r="G1139">
            <v>100</v>
          </cell>
          <cell r="H1139" t="str">
            <v>singleron-3'转录组文库</v>
          </cell>
          <cell r="I1139" t="str">
            <v>GZQ</v>
          </cell>
          <cell r="J1139">
            <v>11.6</v>
          </cell>
          <cell r="N1139" t="e">
            <v>#DIV/0!</v>
          </cell>
        </row>
        <row r="1140">
          <cell r="E1140" t="str">
            <v>HGC-Lib-2462755</v>
          </cell>
          <cell r="F1140" t="str">
            <v>LA240730071X2</v>
          </cell>
          <cell r="G1140">
            <v>100</v>
          </cell>
          <cell r="H1140" t="str">
            <v>singleron-3'转录组文库</v>
          </cell>
          <cell r="I1140" t="str">
            <v>GZQ</v>
          </cell>
          <cell r="J1140">
            <v>16.399999999999999</v>
          </cell>
          <cell r="N1140" t="e">
            <v>#DIV/0!</v>
          </cell>
        </row>
        <row r="1141">
          <cell r="E1141" t="str">
            <v>HGC-Lib-2462756</v>
          </cell>
          <cell r="F1141" t="str">
            <v>LC240730097</v>
          </cell>
          <cell r="G1141">
            <v>100</v>
          </cell>
          <cell r="H1141" t="str">
            <v>singleron-3'转录组文库</v>
          </cell>
          <cell r="I1141" t="str">
            <v>GZQ</v>
          </cell>
          <cell r="J1141">
            <v>24.2</v>
          </cell>
          <cell r="N1141" t="e">
            <v>#DIV/0!</v>
          </cell>
        </row>
        <row r="1142">
          <cell r="E1142" t="str">
            <v>HGC-Lib-2462757</v>
          </cell>
          <cell r="F1142" t="str">
            <v>LC240730096</v>
          </cell>
          <cell r="G1142">
            <v>100</v>
          </cell>
          <cell r="H1142" t="str">
            <v>singleron-3'转录组文库</v>
          </cell>
          <cell r="I1142" t="str">
            <v>GZQ</v>
          </cell>
          <cell r="J1142">
            <v>25</v>
          </cell>
          <cell r="N1142" t="e">
            <v>#DIV/0!</v>
          </cell>
        </row>
        <row r="1143">
          <cell r="E1143" t="str">
            <v>HGC-Lib-2462758</v>
          </cell>
          <cell r="F1143" t="str">
            <v>LC240731022</v>
          </cell>
          <cell r="G1143">
            <v>100</v>
          </cell>
          <cell r="H1143" t="str">
            <v>singleron-3'转录组文库</v>
          </cell>
          <cell r="I1143" t="str">
            <v>GZQ</v>
          </cell>
          <cell r="J1143">
            <v>38.799999999999997</v>
          </cell>
          <cell r="N1143" t="e">
            <v>#DIV/0!</v>
          </cell>
        </row>
        <row r="1144">
          <cell r="E1144" t="str">
            <v>HGC-Lib-2462759</v>
          </cell>
          <cell r="F1144" t="str">
            <v>LC240731021</v>
          </cell>
          <cell r="G1144">
            <v>100</v>
          </cell>
          <cell r="H1144" t="str">
            <v>singleron-3'转录组文库</v>
          </cell>
          <cell r="I1144" t="str">
            <v>GZQ</v>
          </cell>
          <cell r="J1144">
            <v>34.200000000000003</v>
          </cell>
          <cell r="N1144" t="e">
            <v>#DIV/0!</v>
          </cell>
        </row>
        <row r="1145">
          <cell r="E1145" t="str">
            <v>HGC-Lib-2462760</v>
          </cell>
          <cell r="F1145" t="str">
            <v>LA240728058</v>
          </cell>
          <cell r="G1145">
            <v>90</v>
          </cell>
          <cell r="H1145" t="str">
            <v>singleron-3'转录组文库</v>
          </cell>
          <cell r="I1145" t="str">
            <v>GZQ</v>
          </cell>
          <cell r="J1145">
            <v>10.7</v>
          </cell>
          <cell r="N1145" t="e">
            <v>#DIV/0!</v>
          </cell>
        </row>
        <row r="1146">
          <cell r="E1146" t="str">
            <v>HGC-Lib-2462761</v>
          </cell>
          <cell r="F1146" t="str">
            <v>LA240728057</v>
          </cell>
          <cell r="G1146">
            <v>90</v>
          </cell>
          <cell r="H1146" t="str">
            <v>singleron-3'转录组文库</v>
          </cell>
          <cell r="I1146" t="str">
            <v>GZQ</v>
          </cell>
          <cell r="J1146">
            <v>10.6</v>
          </cell>
          <cell r="N1146" t="e">
            <v>#DIV/0!</v>
          </cell>
        </row>
        <row r="1147">
          <cell r="E1147" t="str">
            <v>HGC-Lib-2462762</v>
          </cell>
          <cell r="F1147" t="str">
            <v>LA240728054</v>
          </cell>
          <cell r="G1147">
            <v>90</v>
          </cell>
          <cell r="H1147" t="str">
            <v>singleron-3'转录组文库</v>
          </cell>
          <cell r="I1147" t="str">
            <v>GZQ</v>
          </cell>
          <cell r="J1147">
            <v>15.5</v>
          </cell>
          <cell r="N1147" t="e">
            <v>#DIV/0!</v>
          </cell>
        </row>
        <row r="1148">
          <cell r="E1148" t="str">
            <v>HGC-Lib-2462763</v>
          </cell>
          <cell r="F1148" t="str">
            <v>LA240728052</v>
          </cell>
          <cell r="G1148">
            <v>90</v>
          </cell>
          <cell r="H1148" t="str">
            <v>singleron-3'转录组文库</v>
          </cell>
          <cell r="I1148" t="str">
            <v>GZQ</v>
          </cell>
          <cell r="J1148">
            <v>11.3</v>
          </cell>
          <cell r="N1148" t="e">
            <v>#DIV/0!</v>
          </cell>
        </row>
        <row r="1149">
          <cell r="E1149" t="str">
            <v>HGC-Lib-2462764</v>
          </cell>
          <cell r="F1149" t="str">
            <v>LA240728051</v>
          </cell>
          <cell r="G1149">
            <v>90</v>
          </cell>
          <cell r="H1149" t="str">
            <v>singleron-3'转录组文库</v>
          </cell>
          <cell r="I1149" t="str">
            <v>GZQ</v>
          </cell>
          <cell r="J1149">
            <v>17</v>
          </cell>
          <cell r="N1149" t="e">
            <v>#DIV/0!</v>
          </cell>
        </row>
        <row r="1150">
          <cell r="E1150" t="str">
            <v>HGC-Lib-2462765</v>
          </cell>
          <cell r="F1150" t="str">
            <v>LA240728049</v>
          </cell>
          <cell r="G1150">
            <v>90</v>
          </cell>
          <cell r="H1150" t="str">
            <v>singleron-3'转录组文库</v>
          </cell>
          <cell r="I1150" t="str">
            <v>GZQ</v>
          </cell>
          <cell r="J1150">
            <v>8.44</v>
          </cell>
          <cell r="N1150" t="e">
            <v>#DIV/0!</v>
          </cell>
        </row>
        <row r="1151">
          <cell r="E1151" t="str">
            <v>HGC-Lib-2462766</v>
          </cell>
          <cell r="F1151" t="str">
            <v>LA240728047</v>
          </cell>
          <cell r="G1151">
            <v>90</v>
          </cell>
          <cell r="H1151" t="str">
            <v>singleron-3'转录组文库</v>
          </cell>
          <cell r="I1151" t="str">
            <v>GZQ</v>
          </cell>
          <cell r="J1151">
            <v>40.6</v>
          </cell>
          <cell r="N1151" t="e">
            <v>#DIV/0!</v>
          </cell>
        </row>
        <row r="1152">
          <cell r="E1152" t="str">
            <v>HGC-Lib-2462767</v>
          </cell>
          <cell r="F1152" t="str">
            <v>LA240728055</v>
          </cell>
          <cell r="G1152">
            <v>90</v>
          </cell>
          <cell r="H1152" t="str">
            <v>singleron-3'转录组文库</v>
          </cell>
          <cell r="I1152" t="str">
            <v>GZQ</v>
          </cell>
          <cell r="J1152">
            <v>14.3</v>
          </cell>
          <cell r="N1152" t="e">
            <v>#DIV/0!</v>
          </cell>
        </row>
        <row r="1153">
          <cell r="E1153" t="str">
            <v>HGC-Lib-2462768</v>
          </cell>
          <cell r="F1153" t="str">
            <v>LA240728050</v>
          </cell>
          <cell r="G1153">
            <v>90</v>
          </cell>
          <cell r="H1153" t="str">
            <v>singleron-3'转录组文库</v>
          </cell>
          <cell r="I1153" t="str">
            <v>GZQ</v>
          </cell>
          <cell r="J1153">
            <v>16.600000000000001</v>
          </cell>
          <cell r="N1153" t="e">
            <v>#DIV/0!</v>
          </cell>
        </row>
        <row r="1154">
          <cell r="E1154" t="str">
            <v>HGC-Lib-2462769</v>
          </cell>
          <cell r="F1154" t="str">
            <v>LA240728056</v>
          </cell>
          <cell r="G1154">
            <v>90</v>
          </cell>
          <cell r="H1154" t="str">
            <v>singleron-3'转录组文库</v>
          </cell>
          <cell r="I1154" t="str">
            <v>GZQ</v>
          </cell>
          <cell r="J1154">
            <v>9.84</v>
          </cell>
          <cell r="N1154" t="e">
            <v>#DIV/0!</v>
          </cell>
        </row>
        <row r="1155">
          <cell r="E1155" t="str">
            <v>HGC-Lib-2462770</v>
          </cell>
          <cell r="F1155" t="str">
            <v>LA240728053</v>
          </cell>
          <cell r="G1155">
            <v>90</v>
          </cell>
          <cell r="H1155" t="str">
            <v>singleron-3'转录组文库</v>
          </cell>
          <cell r="I1155" t="str">
            <v>GZQ</v>
          </cell>
          <cell r="J1155">
            <v>10.9</v>
          </cell>
          <cell r="N1155" t="e">
            <v>#DIV/0!</v>
          </cell>
        </row>
        <row r="1156">
          <cell r="E1156" t="str">
            <v>HGC-Lib-2462771</v>
          </cell>
          <cell r="F1156" t="str">
            <v>LA240728048</v>
          </cell>
          <cell r="G1156">
            <v>90</v>
          </cell>
          <cell r="H1156" t="str">
            <v>singleron-3'转录组文库</v>
          </cell>
          <cell r="I1156" t="str">
            <v>GZQ</v>
          </cell>
          <cell r="J1156">
            <v>20.8</v>
          </cell>
          <cell r="N1156" t="e">
            <v>#DIV/0!</v>
          </cell>
        </row>
        <row r="1157">
          <cell r="E1157" t="str">
            <v>HGC-Lib-2462772</v>
          </cell>
          <cell r="F1157" t="str">
            <v>LC240731059</v>
          </cell>
          <cell r="G1157">
            <v>100</v>
          </cell>
          <cell r="H1157" t="str">
            <v>singleron-3'转录组文库</v>
          </cell>
          <cell r="I1157" t="str">
            <v>GZQ</v>
          </cell>
          <cell r="J1157">
            <v>35</v>
          </cell>
          <cell r="N1157" t="e">
            <v>#DIV/0!</v>
          </cell>
        </row>
        <row r="1158">
          <cell r="E1158" t="str">
            <v>HGC-Lib-2462773</v>
          </cell>
          <cell r="F1158" t="str">
            <v>LC240801069</v>
          </cell>
          <cell r="G1158">
            <v>90</v>
          </cell>
          <cell r="H1158" t="str">
            <v>singleron-3'转录组文库</v>
          </cell>
          <cell r="I1158" t="str">
            <v>GZQ</v>
          </cell>
          <cell r="J1158">
            <v>29.6</v>
          </cell>
          <cell r="N1158" t="e">
            <v>#DIV/0!</v>
          </cell>
        </row>
        <row r="1159">
          <cell r="E1159" t="str">
            <v>HGC-Lib-2462774</v>
          </cell>
          <cell r="F1159" t="str">
            <v>LC240731010</v>
          </cell>
          <cell r="G1159">
            <v>90</v>
          </cell>
          <cell r="H1159" t="str">
            <v>singleron-3'转录组文库</v>
          </cell>
          <cell r="I1159" t="str">
            <v>GZQ</v>
          </cell>
          <cell r="J1159">
            <v>30.8</v>
          </cell>
          <cell r="N1159" t="e">
            <v>#DIV/0!</v>
          </cell>
        </row>
        <row r="1160">
          <cell r="E1160" t="str">
            <v>HGC-Lib-2462775</v>
          </cell>
          <cell r="F1160" t="str">
            <v>LC240731011</v>
          </cell>
          <cell r="G1160">
            <v>90</v>
          </cell>
          <cell r="H1160" t="str">
            <v>singleron-3'转录组文库</v>
          </cell>
          <cell r="I1160" t="str">
            <v>GZQ</v>
          </cell>
          <cell r="J1160">
            <v>39.4</v>
          </cell>
          <cell r="N1160" t="e">
            <v>#DIV/0!</v>
          </cell>
        </row>
        <row r="1161">
          <cell r="E1161" t="str">
            <v>HGC-Lib-2462776</v>
          </cell>
          <cell r="F1161" t="str">
            <v>LA240729021</v>
          </cell>
          <cell r="G1161">
            <v>100</v>
          </cell>
          <cell r="H1161" t="str">
            <v>singleron-3'转录组文库</v>
          </cell>
          <cell r="I1161" t="str">
            <v>GZQ</v>
          </cell>
          <cell r="J1161">
            <v>30</v>
          </cell>
          <cell r="N1161" t="e">
            <v>#DIV/0!</v>
          </cell>
        </row>
        <row r="1162">
          <cell r="E1162" t="str">
            <v>HGC-Lib-2462777</v>
          </cell>
          <cell r="F1162" t="str">
            <v>LA240729026</v>
          </cell>
          <cell r="G1162">
            <v>100</v>
          </cell>
          <cell r="H1162" t="str">
            <v>singleron-3'转录组文库</v>
          </cell>
          <cell r="I1162" t="str">
            <v>GZQ</v>
          </cell>
          <cell r="J1162">
            <v>31.8</v>
          </cell>
          <cell r="N1162" t="e">
            <v>#DIV/0!</v>
          </cell>
        </row>
        <row r="1163">
          <cell r="E1163" t="str">
            <v>HGC-Lib-2462778</v>
          </cell>
          <cell r="F1163" t="str">
            <v>LA240729024</v>
          </cell>
          <cell r="G1163">
            <v>100</v>
          </cell>
          <cell r="H1163" t="str">
            <v>singleron-3'转录组文库</v>
          </cell>
          <cell r="I1163" t="str">
            <v>GZQ</v>
          </cell>
          <cell r="J1163">
            <v>38</v>
          </cell>
          <cell r="N1163" t="e">
            <v>#DIV/0!</v>
          </cell>
        </row>
        <row r="1164">
          <cell r="E1164" t="str">
            <v>HGC-Lib-2462779</v>
          </cell>
          <cell r="F1164" t="str">
            <v>LA240729025</v>
          </cell>
          <cell r="G1164">
            <v>100</v>
          </cell>
          <cell r="H1164" t="str">
            <v>singleron-3'转录组文库</v>
          </cell>
          <cell r="I1164" t="str">
            <v>GZQ</v>
          </cell>
          <cell r="J1164">
            <v>26.6</v>
          </cell>
          <cell r="N1164" t="e">
            <v>#DIV/0!</v>
          </cell>
        </row>
        <row r="1165">
          <cell r="E1165" t="str">
            <v>HGC-Lib-2462780</v>
          </cell>
          <cell r="F1165" t="str">
            <v>LA240729022</v>
          </cell>
          <cell r="G1165">
            <v>100</v>
          </cell>
          <cell r="H1165" t="str">
            <v>singleron-3'转录组文库</v>
          </cell>
          <cell r="I1165" t="str">
            <v>GZQ</v>
          </cell>
          <cell r="J1165">
            <v>42.2</v>
          </cell>
          <cell r="N1165" t="e">
            <v>#DIV/0!</v>
          </cell>
        </row>
        <row r="1166">
          <cell r="E1166" t="str">
            <v>HGC-Lib-2462781</v>
          </cell>
          <cell r="F1166" t="str">
            <v>LA240729023</v>
          </cell>
          <cell r="G1166">
            <v>100</v>
          </cell>
          <cell r="H1166" t="str">
            <v>singleron-3'转录组文库</v>
          </cell>
          <cell r="I1166" t="str">
            <v>GZQ</v>
          </cell>
          <cell r="J1166">
            <v>31.8</v>
          </cell>
          <cell r="N1166" t="e">
            <v>#DIV/0!</v>
          </cell>
        </row>
        <row r="1167">
          <cell r="E1167" t="str">
            <v>HGC-Lib-2462782</v>
          </cell>
          <cell r="F1167" t="str">
            <v>LC240801037</v>
          </cell>
          <cell r="G1167">
            <v>100</v>
          </cell>
          <cell r="H1167" t="str">
            <v>singleron-3'转录组文库</v>
          </cell>
          <cell r="I1167" t="str">
            <v>YHT</v>
          </cell>
          <cell r="J1167">
            <v>31.2</v>
          </cell>
          <cell r="N1167" t="e">
            <v>#DIV/0!</v>
          </cell>
        </row>
        <row r="1168">
          <cell r="E1168" t="str">
            <v>HGC-Lib-2462783</v>
          </cell>
          <cell r="F1168" t="str">
            <v>LC240730073</v>
          </cell>
          <cell r="G1168">
            <v>100</v>
          </cell>
          <cell r="H1168" t="str">
            <v>singleron-3'转录组文库</v>
          </cell>
          <cell r="I1168" t="str">
            <v>YHT</v>
          </cell>
          <cell r="J1168">
            <v>12</v>
          </cell>
          <cell r="N1168" t="e">
            <v>#DIV/0!</v>
          </cell>
        </row>
        <row r="1169">
          <cell r="E1169" t="str">
            <v>HGC-Lib-2462784</v>
          </cell>
          <cell r="F1169" t="str">
            <v>LC240730072</v>
          </cell>
          <cell r="G1169">
            <v>100</v>
          </cell>
          <cell r="H1169" t="str">
            <v>singleron-3'转录组文库</v>
          </cell>
          <cell r="I1169" t="str">
            <v>YHT</v>
          </cell>
          <cell r="J1169">
            <v>9.06</v>
          </cell>
          <cell r="N1169" t="e">
            <v>#DIV/0!</v>
          </cell>
        </row>
        <row r="1170">
          <cell r="E1170" t="str">
            <v>HGC-Lib-2462785</v>
          </cell>
          <cell r="F1170" t="str">
            <v>LC240731046</v>
          </cell>
          <cell r="G1170">
            <v>100</v>
          </cell>
          <cell r="H1170" t="str">
            <v>singleron-3'转录组文库</v>
          </cell>
          <cell r="I1170" t="str">
            <v>YHT</v>
          </cell>
          <cell r="J1170">
            <v>28.4</v>
          </cell>
          <cell r="N1170" t="e">
            <v>#DIV/0!</v>
          </cell>
        </row>
        <row r="1171">
          <cell r="E1171" t="str">
            <v>HGC-Lib-2462786</v>
          </cell>
          <cell r="F1171" t="str">
            <v>LC240731047</v>
          </cell>
          <cell r="G1171">
            <v>100</v>
          </cell>
          <cell r="H1171" t="str">
            <v>singleron-3'转录组文库</v>
          </cell>
          <cell r="I1171" t="str">
            <v>YHT</v>
          </cell>
          <cell r="J1171">
            <v>22</v>
          </cell>
          <cell r="N1171" t="e">
            <v>#DIV/0!</v>
          </cell>
        </row>
        <row r="1172">
          <cell r="E1172" t="str">
            <v>HGC-Lib-2462787</v>
          </cell>
          <cell r="F1172" t="str">
            <v>LC240731044</v>
          </cell>
          <cell r="G1172">
            <v>100</v>
          </cell>
          <cell r="H1172" t="str">
            <v>singleron-3'转录组文库</v>
          </cell>
          <cell r="I1172" t="str">
            <v>YHT</v>
          </cell>
          <cell r="J1172">
            <v>31.2</v>
          </cell>
          <cell r="N1172" t="e">
            <v>#DIV/0!</v>
          </cell>
        </row>
        <row r="1173">
          <cell r="E1173" t="str">
            <v>HGC-Lib-2462788</v>
          </cell>
          <cell r="F1173" t="str">
            <v>LC240731045</v>
          </cell>
          <cell r="G1173">
            <v>100</v>
          </cell>
          <cell r="H1173" t="str">
            <v>singleron-3'转录组文库</v>
          </cell>
          <cell r="I1173" t="str">
            <v>YHT</v>
          </cell>
          <cell r="J1173">
            <v>30</v>
          </cell>
          <cell r="N1173" t="e">
            <v>#DIV/0!</v>
          </cell>
        </row>
        <row r="1174">
          <cell r="E1174" t="str">
            <v>HGC-Lib-2462789</v>
          </cell>
          <cell r="F1174" t="str">
            <v>LC230830013FS</v>
          </cell>
          <cell r="G1174">
            <v>90</v>
          </cell>
          <cell r="H1174" t="str">
            <v>singleron-3'转录组文库</v>
          </cell>
          <cell r="I1174" t="str">
            <v>YHT</v>
          </cell>
          <cell r="J1174">
            <v>28.4</v>
          </cell>
          <cell r="N1174" t="e">
            <v>#DIV/0!</v>
          </cell>
        </row>
        <row r="1175">
          <cell r="E1175" t="str">
            <v>HGC-Lib-2462790</v>
          </cell>
          <cell r="F1175" t="str">
            <v>LA240731009</v>
          </cell>
          <cell r="G1175">
            <v>100</v>
          </cell>
          <cell r="H1175" t="str">
            <v>singleron-3'转录组文库</v>
          </cell>
          <cell r="I1175" t="str">
            <v>YHT</v>
          </cell>
          <cell r="J1175">
            <v>32.6</v>
          </cell>
          <cell r="N1175" t="e">
            <v>#DIV/0!</v>
          </cell>
        </row>
        <row r="1176">
          <cell r="E1176" t="str">
            <v>HGC-Lib-2462791</v>
          </cell>
          <cell r="F1176" t="str">
            <v>LA240731008</v>
          </cell>
          <cell r="G1176">
            <v>100</v>
          </cell>
          <cell r="H1176" t="str">
            <v>singleron-3'转录组文库</v>
          </cell>
          <cell r="I1176" t="str">
            <v>YHT</v>
          </cell>
          <cell r="J1176">
            <v>30.8</v>
          </cell>
          <cell r="N1176" t="e">
            <v>#DIV/0!</v>
          </cell>
        </row>
        <row r="1177">
          <cell r="E1177" t="str">
            <v>HGC-Lib-2462792</v>
          </cell>
          <cell r="F1177" t="str">
            <v>LA240731055</v>
          </cell>
          <cell r="G1177">
            <v>100</v>
          </cell>
          <cell r="H1177" t="str">
            <v>singleron-3'转录组文库</v>
          </cell>
          <cell r="I1177" t="str">
            <v>YHT</v>
          </cell>
          <cell r="J1177">
            <v>35</v>
          </cell>
          <cell r="N1177" t="e">
            <v>#DIV/0!</v>
          </cell>
        </row>
        <row r="1178">
          <cell r="E1178" t="str">
            <v>HGC-Lib-2462793</v>
          </cell>
          <cell r="F1178" t="str">
            <v>LA240801043X1</v>
          </cell>
          <cell r="G1178">
            <v>100</v>
          </cell>
          <cell r="H1178" t="str">
            <v>singleron-3'转录组文库</v>
          </cell>
          <cell r="I1178" t="str">
            <v>YHT</v>
          </cell>
          <cell r="J1178">
            <v>37.6</v>
          </cell>
          <cell r="N1178" t="e">
            <v>#DIV/0!</v>
          </cell>
        </row>
        <row r="1179">
          <cell r="E1179" t="str">
            <v>HGC-Lib-2462794</v>
          </cell>
          <cell r="F1179" t="str">
            <v>LA240801045X1</v>
          </cell>
          <cell r="G1179">
            <v>100</v>
          </cell>
          <cell r="H1179" t="str">
            <v>singleron-3'转录组文库</v>
          </cell>
          <cell r="I1179" t="str">
            <v>YHT</v>
          </cell>
          <cell r="J1179">
            <v>33.6</v>
          </cell>
          <cell r="N1179" t="e">
            <v>#DIV/0!</v>
          </cell>
        </row>
        <row r="1180">
          <cell r="E1180" t="str">
            <v>HGC-POOL-2462795</v>
          </cell>
          <cell r="F1180" t="str">
            <v>PCRD-240805-004</v>
          </cell>
          <cell r="G1180">
            <v>200</v>
          </cell>
          <cell r="H1180" t="str">
            <v>singleron-3'转录组文库</v>
          </cell>
          <cell r="I1180" t="str">
            <v>YHT</v>
          </cell>
          <cell r="J1180">
            <v>13.5</v>
          </cell>
          <cell r="N1180" t="e">
            <v>#DIV/0!</v>
          </cell>
        </row>
        <row r="1181">
          <cell r="E1181" t="str">
            <v>HGC-POOL-2462796</v>
          </cell>
          <cell r="F1181" t="str">
            <v>PCRD-240805-005</v>
          </cell>
          <cell r="G1181">
            <v>400</v>
          </cell>
          <cell r="H1181" t="str">
            <v>singleron-3'转录组文库</v>
          </cell>
          <cell r="I1181" t="str">
            <v>YHT</v>
          </cell>
          <cell r="J1181">
            <v>16.8</v>
          </cell>
          <cell r="N1181" t="e">
            <v>#DIV/0!</v>
          </cell>
        </row>
        <row r="1182">
          <cell r="E1182" t="str">
            <v>HGC-Lib-2462797</v>
          </cell>
          <cell r="F1182" t="str">
            <v>lib20-DISC-CASB-lib</v>
          </cell>
          <cell r="G1182">
            <v>16</v>
          </cell>
          <cell r="H1182" t="str">
            <v>PCR产物文库</v>
          </cell>
          <cell r="I1182" t="str">
            <v>YHT</v>
          </cell>
          <cell r="J1182">
            <v>3.1</v>
          </cell>
          <cell r="K1182">
            <v>273</v>
          </cell>
          <cell r="L1182" t="str">
            <v>XCL</v>
          </cell>
          <cell r="N1182">
            <v>17.469709777402102</v>
          </cell>
        </row>
        <row r="1183">
          <cell r="E1183" t="str">
            <v>HGC-Lib-2462798</v>
          </cell>
          <cell r="F1183" t="str">
            <v>lib21-DISC-CASB-lib</v>
          </cell>
          <cell r="G1183">
            <v>16</v>
          </cell>
          <cell r="H1183" t="str">
            <v>PCR产物文库</v>
          </cell>
          <cell r="I1183" t="str">
            <v>YHT</v>
          </cell>
          <cell r="J1183">
            <v>3.04</v>
          </cell>
          <cell r="K1183">
            <v>275</v>
          </cell>
          <cell r="L1183" t="str">
            <v>XCL</v>
          </cell>
          <cell r="N1183">
            <v>17.006993006993</v>
          </cell>
        </row>
        <row r="1184">
          <cell r="E1184" t="str">
            <v>HGC-Lib-2462811</v>
          </cell>
          <cell r="F1184" t="str">
            <v>R1C-G1</v>
          </cell>
          <cell r="G1184">
            <v>30</v>
          </cell>
          <cell r="H1184" t="str">
            <v>10x 5'单细胞</v>
          </cell>
          <cell r="I1184" t="str">
            <v>HZK</v>
          </cell>
          <cell r="J1184">
            <v>0.17199999999999999</v>
          </cell>
          <cell r="K1184">
            <v>367</v>
          </cell>
          <cell r="L1184" t="str">
            <v>XCL</v>
          </cell>
          <cell r="N1184">
            <v>0.72102284636344605</v>
          </cell>
        </row>
        <row r="1185">
          <cell r="E1185" t="str">
            <v>HGC-Lib-2462812</v>
          </cell>
          <cell r="F1185" t="str">
            <v>R2C-G2</v>
          </cell>
          <cell r="G1185">
            <v>30</v>
          </cell>
          <cell r="H1185" t="str">
            <v>10x 5'单细胞</v>
          </cell>
          <cell r="I1185" t="str">
            <v>HZK</v>
          </cell>
          <cell r="J1185">
            <v>0.13800000000000001</v>
          </cell>
          <cell r="K1185">
            <v>416</v>
          </cell>
          <cell r="L1185" t="str">
            <v>XCL</v>
          </cell>
          <cell r="N1185">
            <v>0.51035502958579904</v>
          </cell>
        </row>
        <row r="1186">
          <cell r="E1186" t="str">
            <v>HGC-Lib-2462813</v>
          </cell>
          <cell r="F1186" t="str">
            <v>R1-G3</v>
          </cell>
          <cell r="G1186">
            <v>120</v>
          </cell>
          <cell r="H1186" t="str">
            <v>10x 5'单细胞</v>
          </cell>
          <cell r="I1186" t="str">
            <v>HZK</v>
          </cell>
          <cell r="J1186">
            <v>37.6</v>
          </cell>
          <cell r="K1186">
            <v>497</v>
          </cell>
          <cell r="L1186" t="str">
            <v>HZK</v>
          </cell>
          <cell r="N1186">
            <v>116.390651601919</v>
          </cell>
        </row>
        <row r="1187">
          <cell r="E1187" t="str">
            <v>HGC-Lib-2462814</v>
          </cell>
          <cell r="F1187" t="str">
            <v>R2-G4</v>
          </cell>
          <cell r="G1187">
            <v>120</v>
          </cell>
          <cell r="H1187" t="str">
            <v>10x 5'单细胞</v>
          </cell>
          <cell r="I1187" t="str">
            <v>HZK</v>
          </cell>
          <cell r="J1187">
            <v>37.4</v>
          </cell>
          <cell r="K1187">
            <v>443</v>
          </cell>
          <cell r="L1187" t="str">
            <v>HZK</v>
          </cell>
          <cell r="N1187">
            <v>129.88366035770099</v>
          </cell>
        </row>
        <row r="1188">
          <cell r="E1188" t="str">
            <v>HGC-Lib-2462815</v>
          </cell>
          <cell r="F1188" t="str">
            <v>N_B_N4729-0V-Poly-Anc-1</v>
          </cell>
          <cell r="G1188">
            <v>6</v>
          </cell>
          <cell r="H1188" t="str">
            <v>mRNA文库</v>
          </cell>
          <cell r="I1188" t="str">
            <v>HZK</v>
          </cell>
          <cell r="J1188">
            <v>9.82</v>
          </cell>
          <cell r="N1188" t="e">
            <v>#DIV/0!</v>
          </cell>
        </row>
        <row r="1189">
          <cell r="E1189" t="str">
            <v>HGC-Lib-2462816</v>
          </cell>
          <cell r="F1189" t="str">
            <v>N_B_N4729-0W-Poly-Anc-2</v>
          </cell>
          <cell r="G1189">
            <v>6</v>
          </cell>
          <cell r="H1189" t="str">
            <v>mRNA文库</v>
          </cell>
          <cell r="I1189" t="str">
            <v>HZK</v>
          </cell>
          <cell r="J1189">
            <v>7.36</v>
          </cell>
          <cell r="N1189" t="e">
            <v>#DIV/0!</v>
          </cell>
        </row>
        <row r="1190">
          <cell r="E1190" t="str">
            <v>HGC-Lib-2462817</v>
          </cell>
          <cell r="F1190" t="str">
            <v>N_B_N4729-0X-Poly-Anc-3</v>
          </cell>
          <cell r="G1190">
            <v>6</v>
          </cell>
          <cell r="H1190" t="str">
            <v>mRNA文库</v>
          </cell>
          <cell r="I1190" t="str">
            <v>HZK</v>
          </cell>
          <cell r="J1190">
            <v>6.7</v>
          </cell>
          <cell r="N1190" t="e">
            <v>#DIV/0!</v>
          </cell>
        </row>
        <row r="1191">
          <cell r="E1191" t="str">
            <v>HGC-Lib-2462818</v>
          </cell>
          <cell r="F1191" t="str">
            <v>N_B_N4729-0Y-Poly-Aoe-1</v>
          </cell>
          <cell r="G1191">
            <v>6</v>
          </cell>
          <cell r="H1191" t="str">
            <v>mRNA文库</v>
          </cell>
          <cell r="I1191" t="str">
            <v>HZK</v>
          </cell>
          <cell r="J1191">
            <v>7.1</v>
          </cell>
          <cell r="N1191" t="e">
            <v>#DIV/0!</v>
          </cell>
        </row>
        <row r="1192">
          <cell r="E1192" t="str">
            <v>HGC-Lib-2462819</v>
          </cell>
          <cell r="F1192" t="str">
            <v>N_B_N4729-0Z-Poly-Aoe-2</v>
          </cell>
          <cell r="G1192">
            <v>6</v>
          </cell>
          <cell r="H1192" t="str">
            <v>mRNA文库</v>
          </cell>
          <cell r="I1192" t="str">
            <v>HZK</v>
          </cell>
          <cell r="J1192">
            <v>56.8</v>
          </cell>
          <cell r="N1192" t="e">
            <v>#DIV/0!</v>
          </cell>
        </row>
        <row r="1193">
          <cell r="E1193" t="str">
            <v>HGC-Lib-2462820</v>
          </cell>
          <cell r="F1193" t="str">
            <v>N_B_N4729-10-Poly-Aoe-3</v>
          </cell>
          <cell r="G1193">
            <v>6</v>
          </cell>
          <cell r="H1193" t="str">
            <v>mRNA文库</v>
          </cell>
          <cell r="I1193" t="str">
            <v>HZK</v>
          </cell>
          <cell r="J1193">
            <v>11.6</v>
          </cell>
          <cell r="N1193" t="e">
            <v>#DIV/0!</v>
          </cell>
        </row>
        <row r="1194">
          <cell r="E1194" t="str">
            <v>HGC-POOL-2462821</v>
          </cell>
          <cell r="F1194" t="str">
            <v>ssq_rice_20240805</v>
          </cell>
          <cell r="G1194">
            <v>144</v>
          </cell>
          <cell r="H1194" t="str">
            <v>ChIP-seq</v>
          </cell>
          <cell r="I1194" t="str">
            <v>WH</v>
          </cell>
          <cell r="J1194">
            <v>7.64</v>
          </cell>
          <cell r="K1194">
            <v>324</v>
          </cell>
          <cell r="L1194" t="str">
            <v>WH</v>
          </cell>
          <cell r="N1194">
            <v>36.277302943969602</v>
          </cell>
        </row>
        <row r="1195">
          <cell r="E1195" t="str">
            <v>HGC-Lib-2462825</v>
          </cell>
          <cell r="F1195" t="str">
            <v>1HCHE165_H3.1_3.2_rep2</v>
          </cell>
          <cell r="G1195">
            <v>10</v>
          </cell>
          <cell r="H1195" t="str">
            <v>cut&amp;tag文库</v>
          </cell>
          <cell r="I1195" t="str">
            <v>WH</v>
          </cell>
          <cell r="J1195">
            <v>9.02</v>
          </cell>
          <cell r="K1195">
            <v>423</v>
          </cell>
          <cell r="L1195" t="str">
            <v>WH</v>
          </cell>
          <cell r="N1195">
            <v>32.805964720858299</v>
          </cell>
        </row>
        <row r="1196">
          <cell r="E1196" t="str">
            <v>HGC-Lib-2462826</v>
          </cell>
          <cell r="F1196" t="str">
            <v>2 HE165_H3.1_3.2_rep2</v>
          </cell>
          <cell r="G1196">
            <v>10</v>
          </cell>
          <cell r="H1196" t="str">
            <v>cut&amp;tag文库</v>
          </cell>
          <cell r="I1196" t="str">
            <v>WH</v>
          </cell>
          <cell r="J1196">
            <v>26.2</v>
          </cell>
          <cell r="K1196">
            <v>378</v>
          </cell>
          <cell r="L1196" t="str">
            <v>WH</v>
          </cell>
          <cell r="N1196">
            <v>106.634106634107</v>
          </cell>
        </row>
        <row r="1197">
          <cell r="E1197" t="str">
            <v>HGC-Lib-2462827</v>
          </cell>
          <cell r="F1197" t="str">
            <v>Lib-C001-cfDNA-WGS</v>
          </cell>
          <cell r="G1197">
            <v>30</v>
          </cell>
          <cell r="H1197" t="str">
            <v>全基因组文库</v>
          </cell>
          <cell r="I1197" t="str">
            <v>WH</v>
          </cell>
          <cell r="J1197">
            <v>5.84</v>
          </cell>
          <cell r="K1197">
            <v>343</v>
          </cell>
          <cell r="L1197" t="str">
            <v>WH</v>
          </cell>
          <cell r="N1197">
            <v>26.194213949316001</v>
          </cell>
        </row>
        <row r="1198">
          <cell r="E1198" t="str">
            <v>HGC-Lib-2462828</v>
          </cell>
          <cell r="F1198" t="str">
            <v>Lib-C002-cfDNA-WGS</v>
          </cell>
          <cell r="G1198">
            <v>30</v>
          </cell>
          <cell r="H1198" t="str">
            <v>全基因组文库</v>
          </cell>
          <cell r="I1198" t="str">
            <v>WH</v>
          </cell>
          <cell r="J1198">
            <v>2.2999999999999998</v>
          </cell>
          <cell r="K1198">
            <v>376</v>
          </cell>
          <cell r="L1198" t="str">
            <v>WH</v>
          </cell>
          <cell r="N1198">
            <v>9.4108019639934497</v>
          </cell>
        </row>
        <row r="1199">
          <cell r="E1199" t="str">
            <v>HGC-Lib-2462866</v>
          </cell>
          <cell r="F1199" t="str">
            <v>UtoC-7-2R</v>
          </cell>
          <cell r="G1199">
            <v>2</v>
          </cell>
          <cell r="H1199" t="str">
            <v>PCR片段文库</v>
          </cell>
          <cell r="I1199" t="str">
            <v>WWH</v>
          </cell>
          <cell r="J1199">
            <v>48</v>
          </cell>
          <cell r="K1199">
            <v>398</v>
          </cell>
          <cell r="L1199" t="str">
            <v>WWH</v>
          </cell>
          <cell r="M1199" t="str">
            <v>加水80ul</v>
          </cell>
          <cell r="N1199">
            <v>185.54310011596399</v>
          </cell>
        </row>
        <row r="1200">
          <cell r="E1200" t="str">
            <v>HGC-Lib-2462867</v>
          </cell>
          <cell r="F1200" t="str">
            <v>CB-T29-1</v>
          </cell>
          <cell r="G1200">
            <v>5</v>
          </cell>
          <cell r="H1200" t="str">
            <v>PCR产物文库</v>
          </cell>
          <cell r="I1200" t="str">
            <v>WWH</v>
          </cell>
          <cell r="J1200">
            <v>26.8</v>
          </cell>
          <cell r="K1200">
            <v>527</v>
          </cell>
          <cell r="L1200" t="str">
            <v>WWH</v>
          </cell>
          <cell r="N1200">
            <v>78.236753758575404</v>
          </cell>
        </row>
        <row r="1201">
          <cell r="E1201" t="str">
            <v>HGC-Lib-2462868</v>
          </cell>
          <cell r="F1201" t="str">
            <v>CB-T29-2</v>
          </cell>
          <cell r="G1201">
            <v>5</v>
          </cell>
          <cell r="H1201" t="str">
            <v>PCR产物文库</v>
          </cell>
          <cell r="I1201" t="str">
            <v>WWH</v>
          </cell>
          <cell r="J1201">
            <v>45.4</v>
          </cell>
          <cell r="K1201">
            <v>505</v>
          </cell>
          <cell r="L1201" t="str">
            <v>WWH</v>
          </cell>
          <cell r="N1201">
            <v>138.30921553693801</v>
          </cell>
        </row>
        <row r="1202">
          <cell r="E1202" t="str">
            <v>HGC-Lib-2462869</v>
          </cell>
          <cell r="F1202" t="str">
            <v>NGS-0806</v>
          </cell>
          <cell r="G1202">
            <v>149</v>
          </cell>
          <cell r="H1202" t="str">
            <v>PCR产物文库</v>
          </cell>
          <cell r="I1202" t="str">
            <v>WWH</v>
          </cell>
          <cell r="J1202">
            <v>39.200000000000003</v>
          </cell>
          <cell r="K1202">
            <v>435</v>
          </cell>
          <cell r="L1202" t="str">
            <v>WWH</v>
          </cell>
          <cell r="M1202" t="str">
            <v>加水50ul</v>
          </cell>
          <cell r="N1202">
            <v>138.63837312113199</v>
          </cell>
        </row>
        <row r="1203">
          <cell r="E1203" t="str">
            <v>HGC-Lib-2462870</v>
          </cell>
          <cell r="F1203" t="str">
            <v>15985-3</v>
          </cell>
          <cell r="G1203">
            <v>100</v>
          </cell>
          <cell r="H1203" t="str">
            <v>10x空间转录组</v>
          </cell>
          <cell r="I1203" t="str">
            <v>WWH</v>
          </cell>
          <cell r="J1203">
            <v>4.46</v>
          </cell>
          <cell r="K1203">
            <v>335</v>
          </cell>
          <cell r="L1203" t="str">
            <v>WWH</v>
          </cell>
          <cell r="N1203">
            <v>20.482204362801401</v>
          </cell>
        </row>
        <row r="1204">
          <cell r="E1204" t="str">
            <v>HGC-Lib-2462871</v>
          </cell>
          <cell r="F1204" t="str">
            <v>23270-4</v>
          </cell>
          <cell r="G1204">
            <v>100</v>
          </cell>
          <cell r="H1204" t="str">
            <v>10x空间转录组</v>
          </cell>
          <cell r="I1204" t="str">
            <v>WWH</v>
          </cell>
          <cell r="J1204">
            <v>15.5</v>
          </cell>
          <cell r="K1204">
            <v>330</v>
          </cell>
          <cell r="L1204" t="str">
            <v>WWH</v>
          </cell>
          <cell r="N1204">
            <v>72.2610722610723</v>
          </cell>
        </row>
        <row r="1205">
          <cell r="E1205" t="str">
            <v>HGC-Lib-2462884</v>
          </cell>
          <cell r="F1205" t="str">
            <v>HitomXNN401</v>
          </cell>
          <cell r="G1205">
            <v>2</v>
          </cell>
          <cell r="H1205" t="str">
            <v>PCR片段文库</v>
          </cell>
          <cell r="I1205" t="str">
            <v>WWH</v>
          </cell>
          <cell r="J1205">
            <v>27.8</v>
          </cell>
          <cell r="K1205">
            <v>389</v>
          </cell>
          <cell r="L1205" t="str">
            <v>WWH</v>
          </cell>
          <cell r="M1205" t="str">
            <v>加水100ul</v>
          </cell>
          <cell r="N1205">
            <v>109.946608661262</v>
          </cell>
        </row>
        <row r="1206">
          <cell r="E1206" t="str">
            <v>HGC-Lib-2462885</v>
          </cell>
          <cell r="F1206" t="str">
            <v>HitomXNN402</v>
          </cell>
          <cell r="G1206">
            <v>2</v>
          </cell>
          <cell r="H1206" t="str">
            <v>PCR片段文库</v>
          </cell>
          <cell r="I1206" t="str">
            <v>WWH</v>
          </cell>
          <cell r="J1206">
            <v>22.8</v>
          </cell>
          <cell r="K1206">
            <v>394</v>
          </cell>
          <cell r="L1206" t="str">
            <v>WWH</v>
          </cell>
          <cell r="N1206">
            <v>89.027723545490005</v>
          </cell>
        </row>
        <row r="1207">
          <cell r="E1207" t="str">
            <v>HGC-POOL-2462886</v>
          </cell>
          <cell r="F1207" t="str">
            <v>WK0806-1</v>
          </cell>
          <cell r="G1207">
            <v>15</v>
          </cell>
          <cell r="H1207" t="str">
            <v>WES/panel捕获文库</v>
          </cell>
          <cell r="I1207" t="str">
            <v>WWH</v>
          </cell>
          <cell r="J1207">
            <v>1.52</v>
          </cell>
          <cell r="K1207">
            <v>414</v>
          </cell>
          <cell r="L1207" t="str">
            <v>WWH</v>
          </cell>
          <cell r="N1207">
            <v>5.6484578223708697</v>
          </cell>
        </row>
        <row r="1208">
          <cell r="E1208" t="str">
            <v>HGC-Lib-2462887</v>
          </cell>
          <cell r="F1208" t="str">
            <v>Capt-1dpf-2-gfp</v>
          </cell>
          <cell r="G1208">
            <v>10</v>
          </cell>
          <cell r="H1208" t="str">
            <v>PCR产物文库</v>
          </cell>
          <cell r="I1208" t="str">
            <v>WWH</v>
          </cell>
          <cell r="J1208">
            <v>3.7</v>
          </cell>
          <cell r="K1208">
            <v>499</v>
          </cell>
          <cell r="L1208" t="str">
            <v>WWH</v>
          </cell>
          <cell r="N1208">
            <v>11.4074302451056</v>
          </cell>
        </row>
        <row r="1209">
          <cell r="E1209" t="str">
            <v>HGC-Lib-2462888</v>
          </cell>
          <cell r="F1209" t="str">
            <v>Capt-1dpf-2-mch</v>
          </cell>
          <cell r="G1209">
            <v>10</v>
          </cell>
          <cell r="H1209" t="str">
            <v>PCR产物文库</v>
          </cell>
          <cell r="I1209" t="str">
            <v>WWH</v>
          </cell>
          <cell r="J1209">
            <v>4.72</v>
          </cell>
          <cell r="K1209">
            <v>561</v>
          </cell>
          <cell r="L1209" t="str">
            <v>WWH</v>
          </cell>
          <cell r="N1209">
            <v>12.943918826271799</v>
          </cell>
        </row>
        <row r="1210">
          <cell r="E1210" t="str">
            <v>HGC-Lib-2462889</v>
          </cell>
          <cell r="F1210" t="str">
            <v>Capt-2dpf-2-mch</v>
          </cell>
          <cell r="G1210">
            <v>10</v>
          </cell>
          <cell r="H1210" t="str">
            <v>PCR产物文库</v>
          </cell>
          <cell r="I1210" t="str">
            <v>WWH</v>
          </cell>
          <cell r="J1210">
            <v>0.152</v>
          </cell>
          <cell r="K1210">
            <v>399</v>
          </cell>
          <cell r="L1210" t="str">
            <v>WWH</v>
          </cell>
          <cell r="N1210">
            <v>0.586080586080586</v>
          </cell>
        </row>
        <row r="1211">
          <cell r="E1211" t="str">
            <v>HGC-Lib-2462890</v>
          </cell>
          <cell r="F1211" t="str">
            <v>Capt-1dpf-2-gLib-ctrl</v>
          </cell>
          <cell r="G1211">
            <v>10</v>
          </cell>
          <cell r="H1211" t="str">
            <v>10× 3'单细胞</v>
          </cell>
          <cell r="I1211" t="str">
            <v>WWH</v>
          </cell>
          <cell r="J1211">
            <v>0.28199999999999997</v>
          </cell>
          <cell r="K1211">
            <v>313</v>
          </cell>
          <cell r="L1211" t="str">
            <v>WWH</v>
          </cell>
          <cell r="N1211">
            <v>1.38608994839027</v>
          </cell>
        </row>
        <row r="1212">
          <cell r="E1212" t="str">
            <v>HGC-Lib-2462891</v>
          </cell>
          <cell r="F1212" t="str">
            <v>Capt-1dpf-2-gLib-tbx16</v>
          </cell>
          <cell r="G1212">
            <v>10</v>
          </cell>
          <cell r="H1212" t="str">
            <v>10× 3'单细胞</v>
          </cell>
          <cell r="I1212" t="str">
            <v>WWH</v>
          </cell>
          <cell r="J1212">
            <v>14.1</v>
          </cell>
          <cell r="K1212">
            <v>337</v>
          </cell>
          <cell r="L1212" t="str">
            <v>WWH</v>
          </cell>
          <cell r="N1212">
            <v>64.368865555809194</v>
          </cell>
        </row>
        <row r="1213">
          <cell r="E1213" t="str">
            <v>HGC-Lib-2462892</v>
          </cell>
          <cell r="F1213" t="str">
            <v>Capt-2dpf-2-gLib-tyr</v>
          </cell>
          <cell r="G1213">
            <v>10</v>
          </cell>
          <cell r="H1213" t="str">
            <v>10× 3'单细胞</v>
          </cell>
          <cell r="I1213" t="str">
            <v>WWH</v>
          </cell>
          <cell r="J1213">
            <v>0.58799999999999997</v>
          </cell>
          <cell r="K1213">
            <v>303</v>
          </cell>
          <cell r="L1213" t="str">
            <v>WWH</v>
          </cell>
          <cell r="N1213">
            <v>2.9855293221629902</v>
          </cell>
        </row>
        <row r="1214">
          <cell r="E1214" t="str">
            <v>HGC-POOL-2462893</v>
          </cell>
          <cell r="F1214" t="str">
            <v>YX-0806-KY</v>
          </cell>
          <cell r="G1214">
            <v>55</v>
          </cell>
          <cell r="H1214" t="str">
            <v>宏基因组文库</v>
          </cell>
          <cell r="I1214" t="str">
            <v>WWH</v>
          </cell>
          <cell r="J1214">
            <v>3.82</v>
          </cell>
          <cell r="K1214">
            <v>373</v>
          </cell>
          <cell r="L1214" t="str">
            <v>WWH</v>
          </cell>
          <cell r="N1214">
            <v>15.7558259434935</v>
          </cell>
        </row>
        <row r="1215">
          <cell r="E1215" t="str">
            <v>HGC-POOL-2462894</v>
          </cell>
          <cell r="F1215" t="str">
            <v>JYZ-HT240806B</v>
          </cell>
          <cell r="G1215">
            <v>105</v>
          </cell>
          <cell r="H1215" t="str">
            <v>mRNA文库</v>
          </cell>
          <cell r="I1215" t="str">
            <v>WWH</v>
          </cell>
          <cell r="J1215">
            <v>14</v>
          </cell>
          <cell r="N1215" t="e">
            <v>#DIV/0!</v>
          </cell>
        </row>
        <row r="1216">
          <cell r="E1216" t="str">
            <v>HGC-POOL-2462895</v>
          </cell>
          <cell r="F1216" t="str">
            <v>ZLZ-HT240806K</v>
          </cell>
          <cell r="G1216">
            <v>56</v>
          </cell>
          <cell r="H1216" t="str">
            <v>mRNA文库</v>
          </cell>
          <cell r="I1216" t="str">
            <v>WWH</v>
          </cell>
          <cell r="J1216">
            <v>44.6</v>
          </cell>
          <cell r="N1216" t="e">
            <v>#DIV/0!</v>
          </cell>
        </row>
        <row r="1217">
          <cell r="E1217" t="str">
            <v>HGC-Lib-2462902</v>
          </cell>
          <cell r="F1217" t="str">
            <v>16-1</v>
          </cell>
          <cell r="G1217">
            <v>10</v>
          </cell>
          <cell r="H1217" t="str">
            <v>HI-C文库</v>
          </cell>
          <cell r="I1217" t="str">
            <v>WWH</v>
          </cell>
          <cell r="J1217">
            <v>12.9</v>
          </cell>
          <cell r="K1217">
            <v>258</v>
          </cell>
          <cell r="L1217" t="str">
            <v>WWH</v>
          </cell>
          <cell r="N1217">
            <v>76.923076923076906</v>
          </cell>
        </row>
        <row r="1218">
          <cell r="E1218" t="str">
            <v>HGC-Lib-2462903</v>
          </cell>
          <cell r="F1218" t="str">
            <v>16-2</v>
          </cell>
          <cell r="G1218">
            <v>10</v>
          </cell>
          <cell r="H1218" t="str">
            <v>HI-C文库</v>
          </cell>
          <cell r="I1218" t="str">
            <v>WWH</v>
          </cell>
          <cell r="J1218">
            <v>14.3</v>
          </cell>
          <cell r="K1218">
            <v>191</v>
          </cell>
          <cell r="L1218" t="str">
            <v>WWH</v>
          </cell>
          <cell r="N1218">
            <v>115.18324607329799</v>
          </cell>
        </row>
        <row r="1219">
          <cell r="E1219" t="str">
            <v>HGC-Lib-2462904</v>
          </cell>
          <cell r="F1219" t="str">
            <v>18-1</v>
          </cell>
          <cell r="G1219">
            <v>10</v>
          </cell>
          <cell r="H1219" t="str">
            <v>HI-C文库</v>
          </cell>
          <cell r="I1219" t="str">
            <v>WWH</v>
          </cell>
          <cell r="J1219">
            <v>14.7</v>
          </cell>
          <cell r="K1219">
            <v>189</v>
          </cell>
          <cell r="L1219" t="str">
            <v>WWH</v>
          </cell>
          <cell r="N1219">
            <v>119.65811965812</v>
          </cell>
        </row>
        <row r="1220">
          <cell r="E1220" t="str">
            <v>HGC-Lib-2462905</v>
          </cell>
          <cell r="F1220" t="str">
            <v>18-2</v>
          </cell>
          <cell r="G1220">
            <v>10</v>
          </cell>
          <cell r="H1220" t="str">
            <v>HI-C文库</v>
          </cell>
          <cell r="I1220" t="str">
            <v>WWH</v>
          </cell>
          <cell r="J1220">
            <v>12.9</v>
          </cell>
          <cell r="K1220">
            <v>268</v>
          </cell>
          <cell r="L1220" t="str">
            <v>WWH</v>
          </cell>
          <cell r="N1220">
            <v>74.052812858783</v>
          </cell>
        </row>
        <row r="1221">
          <cell r="E1221" t="str">
            <v>HGC-Lib-2462906</v>
          </cell>
          <cell r="F1221" t="str">
            <v>20-1</v>
          </cell>
          <cell r="G1221">
            <v>10</v>
          </cell>
          <cell r="H1221" t="str">
            <v>HI-C文库</v>
          </cell>
          <cell r="I1221" t="str">
            <v>WWH</v>
          </cell>
          <cell r="J1221">
            <v>15.1</v>
          </cell>
          <cell r="K1221">
            <v>182</v>
          </cell>
          <cell r="L1221" t="str">
            <v>WWH</v>
          </cell>
          <cell r="N1221">
            <v>127.641589180051</v>
          </cell>
        </row>
        <row r="1222">
          <cell r="E1222" t="str">
            <v>HGC-Lib-2462907</v>
          </cell>
          <cell r="F1222" t="str">
            <v>20-2</v>
          </cell>
          <cell r="G1222">
            <v>10</v>
          </cell>
          <cell r="H1222" t="str">
            <v>HI-C文库</v>
          </cell>
          <cell r="I1222" t="str">
            <v>WWH</v>
          </cell>
          <cell r="J1222">
            <v>15</v>
          </cell>
          <cell r="K1222">
            <v>182</v>
          </cell>
          <cell r="L1222" t="str">
            <v>WWH</v>
          </cell>
          <cell r="N1222">
            <v>126.796280642434</v>
          </cell>
        </row>
        <row r="1223">
          <cell r="E1223" t="str">
            <v>HGC-Lib-2462908</v>
          </cell>
          <cell r="F1223" t="str">
            <v>23-1</v>
          </cell>
          <cell r="G1223">
            <v>10</v>
          </cell>
          <cell r="H1223" t="str">
            <v>HI-C文库</v>
          </cell>
          <cell r="I1223" t="str">
            <v>WWH</v>
          </cell>
          <cell r="J1223">
            <v>12</v>
          </cell>
          <cell r="K1223">
            <v>202</v>
          </cell>
          <cell r="L1223" t="str">
            <v>WWH</v>
          </cell>
          <cell r="N1223">
            <v>91.393754760091397</v>
          </cell>
        </row>
        <row r="1224">
          <cell r="E1224" t="str">
            <v>HGC-Lib-2462909</v>
          </cell>
          <cell r="F1224" t="str">
            <v>23-2</v>
          </cell>
          <cell r="G1224">
            <v>10</v>
          </cell>
          <cell r="H1224" t="str">
            <v>HI-C文库</v>
          </cell>
          <cell r="I1224" t="str">
            <v>WWH</v>
          </cell>
          <cell r="J1224">
            <v>11.3</v>
          </cell>
          <cell r="K1224">
            <v>215</v>
          </cell>
          <cell r="L1224" t="str">
            <v>WWH</v>
          </cell>
          <cell r="N1224">
            <v>80.858676207513398</v>
          </cell>
        </row>
        <row r="1225">
          <cell r="E1225" t="str">
            <v>HGC-Lib-2462910</v>
          </cell>
          <cell r="F1225" t="str">
            <v>LC240801068</v>
          </cell>
          <cell r="G1225">
            <v>90</v>
          </cell>
          <cell r="H1225" t="str">
            <v>singleron-3'转录组文库</v>
          </cell>
          <cell r="I1225" t="str">
            <v>ZZ</v>
          </cell>
          <cell r="J1225">
            <v>31.6</v>
          </cell>
          <cell r="N1225" t="e">
            <v>#DIV/0!</v>
          </cell>
        </row>
        <row r="1226">
          <cell r="E1226" t="str">
            <v>HGC-Lib-2462911</v>
          </cell>
          <cell r="F1226" t="str">
            <v>LC240801055</v>
          </cell>
          <cell r="G1226">
            <v>100</v>
          </cell>
          <cell r="H1226" t="str">
            <v>singleron-3'转录组文库</v>
          </cell>
          <cell r="I1226" t="str">
            <v>ZZ</v>
          </cell>
          <cell r="J1226">
            <v>28.8</v>
          </cell>
          <cell r="N1226" t="e">
            <v>#DIV/0!</v>
          </cell>
        </row>
        <row r="1227">
          <cell r="E1227" t="str">
            <v>HGC-Lib-2462912</v>
          </cell>
          <cell r="F1227" t="str">
            <v>LC240801056</v>
          </cell>
          <cell r="G1227">
            <v>100</v>
          </cell>
          <cell r="H1227" t="str">
            <v>singleron-3'转录组文库</v>
          </cell>
          <cell r="I1227" t="str">
            <v>ZZ</v>
          </cell>
          <cell r="J1227">
            <v>32.200000000000003</v>
          </cell>
          <cell r="N1227" t="e">
            <v>#DIV/0!</v>
          </cell>
        </row>
        <row r="1228">
          <cell r="E1228" t="str">
            <v>HGC-Lib-2462913</v>
          </cell>
          <cell r="F1228" t="str">
            <v>LC240801070X1</v>
          </cell>
          <cell r="G1228">
            <v>100</v>
          </cell>
          <cell r="H1228" t="str">
            <v>singleron-3'转录组文库</v>
          </cell>
          <cell r="I1228" t="str">
            <v>ZZ</v>
          </cell>
          <cell r="J1228">
            <v>33.6</v>
          </cell>
          <cell r="N1228" t="e">
            <v>#DIV/0!</v>
          </cell>
        </row>
        <row r="1229">
          <cell r="E1229" t="str">
            <v>HGC-Lib-2462914</v>
          </cell>
          <cell r="F1229" t="str">
            <v>PMLPMA240730093</v>
          </cell>
          <cell r="G1229">
            <v>12</v>
          </cell>
          <cell r="H1229" t="str">
            <v>其他碱基不平衡文库</v>
          </cell>
          <cell r="I1229" t="str">
            <v>ZZ</v>
          </cell>
          <cell r="J1229">
            <v>39.200000000000003</v>
          </cell>
          <cell r="N1229" t="e">
            <v>#DIV/0!</v>
          </cell>
        </row>
        <row r="1230">
          <cell r="E1230" t="str">
            <v>HGC-Lib-2462915</v>
          </cell>
          <cell r="F1230" t="str">
            <v>LC240731018</v>
          </cell>
          <cell r="G1230">
            <v>100</v>
          </cell>
          <cell r="H1230" t="str">
            <v>singleron-3'转录组文库</v>
          </cell>
          <cell r="I1230" t="str">
            <v>ZZ</v>
          </cell>
          <cell r="J1230">
            <v>31.4</v>
          </cell>
          <cell r="N1230" t="e">
            <v>#DIV/0!</v>
          </cell>
        </row>
        <row r="1231">
          <cell r="E1231" t="str">
            <v>HGC-Lib-2462916</v>
          </cell>
          <cell r="F1231" t="str">
            <v>LA240730093</v>
          </cell>
          <cell r="G1231">
            <v>200</v>
          </cell>
          <cell r="H1231" t="str">
            <v>singleron-3'转录组文库</v>
          </cell>
          <cell r="I1231" t="str">
            <v>ZZ</v>
          </cell>
          <cell r="J1231">
            <v>16</v>
          </cell>
          <cell r="N1231" t="e">
            <v>#DIV/0!</v>
          </cell>
        </row>
        <row r="1232">
          <cell r="E1232" t="str">
            <v>HGC-Lib-2462917</v>
          </cell>
          <cell r="F1232" t="str">
            <v>LFTC240730061</v>
          </cell>
          <cell r="G1232">
            <v>100</v>
          </cell>
          <cell r="H1232" t="str">
            <v>singleron-3'全长转录组文库</v>
          </cell>
          <cell r="I1232" t="str">
            <v>ZZ</v>
          </cell>
          <cell r="J1232">
            <v>14</v>
          </cell>
          <cell r="N1232" t="e">
            <v>#DIV/0!</v>
          </cell>
        </row>
        <row r="1233">
          <cell r="E1233" t="str">
            <v>HGC-Lib-2462918</v>
          </cell>
          <cell r="F1233" t="str">
            <v>LFTC240730064</v>
          </cell>
          <cell r="G1233">
            <v>100</v>
          </cell>
          <cell r="H1233" t="str">
            <v>singleron-3'全长转录组文库</v>
          </cell>
          <cell r="I1233" t="str">
            <v>ZZ</v>
          </cell>
          <cell r="J1233">
            <v>18.600000000000001</v>
          </cell>
          <cell r="N1233" t="e">
            <v>#DIV/0!</v>
          </cell>
        </row>
        <row r="1234">
          <cell r="E1234" t="str">
            <v>HGC-Lib-2462919</v>
          </cell>
          <cell r="F1234" t="str">
            <v>LFTC240730062</v>
          </cell>
          <cell r="G1234">
            <v>100</v>
          </cell>
          <cell r="H1234" t="str">
            <v>singleron-3'全长转录组文库</v>
          </cell>
          <cell r="I1234" t="str">
            <v>ZZ</v>
          </cell>
          <cell r="J1234">
            <v>19.7</v>
          </cell>
          <cell r="N1234" t="e">
            <v>#DIV/0!</v>
          </cell>
        </row>
        <row r="1235">
          <cell r="E1235" t="str">
            <v>HGC-Lib-2462920</v>
          </cell>
          <cell r="F1235" t="str">
            <v>LFTC240730065</v>
          </cell>
          <cell r="G1235">
            <v>100</v>
          </cell>
          <cell r="H1235" t="str">
            <v>singleron-3'全长转录组文库</v>
          </cell>
          <cell r="I1235" t="str">
            <v>ZZ</v>
          </cell>
          <cell r="J1235">
            <v>23.2</v>
          </cell>
          <cell r="N1235" t="e">
            <v>#DIV/0!</v>
          </cell>
        </row>
        <row r="1236">
          <cell r="E1236" t="str">
            <v>HGC-Lib-2462921</v>
          </cell>
          <cell r="F1236" t="str">
            <v>LFTC240730063</v>
          </cell>
          <cell r="G1236">
            <v>100</v>
          </cell>
          <cell r="H1236" t="str">
            <v>singleron-3'全长转录组文库</v>
          </cell>
          <cell r="I1236" t="str">
            <v>ZZ</v>
          </cell>
          <cell r="J1236">
            <v>19.899999999999999</v>
          </cell>
          <cell r="N1236" t="e">
            <v>#DIV/0!</v>
          </cell>
        </row>
        <row r="1237">
          <cell r="E1237" t="str">
            <v>HGC-Lib-2462922</v>
          </cell>
          <cell r="F1237" t="str">
            <v>LFTC240730066</v>
          </cell>
          <cell r="G1237">
            <v>100</v>
          </cell>
          <cell r="H1237" t="str">
            <v>singleron-3'全长转录组文库</v>
          </cell>
          <cell r="I1237" t="str">
            <v>ZZ</v>
          </cell>
          <cell r="J1237">
            <v>29.4</v>
          </cell>
          <cell r="N1237" t="e">
            <v>#DIV/0!</v>
          </cell>
        </row>
        <row r="1238">
          <cell r="E1238" t="str">
            <v>HGC-Lib-2462923</v>
          </cell>
          <cell r="F1238" t="str">
            <v>LFTA240730053</v>
          </cell>
          <cell r="G1238">
            <v>100</v>
          </cell>
          <cell r="H1238" t="str">
            <v>singleron-3'全长转录组文库</v>
          </cell>
          <cell r="I1238" t="str">
            <v>ZZ</v>
          </cell>
          <cell r="J1238">
            <v>19.100000000000001</v>
          </cell>
          <cell r="N1238" t="e">
            <v>#DIV/0!</v>
          </cell>
        </row>
        <row r="1239">
          <cell r="E1239" t="str">
            <v>HGC-Lib-2462924</v>
          </cell>
          <cell r="F1239" t="str">
            <v>LFTA240730057</v>
          </cell>
          <cell r="G1239">
            <v>100</v>
          </cell>
          <cell r="H1239" t="str">
            <v>singleron-3'全长转录组文库</v>
          </cell>
          <cell r="I1239" t="str">
            <v>ZZ</v>
          </cell>
          <cell r="J1239">
            <v>10.5</v>
          </cell>
          <cell r="N1239" t="e">
            <v>#DIV/0!</v>
          </cell>
        </row>
        <row r="1240">
          <cell r="E1240" t="str">
            <v>HGC-Lib-2462925</v>
          </cell>
          <cell r="F1240" t="str">
            <v>LFTC240730059</v>
          </cell>
          <cell r="G1240">
            <v>100</v>
          </cell>
          <cell r="H1240" t="str">
            <v>singleron-3'全长转录组文库</v>
          </cell>
          <cell r="I1240" t="str">
            <v>ZZ</v>
          </cell>
          <cell r="J1240">
            <v>14.5</v>
          </cell>
          <cell r="N1240" t="e">
            <v>#DIV/0!</v>
          </cell>
        </row>
        <row r="1241">
          <cell r="E1241" t="str">
            <v>HGC-Lib-2462926</v>
          </cell>
          <cell r="F1241" t="str">
            <v>LFTA240730058</v>
          </cell>
          <cell r="G1241">
            <v>100</v>
          </cell>
          <cell r="H1241" t="str">
            <v>singleron-3'全长转录组文库</v>
          </cell>
          <cell r="I1241" t="str">
            <v>ZZ</v>
          </cell>
          <cell r="J1241">
            <v>9.9600000000000009</v>
          </cell>
          <cell r="N1241" t="e">
            <v>#DIV/0!</v>
          </cell>
        </row>
        <row r="1242">
          <cell r="E1242" t="str">
            <v>HGC-Lib-2462927</v>
          </cell>
          <cell r="F1242" t="str">
            <v>LFTA240730054</v>
          </cell>
          <cell r="G1242">
            <v>100</v>
          </cell>
          <cell r="H1242" t="str">
            <v>singleron-3'全长转录组文库</v>
          </cell>
          <cell r="I1242" t="str">
            <v>ZZ</v>
          </cell>
          <cell r="J1242">
            <v>21.2</v>
          </cell>
          <cell r="N1242" t="e">
            <v>#DIV/0!</v>
          </cell>
        </row>
        <row r="1243">
          <cell r="E1243" t="str">
            <v>HGC-Lib-2462928</v>
          </cell>
          <cell r="F1243" t="str">
            <v>LFTC240730060</v>
          </cell>
          <cell r="G1243">
            <v>100</v>
          </cell>
          <cell r="H1243" t="str">
            <v>singleron-3'全长转录组文库</v>
          </cell>
          <cell r="I1243" t="str">
            <v>ZZ</v>
          </cell>
          <cell r="J1243">
            <v>23.8</v>
          </cell>
          <cell r="N1243" t="e">
            <v>#DIV/0!</v>
          </cell>
        </row>
        <row r="1244">
          <cell r="E1244" t="str">
            <v>HGC-Lib-2462929</v>
          </cell>
          <cell r="F1244" t="str">
            <v>LFTA240730056</v>
          </cell>
          <cell r="G1244">
            <v>100</v>
          </cell>
          <cell r="H1244" t="str">
            <v>singleron-3'全长转录组文库</v>
          </cell>
          <cell r="I1244" t="str">
            <v>ZZ</v>
          </cell>
          <cell r="J1244">
            <v>15.3</v>
          </cell>
          <cell r="N1244" t="e">
            <v>#DIV/0!</v>
          </cell>
        </row>
        <row r="1245">
          <cell r="E1245" t="str">
            <v>HGC-Lib-2462930</v>
          </cell>
          <cell r="F1245" t="str">
            <v>LFTA240730055</v>
          </cell>
          <cell r="G1245">
            <v>100</v>
          </cell>
          <cell r="H1245" t="str">
            <v>singleron-3'全长转录组文库</v>
          </cell>
          <cell r="I1245" t="str">
            <v>ZZ</v>
          </cell>
          <cell r="J1245">
            <v>27</v>
          </cell>
          <cell r="N1245" t="e">
            <v>#DIV/0!</v>
          </cell>
        </row>
        <row r="1246">
          <cell r="E1246" t="str">
            <v>HGC-Lib-2462931</v>
          </cell>
          <cell r="F1246" t="str">
            <v>LA240730004X1</v>
          </cell>
          <cell r="G1246">
            <v>100</v>
          </cell>
          <cell r="H1246" t="str">
            <v>singleron-3'转录组文库</v>
          </cell>
          <cell r="I1246" t="str">
            <v>ZZ</v>
          </cell>
          <cell r="J1246">
            <v>7.08</v>
          </cell>
          <cell r="N1246" t="e">
            <v>#DIV/0!</v>
          </cell>
        </row>
        <row r="1247">
          <cell r="E1247" t="str">
            <v>HGC-Lib-2462932</v>
          </cell>
          <cell r="F1247" t="str">
            <v>LA240730046</v>
          </cell>
          <cell r="G1247">
            <v>10</v>
          </cell>
          <cell r="H1247" t="str">
            <v>singleron-3'转录组文库</v>
          </cell>
          <cell r="I1247" t="str">
            <v>ZZ</v>
          </cell>
          <cell r="J1247">
            <v>14.5</v>
          </cell>
          <cell r="N1247" t="e">
            <v>#DIV/0!</v>
          </cell>
        </row>
        <row r="1248">
          <cell r="E1248" t="str">
            <v>HGC-Lib-2462933</v>
          </cell>
          <cell r="F1248" t="str">
            <v>LC240730069</v>
          </cell>
          <cell r="G1248">
            <v>100</v>
          </cell>
          <cell r="H1248" t="str">
            <v>singleron-3'转录组文库</v>
          </cell>
          <cell r="I1248" t="str">
            <v>ZZ</v>
          </cell>
          <cell r="J1248">
            <v>17.2</v>
          </cell>
          <cell r="N1248" t="e">
            <v>#DIV/0!</v>
          </cell>
        </row>
        <row r="1249">
          <cell r="E1249" t="str">
            <v>HGC-Lib-2462934</v>
          </cell>
          <cell r="F1249" t="str">
            <v>LC240730070</v>
          </cell>
          <cell r="G1249">
            <v>100</v>
          </cell>
          <cell r="H1249" t="str">
            <v>singleron-3'转录组文库</v>
          </cell>
          <cell r="I1249" t="str">
            <v>ZZ</v>
          </cell>
          <cell r="J1249">
            <v>19.399999999999999</v>
          </cell>
          <cell r="N1249" t="e">
            <v>#DIV/0!</v>
          </cell>
        </row>
        <row r="1250">
          <cell r="E1250" t="str">
            <v>HGC-Lib-2462935</v>
          </cell>
          <cell r="F1250" t="str">
            <v>LC240730067</v>
          </cell>
          <cell r="G1250">
            <v>100</v>
          </cell>
          <cell r="H1250" t="str">
            <v>singleron-3'转录组文库</v>
          </cell>
          <cell r="I1250" t="str">
            <v>ZZ</v>
          </cell>
          <cell r="J1250">
            <v>12.1</v>
          </cell>
          <cell r="N1250" t="e">
            <v>#DIV/0!</v>
          </cell>
        </row>
        <row r="1251">
          <cell r="E1251" t="str">
            <v>HGC-Lib-2462936</v>
          </cell>
          <cell r="F1251" t="str">
            <v>LA240730088</v>
          </cell>
          <cell r="G1251">
            <v>100</v>
          </cell>
          <cell r="H1251" t="str">
            <v>singleron-3'转录组文库</v>
          </cell>
          <cell r="I1251" t="str">
            <v>ZZ</v>
          </cell>
          <cell r="J1251">
            <v>12</v>
          </cell>
          <cell r="N1251" t="e">
            <v>#DIV/0!</v>
          </cell>
        </row>
        <row r="1252">
          <cell r="E1252" t="str">
            <v>HGC-Lib-2462937</v>
          </cell>
          <cell r="F1252" t="str">
            <v>LA240731016</v>
          </cell>
          <cell r="G1252">
            <v>100</v>
          </cell>
          <cell r="H1252" t="str">
            <v>singleron-3'转录组文库</v>
          </cell>
          <cell r="I1252" t="str">
            <v>ZZ</v>
          </cell>
          <cell r="J1252">
            <v>35.6</v>
          </cell>
          <cell r="N1252" t="e">
            <v>#DIV/0!</v>
          </cell>
        </row>
        <row r="1253">
          <cell r="E1253" t="str">
            <v>HGC-Lib-2462938</v>
          </cell>
          <cell r="F1253" t="str">
            <v>LA230315010X1</v>
          </cell>
          <cell r="G1253">
            <v>10</v>
          </cell>
          <cell r="H1253" t="str">
            <v>singleron-3'转录组文库</v>
          </cell>
          <cell r="I1253" t="str">
            <v>ZZ</v>
          </cell>
          <cell r="J1253">
            <v>26.8</v>
          </cell>
          <cell r="N1253" t="e">
            <v>#DIV/0!</v>
          </cell>
        </row>
        <row r="1254">
          <cell r="E1254" t="str">
            <v>HGC-Lib-2462939</v>
          </cell>
          <cell r="F1254" t="str">
            <v>LVA220406003X2</v>
          </cell>
          <cell r="G1254">
            <v>10</v>
          </cell>
          <cell r="H1254" t="str">
            <v>singleron-3'转录组文库</v>
          </cell>
          <cell r="I1254" t="str">
            <v>ZZ</v>
          </cell>
          <cell r="J1254">
            <v>20.399999999999999</v>
          </cell>
          <cell r="N1254" t="e">
            <v>#DIV/0!</v>
          </cell>
        </row>
        <row r="1255">
          <cell r="E1255" t="str">
            <v>HGC-Lib-2462940</v>
          </cell>
          <cell r="F1255" t="str">
            <v>LVA220507006X2</v>
          </cell>
          <cell r="G1255">
            <v>10</v>
          </cell>
          <cell r="H1255" t="str">
            <v>singleron-3'转录组文库</v>
          </cell>
          <cell r="I1255" t="str">
            <v>ZZ</v>
          </cell>
          <cell r="J1255">
            <v>22.4</v>
          </cell>
          <cell r="N1255" t="e">
            <v>#DIV/0!</v>
          </cell>
        </row>
        <row r="1256">
          <cell r="E1256" t="str">
            <v>HGC-Lib-2462941</v>
          </cell>
          <cell r="F1256" t="str">
            <v>LA230315010X2</v>
          </cell>
          <cell r="G1256">
            <v>10</v>
          </cell>
          <cell r="H1256" t="str">
            <v>singleron-3'转录组文库</v>
          </cell>
          <cell r="I1256" t="str">
            <v>ZZ</v>
          </cell>
          <cell r="J1256">
            <v>24.2</v>
          </cell>
          <cell r="N1256" t="e">
            <v>#DIV/0!</v>
          </cell>
        </row>
        <row r="1257">
          <cell r="E1257" t="str">
            <v>HGC-Lib-2462942</v>
          </cell>
          <cell r="F1257" t="str">
            <v>LVA220507006X1</v>
          </cell>
          <cell r="G1257">
            <v>10</v>
          </cell>
          <cell r="H1257" t="str">
            <v>singleron-3'转录组文库</v>
          </cell>
          <cell r="I1257" t="str">
            <v>ZZ</v>
          </cell>
          <cell r="J1257">
            <v>20</v>
          </cell>
          <cell r="N1257" t="e">
            <v>#DIV/0!</v>
          </cell>
        </row>
        <row r="1258">
          <cell r="E1258" t="str">
            <v>HGC-Lib-2462943</v>
          </cell>
          <cell r="F1258" t="str">
            <v>LVA220406003X1</v>
          </cell>
          <cell r="G1258">
            <v>10</v>
          </cell>
          <cell r="H1258" t="str">
            <v>singleron-3'转录组文库</v>
          </cell>
          <cell r="I1258" t="str">
            <v>ZZ</v>
          </cell>
          <cell r="J1258">
            <v>21</v>
          </cell>
          <cell r="N1258" t="e">
            <v>#DIV/0!</v>
          </cell>
        </row>
        <row r="1259">
          <cell r="E1259" t="str">
            <v>HGC-Lib-2462944</v>
          </cell>
          <cell r="F1259" t="str">
            <v>LVA221024042X1</v>
          </cell>
          <cell r="G1259">
            <v>10</v>
          </cell>
          <cell r="H1259" t="str">
            <v>singleron-3'转录组文库</v>
          </cell>
          <cell r="I1259" t="str">
            <v>ZZ</v>
          </cell>
          <cell r="J1259">
            <v>7.16</v>
          </cell>
          <cell r="N1259" t="e">
            <v>#DIV/0!</v>
          </cell>
        </row>
        <row r="1260">
          <cell r="E1260" t="str">
            <v>HGC-Lib-2462945</v>
          </cell>
          <cell r="F1260" t="str">
            <v>LA240730094</v>
          </cell>
          <cell r="G1260">
            <v>90</v>
          </cell>
          <cell r="H1260" t="str">
            <v>singleron-3'转录组文库</v>
          </cell>
          <cell r="I1260" t="str">
            <v>ZZ</v>
          </cell>
          <cell r="J1260">
            <v>19.2</v>
          </cell>
          <cell r="N1260" t="e">
            <v>#DIV/0!</v>
          </cell>
        </row>
        <row r="1261">
          <cell r="E1261" t="str">
            <v>HGC-Lib-2462946</v>
          </cell>
          <cell r="F1261" t="str">
            <v>LA240730095</v>
          </cell>
          <cell r="G1261">
            <v>90</v>
          </cell>
          <cell r="H1261" t="str">
            <v>singleron-3'转录组文库</v>
          </cell>
          <cell r="I1261" t="str">
            <v>ZZ</v>
          </cell>
          <cell r="J1261">
            <v>14.3</v>
          </cell>
          <cell r="N1261" t="e">
            <v>#DIV/0!</v>
          </cell>
        </row>
        <row r="1262">
          <cell r="E1262" t="str">
            <v>HGC-Lib-2462947</v>
          </cell>
          <cell r="F1262" t="str">
            <v>LA240731053</v>
          </cell>
          <cell r="G1262">
            <v>90</v>
          </cell>
          <cell r="H1262" t="str">
            <v>singleron-3'转录组文库</v>
          </cell>
          <cell r="I1262" t="str">
            <v>ZZ</v>
          </cell>
          <cell r="J1262">
            <v>36.6</v>
          </cell>
          <cell r="N1262" t="e">
            <v>#DIV/0!</v>
          </cell>
        </row>
        <row r="1263">
          <cell r="E1263" t="str">
            <v>HGC-Lib-2462948</v>
          </cell>
          <cell r="F1263" t="str">
            <v>LA240731014</v>
          </cell>
          <cell r="G1263">
            <v>100</v>
          </cell>
          <cell r="H1263" t="str">
            <v>singleron-3'转录组文库</v>
          </cell>
          <cell r="I1263" t="str">
            <v>ZZ</v>
          </cell>
          <cell r="J1263">
            <v>33.4</v>
          </cell>
          <cell r="N1263" t="e">
            <v>#DIV/0!</v>
          </cell>
        </row>
        <row r="1264">
          <cell r="E1264" t="str">
            <v>HGC-Lib-2462949</v>
          </cell>
          <cell r="F1264" t="str">
            <v>LC240730007</v>
          </cell>
          <cell r="G1264">
            <v>10</v>
          </cell>
          <cell r="H1264" t="str">
            <v>singleron-3'转录组文库</v>
          </cell>
          <cell r="I1264" t="str">
            <v>ZZ</v>
          </cell>
          <cell r="J1264">
            <v>27.2</v>
          </cell>
          <cell r="N1264" t="e">
            <v>#DIV/0!</v>
          </cell>
        </row>
        <row r="1265">
          <cell r="E1265" t="str">
            <v>HGC-Lib-2462950</v>
          </cell>
          <cell r="F1265" t="str">
            <v>LC240730006</v>
          </cell>
          <cell r="G1265">
            <v>10</v>
          </cell>
          <cell r="H1265" t="str">
            <v>singleron-3'转录组文库</v>
          </cell>
          <cell r="I1265" t="str">
            <v>ZZ</v>
          </cell>
          <cell r="J1265">
            <v>30</v>
          </cell>
          <cell r="N1265" t="e">
            <v>#DIV/0!</v>
          </cell>
        </row>
        <row r="1266">
          <cell r="E1266" t="str">
            <v>HGC-Lib-2462951</v>
          </cell>
          <cell r="F1266" t="str">
            <v>LC240730009</v>
          </cell>
          <cell r="G1266">
            <v>10</v>
          </cell>
          <cell r="H1266" t="str">
            <v>singleron-3'转录组文库</v>
          </cell>
          <cell r="I1266" t="str">
            <v>ZZ</v>
          </cell>
          <cell r="J1266">
            <v>27.6</v>
          </cell>
          <cell r="N1266" t="e">
            <v>#DIV/0!</v>
          </cell>
        </row>
        <row r="1267">
          <cell r="E1267" t="str">
            <v>HGC-Lib-2462952</v>
          </cell>
          <cell r="F1267" t="str">
            <v>LC240730005</v>
          </cell>
          <cell r="G1267">
            <v>10</v>
          </cell>
          <cell r="H1267" t="str">
            <v>singleron-3'转录组文库</v>
          </cell>
          <cell r="I1267" t="str">
            <v>ZZ</v>
          </cell>
          <cell r="J1267">
            <v>29.2</v>
          </cell>
          <cell r="N1267" t="e">
            <v>#DIV/0!</v>
          </cell>
        </row>
        <row r="1268">
          <cell r="E1268" t="str">
            <v>HGC-Lib-2462953</v>
          </cell>
          <cell r="F1268" t="str">
            <v>LC240730008</v>
          </cell>
          <cell r="G1268">
            <v>10</v>
          </cell>
          <cell r="H1268" t="str">
            <v>singleron-3'转录组文库</v>
          </cell>
          <cell r="I1268" t="str">
            <v>ZZ</v>
          </cell>
          <cell r="J1268">
            <v>26</v>
          </cell>
          <cell r="N1268" t="e">
            <v>#DIV/0!</v>
          </cell>
        </row>
        <row r="1269">
          <cell r="E1269" t="str">
            <v>HGC-Lib-2462954</v>
          </cell>
          <cell r="F1269" t="str">
            <v>LC240730010</v>
          </cell>
          <cell r="G1269">
            <v>10</v>
          </cell>
          <cell r="H1269" t="str">
            <v>singleron-3'转录组文库</v>
          </cell>
          <cell r="I1269" t="str">
            <v>ZZ</v>
          </cell>
          <cell r="J1269">
            <v>27.8</v>
          </cell>
          <cell r="N1269" t="e">
            <v>#DIV/0!</v>
          </cell>
        </row>
        <row r="1270">
          <cell r="E1270" t="str">
            <v>HGC-Lib-2462955</v>
          </cell>
          <cell r="F1270" t="str">
            <v>LHC240801041</v>
          </cell>
          <cell r="G1270">
            <v>30</v>
          </cell>
          <cell r="H1270" t="str">
            <v>singleron-3'转录组文库</v>
          </cell>
          <cell r="I1270" t="str">
            <v>ZZ</v>
          </cell>
          <cell r="J1270">
            <v>23.4</v>
          </cell>
          <cell r="N1270" t="e">
            <v>#DIV/0!</v>
          </cell>
        </row>
        <row r="1271">
          <cell r="E1271" t="str">
            <v>HGC-Lib-2462956</v>
          </cell>
          <cell r="F1271" t="str">
            <v>LHC240801040</v>
          </cell>
          <cell r="G1271">
            <v>200</v>
          </cell>
          <cell r="H1271" t="str">
            <v>singleron-3'转录组文库</v>
          </cell>
          <cell r="I1271" t="str">
            <v>ZZ</v>
          </cell>
          <cell r="J1271">
            <v>36.6</v>
          </cell>
          <cell r="N1271" t="e">
            <v>#DIV/0!</v>
          </cell>
        </row>
        <row r="1272">
          <cell r="E1272" t="str">
            <v>HGC-Lib-2462957</v>
          </cell>
          <cell r="F1272" t="str">
            <v>LC240723033</v>
          </cell>
          <cell r="G1272">
            <v>10</v>
          </cell>
          <cell r="H1272" t="str">
            <v>singleron-3'转录组文库</v>
          </cell>
          <cell r="I1272" t="str">
            <v>ZZ</v>
          </cell>
          <cell r="J1272">
            <v>14</v>
          </cell>
          <cell r="N1272" t="e">
            <v>#DIV/0!</v>
          </cell>
        </row>
        <row r="1273">
          <cell r="E1273" t="str">
            <v>HGC-Lib-2462958</v>
          </cell>
          <cell r="F1273" t="str">
            <v>CH-4</v>
          </cell>
          <cell r="G1273">
            <v>5</v>
          </cell>
          <cell r="H1273" t="str">
            <v>PCR产物文库</v>
          </cell>
          <cell r="I1273" t="str">
            <v>WWH</v>
          </cell>
          <cell r="J1273">
            <v>36.4</v>
          </cell>
          <cell r="K1273">
            <v>431</v>
          </cell>
          <cell r="L1273" t="str">
            <v>WWH</v>
          </cell>
          <cell r="M1273" t="str">
            <v>加水30ul</v>
          </cell>
          <cell r="N1273">
            <v>129.93039443155499</v>
          </cell>
        </row>
        <row r="1274">
          <cell r="E1274" t="str">
            <v>HGC-Lib-2462959</v>
          </cell>
          <cell r="F1274" t="str">
            <v>NL-5</v>
          </cell>
          <cell r="G1274">
            <v>5</v>
          </cell>
          <cell r="H1274" t="str">
            <v>PCR产物文库</v>
          </cell>
          <cell r="I1274" t="str">
            <v>WWH</v>
          </cell>
          <cell r="J1274">
            <v>45.6</v>
          </cell>
          <cell r="K1274">
            <v>372</v>
          </cell>
          <cell r="L1274" t="str">
            <v>WWH</v>
          </cell>
          <cell r="N1274">
            <v>188.58560794044701</v>
          </cell>
        </row>
        <row r="1275">
          <cell r="E1275" t="str">
            <v>HGC-Lib-2462960</v>
          </cell>
          <cell r="F1275" t="str">
            <v>NL-6</v>
          </cell>
          <cell r="G1275">
            <v>5</v>
          </cell>
          <cell r="H1275" t="str">
            <v>PCR产物文库</v>
          </cell>
          <cell r="I1275" t="str">
            <v>WWH</v>
          </cell>
          <cell r="J1275">
            <v>46.4</v>
          </cell>
          <cell r="K1275">
            <v>347</v>
          </cell>
          <cell r="L1275" t="str">
            <v>WWH</v>
          </cell>
          <cell r="M1275" t="str">
            <v>加水30ul</v>
          </cell>
          <cell r="N1275">
            <v>205.719352693416</v>
          </cell>
        </row>
        <row r="1276">
          <cell r="E1276" t="str">
            <v>HGC-Lib-2462961</v>
          </cell>
          <cell r="F1276" t="str">
            <v>LTSZ166</v>
          </cell>
          <cell r="G1276">
            <v>7</v>
          </cell>
          <cell r="H1276" t="str">
            <v>mRNA文库</v>
          </cell>
          <cell r="I1276" t="str">
            <v>WWH</v>
          </cell>
          <cell r="J1276">
            <v>18.899999999999999</v>
          </cell>
          <cell r="K1276">
            <v>363</v>
          </cell>
          <cell r="L1276" t="str">
            <v>WWH</v>
          </cell>
          <cell r="N1276">
            <v>80.101716465352794</v>
          </cell>
        </row>
        <row r="1277">
          <cell r="E1277" t="str">
            <v>HGC-Lib-2462962</v>
          </cell>
          <cell r="F1277" t="str">
            <v>LTSZ167</v>
          </cell>
          <cell r="G1277">
            <v>7</v>
          </cell>
          <cell r="H1277" t="str">
            <v>mRNA文库</v>
          </cell>
          <cell r="I1277" t="str">
            <v>WWH</v>
          </cell>
          <cell r="J1277">
            <v>13.5</v>
          </cell>
          <cell r="K1277">
            <v>369</v>
          </cell>
          <cell r="L1277" t="str">
            <v>WWH</v>
          </cell>
          <cell r="N1277">
            <v>56.285178236397698</v>
          </cell>
        </row>
        <row r="1278">
          <cell r="E1278" t="str">
            <v>HGC-Lib-2462963</v>
          </cell>
          <cell r="F1278" t="str">
            <v>LTSZ168</v>
          </cell>
          <cell r="G1278">
            <v>7</v>
          </cell>
          <cell r="H1278" t="str">
            <v>mRNA文库</v>
          </cell>
          <cell r="I1278" t="str">
            <v>WWH</v>
          </cell>
          <cell r="J1278">
            <v>11</v>
          </cell>
          <cell r="K1278">
            <v>366</v>
          </cell>
          <cell r="L1278" t="str">
            <v>WWH</v>
          </cell>
          <cell r="N1278">
            <v>46.237915090374102</v>
          </cell>
        </row>
        <row r="1279">
          <cell r="E1279" t="str">
            <v>HGC-Lib-2462964</v>
          </cell>
          <cell r="F1279" t="str">
            <v>LTSZ169</v>
          </cell>
          <cell r="G1279">
            <v>7</v>
          </cell>
          <cell r="H1279" t="str">
            <v>mRNA文库</v>
          </cell>
          <cell r="I1279" t="str">
            <v>WWH</v>
          </cell>
          <cell r="J1279">
            <v>15.5</v>
          </cell>
          <cell r="K1279">
            <v>374</v>
          </cell>
          <cell r="L1279" t="str">
            <v>WWH</v>
          </cell>
          <cell r="N1279">
            <v>63.759769642122599</v>
          </cell>
        </row>
        <row r="1280">
          <cell r="E1280" t="str">
            <v>HGC-Lib-2462965</v>
          </cell>
          <cell r="F1280" t="str">
            <v>L240718048X3</v>
          </cell>
          <cell r="G1280">
            <v>100</v>
          </cell>
          <cell r="H1280" t="str">
            <v>10X 3'转录组文库</v>
          </cell>
          <cell r="I1280" t="str">
            <v>WWH</v>
          </cell>
          <cell r="J1280">
            <v>20.8</v>
          </cell>
          <cell r="L1280" t="str">
            <v>WWH</v>
          </cell>
          <cell r="N1280" t="e">
            <v>#DIV/0!</v>
          </cell>
        </row>
        <row r="1281">
          <cell r="E1281" t="str">
            <v>HGC-POOL-2462966</v>
          </cell>
          <cell r="F1281" t="str">
            <v>PLN236</v>
          </cell>
          <cell r="G1281">
            <v>60</v>
          </cell>
          <cell r="H1281" t="str">
            <v>DAP-Seq文库</v>
          </cell>
          <cell r="I1281" t="str">
            <v>WWH</v>
          </cell>
          <cell r="J1281">
            <v>13.1</v>
          </cell>
          <cell r="K1281">
            <v>305</v>
          </cell>
          <cell r="L1281" t="str">
            <v>WWH</v>
          </cell>
          <cell r="N1281">
            <v>66.078184110970994</v>
          </cell>
        </row>
        <row r="1282">
          <cell r="E1282" t="str">
            <v>HGC-POOL-2462967</v>
          </cell>
          <cell r="F1282" t="str">
            <v>PLN237</v>
          </cell>
          <cell r="G1282">
            <v>70</v>
          </cell>
          <cell r="H1282" t="str">
            <v>Chip-Seq</v>
          </cell>
          <cell r="I1282" t="str">
            <v>WWH</v>
          </cell>
          <cell r="J1282">
            <v>16.600000000000001</v>
          </cell>
          <cell r="K1282">
            <v>308</v>
          </cell>
          <cell r="L1282" t="str">
            <v>WWH</v>
          </cell>
          <cell r="N1282">
            <v>82.917082917082894</v>
          </cell>
        </row>
        <row r="1283">
          <cell r="E1283" t="str">
            <v>HGC-Lib-2462968</v>
          </cell>
          <cell r="F1283" t="str">
            <v>TSCIP1</v>
          </cell>
          <cell r="G1283">
            <v>5</v>
          </cell>
          <cell r="H1283" t="str">
            <v>HI-C文库</v>
          </cell>
          <cell r="I1283" t="str">
            <v>WWH</v>
          </cell>
          <cell r="J1283">
            <v>1.2</v>
          </cell>
          <cell r="K1283">
            <v>535</v>
          </cell>
          <cell r="L1283" t="str">
            <v>WWH</v>
          </cell>
          <cell r="N1283">
            <v>3.4507548526240099</v>
          </cell>
        </row>
        <row r="1284">
          <cell r="E1284" t="str">
            <v>HGC-POOL-2462969</v>
          </cell>
          <cell r="F1284" t="str">
            <v>8-5-rice_IP</v>
          </cell>
          <cell r="G1284">
            <v>144</v>
          </cell>
          <cell r="H1284" t="str">
            <v>ChIP-seq</v>
          </cell>
          <cell r="I1284" t="str">
            <v>WWH</v>
          </cell>
          <cell r="J1284">
            <v>2.72</v>
          </cell>
          <cell r="K1284">
            <v>368</v>
          </cell>
          <cell r="L1284" t="str">
            <v>WWH</v>
          </cell>
          <cell r="N1284">
            <v>11.371237458194001</v>
          </cell>
        </row>
        <row r="1285">
          <cell r="E1285" t="str">
            <v>HGC-Lib-2462970</v>
          </cell>
          <cell r="F1285" t="str">
            <v>A-VEn-VKit-0806</v>
          </cell>
          <cell r="G1285">
            <v>10</v>
          </cell>
          <cell r="I1285" t="str">
            <v>YHT</v>
          </cell>
          <cell r="J1285">
            <v>45.8</v>
          </cell>
          <cell r="K1285">
            <v>417</v>
          </cell>
          <cell r="L1285" t="str">
            <v>YHT</v>
          </cell>
          <cell r="N1285">
            <v>168.97251429625501</v>
          </cell>
        </row>
        <row r="1286">
          <cell r="E1286" t="str">
            <v>HGC-Lib-2462971</v>
          </cell>
          <cell r="F1286" t="str">
            <v>A-VEn-TKit-0806</v>
          </cell>
          <cell r="G1286">
            <v>10</v>
          </cell>
          <cell r="I1286" t="str">
            <v>YHT</v>
          </cell>
          <cell r="J1286">
            <v>35</v>
          </cell>
          <cell r="K1286">
            <v>395</v>
          </cell>
          <cell r="L1286" t="str">
            <v>YHT</v>
          </cell>
          <cell r="N1286">
            <v>136.319376825706</v>
          </cell>
        </row>
        <row r="1287">
          <cell r="E1287" t="str">
            <v>HGC-Lib-2462972</v>
          </cell>
          <cell r="F1287" t="str">
            <v>A-S603-2-0709</v>
          </cell>
          <cell r="G1287">
            <v>10</v>
          </cell>
          <cell r="I1287" t="str">
            <v>YHT</v>
          </cell>
          <cell r="J1287">
            <v>26.4</v>
          </cell>
          <cell r="K1287">
            <v>422</v>
          </cell>
          <cell r="L1287" t="str">
            <v>YHT</v>
          </cell>
          <cell r="N1287">
            <v>96.244987240247895</v>
          </cell>
        </row>
        <row r="1288">
          <cell r="E1288" t="str">
            <v>HGC-POOL-2462982</v>
          </cell>
          <cell r="F1288">
            <v>20</v>
          </cell>
          <cell r="G1288">
            <v>24</v>
          </cell>
          <cell r="I1288" t="str">
            <v>YHT</v>
          </cell>
          <cell r="J1288">
            <v>3.28</v>
          </cell>
          <cell r="K1288">
            <v>348</v>
          </cell>
          <cell r="L1288" t="str">
            <v>YHT</v>
          </cell>
          <cell r="N1288">
            <v>14.500442086649</v>
          </cell>
        </row>
        <row r="1289">
          <cell r="E1289" t="str">
            <v>HGC-POOL-2462983</v>
          </cell>
          <cell r="F1289">
            <v>21</v>
          </cell>
          <cell r="G1289">
            <v>18</v>
          </cell>
          <cell r="I1289" t="str">
            <v>YHT</v>
          </cell>
          <cell r="J1289">
            <v>3.44</v>
          </cell>
          <cell r="K1289">
            <v>344</v>
          </cell>
          <cell r="L1289" t="str">
            <v>YHT</v>
          </cell>
          <cell r="N1289">
            <v>15.384615384615399</v>
          </cell>
        </row>
        <row r="1290">
          <cell r="E1290" t="str">
            <v>HGC-POOL-2462984</v>
          </cell>
          <cell r="F1290">
            <v>22</v>
          </cell>
          <cell r="G1290">
            <v>12</v>
          </cell>
          <cell r="I1290" t="str">
            <v>YHT</v>
          </cell>
          <cell r="J1290">
            <v>3.02</v>
          </cell>
          <cell r="K1290">
            <v>346</v>
          </cell>
          <cell r="L1290" t="str">
            <v>YHT</v>
          </cell>
          <cell r="N1290">
            <v>13.428190306803</v>
          </cell>
        </row>
        <row r="1291">
          <cell r="E1291" t="str">
            <v>HGC-Lib-2463000</v>
          </cell>
          <cell r="F1291" t="str">
            <v>0807X1</v>
          </cell>
          <cell r="I1291" t="str">
            <v>WH</v>
          </cell>
          <cell r="J1291">
            <v>27.1</v>
          </cell>
          <cell r="K1291">
            <v>471</v>
          </cell>
          <cell r="L1291" t="str">
            <v>WH</v>
          </cell>
          <cell r="N1291">
            <v>88.5186999836681</v>
          </cell>
        </row>
        <row r="1292">
          <cell r="E1292" t="str">
            <v>HGC-POOL-2463046</v>
          </cell>
          <cell r="F1292" t="str">
            <v>pool-4585-Xplus</v>
          </cell>
          <cell r="I1292" t="str">
            <v>WH</v>
          </cell>
          <cell r="J1292">
            <v>11.7</v>
          </cell>
          <cell r="K1292">
            <v>522</v>
          </cell>
          <cell r="L1292" t="str">
            <v>WH</v>
          </cell>
          <cell r="N1292">
            <v>34.482758620689701</v>
          </cell>
        </row>
        <row r="1293">
          <cell r="E1293" t="str">
            <v>HGC-POOL-2463047</v>
          </cell>
          <cell r="F1293" t="str">
            <v>pool-4586-Xplus</v>
          </cell>
          <cell r="I1293" t="str">
            <v>WH</v>
          </cell>
          <cell r="J1293">
            <v>18.350000000000001</v>
          </cell>
          <cell r="K1293">
            <v>521</v>
          </cell>
          <cell r="L1293" t="str">
            <v>WH</v>
          </cell>
          <cell r="N1293">
            <v>54.185737487081099</v>
          </cell>
        </row>
        <row r="1294">
          <cell r="E1294" t="str">
            <v>HGC-POOL-2463048</v>
          </cell>
          <cell r="F1294" t="str">
            <v>pool-4587-Xplus</v>
          </cell>
          <cell r="I1294" t="str">
            <v>WH</v>
          </cell>
          <cell r="J1294">
            <v>10.9</v>
          </cell>
          <cell r="K1294">
            <v>474</v>
          </cell>
          <cell r="L1294" t="str">
            <v>WH</v>
          </cell>
          <cell r="N1294">
            <v>35.378123985718901</v>
          </cell>
        </row>
        <row r="1295">
          <cell r="E1295" t="str">
            <v>HGC-Lib-2462985</v>
          </cell>
          <cell r="F1295" t="str">
            <v>N_B_N4623-05-10X3Tmour-11</v>
          </cell>
          <cell r="G1295">
            <v>100</v>
          </cell>
          <cell r="H1295" t="str">
            <v>10× 3'单细胞</v>
          </cell>
          <cell r="I1295" t="str">
            <v>XCL</v>
          </cell>
          <cell r="J1295">
            <v>12.9</v>
          </cell>
          <cell r="N1295" t="e">
            <v>#DIV/0!</v>
          </cell>
        </row>
        <row r="1296">
          <cell r="E1296" t="str">
            <v>HGC-Lib-2462986</v>
          </cell>
          <cell r="F1296" t="str">
            <v>N_B_N4723-0Y-BDv2wujinzhou-PBMC-1ci</v>
          </cell>
          <cell r="G1296">
            <v>100</v>
          </cell>
          <cell r="H1296" t="str">
            <v>BD-单细胞</v>
          </cell>
          <cell r="I1296" t="str">
            <v>XCL</v>
          </cell>
          <cell r="J1296">
            <v>38.4</v>
          </cell>
          <cell r="N1296" t="e">
            <v>#DIV/0!</v>
          </cell>
        </row>
        <row r="1297">
          <cell r="E1297" t="str">
            <v>HGC-Lib-2462987</v>
          </cell>
          <cell r="F1297" t="str">
            <v>N_B_N4723-0Z-BDv2wujinzhou-PBMC-2ci</v>
          </cell>
          <cell r="G1297">
            <v>100</v>
          </cell>
          <cell r="H1297" t="str">
            <v>BD-单细胞</v>
          </cell>
          <cell r="I1297" t="str">
            <v>XCL</v>
          </cell>
          <cell r="J1297">
            <v>30.8</v>
          </cell>
          <cell r="N1297" t="e">
            <v>#DIV/0!</v>
          </cell>
        </row>
        <row r="1298">
          <cell r="E1298" t="str">
            <v>HGC-Lib-2462988</v>
          </cell>
          <cell r="F1298" t="str">
            <v>N_B_N4723-16-BDv2zhangyidiliaozhongxue</v>
          </cell>
          <cell r="G1298">
            <v>100</v>
          </cell>
          <cell r="H1298" t="str">
            <v>BD-单细胞</v>
          </cell>
          <cell r="I1298" t="str">
            <v>XCL</v>
          </cell>
          <cell r="J1298">
            <v>16.399999999999999</v>
          </cell>
          <cell r="N1298" t="e">
            <v>#DIV/0!</v>
          </cell>
        </row>
        <row r="1299">
          <cell r="E1299" t="str">
            <v>HGC-Lib-2462989</v>
          </cell>
          <cell r="F1299" t="str">
            <v>N_B_N4807-3A-BDv2zhangyidiliaozhongxue-test</v>
          </cell>
          <cell r="G1299">
            <v>100</v>
          </cell>
          <cell r="H1299" t="str">
            <v>BD-单细胞</v>
          </cell>
          <cell r="I1299" t="str">
            <v>XCL</v>
          </cell>
          <cell r="J1299">
            <v>11</v>
          </cell>
          <cell r="N1299" t="e">
            <v>#DIV/0!</v>
          </cell>
        </row>
        <row r="1300">
          <cell r="E1300" t="str">
            <v>HGC-Lib-2462990</v>
          </cell>
          <cell r="F1300" t="str">
            <v>N_B_N4725-1M-BDv2MV4</v>
          </cell>
          <cell r="G1300">
            <v>100</v>
          </cell>
          <cell r="H1300" t="str">
            <v>BD-单细胞</v>
          </cell>
          <cell r="I1300" t="str">
            <v>XCL</v>
          </cell>
          <cell r="J1300">
            <v>29</v>
          </cell>
          <cell r="N1300" t="e">
            <v>#DIV/0!</v>
          </cell>
        </row>
        <row r="1301">
          <cell r="E1301" t="str">
            <v>HGC-Lib-2462991</v>
          </cell>
          <cell r="F1301" t="str">
            <v>N_B_N4725-1N-BDv2AV4</v>
          </cell>
          <cell r="G1301">
            <v>100</v>
          </cell>
          <cell r="H1301" t="str">
            <v>BD-单细胞</v>
          </cell>
          <cell r="I1301" t="str">
            <v>XCL</v>
          </cell>
          <cell r="J1301">
            <v>29</v>
          </cell>
          <cell r="N1301" t="e">
            <v>#DIV/0!</v>
          </cell>
        </row>
        <row r="1302">
          <cell r="E1302" t="str">
            <v>HGC-Lib-2462992</v>
          </cell>
          <cell r="F1302" t="str">
            <v>N_B_N4723-1U-10X3W-1</v>
          </cell>
          <cell r="G1302">
            <v>100</v>
          </cell>
          <cell r="H1302" t="str">
            <v>10× 3'单细胞</v>
          </cell>
          <cell r="I1302" t="str">
            <v>XCL</v>
          </cell>
          <cell r="J1302">
            <v>15.3</v>
          </cell>
          <cell r="N1302" t="e">
            <v>#DIV/0!</v>
          </cell>
        </row>
        <row r="1303">
          <cell r="E1303" t="str">
            <v>HGC-Lib-2462993</v>
          </cell>
          <cell r="F1303" t="str">
            <v>N_B_N4723-1V-10X3W-2</v>
          </cell>
          <cell r="G1303">
            <v>100</v>
          </cell>
          <cell r="H1303" t="str">
            <v>10× 3'单细胞</v>
          </cell>
          <cell r="I1303" t="str">
            <v>XCL</v>
          </cell>
          <cell r="J1303">
            <v>16.600000000000001</v>
          </cell>
          <cell r="N1303" t="e">
            <v>#DIV/0!</v>
          </cell>
        </row>
        <row r="1304">
          <cell r="E1304" t="str">
            <v>HGC-Lib-2462994</v>
          </cell>
          <cell r="F1304" t="str">
            <v>N_B_N4723-1W-10X3J-1</v>
          </cell>
          <cell r="G1304">
            <v>100</v>
          </cell>
          <cell r="H1304" t="str">
            <v>10× 3'单细胞</v>
          </cell>
          <cell r="I1304" t="str">
            <v>XCL</v>
          </cell>
          <cell r="J1304">
            <v>13.3</v>
          </cell>
          <cell r="N1304" t="e">
            <v>#DIV/0!</v>
          </cell>
        </row>
        <row r="1305">
          <cell r="E1305" t="str">
            <v>HGC-Lib-2462995</v>
          </cell>
          <cell r="F1305" t="str">
            <v>N_B_N4723-1X-10X3J-2</v>
          </cell>
          <cell r="G1305">
            <v>100</v>
          </cell>
          <cell r="H1305" t="str">
            <v>10× 3'单细胞</v>
          </cell>
          <cell r="I1305" t="str">
            <v>XCL</v>
          </cell>
          <cell r="J1305">
            <v>12.5</v>
          </cell>
          <cell r="N1305" t="e">
            <v>#DIV/0!</v>
          </cell>
        </row>
        <row r="1306">
          <cell r="E1306" t="str">
            <v>HGC-Lib-2462996</v>
          </cell>
          <cell r="F1306" t="str">
            <v>N_B_N4723-1Y-10X3A-1</v>
          </cell>
          <cell r="G1306">
            <v>100</v>
          </cell>
          <cell r="H1306" t="str">
            <v>10× 3'单细胞</v>
          </cell>
          <cell r="I1306" t="str">
            <v>XCL</v>
          </cell>
          <cell r="J1306">
            <v>15.3</v>
          </cell>
          <cell r="N1306" t="e">
            <v>#DIV/0!</v>
          </cell>
        </row>
        <row r="1307">
          <cell r="E1307" t="str">
            <v>HGC-Lib-2462997</v>
          </cell>
          <cell r="F1307" t="str">
            <v>N_B_N4723-1Z-10X3A-2</v>
          </cell>
          <cell r="G1307">
            <v>100</v>
          </cell>
          <cell r="H1307" t="str">
            <v>10× 3'单细胞</v>
          </cell>
          <cell r="I1307" t="str">
            <v>XCL</v>
          </cell>
          <cell r="J1307">
            <v>7.62</v>
          </cell>
          <cell r="N1307" t="e">
            <v>#DIV/0!</v>
          </cell>
        </row>
        <row r="1308">
          <cell r="E1308" t="str">
            <v>HGC-Lib-2462998</v>
          </cell>
          <cell r="F1308" t="str">
            <v>N_B_N4723-20-10X3AJ-1</v>
          </cell>
          <cell r="G1308">
            <v>100</v>
          </cell>
          <cell r="H1308" t="str">
            <v>10× 3'单细胞</v>
          </cell>
          <cell r="I1308" t="str">
            <v>XCL</v>
          </cell>
          <cell r="J1308">
            <v>7.64</v>
          </cell>
          <cell r="N1308" t="e">
            <v>#DIV/0!</v>
          </cell>
        </row>
        <row r="1309">
          <cell r="E1309" t="str">
            <v>HGC-Lib-2462999</v>
          </cell>
          <cell r="F1309" t="str">
            <v>N_B_N4723-21-10X3AJ-2</v>
          </cell>
          <cell r="G1309">
            <v>100</v>
          </cell>
          <cell r="H1309" t="str">
            <v>10× 3'单细胞</v>
          </cell>
          <cell r="I1309" t="str">
            <v>XCL</v>
          </cell>
          <cell r="J1309">
            <v>14</v>
          </cell>
          <cell r="N1309" t="e">
            <v>#DIV/0!</v>
          </cell>
        </row>
        <row r="1310">
          <cell r="E1310" t="str">
            <v>HGC-Lib-2463001</v>
          </cell>
          <cell r="F1310" t="str">
            <v>Testis_1</v>
          </cell>
          <cell r="G1310">
            <v>10</v>
          </cell>
          <cell r="H1310" t="str">
            <v>ATAC-Seq文库</v>
          </cell>
          <cell r="I1310" t="str">
            <v>XCL</v>
          </cell>
          <cell r="J1310">
            <v>21.2</v>
          </cell>
          <cell r="K1310">
            <v>276</v>
          </cell>
          <cell r="N1310">
            <v>118.171683389075</v>
          </cell>
        </row>
        <row r="1311">
          <cell r="E1311" t="str">
            <v>HGC-Lib-2463002</v>
          </cell>
          <cell r="F1311" t="str">
            <v>Testis_2</v>
          </cell>
          <cell r="G1311">
            <v>10</v>
          </cell>
          <cell r="H1311" t="str">
            <v>ATAC-Seq文库</v>
          </cell>
          <cell r="I1311" t="str">
            <v>XCL</v>
          </cell>
          <cell r="J1311">
            <v>7.08</v>
          </cell>
          <cell r="K1311">
            <v>302</v>
          </cell>
          <cell r="L1311" t="str">
            <v>HZK</v>
          </cell>
          <cell r="N1311">
            <v>36.067244014263899</v>
          </cell>
        </row>
        <row r="1312">
          <cell r="E1312" t="str">
            <v>HGC-Lib-2463003</v>
          </cell>
          <cell r="F1312" t="str">
            <v>Testis_3</v>
          </cell>
          <cell r="G1312">
            <v>10</v>
          </cell>
          <cell r="H1312" t="str">
            <v>ATAC-Seq文库</v>
          </cell>
          <cell r="I1312" t="str">
            <v>XCL</v>
          </cell>
          <cell r="J1312">
            <v>24.4</v>
          </cell>
          <cell r="K1312">
            <v>284</v>
          </cell>
          <cell r="N1312">
            <v>132.177681473456</v>
          </cell>
        </row>
        <row r="1313">
          <cell r="E1313" t="str">
            <v>HGC-Lib-2463004</v>
          </cell>
          <cell r="F1313" t="str">
            <v>Testis_4</v>
          </cell>
          <cell r="G1313">
            <v>10</v>
          </cell>
          <cell r="H1313" t="str">
            <v>ATAC-Seq文库</v>
          </cell>
          <cell r="I1313" t="str">
            <v>XCL</v>
          </cell>
          <cell r="J1313">
            <v>10.7</v>
          </cell>
          <cell r="K1313">
            <v>249</v>
          </cell>
          <cell r="N1313">
            <v>66.110596231078205</v>
          </cell>
        </row>
        <row r="1314">
          <cell r="E1314" t="str">
            <v>HGC-Lib-2463005</v>
          </cell>
          <cell r="F1314" t="str">
            <v>Testis_5</v>
          </cell>
          <cell r="G1314">
            <v>10</v>
          </cell>
          <cell r="H1314" t="str">
            <v>ATAC-Seq文库</v>
          </cell>
          <cell r="I1314" t="str">
            <v>XCL</v>
          </cell>
          <cell r="J1314">
            <v>9.6999999999999993</v>
          </cell>
          <cell r="K1314">
            <v>305</v>
          </cell>
          <cell r="L1314" t="str">
            <v>HZK</v>
          </cell>
          <cell r="N1314">
            <v>48.928121059268598</v>
          </cell>
        </row>
        <row r="1315">
          <cell r="E1315" t="str">
            <v>HGC-Lib-2463006</v>
          </cell>
          <cell r="F1315" t="str">
            <v>Tilapia_Spleen</v>
          </cell>
          <cell r="G1315">
            <v>10</v>
          </cell>
          <cell r="H1315" t="str">
            <v>ATAC-Seq文库</v>
          </cell>
          <cell r="I1315" t="str">
            <v>XCL</v>
          </cell>
          <cell r="J1315">
            <v>5.86</v>
          </cell>
          <cell r="K1315">
            <v>358</v>
          </cell>
          <cell r="L1315" t="str">
            <v>HZK</v>
          </cell>
          <cell r="N1315">
            <v>25.182638590459799</v>
          </cell>
        </row>
        <row r="1316">
          <cell r="E1316" t="str">
            <v>HGC-Lib-2463007</v>
          </cell>
          <cell r="F1316" t="str">
            <v>Tilapia_Headkidney</v>
          </cell>
          <cell r="G1316">
            <v>10</v>
          </cell>
          <cell r="H1316" t="str">
            <v>ATAC-Seq文库</v>
          </cell>
          <cell r="I1316" t="str">
            <v>XCL</v>
          </cell>
          <cell r="J1316">
            <v>2.96</v>
          </cell>
          <cell r="K1316">
            <v>336</v>
          </cell>
          <cell r="L1316" t="str">
            <v>HZK</v>
          </cell>
          <cell r="N1316">
            <v>13.553113553113601</v>
          </cell>
        </row>
        <row r="1317">
          <cell r="E1317" t="str">
            <v>HGC-Lib-2463008</v>
          </cell>
          <cell r="F1317" t="str">
            <v>Tilapia_Gut</v>
          </cell>
          <cell r="G1317">
            <v>10</v>
          </cell>
          <cell r="H1317" t="str">
            <v>ATAC-Seq文库</v>
          </cell>
          <cell r="I1317" t="str">
            <v>XCL</v>
          </cell>
          <cell r="J1317">
            <v>13.1</v>
          </cell>
          <cell r="K1317">
            <v>344</v>
          </cell>
          <cell r="N1317">
            <v>58.586762075134203</v>
          </cell>
        </row>
        <row r="1318">
          <cell r="E1318" t="str">
            <v>HGC-Lib-2463009</v>
          </cell>
          <cell r="F1318" t="str">
            <v>Tilapia_Stomach</v>
          </cell>
          <cell r="G1318">
            <v>10</v>
          </cell>
          <cell r="H1318" t="str">
            <v>ATAC-Seq文库</v>
          </cell>
          <cell r="I1318" t="str">
            <v>XCL</v>
          </cell>
          <cell r="J1318">
            <v>12</v>
          </cell>
          <cell r="K1318">
            <v>360</v>
          </cell>
          <cell r="N1318">
            <v>51.282051282051299</v>
          </cell>
        </row>
        <row r="1319">
          <cell r="E1319" t="str">
            <v>HGC-POOL-2463011</v>
          </cell>
          <cell r="F1319" t="str">
            <v>YX20240802_1</v>
          </cell>
          <cell r="G1319">
            <v>18</v>
          </cell>
          <cell r="H1319" t="str">
            <v>mRNA文库</v>
          </cell>
          <cell r="I1319" t="str">
            <v>XCL</v>
          </cell>
          <cell r="J1319">
            <v>26.8</v>
          </cell>
          <cell r="K1319">
            <v>371</v>
          </cell>
          <cell r="N1319">
            <v>111.134148869998</v>
          </cell>
        </row>
        <row r="1320">
          <cell r="E1320" t="str">
            <v>HGC-POOL-2463012</v>
          </cell>
          <cell r="F1320" t="str">
            <v>YX20240802_2</v>
          </cell>
          <cell r="G1320">
            <v>4</v>
          </cell>
          <cell r="H1320" t="str">
            <v>全基因组文库</v>
          </cell>
          <cell r="I1320" t="str">
            <v>XCL</v>
          </cell>
          <cell r="J1320">
            <v>31</v>
          </cell>
          <cell r="K1320">
            <v>346</v>
          </cell>
          <cell r="N1320">
            <v>137.83903957314399</v>
          </cell>
        </row>
        <row r="1321">
          <cell r="E1321" t="str">
            <v>HGC-POOL-2463013</v>
          </cell>
          <cell r="F1321" t="str">
            <v>YX20240802_3</v>
          </cell>
          <cell r="G1321">
            <v>267</v>
          </cell>
          <cell r="H1321" t="str">
            <v>全基因组文库</v>
          </cell>
          <cell r="I1321" t="str">
            <v>XCL</v>
          </cell>
          <cell r="J1321">
            <v>25.7</v>
          </cell>
          <cell r="K1321">
            <v>327</v>
          </cell>
          <cell r="N1321">
            <v>120.912726417314</v>
          </cell>
        </row>
        <row r="1322">
          <cell r="E1322" t="str">
            <v>HGC-POOL-2463014</v>
          </cell>
          <cell r="F1322" t="str">
            <v>YX20240802_4</v>
          </cell>
          <cell r="G1322">
            <v>423</v>
          </cell>
          <cell r="H1322" t="str">
            <v>mRNA文库</v>
          </cell>
          <cell r="I1322" t="str">
            <v>XCL</v>
          </cell>
          <cell r="J1322">
            <v>32.6</v>
          </cell>
          <cell r="K1322">
            <v>335</v>
          </cell>
          <cell r="N1322">
            <v>149.71297359357101</v>
          </cell>
        </row>
        <row r="1323">
          <cell r="E1323" t="str">
            <v>HGC-POOL-2463015</v>
          </cell>
          <cell r="F1323" t="str">
            <v>YX20240802_5</v>
          </cell>
          <cell r="G1323">
            <v>116</v>
          </cell>
          <cell r="H1323" t="str">
            <v>mRNA文库</v>
          </cell>
          <cell r="I1323" t="str">
            <v>XCL</v>
          </cell>
          <cell r="J1323">
            <v>17.8</v>
          </cell>
          <cell r="K1323">
            <v>325</v>
          </cell>
          <cell r="N1323">
            <v>84.260355029585796</v>
          </cell>
        </row>
        <row r="1324">
          <cell r="E1324" t="str">
            <v>HGC-POOL-2463016</v>
          </cell>
          <cell r="F1324" t="str">
            <v>YX20240802_6</v>
          </cell>
          <cell r="G1324">
            <v>185</v>
          </cell>
          <cell r="H1324" t="str">
            <v>mRNA文库</v>
          </cell>
          <cell r="I1324" t="str">
            <v>XCL</v>
          </cell>
          <cell r="J1324">
            <v>33</v>
          </cell>
          <cell r="K1324">
            <v>331</v>
          </cell>
          <cell r="N1324">
            <v>153.38136184057601</v>
          </cell>
        </row>
        <row r="1325">
          <cell r="E1325" t="str">
            <v>HGC-POOL-2463017</v>
          </cell>
          <cell r="F1325" t="str">
            <v>YX20240802_7</v>
          </cell>
          <cell r="G1325">
            <v>99</v>
          </cell>
          <cell r="H1325" t="str">
            <v>mRNA文库</v>
          </cell>
          <cell r="I1325" t="str">
            <v>XCL</v>
          </cell>
          <cell r="J1325">
            <v>8.76</v>
          </cell>
          <cell r="K1325">
            <v>320</v>
          </cell>
          <cell r="N1325">
            <v>42.115384615384599</v>
          </cell>
        </row>
        <row r="1326">
          <cell r="E1326" t="str">
            <v>HGC-POOL-2463018</v>
          </cell>
          <cell r="F1326" t="str">
            <v>YX20240806_2</v>
          </cell>
          <cell r="G1326">
            <v>44</v>
          </cell>
          <cell r="H1326" t="str">
            <v>mRNA文库</v>
          </cell>
          <cell r="I1326" t="str">
            <v>XCL</v>
          </cell>
          <cell r="J1326">
            <v>25.8</v>
          </cell>
          <cell r="K1326">
            <v>384</v>
          </cell>
          <cell r="N1326">
            <v>103.365384615385</v>
          </cell>
        </row>
        <row r="1327">
          <cell r="E1327" t="str">
            <v>HGC-POOL-2463019</v>
          </cell>
          <cell r="F1327" t="str">
            <v>YX20240806_3</v>
          </cell>
          <cell r="G1327">
            <v>189</v>
          </cell>
          <cell r="H1327" t="str">
            <v>mRNA文库</v>
          </cell>
          <cell r="I1327" t="str">
            <v>XCL</v>
          </cell>
          <cell r="J1327">
            <v>36.4</v>
          </cell>
          <cell r="K1327">
            <v>322</v>
          </cell>
          <cell r="N1327">
            <v>173.91304347826099</v>
          </cell>
        </row>
        <row r="1328">
          <cell r="E1328" t="str">
            <v>HGC-POOL-2463020</v>
          </cell>
          <cell r="F1328" t="str">
            <v>YX20240806_4</v>
          </cell>
          <cell r="G1328">
            <v>58</v>
          </cell>
          <cell r="H1328" t="str">
            <v>mRNA文库</v>
          </cell>
          <cell r="I1328" t="str">
            <v>XCL</v>
          </cell>
          <cell r="J1328">
            <v>6.42</v>
          </cell>
          <cell r="K1328">
            <v>334</v>
          </cell>
          <cell r="L1328" t="str">
            <v>HZK</v>
          </cell>
          <cell r="N1328">
            <v>29.5716259788116</v>
          </cell>
        </row>
        <row r="1329">
          <cell r="E1329" t="str">
            <v>HGC-POOL-2463021</v>
          </cell>
          <cell r="F1329" t="str">
            <v>YX20240806_5</v>
          </cell>
          <cell r="G1329">
            <v>20</v>
          </cell>
          <cell r="H1329" t="str">
            <v>mRNA文库</v>
          </cell>
          <cell r="I1329" t="str">
            <v>XCL</v>
          </cell>
          <cell r="J1329">
            <v>0.28000000000000003</v>
          </cell>
          <cell r="K1329">
            <v>330</v>
          </cell>
          <cell r="L1329" t="str">
            <v>HZK</v>
          </cell>
          <cell r="N1329">
            <v>1.30536130536131</v>
          </cell>
        </row>
        <row r="1330">
          <cell r="E1330" t="str">
            <v>HGC-POOL-2463022</v>
          </cell>
          <cell r="F1330" t="str">
            <v>YX20240806_6</v>
          </cell>
          <cell r="G1330">
            <v>139</v>
          </cell>
          <cell r="H1330" t="str">
            <v>mRNA文库</v>
          </cell>
          <cell r="I1330" t="str">
            <v>XCL</v>
          </cell>
          <cell r="J1330">
            <v>23.2</v>
          </cell>
          <cell r="K1330">
            <v>320</v>
          </cell>
          <cell r="N1330">
            <v>111.538461538462</v>
          </cell>
        </row>
        <row r="1331">
          <cell r="E1331" t="str">
            <v>HGC-POOL-2463023</v>
          </cell>
          <cell r="F1331" t="str">
            <v>YX20240806_7</v>
          </cell>
          <cell r="G1331">
            <v>80</v>
          </cell>
          <cell r="H1331" t="str">
            <v>mRNA文库</v>
          </cell>
          <cell r="I1331" t="str">
            <v>XCL</v>
          </cell>
          <cell r="J1331">
            <v>6.1</v>
          </cell>
          <cell r="K1331">
            <v>340</v>
          </cell>
          <cell r="L1331" t="str">
            <v>HZK</v>
          </cell>
          <cell r="N1331">
            <v>27.601809954751101</v>
          </cell>
        </row>
        <row r="1332">
          <cell r="E1332" t="str">
            <v>HGC-Lib-2463024</v>
          </cell>
          <cell r="F1332" t="str">
            <v>22961-SYZ1</v>
          </cell>
          <cell r="G1332">
            <v>4</v>
          </cell>
          <cell r="H1332" t="str">
            <v>dap-seq文库</v>
          </cell>
          <cell r="I1332" t="str">
            <v>XCL</v>
          </cell>
          <cell r="J1332">
            <v>26.8</v>
          </cell>
          <cell r="K1332">
            <v>415</v>
          </cell>
          <cell r="N1332">
            <v>99.351251158480096</v>
          </cell>
        </row>
        <row r="1333">
          <cell r="E1333" t="str">
            <v>HGC-Lib-2463025</v>
          </cell>
          <cell r="F1333" t="str">
            <v>22961-SYZ2</v>
          </cell>
          <cell r="G1333">
            <v>4</v>
          </cell>
          <cell r="H1333" t="str">
            <v>dap-seq文库</v>
          </cell>
          <cell r="I1333" t="str">
            <v>XCL</v>
          </cell>
          <cell r="J1333">
            <v>64.2</v>
          </cell>
          <cell r="K1333">
            <v>422</v>
          </cell>
          <cell r="N1333">
            <v>234.050309879694</v>
          </cell>
        </row>
        <row r="1334">
          <cell r="E1334" t="str">
            <v>HGC-Lib-2463026</v>
          </cell>
          <cell r="F1334" t="str">
            <v>22961-DZZ</v>
          </cell>
          <cell r="G1334">
            <v>3</v>
          </cell>
          <cell r="H1334" t="str">
            <v>dap-seq文库</v>
          </cell>
          <cell r="I1334" t="str">
            <v>XCL</v>
          </cell>
          <cell r="J1334">
            <v>42.6</v>
          </cell>
          <cell r="K1334">
            <v>479</v>
          </cell>
          <cell r="N1334">
            <v>136.82351051870901</v>
          </cell>
        </row>
        <row r="1335">
          <cell r="E1335" t="str">
            <v>HGC-Lib-2463027</v>
          </cell>
          <cell r="F1335" t="str">
            <v>22962-SYZ1</v>
          </cell>
          <cell r="G1335">
            <v>4</v>
          </cell>
          <cell r="H1335" t="str">
            <v>dap-seq文库</v>
          </cell>
          <cell r="I1335" t="str">
            <v>XCL</v>
          </cell>
          <cell r="J1335">
            <v>89.4</v>
          </cell>
          <cell r="K1335">
            <v>447</v>
          </cell>
          <cell r="N1335">
            <v>307.69230769230802</v>
          </cell>
        </row>
        <row r="1336">
          <cell r="E1336" t="str">
            <v>HGC-Lib-2463028</v>
          </cell>
          <cell r="F1336" t="str">
            <v>22962-SYZ2</v>
          </cell>
          <cell r="G1336">
            <v>4</v>
          </cell>
          <cell r="H1336" t="str">
            <v>dap-seq文库</v>
          </cell>
          <cell r="I1336" t="str">
            <v>XCL</v>
          </cell>
          <cell r="J1336">
            <v>86</v>
          </cell>
          <cell r="K1336">
            <v>456</v>
          </cell>
          <cell r="N1336">
            <v>290.148448043185</v>
          </cell>
        </row>
        <row r="1337">
          <cell r="E1337" t="str">
            <v>HGC-Lib-2463029</v>
          </cell>
          <cell r="F1337" t="str">
            <v>22962-DZZ</v>
          </cell>
          <cell r="G1337">
            <v>3</v>
          </cell>
          <cell r="H1337" t="str">
            <v>dap-seq文库</v>
          </cell>
          <cell r="I1337" t="str">
            <v>XCL</v>
          </cell>
          <cell r="J1337">
            <v>16.600000000000001</v>
          </cell>
          <cell r="K1337">
            <v>580</v>
          </cell>
          <cell r="N1337">
            <v>44.031830238726798</v>
          </cell>
        </row>
        <row r="1338">
          <cell r="E1338" t="str">
            <v>HGC-Lib-2463030</v>
          </cell>
          <cell r="F1338" t="str">
            <v>22891-SYZ1</v>
          </cell>
          <cell r="G1338">
            <v>8</v>
          </cell>
          <cell r="H1338" t="str">
            <v>dap-seq文库</v>
          </cell>
          <cell r="I1338" t="str">
            <v>XCL</v>
          </cell>
          <cell r="J1338">
            <v>42.2</v>
          </cell>
          <cell r="K1338">
            <v>385</v>
          </cell>
          <cell r="N1338">
            <v>168.63136863136901</v>
          </cell>
        </row>
        <row r="1339">
          <cell r="E1339" t="str">
            <v>HGC-Lib-2463031</v>
          </cell>
          <cell r="F1339" t="str">
            <v>22891-SYZ2</v>
          </cell>
          <cell r="G1339">
            <v>8</v>
          </cell>
          <cell r="H1339" t="str">
            <v>dap-seq文库</v>
          </cell>
          <cell r="I1339" t="str">
            <v>XCL</v>
          </cell>
          <cell r="J1339">
            <v>42.2</v>
          </cell>
          <cell r="K1339">
            <v>397</v>
          </cell>
          <cell r="N1339">
            <v>163.53419879868201</v>
          </cell>
        </row>
        <row r="1340">
          <cell r="E1340" t="str">
            <v>HGC-Lib-2463032</v>
          </cell>
          <cell r="F1340" t="str">
            <v>22891-DZZ</v>
          </cell>
          <cell r="G1340">
            <v>5</v>
          </cell>
          <cell r="H1340" t="str">
            <v>dap-seq文库</v>
          </cell>
          <cell r="I1340" t="str">
            <v>XCL</v>
          </cell>
          <cell r="J1340">
            <v>24.6</v>
          </cell>
          <cell r="K1340">
            <v>528</v>
          </cell>
          <cell r="N1340">
            <v>71.678321678321694</v>
          </cell>
        </row>
        <row r="1341">
          <cell r="E1341" t="str">
            <v>HGC-Lib-2463033</v>
          </cell>
          <cell r="F1341" t="str">
            <v>22102-SYZ1</v>
          </cell>
          <cell r="G1341">
            <v>4</v>
          </cell>
          <cell r="H1341" t="str">
            <v>dap-seq文库</v>
          </cell>
          <cell r="I1341" t="str">
            <v>XCL</v>
          </cell>
          <cell r="J1341">
            <v>40.6</v>
          </cell>
          <cell r="K1341">
            <v>342</v>
          </cell>
          <cell r="N1341">
            <v>182.636077372919</v>
          </cell>
        </row>
        <row r="1342">
          <cell r="E1342" t="str">
            <v>HGC-Lib-2463034</v>
          </cell>
          <cell r="F1342" t="str">
            <v>22102-SYZ2</v>
          </cell>
          <cell r="G1342">
            <v>4</v>
          </cell>
          <cell r="H1342" t="str">
            <v>dap-seq文库</v>
          </cell>
          <cell r="I1342" t="str">
            <v>XCL</v>
          </cell>
          <cell r="J1342">
            <v>38</v>
          </cell>
          <cell r="K1342">
            <v>347</v>
          </cell>
          <cell r="N1342">
            <v>168.47705608512501</v>
          </cell>
        </row>
        <row r="1343">
          <cell r="E1343" t="str">
            <v>HGC-Lib-2463035</v>
          </cell>
          <cell r="F1343" t="str">
            <v>22102-DZZ</v>
          </cell>
          <cell r="G1343">
            <v>3</v>
          </cell>
          <cell r="H1343" t="str">
            <v>dap-seq文库</v>
          </cell>
          <cell r="I1343" t="str">
            <v>HZK</v>
          </cell>
          <cell r="J1343">
            <v>1.68</v>
          </cell>
          <cell r="K1343">
            <v>478</v>
          </cell>
          <cell r="L1343" t="str">
            <v>HZK</v>
          </cell>
          <cell r="N1343">
            <v>5.4071451560991299</v>
          </cell>
        </row>
        <row r="1344">
          <cell r="E1344" t="str">
            <v>HGC-Lib-2463036</v>
          </cell>
          <cell r="F1344" t="str">
            <v>22296-SYZ1</v>
          </cell>
          <cell r="G1344">
            <v>4</v>
          </cell>
          <cell r="H1344" t="str">
            <v>dap-seq文库</v>
          </cell>
          <cell r="I1344" t="str">
            <v>HZK</v>
          </cell>
          <cell r="J1344">
            <v>26.3</v>
          </cell>
          <cell r="K1344">
            <v>354</v>
          </cell>
          <cell r="N1344">
            <v>114.298131247284</v>
          </cell>
        </row>
        <row r="1345">
          <cell r="E1345" t="str">
            <v>HGC-Lib-2463037</v>
          </cell>
          <cell r="F1345" t="str">
            <v>22296-SYZ2</v>
          </cell>
          <cell r="G1345">
            <v>4</v>
          </cell>
          <cell r="H1345" t="str">
            <v>dap-seq文库</v>
          </cell>
          <cell r="I1345" t="str">
            <v>HZK</v>
          </cell>
          <cell r="J1345">
            <v>43.8</v>
          </cell>
          <cell r="K1345">
            <v>357</v>
          </cell>
          <cell r="N1345">
            <v>188.75242404654199</v>
          </cell>
        </row>
        <row r="1346">
          <cell r="E1346" t="str">
            <v>HGC-Lib-2463038</v>
          </cell>
          <cell r="F1346" t="str">
            <v>22296-DZZ</v>
          </cell>
          <cell r="G1346">
            <v>3</v>
          </cell>
          <cell r="H1346" t="str">
            <v>dap-seq文库</v>
          </cell>
          <cell r="I1346" t="str">
            <v>HZK</v>
          </cell>
          <cell r="J1346">
            <v>40.799999999999997</v>
          </cell>
          <cell r="K1346">
            <v>583</v>
          </cell>
          <cell r="N1346">
            <v>107.665918986674</v>
          </cell>
        </row>
        <row r="1347">
          <cell r="E1347" t="str">
            <v>HGC-Lib-2463039</v>
          </cell>
          <cell r="F1347" t="str">
            <v>22649-SYZ1</v>
          </cell>
          <cell r="G1347">
            <v>4</v>
          </cell>
          <cell r="H1347" t="str">
            <v>dap-seq文库</v>
          </cell>
          <cell r="I1347" t="str">
            <v>HZK</v>
          </cell>
          <cell r="J1347">
            <v>86.2</v>
          </cell>
          <cell r="K1347">
            <v>323</v>
          </cell>
          <cell r="N1347">
            <v>410.57394617766101</v>
          </cell>
        </row>
        <row r="1348">
          <cell r="E1348" t="str">
            <v>HGC-Lib-2463040</v>
          </cell>
          <cell r="F1348" t="str">
            <v>22649-SYZ2</v>
          </cell>
          <cell r="G1348">
            <v>4</v>
          </cell>
          <cell r="H1348" t="str">
            <v>dap-seq文库</v>
          </cell>
          <cell r="I1348" t="str">
            <v>HZK</v>
          </cell>
          <cell r="J1348">
            <v>94.8</v>
          </cell>
          <cell r="K1348">
            <v>321</v>
          </cell>
          <cell r="N1348">
            <v>454.34938892882798</v>
          </cell>
        </row>
        <row r="1349">
          <cell r="E1349" t="str">
            <v>HGC-Lib-2463041</v>
          </cell>
          <cell r="F1349" t="str">
            <v>22649-DZZ</v>
          </cell>
          <cell r="G1349">
            <v>3</v>
          </cell>
          <cell r="H1349" t="str">
            <v>dap-seq文库</v>
          </cell>
          <cell r="I1349" t="str">
            <v>HZK</v>
          </cell>
          <cell r="J1349">
            <v>57</v>
          </cell>
          <cell r="K1349">
            <v>472</v>
          </cell>
          <cell r="N1349">
            <v>185.788787483703</v>
          </cell>
        </row>
        <row r="1350">
          <cell r="E1350" t="str">
            <v>HGC-Lib-2463042</v>
          </cell>
          <cell r="F1350" t="str">
            <v>HE0012818</v>
          </cell>
          <cell r="G1350">
            <v>3</v>
          </cell>
          <cell r="H1350" t="str">
            <v>small RNA文库</v>
          </cell>
          <cell r="I1350" t="str">
            <v>HZK</v>
          </cell>
          <cell r="J1350" t="str">
            <v>/</v>
          </cell>
          <cell r="K1350">
            <v>189</v>
          </cell>
          <cell r="L1350" t="str">
            <v>HZK</v>
          </cell>
          <cell r="N1350" t="e">
            <v>#VALUE!</v>
          </cell>
        </row>
        <row r="1351">
          <cell r="E1351" t="str">
            <v>HGC-Lib-2463043</v>
          </cell>
          <cell r="F1351" t="str">
            <v>HE0012819</v>
          </cell>
          <cell r="G1351">
            <v>3</v>
          </cell>
          <cell r="H1351" t="str">
            <v>small RNA文库</v>
          </cell>
          <cell r="I1351" t="str">
            <v>HZK</v>
          </cell>
          <cell r="J1351">
            <v>1.03</v>
          </cell>
          <cell r="K1351">
            <v>180</v>
          </cell>
          <cell r="L1351" t="str">
            <v>HZK</v>
          </cell>
          <cell r="N1351">
            <v>8.8034188034188006</v>
          </cell>
        </row>
        <row r="1352">
          <cell r="E1352" t="str">
            <v>HGC-Lib-2463044</v>
          </cell>
          <cell r="F1352" t="str">
            <v>HE0012821-1</v>
          </cell>
          <cell r="G1352">
            <v>3</v>
          </cell>
          <cell r="H1352" t="str">
            <v>small RNA文库</v>
          </cell>
          <cell r="I1352" t="str">
            <v>HZK</v>
          </cell>
          <cell r="J1352">
            <v>0.38800000000000001</v>
          </cell>
          <cell r="K1352">
            <v>188</v>
          </cell>
          <cell r="L1352" t="str">
            <v>HZK</v>
          </cell>
          <cell r="N1352">
            <v>3.1751227495908401</v>
          </cell>
        </row>
        <row r="1353">
          <cell r="E1353" t="str">
            <v>HGC-POOL-2463045</v>
          </cell>
          <cell r="F1353" t="str">
            <v>YX20240730_3</v>
          </cell>
          <cell r="G1353">
            <v>600</v>
          </cell>
          <cell r="H1353" t="str">
            <v>mRNA文库</v>
          </cell>
          <cell r="I1353" t="str">
            <v>HZK</v>
          </cell>
          <cell r="J1353">
            <v>28</v>
          </cell>
          <cell r="K1353">
            <v>353</v>
          </cell>
          <cell r="N1353">
            <v>122.030943560689</v>
          </cell>
        </row>
        <row r="1354">
          <cell r="E1354" t="str">
            <v>HGC-Lib-2463049</v>
          </cell>
          <cell r="F1354" t="str">
            <v>E-ZSZH-H3K27me3-1</v>
          </cell>
          <cell r="G1354" t="str">
            <v>10G</v>
          </cell>
          <cell r="H1354" t="str">
            <v>CUT&amp;Tag文库</v>
          </cell>
          <cell r="I1354" t="str">
            <v>HZK</v>
          </cell>
          <cell r="J1354">
            <v>71.599999999999994</v>
          </cell>
          <cell r="K1354">
            <v>407</v>
          </cell>
          <cell r="N1354">
            <v>270.64827064827102</v>
          </cell>
        </row>
        <row r="1355">
          <cell r="E1355" t="str">
            <v>HGC-Lib-2463050</v>
          </cell>
          <cell r="F1355" t="str">
            <v>E-ZSZH-H3K27me3-2</v>
          </cell>
          <cell r="G1355" t="str">
            <v>10G</v>
          </cell>
          <cell r="H1355" t="str">
            <v>CUT&amp;Tag文库</v>
          </cell>
          <cell r="I1355" t="str">
            <v>HZK</v>
          </cell>
          <cell r="J1355">
            <v>70.599999999999994</v>
          </cell>
          <cell r="K1355">
            <v>397</v>
          </cell>
          <cell r="N1355">
            <v>273.59038945940699</v>
          </cell>
        </row>
        <row r="1356">
          <cell r="E1356" t="str">
            <v>HGC-Lib-2463051</v>
          </cell>
          <cell r="F1356" t="str">
            <v>G-ZSZH-H3K27me3-1</v>
          </cell>
          <cell r="G1356" t="str">
            <v>10G</v>
          </cell>
          <cell r="H1356" t="str">
            <v>CUT&amp;Tag文库</v>
          </cell>
          <cell r="I1356" t="str">
            <v>HZK</v>
          </cell>
          <cell r="J1356">
            <v>38.799999999999997</v>
          </cell>
          <cell r="K1356">
            <v>489</v>
          </cell>
          <cell r="N1356">
            <v>122.070158879975</v>
          </cell>
        </row>
        <row r="1357">
          <cell r="E1357" t="str">
            <v>HGC-Lib-2463052</v>
          </cell>
          <cell r="F1357" t="str">
            <v>G-ZSZH-H3K27me3-2</v>
          </cell>
          <cell r="G1357" t="str">
            <v>10G</v>
          </cell>
          <cell r="H1357" t="str">
            <v>CUT&amp;Tag文库</v>
          </cell>
          <cell r="I1357" t="str">
            <v>HZK</v>
          </cell>
          <cell r="J1357">
            <v>38</v>
          </cell>
          <cell r="K1357">
            <v>483</v>
          </cell>
          <cell r="N1357">
            <v>121.038381907947</v>
          </cell>
        </row>
        <row r="1358">
          <cell r="E1358" t="str">
            <v>HGC-Lib-2463053</v>
          </cell>
          <cell r="F1358" t="str">
            <v>Me-IRAZ-yH2AX-1</v>
          </cell>
          <cell r="G1358" t="str">
            <v>10G</v>
          </cell>
          <cell r="H1358" t="str">
            <v>CUT&amp;Tag文库</v>
          </cell>
          <cell r="I1358" t="str">
            <v>HZK</v>
          </cell>
          <cell r="J1358">
            <v>93.6</v>
          </cell>
          <cell r="K1358">
            <v>540</v>
          </cell>
          <cell r="N1358">
            <v>266.66666666666703</v>
          </cell>
        </row>
        <row r="1359">
          <cell r="E1359" t="str">
            <v>HGC-Lib-2463054</v>
          </cell>
          <cell r="F1359" t="str">
            <v>Me-IRAZ-yH2AX-2</v>
          </cell>
          <cell r="G1359" t="str">
            <v>10G</v>
          </cell>
          <cell r="H1359" t="str">
            <v>CUT&amp;Tag文库</v>
          </cell>
          <cell r="I1359" t="str">
            <v>HZK</v>
          </cell>
          <cell r="J1359">
            <v>41</v>
          </cell>
          <cell r="K1359">
            <v>533</v>
          </cell>
          <cell r="N1359">
            <v>118.34319526627201</v>
          </cell>
        </row>
        <row r="1360">
          <cell r="E1360" t="str">
            <v>HGC-Lib-2463055</v>
          </cell>
          <cell r="F1360" t="str">
            <v>Me-IRAZ-H3K27me3-1</v>
          </cell>
          <cell r="G1360" t="str">
            <v>10G</v>
          </cell>
          <cell r="H1360" t="str">
            <v>CUT&amp;Tag文库</v>
          </cell>
          <cell r="I1360" t="str">
            <v>HZK</v>
          </cell>
          <cell r="J1360">
            <v>31</v>
          </cell>
          <cell r="K1360">
            <v>439</v>
          </cell>
          <cell r="N1360">
            <v>108.63851410548401</v>
          </cell>
        </row>
        <row r="1361">
          <cell r="E1361" t="str">
            <v>HGC-Lib-2463056</v>
          </cell>
          <cell r="F1361" t="str">
            <v>Me-IRAZ-H3K27me3-2</v>
          </cell>
          <cell r="G1361" t="str">
            <v>10G</v>
          </cell>
          <cell r="H1361" t="str">
            <v>CUT&amp;Tag文库</v>
          </cell>
          <cell r="I1361" t="str">
            <v>HZK</v>
          </cell>
          <cell r="J1361">
            <v>96.8</v>
          </cell>
          <cell r="K1361">
            <v>442</v>
          </cell>
          <cell r="N1361">
            <v>336.93003828750398</v>
          </cell>
        </row>
        <row r="1362">
          <cell r="E1362" t="str">
            <v>HGC-POOL-2463057</v>
          </cell>
          <cell r="F1362" t="str">
            <v>RX20240807-1</v>
          </cell>
          <cell r="G1362">
            <v>47</v>
          </cell>
          <cell r="H1362" t="str">
            <v>mRNA文库</v>
          </cell>
          <cell r="I1362" t="str">
            <v>HZK</v>
          </cell>
          <cell r="J1362">
            <v>9.2799999999999994</v>
          </cell>
          <cell r="K1362">
            <v>247</v>
          </cell>
          <cell r="L1362" t="str">
            <v>HZK</v>
          </cell>
          <cell r="N1362">
            <v>57.801308003737098</v>
          </cell>
        </row>
        <row r="1363">
          <cell r="E1363" t="str">
            <v>HGC-POOL-2463058</v>
          </cell>
          <cell r="F1363" t="str">
            <v>RX20240807-2</v>
          </cell>
          <cell r="G1363">
            <v>62</v>
          </cell>
          <cell r="H1363" t="str">
            <v>BD-单细胞</v>
          </cell>
          <cell r="I1363" t="str">
            <v>HZK</v>
          </cell>
          <cell r="J1363">
            <v>7.84</v>
          </cell>
          <cell r="K1363">
            <v>726</v>
          </cell>
          <cell r="L1363" t="str">
            <v>HZK</v>
          </cell>
          <cell r="N1363">
            <v>16.6136893409621</v>
          </cell>
        </row>
        <row r="1364">
          <cell r="E1364" t="str">
            <v>HGC-POOL-2463059</v>
          </cell>
          <cell r="F1364" t="str">
            <v>RX20240807-3</v>
          </cell>
          <cell r="G1364">
            <v>21</v>
          </cell>
          <cell r="H1364" t="str">
            <v>BD-单细胞</v>
          </cell>
          <cell r="I1364" t="str">
            <v>HZK</v>
          </cell>
          <cell r="J1364">
            <v>5.4</v>
          </cell>
          <cell r="K1364">
            <v>687</v>
          </cell>
          <cell r="L1364" t="str">
            <v>HZK</v>
          </cell>
          <cell r="N1364">
            <v>12.092710782667099</v>
          </cell>
        </row>
        <row r="1365">
          <cell r="E1365" t="str">
            <v>HGC-Lib-2463060</v>
          </cell>
          <cell r="F1365" t="str">
            <v>RX20240807-4</v>
          </cell>
          <cell r="G1365">
            <v>100</v>
          </cell>
          <cell r="H1365" t="str">
            <v>BD-单细胞</v>
          </cell>
          <cell r="I1365" t="str">
            <v>HZK</v>
          </cell>
          <cell r="J1365">
            <v>33.799999999999997</v>
          </cell>
          <cell r="K1365">
            <v>675</v>
          </cell>
          <cell r="N1365">
            <v>77.037037037036995</v>
          </cell>
        </row>
        <row r="1366">
          <cell r="E1366" t="str">
            <v>HGC-Lib-2463061</v>
          </cell>
          <cell r="F1366" t="str">
            <v>RX20240807-5</v>
          </cell>
          <cell r="G1366">
            <v>100</v>
          </cell>
          <cell r="H1366" t="str">
            <v>BD-单细胞</v>
          </cell>
          <cell r="I1366" t="str">
            <v>HZK</v>
          </cell>
          <cell r="J1366">
            <v>25</v>
          </cell>
          <cell r="K1366">
            <v>641</v>
          </cell>
          <cell r="N1366">
            <v>60.002400096003797</v>
          </cell>
        </row>
        <row r="1367">
          <cell r="E1367" t="str">
            <v>HGC-Lib-2463062</v>
          </cell>
          <cell r="F1367" t="str">
            <v>RX20240807-6</v>
          </cell>
          <cell r="G1367">
            <v>100</v>
          </cell>
          <cell r="H1367" t="str">
            <v>BD-单细胞</v>
          </cell>
          <cell r="I1367" t="str">
            <v>HZK</v>
          </cell>
          <cell r="J1367">
            <v>30.2</v>
          </cell>
          <cell r="K1367">
            <v>654</v>
          </cell>
          <cell r="N1367">
            <v>71.042107739355401</v>
          </cell>
        </row>
        <row r="1368">
          <cell r="E1368" t="str">
            <v>HGC-Lib-2463063</v>
          </cell>
          <cell r="F1368" t="str">
            <v>RX20240807-7</v>
          </cell>
          <cell r="G1368">
            <v>100</v>
          </cell>
          <cell r="H1368" t="str">
            <v>BD-单细胞</v>
          </cell>
          <cell r="I1368" t="str">
            <v>HZK</v>
          </cell>
          <cell r="J1368">
            <v>30.4</v>
          </cell>
          <cell r="K1368">
            <v>654</v>
          </cell>
          <cell r="N1368">
            <v>71.512585274053194</v>
          </cell>
        </row>
        <row r="1369">
          <cell r="E1369" t="str">
            <v>HGC-Lib-2463064</v>
          </cell>
          <cell r="F1369" t="str">
            <v>RX20240807-8</v>
          </cell>
          <cell r="G1369">
            <v>100</v>
          </cell>
          <cell r="H1369" t="str">
            <v>BD-单细胞</v>
          </cell>
          <cell r="I1369" t="str">
            <v>HZK</v>
          </cell>
          <cell r="J1369">
            <v>20.6</v>
          </cell>
          <cell r="K1369">
            <v>478</v>
          </cell>
          <cell r="N1369">
            <v>66.3018989378822</v>
          </cell>
        </row>
        <row r="1370">
          <cell r="E1370" t="str">
            <v>HGC-Lib-2463945</v>
          </cell>
          <cell r="F1370" t="str">
            <v>OL27739-GW130942</v>
          </cell>
          <cell r="G1370">
            <v>1000</v>
          </cell>
          <cell r="H1370" t="str">
            <v>mRNA文库</v>
          </cell>
          <cell r="I1370" t="str">
            <v>HZK</v>
          </cell>
          <cell r="J1370">
            <v>1.71</v>
          </cell>
          <cell r="K1370">
            <v>356</v>
          </cell>
          <cell r="L1370" t="str">
            <v>HZK</v>
          </cell>
          <cell r="N1370">
            <v>7.3898012100259303</v>
          </cell>
        </row>
        <row r="1371">
          <cell r="E1371" t="str">
            <v>HGC-Lib-2463946</v>
          </cell>
          <cell r="F1371" t="str">
            <v>LPROC240802019</v>
          </cell>
          <cell r="G1371">
            <v>100</v>
          </cell>
          <cell r="H1371" t="str">
            <v>singleron-3'转录组文库</v>
          </cell>
          <cell r="I1371" t="str">
            <v>HZK</v>
          </cell>
          <cell r="J1371">
            <v>31.4</v>
          </cell>
          <cell r="N1371" t="e">
            <v>#DIV/0!</v>
          </cell>
        </row>
        <row r="1372">
          <cell r="E1372" t="str">
            <v>HGC-Lib-2463947</v>
          </cell>
          <cell r="F1372" t="str">
            <v>PROLPROC240802019</v>
          </cell>
          <cell r="G1372">
            <v>30</v>
          </cell>
          <cell r="H1372" t="str">
            <v>其他碱基不平衡文库</v>
          </cell>
          <cell r="I1372" t="str">
            <v>HZK</v>
          </cell>
          <cell r="J1372">
            <v>61.8</v>
          </cell>
          <cell r="N1372" t="e">
            <v>#DIV/0!</v>
          </cell>
        </row>
        <row r="1373">
          <cell r="E1373" t="str">
            <v>HGC-Lib-2463948</v>
          </cell>
          <cell r="F1373" t="str">
            <v>LC240802018</v>
          </cell>
          <cell r="G1373">
            <v>100</v>
          </cell>
          <cell r="H1373" t="str">
            <v>10X 3'转录组文库</v>
          </cell>
          <cell r="I1373" t="str">
            <v>HZK</v>
          </cell>
          <cell r="J1373">
            <v>40.200000000000003</v>
          </cell>
          <cell r="N1373" t="e">
            <v>#DIV/0!</v>
          </cell>
        </row>
        <row r="1374">
          <cell r="E1374" t="str">
            <v>HGC-Lib-2463949</v>
          </cell>
          <cell r="F1374" t="str">
            <v>LC240802017</v>
          </cell>
          <cell r="G1374">
            <v>100</v>
          </cell>
          <cell r="H1374" t="str">
            <v>singleron-3'转录组文库</v>
          </cell>
          <cell r="I1374" t="str">
            <v>HZK</v>
          </cell>
          <cell r="J1374">
            <v>39.6</v>
          </cell>
          <cell r="N1374" t="e">
            <v>#DIV/0!</v>
          </cell>
        </row>
        <row r="1375">
          <cell r="E1375" t="str">
            <v>HGC-Lib-2463950</v>
          </cell>
          <cell r="F1375" t="str">
            <v>LC240804012</v>
          </cell>
          <cell r="G1375">
            <v>100</v>
          </cell>
          <cell r="H1375" t="str">
            <v>singleron-3'转录组文库</v>
          </cell>
          <cell r="I1375" t="str">
            <v>HZK</v>
          </cell>
          <cell r="J1375">
            <v>5.52</v>
          </cell>
          <cell r="N1375" t="e">
            <v>#DIV/0!</v>
          </cell>
        </row>
        <row r="1376">
          <cell r="E1376" t="str">
            <v>HGC-Lib-2463951</v>
          </cell>
          <cell r="F1376" t="str">
            <v>LC240804011</v>
          </cell>
          <cell r="G1376">
            <v>100</v>
          </cell>
          <cell r="H1376" t="str">
            <v>singleron-3'转录组文库</v>
          </cell>
          <cell r="I1376" t="str">
            <v>HZK</v>
          </cell>
          <cell r="J1376">
            <v>4.42</v>
          </cell>
          <cell r="N1376" t="e">
            <v>#DIV/0!</v>
          </cell>
        </row>
        <row r="1377">
          <cell r="E1377" t="str">
            <v>HGC-Lib-2463952</v>
          </cell>
          <cell r="F1377" t="str">
            <v>LC240804006</v>
          </cell>
          <cell r="G1377">
            <v>100</v>
          </cell>
          <cell r="H1377" t="str">
            <v>singleron-3'转录组文库</v>
          </cell>
          <cell r="I1377" t="str">
            <v>HZK</v>
          </cell>
          <cell r="J1377">
            <v>5.36</v>
          </cell>
          <cell r="N1377" t="e">
            <v>#DIV/0!</v>
          </cell>
        </row>
        <row r="1378">
          <cell r="E1378" t="str">
            <v>HGC-Lib-2463953</v>
          </cell>
          <cell r="F1378" t="str">
            <v>LC240804007</v>
          </cell>
          <cell r="G1378">
            <v>100</v>
          </cell>
          <cell r="H1378" t="str">
            <v>singleron-3'转录组文库</v>
          </cell>
          <cell r="I1378" t="str">
            <v>HZK</v>
          </cell>
          <cell r="J1378">
            <v>4.16</v>
          </cell>
          <cell r="N1378" t="e">
            <v>#DIV/0!</v>
          </cell>
        </row>
        <row r="1379">
          <cell r="E1379" t="str">
            <v>HGC-Lib-2463954</v>
          </cell>
          <cell r="F1379" t="str">
            <v>LC240804010</v>
          </cell>
          <cell r="G1379">
            <v>100</v>
          </cell>
          <cell r="H1379" t="str">
            <v>singleron-3'转录组文库</v>
          </cell>
          <cell r="I1379" t="str">
            <v>HZK</v>
          </cell>
          <cell r="J1379">
            <v>6.18</v>
          </cell>
          <cell r="N1379" t="e">
            <v>#DIV/0!</v>
          </cell>
        </row>
        <row r="1380">
          <cell r="E1380" t="str">
            <v>HGC-Lib-2463955</v>
          </cell>
          <cell r="F1380" t="str">
            <v>LC240804013</v>
          </cell>
          <cell r="G1380">
            <v>100</v>
          </cell>
          <cell r="H1380" t="str">
            <v>singleron-3'转录组文库</v>
          </cell>
          <cell r="I1380" t="str">
            <v>HZK</v>
          </cell>
          <cell r="J1380">
            <v>6.1</v>
          </cell>
          <cell r="N1380" t="e">
            <v>#DIV/0!</v>
          </cell>
        </row>
        <row r="1381">
          <cell r="E1381" t="str">
            <v>HGC-Lib-2463956</v>
          </cell>
          <cell r="F1381" t="str">
            <v>LC240804008</v>
          </cell>
          <cell r="G1381">
            <v>100</v>
          </cell>
          <cell r="H1381" t="str">
            <v>singleron-3'转录组文库</v>
          </cell>
          <cell r="I1381" t="str">
            <v>HZK</v>
          </cell>
          <cell r="J1381">
            <v>3.96</v>
          </cell>
          <cell r="N1381" t="e">
            <v>#DIV/0!</v>
          </cell>
        </row>
        <row r="1382">
          <cell r="E1382" t="str">
            <v>HGC-Lib-2463957</v>
          </cell>
          <cell r="F1382" t="str">
            <v>LC240804014</v>
          </cell>
          <cell r="G1382">
            <v>100</v>
          </cell>
          <cell r="H1382" t="str">
            <v>singleron-3'转录组文库</v>
          </cell>
          <cell r="I1382" t="str">
            <v>HZK</v>
          </cell>
          <cell r="J1382">
            <v>2.62</v>
          </cell>
          <cell r="N1382" t="e">
            <v>#DIV/0!</v>
          </cell>
        </row>
        <row r="1383">
          <cell r="E1383" t="str">
            <v>HGC-Lib-2463958</v>
          </cell>
          <cell r="F1383" t="str">
            <v>LC240804009</v>
          </cell>
          <cell r="G1383">
            <v>100</v>
          </cell>
          <cell r="H1383" t="str">
            <v>singleron-3'转录组文库</v>
          </cell>
          <cell r="I1383" t="str">
            <v>HZK</v>
          </cell>
          <cell r="J1383">
            <v>4.32</v>
          </cell>
          <cell r="N1383" t="e">
            <v>#DIV/0!</v>
          </cell>
        </row>
        <row r="1384">
          <cell r="E1384" t="str">
            <v>HGC-Lib-2463959</v>
          </cell>
          <cell r="F1384" t="str">
            <v>LFTBC240730037CTCK</v>
          </cell>
          <cell r="G1384">
            <v>100</v>
          </cell>
          <cell r="H1384" t="str">
            <v>singleron-3'转录组文库</v>
          </cell>
          <cell r="I1384" t="str">
            <v>HZK</v>
          </cell>
          <cell r="J1384">
            <v>2.9</v>
          </cell>
          <cell r="N1384" t="e">
            <v>#DIV/0!</v>
          </cell>
        </row>
        <row r="1385">
          <cell r="E1385" t="str">
            <v>HGC-Lib-2463960</v>
          </cell>
          <cell r="F1385" t="str">
            <v>LC240801108</v>
          </cell>
          <cell r="G1385">
            <v>10</v>
          </cell>
          <cell r="H1385" t="str">
            <v>singleron-3'全长转录组文库</v>
          </cell>
          <cell r="I1385" t="str">
            <v>HZK</v>
          </cell>
          <cell r="J1385">
            <v>30.8</v>
          </cell>
          <cell r="N1385" t="e">
            <v>#DIV/0!</v>
          </cell>
        </row>
        <row r="1386">
          <cell r="E1386" t="str">
            <v>HGC-Lib-2463961</v>
          </cell>
          <cell r="F1386" t="str">
            <v>FOCLFC240802042</v>
          </cell>
          <cell r="G1386">
            <v>100</v>
          </cell>
          <cell r="H1386" t="str">
            <v>singleron-3'转录组文库</v>
          </cell>
          <cell r="I1386" t="str">
            <v>HZK</v>
          </cell>
          <cell r="J1386">
            <v>19.3</v>
          </cell>
          <cell r="N1386" t="e">
            <v>#DIV/0!</v>
          </cell>
        </row>
        <row r="1387">
          <cell r="E1387" t="str">
            <v>HGC-Lib-2463962</v>
          </cell>
          <cell r="F1387" t="str">
            <v>FOCLFC240802043</v>
          </cell>
          <cell r="G1387">
            <v>12</v>
          </cell>
          <cell r="H1387" t="str">
            <v>其他碱基不平衡文库</v>
          </cell>
          <cell r="I1387" t="str">
            <v>HZK</v>
          </cell>
          <cell r="J1387">
            <v>19.2</v>
          </cell>
          <cell r="N1387" t="e">
            <v>#DIV/0!</v>
          </cell>
        </row>
        <row r="1388">
          <cell r="E1388" t="str">
            <v>HGC-Lib-2463963</v>
          </cell>
          <cell r="F1388" t="str">
            <v>LFTBC240727020CK</v>
          </cell>
          <cell r="G1388">
            <v>12</v>
          </cell>
          <cell r="H1388" t="str">
            <v>其他碱基不平衡文库</v>
          </cell>
          <cell r="I1388" t="str">
            <v>HZK</v>
          </cell>
          <cell r="J1388">
            <v>7.32</v>
          </cell>
          <cell r="N1388" t="e">
            <v>#DIV/0!</v>
          </cell>
        </row>
        <row r="1389">
          <cell r="E1389" t="str">
            <v>HGC-POOL-2463964</v>
          </cell>
          <cell r="F1389" t="str">
            <v>PCRD-240807-004</v>
          </cell>
          <cell r="G1389">
            <v>100</v>
          </cell>
          <cell r="H1389" t="str">
            <v>singleron-3'全长转录组文库</v>
          </cell>
          <cell r="I1389" t="str">
            <v>HZK</v>
          </cell>
          <cell r="J1389">
            <v>10.6</v>
          </cell>
          <cell r="N1389" t="e">
            <v>#DIV/0!</v>
          </cell>
        </row>
        <row r="1390">
          <cell r="E1390" t="str">
            <v>HGC-POOL-2463965</v>
          </cell>
          <cell r="F1390" t="str">
            <v>PCRD-240807-003</v>
          </cell>
          <cell r="G1390">
            <v>40</v>
          </cell>
          <cell r="H1390" t="str">
            <v>mRNA文库</v>
          </cell>
          <cell r="I1390" t="str">
            <v>HZK</v>
          </cell>
          <cell r="J1390">
            <v>8.0399999999999991</v>
          </cell>
          <cell r="N1390" t="e">
            <v>#DIV/0!</v>
          </cell>
        </row>
        <row r="1391">
          <cell r="E1391" t="str">
            <v>HGC-Lib-2463966</v>
          </cell>
          <cell r="F1391" t="str">
            <v>R240807022</v>
          </cell>
          <cell r="G1391">
            <v>10</v>
          </cell>
          <cell r="H1391" t="str">
            <v>singleron-3'转录组文库</v>
          </cell>
          <cell r="I1391" t="str">
            <v>HZK</v>
          </cell>
          <cell r="J1391">
            <v>11.4</v>
          </cell>
          <cell r="N1391" t="e">
            <v>#DIV/0!</v>
          </cell>
        </row>
        <row r="1392">
          <cell r="E1392" t="str">
            <v>HGC-Lib-2463967</v>
          </cell>
          <cell r="F1392" t="str">
            <v>R240807017</v>
          </cell>
          <cell r="G1392">
            <v>5</v>
          </cell>
          <cell r="H1392" t="str">
            <v>singleron-3'转录组文库</v>
          </cell>
          <cell r="I1392" t="str">
            <v>HZK</v>
          </cell>
          <cell r="J1392">
            <v>12.5</v>
          </cell>
          <cell r="N1392" t="e">
            <v>#DIV/0!</v>
          </cell>
        </row>
        <row r="1393">
          <cell r="E1393" t="str">
            <v>HGC-Lib-2463968</v>
          </cell>
          <cell r="F1393" t="str">
            <v>R240807018</v>
          </cell>
          <cell r="G1393">
            <v>5</v>
          </cell>
          <cell r="H1393" t="str">
            <v>singleron-3'转录组文库</v>
          </cell>
          <cell r="I1393" t="str">
            <v>HZK</v>
          </cell>
          <cell r="J1393">
            <v>12.4</v>
          </cell>
          <cell r="N1393" t="e">
            <v>#DIV/0!</v>
          </cell>
        </row>
        <row r="1394">
          <cell r="E1394" t="str">
            <v>HGC-Lib-2463969</v>
          </cell>
          <cell r="F1394" t="str">
            <v>R240807019</v>
          </cell>
          <cell r="G1394">
            <v>5</v>
          </cell>
          <cell r="H1394" t="str">
            <v>singleron-3'转录组文库</v>
          </cell>
          <cell r="I1394" t="str">
            <v>HZK</v>
          </cell>
          <cell r="J1394">
            <v>12.7</v>
          </cell>
          <cell r="N1394" t="e">
            <v>#DIV/0!</v>
          </cell>
        </row>
        <row r="1395">
          <cell r="E1395" t="str">
            <v>HGC-Lib-2463970</v>
          </cell>
          <cell r="F1395" t="str">
            <v>R240807020</v>
          </cell>
          <cell r="G1395">
            <v>5</v>
          </cell>
          <cell r="H1395" t="str">
            <v>singleron-3'转录组文库</v>
          </cell>
          <cell r="I1395" t="str">
            <v>HZK</v>
          </cell>
          <cell r="J1395">
            <v>12.2</v>
          </cell>
          <cell r="N1395" t="e">
            <v>#DIV/0!</v>
          </cell>
        </row>
        <row r="1396">
          <cell r="E1396" t="str">
            <v>HGC-Lib-2463971</v>
          </cell>
          <cell r="F1396" t="str">
            <v>R240807021</v>
          </cell>
          <cell r="G1396">
            <v>5</v>
          </cell>
          <cell r="H1396" t="str">
            <v>singleron-3'转录组文库</v>
          </cell>
          <cell r="I1396" t="str">
            <v>HZK</v>
          </cell>
          <cell r="J1396">
            <v>12.9</v>
          </cell>
          <cell r="N1396" t="e">
            <v>#DIV/0!</v>
          </cell>
        </row>
        <row r="1397">
          <cell r="E1397" t="str">
            <v>HGC-POOL-2463972</v>
          </cell>
          <cell r="F1397" t="str">
            <v>PCRD-240807-005</v>
          </cell>
          <cell r="G1397">
            <v>80</v>
          </cell>
          <cell r="H1397" t="str">
            <v>singleron-3'转录组文库</v>
          </cell>
          <cell r="I1397" t="str">
            <v>HZK</v>
          </cell>
          <cell r="J1397">
            <v>4.4400000000000004</v>
          </cell>
          <cell r="N1397" t="e">
            <v>#DIV/0!</v>
          </cell>
        </row>
        <row r="1398">
          <cell r="E1398" t="str">
            <v>HGC-Lib-2463065</v>
          </cell>
          <cell r="F1398" t="str">
            <v>BM001</v>
          </cell>
          <cell r="G1398">
            <v>4</v>
          </cell>
          <cell r="H1398" t="str">
            <v>全基因组文库</v>
          </cell>
          <cell r="J1398">
            <v>34.979999999999997</v>
          </cell>
          <cell r="N1398" t="e">
            <v>#DIV/0!</v>
          </cell>
        </row>
        <row r="1399">
          <cell r="E1399" t="str">
            <v>HGC-Lib-2463066</v>
          </cell>
          <cell r="F1399" t="str">
            <v>BM002</v>
          </cell>
          <cell r="G1399">
            <v>4</v>
          </cell>
          <cell r="H1399" t="str">
            <v>全基因组文库</v>
          </cell>
          <cell r="J1399">
            <v>41.35</v>
          </cell>
          <cell r="N1399" t="e">
            <v>#DIV/0!</v>
          </cell>
        </row>
        <row r="1400">
          <cell r="E1400" t="str">
            <v>HGC-Lib-2463067</v>
          </cell>
          <cell r="F1400" t="str">
            <v>BM003</v>
          </cell>
          <cell r="G1400">
            <v>4</v>
          </cell>
          <cell r="H1400" t="str">
            <v>全基因组文库</v>
          </cell>
          <cell r="J1400">
            <v>18.64</v>
          </cell>
          <cell r="N1400" t="e">
            <v>#DIV/0!</v>
          </cell>
        </row>
        <row r="1401">
          <cell r="E1401" t="str">
            <v>HGC-Lib-2463068</v>
          </cell>
          <cell r="F1401" t="str">
            <v>BM004</v>
          </cell>
          <cell r="G1401">
            <v>4</v>
          </cell>
          <cell r="H1401" t="str">
            <v>全基因组文库</v>
          </cell>
          <cell r="J1401">
            <v>20.079999999999998</v>
          </cell>
          <cell r="N1401" t="e">
            <v>#DIV/0!</v>
          </cell>
        </row>
        <row r="1402">
          <cell r="E1402" t="str">
            <v>HGC-Lib-2463069</v>
          </cell>
          <cell r="F1402" t="str">
            <v>BM005</v>
          </cell>
          <cell r="G1402">
            <v>4</v>
          </cell>
          <cell r="H1402" t="str">
            <v>全基因组文库</v>
          </cell>
          <cell r="J1402">
            <v>28.8</v>
          </cell>
          <cell r="N1402" t="e">
            <v>#DIV/0!</v>
          </cell>
        </row>
        <row r="1403">
          <cell r="E1403" t="str">
            <v>HGC-Lib-2463070</v>
          </cell>
          <cell r="F1403" t="str">
            <v>BM006</v>
          </cell>
          <cell r="G1403">
            <v>4</v>
          </cell>
          <cell r="H1403" t="str">
            <v>全基因组文库</v>
          </cell>
          <cell r="J1403">
            <v>39.340000000000003</v>
          </cell>
          <cell r="N1403" t="e">
            <v>#DIV/0!</v>
          </cell>
        </row>
        <row r="1404">
          <cell r="E1404" t="str">
            <v>HGC-Lib-2463071</v>
          </cell>
          <cell r="F1404" t="str">
            <v>BM007</v>
          </cell>
          <cell r="G1404">
            <v>4</v>
          </cell>
          <cell r="H1404" t="str">
            <v>全基因组文库</v>
          </cell>
          <cell r="J1404">
            <v>31.41</v>
          </cell>
          <cell r="N1404" t="e">
            <v>#DIV/0!</v>
          </cell>
        </row>
        <row r="1405">
          <cell r="E1405" t="str">
            <v>HGC-Lib-2463072</v>
          </cell>
          <cell r="F1405" t="str">
            <v>BM008</v>
          </cell>
          <cell r="G1405">
            <v>4</v>
          </cell>
          <cell r="H1405" t="str">
            <v>全基因组文库</v>
          </cell>
          <cell r="J1405">
            <v>30.23</v>
          </cell>
          <cell r="N1405" t="e">
            <v>#DIV/0!</v>
          </cell>
        </row>
        <row r="1406">
          <cell r="E1406" t="str">
            <v>HGC-Lib-2463073</v>
          </cell>
          <cell r="F1406" t="str">
            <v>BM009</v>
          </cell>
          <cell r="G1406">
            <v>4</v>
          </cell>
          <cell r="H1406" t="str">
            <v>全基因组文库</v>
          </cell>
          <cell r="J1406">
            <v>36.01</v>
          </cell>
          <cell r="N1406" t="e">
            <v>#DIV/0!</v>
          </cell>
        </row>
        <row r="1407">
          <cell r="E1407" t="str">
            <v>HGC-Lib-2463074</v>
          </cell>
          <cell r="F1407" t="str">
            <v>BM010</v>
          </cell>
          <cell r="G1407">
            <v>4</v>
          </cell>
          <cell r="H1407" t="str">
            <v>全基因组文库</v>
          </cell>
          <cell r="J1407">
            <v>42.31</v>
          </cell>
          <cell r="N1407" t="e">
            <v>#DIV/0!</v>
          </cell>
        </row>
        <row r="1408">
          <cell r="E1408" t="str">
            <v>HGC-Lib-2463075</v>
          </cell>
          <cell r="F1408" t="str">
            <v>BM011</v>
          </cell>
          <cell r="G1408">
            <v>4</v>
          </cell>
          <cell r="H1408" t="str">
            <v>全基因组文库</v>
          </cell>
          <cell r="J1408">
            <v>27.33</v>
          </cell>
          <cell r="N1408" t="e">
            <v>#DIV/0!</v>
          </cell>
        </row>
        <row r="1409">
          <cell r="E1409" t="str">
            <v>HGC-Lib-2463076</v>
          </cell>
          <cell r="F1409" t="str">
            <v>BM012</v>
          </cell>
          <cell r="G1409">
            <v>4</v>
          </cell>
          <cell r="H1409" t="str">
            <v>全基因组文库</v>
          </cell>
          <cell r="J1409">
            <v>36.25</v>
          </cell>
          <cell r="N1409" t="e">
            <v>#DIV/0!</v>
          </cell>
        </row>
        <row r="1410">
          <cell r="E1410" t="str">
            <v>HGC-Lib-2463077</v>
          </cell>
          <cell r="F1410" t="str">
            <v>BM013</v>
          </cell>
          <cell r="G1410">
            <v>4</v>
          </cell>
          <cell r="H1410" t="str">
            <v>全基因组文库</v>
          </cell>
          <cell r="J1410">
            <v>30.17</v>
          </cell>
          <cell r="N1410" t="e">
            <v>#DIV/0!</v>
          </cell>
        </row>
        <row r="1411">
          <cell r="E1411" t="str">
            <v>HGC-Lib-2463078</v>
          </cell>
          <cell r="F1411" t="str">
            <v>BM014</v>
          </cell>
          <cell r="G1411">
            <v>4</v>
          </cell>
          <cell r="H1411" t="str">
            <v>全基因组文库</v>
          </cell>
          <cell r="J1411">
            <v>34.9</v>
          </cell>
          <cell r="N1411" t="e">
            <v>#DIV/0!</v>
          </cell>
        </row>
        <row r="1412">
          <cell r="E1412" t="str">
            <v>HGC-Lib-2463079</v>
          </cell>
          <cell r="F1412" t="str">
            <v>BM015</v>
          </cell>
          <cell r="G1412">
            <v>4</v>
          </cell>
          <cell r="H1412" t="str">
            <v>全基因组文库</v>
          </cell>
          <cell r="J1412">
            <v>31.99</v>
          </cell>
          <cell r="N1412" t="e">
            <v>#DIV/0!</v>
          </cell>
        </row>
        <row r="1413">
          <cell r="E1413" t="str">
            <v>HGC-Lib-2463080</v>
          </cell>
          <cell r="F1413" t="str">
            <v>BM016</v>
          </cell>
          <cell r="G1413">
            <v>4</v>
          </cell>
          <cell r="H1413" t="str">
            <v>全基因组文库</v>
          </cell>
          <cell r="J1413">
            <v>24.06</v>
          </cell>
          <cell r="N1413" t="e">
            <v>#DIV/0!</v>
          </cell>
        </row>
        <row r="1414">
          <cell r="E1414" t="str">
            <v>HGC-Lib-2463081</v>
          </cell>
          <cell r="F1414" t="str">
            <v>BM017</v>
          </cell>
          <cell r="G1414">
            <v>4</v>
          </cell>
          <cell r="H1414" t="str">
            <v>全基因组文库</v>
          </cell>
          <cell r="J1414">
            <v>38.619999999999997</v>
          </cell>
          <cell r="N1414" t="e">
            <v>#DIV/0!</v>
          </cell>
        </row>
        <row r="1415">
          <cell r="E1415" t="str">
            <v>HGC-Lib-2463082</v>
          </cell>
          <cell r="F1415" t="str">
            <v>BM018</v>
          </cell>
          <cell r="G1415">
            <v>4</v>
          </cell>
          <cell r="H1415" t="str">
            <v>全基因组文库</v>
          </cell>
          <cell r="J1415">
            <v>39.659999999999997</v>
          </cell>
          <cell r="N1415" t="e">
            <v>#DIV/0!</v>
          </cell>
        </row>
        <row r="1416">
          <cell r="E1416" t="str">
            <v>HGC-Lib-2463083</v>
          </cell>
          <cell r="F1416" t="str">
            <v>BM019</v>
          </cell>
          <cell r="G1416">
            <v>4</v>
          </cell>
          <cell r="H1416" t="str">
            <v>全基因组文库</v>
          </cell>
          <cell r="J1416">
            <v>32.24</v>
          </cell>
          <cell r="N1416" t="e">
            <v>#DIV/0!</v>
          </cell>
        </row>
        <row r="1417">
          <cell r="E1417" t="str">
            <v>HGC-Lib-2463084</v>
          </cell>
          <cell r="F1417" t="str">
            <v>BM020</v>
          </cell>
          <cell r="G1417">
            <v>4</v>
          </cell>
          <cell r="H1417" t="str">
            <v>全基因组文库</v>
          </cell>
          <cell r="J1417">
            <v>29.2</v>
          </cell>
          <cell r="N1417" t="e">
            <v>#DIV/0!</v>
          </cell>
        </row>
        <row r="1418">
          <cell r="E1418" t="str">
            <v>HGC-Lib-2463085</v>
          </cell>
          <cell r="F1418" t="str">
            <v>BM021</v>
          </cell>
          <cell r="G1418">
            <v>4</v>
          </cell>
          <cell r="H1418" t="str">
            <v>全基因组文库</v>
          </cell>
          <cell r="J1418">
            <v>33.880000000000003</v>
          </cell>
          <cell r="N1418" t="e">
            <v>#DIV/0!</v>
          </cell>
        </row>
        <row r="1419">
          <cell r="E1419" t="str">
            <v>HGC-Lib-2463086</v>
          </cell>
          <cell r="F1419" t="str">
            <v>BM022</v>
          </cell>
          <cell r="G1419">
            <v>4</v>
          </cell>
          <cell r="H1419" t="str">
            <v>全基因组文库</v>
          </cell>
          <cell r="J1419">
            <v>29.62</v>
          </cell>
          <cell r="N1419" t="e">
            <v>#DIV/0!</v>
          </cell>
        </row>
        <row r="1420">
          <cell r="E1420" t="str">
            <v>HGC-Lib-2463087</v>
          </cell>
          <cell r="F1420" t="str">
            <v>BM023</v>
          </cell>
          <cell r="G1420">
            <v>4</v>
          </cell>
          <cell r="H1420" t="str">
            <v>全基因组文库</v>
          </cell>
          <cell r="J1420">
            <v>32.01</v>
          </cell>
          <cell r="N1420" t="e">
            <v>#DIV/0!</v>
          </cell>
        </row>
        <row r="1421">
          <cell r="E1421" t="str">
            <v>HGC-Lib-2463088</v>
          </cell>
          <cell r="F1421" t="str">
            <v>BM024</v>
          </cell>
          <cell r="G1421">
            <v>4</v>
          </cell>
          <cell r="H1421" t="str">
            <v>全基因组文库</v>
          </cell>
          <cell r="J1421">
            <v>34.54</v>
          </cell>
          <cell r="N1421" t="e">
            <v>#DIV/0!</v>
          </cell>
        </row>
        <row r="1422">
          <cell r="E1422" t="str">
            <v>HGC-Lib-2463089</v>
          </cell>
          <cell r="F1422" t="str">
            <v>BM025</v>
          </cell>
          <cell r="G1422">
            <v>4</v>
          </cell>
          <cell r="H1422" t="str">
            <v>全基因组文库</v>
          </cell>
          <cell r="J1422">
            <v>30.79</v>
          </cell>
          <cell r="N1422" t="e">
            <v>#DIV/0!</v>
          </cell>
        </row>
        <row r="1423">
          <cell r="E1423" t="str">
            <v>HGC-Lib-2463090</v>
          </cell>
          <cell r="F1423" t="str">
            <v>BM026</v>
          </cell>
          <cell r="G1423">
            <v>4</v>
          </cell>
          <cell r="H1423" t="str">
            <v>全基因组文库</v>
          </cell>
          <cell r="J1423">
            <v>24.38</v>
          </cell>
          <cell r="N1423" t="e">
            <v>#DIV/0!</v>
          </cell>
        </row>
        <row r="1424">
          <cell r="E1424" t="str">
            <v>HGC-Lib-2463091</v>
          </cell>
          <cell r="F1424" t="str">
            <v>BM027</v>
          </cell>
          <cell r="G1424">
            <v>4</v>
          </cell>
          <cell r="H1424" t="str">
            <v>全基因组文库</v>
          </cell>
          <cell r="J1424">
            <v>33.35</v>
          </cell>
          <cell r="N1424" t="e">
            <v>#DIV/0!</v>
          </cell>
        </row>
        <row r="1425">
          <cell r="E1425" t="str">
            <v>HGC-Lib-2463092</v>
          </cell>
          <cell r="F1425" t="str">
            <v>BM029</v>
          </cell>
          <cell r="G1425">
            <v>4</v>
          </cell>
          <cell r="H1425" t="str">
            <v>全基因组文库</v>
          </cell>
          <cell r="J1425">
            <v>34.01</v>
          </cell>
          <cell r="N1425" t="e">
            <v>#DIV/0!</v>
          </cell>
        </row>
        <row r="1426">
          <cell r="E1426" t="str">
            <v>HGC-Lib-2463093</v>
          </cell>
          <cell r="F1426" t="str">
            <v>BM030</v>
          </cell>
          <cell r="G1426">
            <v>4</v>
          </cell>
          <cell r="H1426" t="str">
            <v>全基因组文库</v>
          </cell>
          <cell r="J1426">
            <v>17.46</v>
          </cell>
          <cell r="N1426" t="e">
            <v>#DIV/0!</v>
          </cell>
        </row>
        <row r="1427">
          <cell r="E1427" t="str">
            <v>HGC-Lib-2463094</v>
          </cell>
          <cell r="F1427" t="str">
            <v>BM031</v>
          </cell>
          <cell r="G1427">
            <v>4</v>
          </cell>
          <cell r="H1427" t="str">
            <v>全基因组文库</v>
          </cell>
          <cell r="J1427">
            <v>33.380000000000003</v>
          </cell>
          <cell r="N1427" t="e">
            <v>#DIV/0!</v>
          </cell>
        </row>
        <row r="1428">
          <cell r="E1428" t="str">
            <v>HGC-Lib-2463095</v>
          </cell>
          <cell r="F1428" t="str">
            <v>BM032</v>
          </cell>
          <cell r="G1428">
            <v>4</v>
          </cell>
          <cell r="H1428" t="str">
            <v>全基因组文库</v>
          </cell>
          <cell r="J1428">
            <v>30.23</v>
          </cell>
          <cell r="N1428" t="e">
            <v>#DIV/0!</v>
          </cell>
        </row>
        <row r="1429">
          <cell r="E1429" t="str">
            <v>HGC-Lib-2463096</v>
          </cell>
          <cell r="F1429" t="str">
            <v>BM033</v>
          </cell>
          <cell r="G1429">
            <v>4</v>
          </cell>
          <cell r="H1429" t="str">
            <v>全基因组文库</v>
          </cell>
          <cell r="J1429">
            <v>32.03</v>
          </cell>
          <cell r="N1429" t="e">
            <v>#DIV/0!</v>
          </cell>
        </row>
        <row r="1430">
          <cell r="E1430" t="str">
            <v>HGC-Lib-2463097</v>
          </cell>
          <cell r="F1430" t="str">
            <v>BM034</v>
          </cell>
          <cell r="G1430">
            <v>4</v>
          </cell>
          <cell r="H1430" t="str">
            <v>全基因组文库</v>
          </cell>
          <cell r="J1430">
            <v>29.98</v>
          </cell>
          <cell r="N1430" t="e">
            <v>#DIV/0!</v>
          </cell>
        </row>
        <row r="1431">
          <cell r="E1431" t="str">
            <v>HGC-Lib-2463098</v>
          </cell>
          <cell r="F1431" t="str">
            <v>BM035</v>
          </cell>
          <cell r="G1431">
            <v>4</v>
          </cell>
          <cell r="H1431" t="str">
            <v>全基因组文库</v>
          </cell>
          <cell r="J1431">
            <v>34.979999999999997</v>
          </cell>
          <cell r="N1431" t="e">
            <v>#DIV/0!</v>
          </cell>
        </row>
        <row r="1432">
          <cell r="E1432" t="str">
            <v>HGC-Lib-2463099</v>
          </cell>
          <cell r="F1432" t="str">
            <v>BM036</v>
          </cell>
          <cell r="G1432">
            <v>4</v>
          </cell>
          <cell r="H1432" t="str">
            <v>全基因组文库</v>
          </cell>
          <cell r="J1432">
            <v>29.27</v>
          </cell>
          <cell r="N1432" t="e">
            <v>#DIV/0!</v>
          </cell>
        </row>
        <row r="1433">
          <cell r="E1433" t="str">
            <v>HGC-Lib-2463100</v>
          </cell>
          <cell r="F1433" t="str">
            <v>BM037</v>
          </cell>
          <cell r="G1433">
            <v>4</v>
          </cell>
          <cell r="H1433" t="str">
            <v>全基因组文库</v>
          </cell>
          <cell r="J1433">
            <v>30.35</v>
          </cell>
          <cell r="N1433" t="e">
            <v>#DIV/0!</v>
          </cell>
        </row>
        <row r="1434">
          <cell r="E1434" t="str">
            <v>HGC-Lib-2463101</v>
          </cell>
          <cell r="F1434" t="str">
            <v>BM038</v>
          </cell>
          <cell r="G1434">
            <v>4</v>
          </cell>
          <cell r="H1434" t="str">
            <v>全基因组文库</v>
          </cell>
          <cell r="J1434">
            <v>27.56</v>
          </cell>
          <cell r="N1434" t="e">
            <v>#DIV/0!</v>
          </cell>
        </row>
        <row r="1435">
          <cell r="E1435" t="str">
            <v>HGC-Lib-2463102</v>
          </cell>
          <cell r="F1435" t="str">
            <v>BM039</v>
          </cell>
          <cell r="G1435">
            <v>4</v>
          </cell>
          <cell r="H1435" t="str">
            <v>全基因组文库</v>
          </cell>
          <cell r="J1435">
            <v>27.13</v>
          </cell>
          <cell r="N1435" t="e">
            <v>#DIV/0!</v>
          </cell>
        </row>
        <row r="1436">
          <cell r="E1436" t="str">
            <v>HGC-Lib-2463103</v>
          </cell>
          <cell r="F1436" t="str">
            <v>BM040</v>
          </cell>
          <cell r="G1436">
            <v>4</v>
          </cell>
          <cell r="H1436" t="str">
            <v>全基因组文库</v>
          </cell>
          <cell r="J1436">
            <v>30.13</v>
          </cell>
          <cell r="N1436" t="e">
            <v>#DIV/0!</v>
          </cell>
        </row>
        <row r="1437">
          <cell r="E1437" t="str">
            <v>HGC-Lib-2463104</v>
          </cell>
          <cell r="F1437" t="str">
            <v>BM041</v>
          </cell>
          <cell r="G1437">
            <v>4</v>
          </cell>
          <cell r="H1437" t="str">
            <v>全基因组文库</v>
          </cell>
          <cell r="J1437">
            <v>33.68</v>
          </cell>
          <cell r="N1437" t="e">
            <v>#DIV/0!</v>
          </cell>
        </row>
        <row r="1438">
          <cell r="E1438" t="str">
            <v>HGC-Lib-2463105</v>
          </cell>
          <cell r="F1438" t="str">
            <v>BM042</v>
          </cell>
          <cell r="G1438">
            <v>4</v>
          </cell>
          <cell r="H1438" t="str">
            <v>全基因组文库</v>
          </cell>
          <cell r="J1438">
            <v>27.85</v>
          </cell>
          <cell r="N1438" t="e">
            <v>#DIV/0!</v>
          </cell>
        </row>
        <row r="1439">
          <cell r="E1439" t="str">
            <v>HGC-Lib-2463106</v>
          </cell>
          <cell r="F1439" t="str">
            <v>BM043</v>
          </cell>
          <cell r="G1439">
            <v>4</v>
          </cell>
          <cell r="H1439" t="str">
            <v>全基因组文库</v>
          </cell>
          <cell r="J1439">
            <v>22.19</v>
          </cell>
          <cell r="N1439" t="e">
            <v>#DIV/0!</v>
          </cell>
        </row>
        <row r="1440">
          <cell r="E1440" t="str">
            <v>HGC-Lib-2463107</v>
          </cell>
          <cell r="F1440" t="str">
            <v>BM044</v>
          </cell>
          <cell r="G1440">
            <v>4</v>
          </cell>
          <cell r="H1440" t="str">
            <v>全基因组文库</v>
          </cell>
          <cell r="J1440">
            <v>28.22</v>
          </cell>
          <cell r="N1440" t="e">
            <v>#DIV/0!</v>
          </cell>
        </row>
        <row r="1441">
          <cell r="E1441" t="str">
            <v>HGC-Lib-2463108</v>
          </cell>
          <cell r="F1441" t="str">
            <v>BM045</v>
          </cell>
          <cell r="G1441">
            <v>4</v>
          </cell>
          <cell r="H1441" t="str">
            <v>全基因组文库</v>
          </cell>
          <cell r="J1441">
            <v>32.18</v>
          </cell>
          <cell r="N1441" t="e">
            <v>#DIV/0!</v>
          </cell>
        </row>
        <row r="1442">
          <cell r="E1442" t="str">
            <v>HGC-Lib-2463109</v>
          </cell>
          <cell r="F1442" t="str">
            <v>BM046</v>
          </cell>
          <cell r="G1442">
            <v>4</v>
          </cell>
          <cell r="H1442" t="str">
            <v>全基因组文库</v>
          </cell>
          <cell r="J1442">
            <v>33.409999999999997</v>
          </cell>
          <cell r="N1442" t="e">
            <v>#DIV/0!</v>
          </cell>
        </row>
        <row r="1443">
          <cell r="E1443" t="str">
            <v>HGC-Lib-2463110</v>
          </cell>
          <cell r="F1443" t="str">
            <v>BM047</v>
          </cell>
          <cell r="G1443">
            <v>4</v>
          </cell>
          <cell r="H1443" t="str">
            <v>全基因组文库</v>
          </cell>
          <cell r="J1443">
            <v>28.41</v>
          </cell>
          <cell r="N1443" t="e">
            <v>#DIV/0!</v>
          </cell>
        </row>
        <row r="1444">
          <cell r="E1444" t="str">
            <v>HGC-Lib-2463111</v>
          </cell>
          <cell r="F1444" t="str">
            <v>BM048</v>
          </cell>
          <cell r="G1444">
            <v>4</v>
          </cell>
          <cell r="H1444" t="str">
            <v>全基因组文库</v>
          </cell>
          <cell r="J1444">
            <v>30.53</v>
          </cell>
          <cell r="N1444" t="e">
            <v>#DIV/0!</v>
          </cell>
        </row>
        <row r="1445">
          <cell r="E1445" t="str">
            <v>HGC-Lib-2463112</v>
          </cell>
          <cell r="F1445" t="str">
            <v>BM049</v>
          </cell>
          <cell r="G1445">
            <v>4</v>
          </cell>
          <cell r="H1445" t="str">
            <v>全基因组文库</v>
          </cell>
          <cell r="J1445">
            <v>27.24</v>
          </cell>
          <cell r="N1445" t="e">
            <v>#DIV/0!</v>
          </cell>
        </row>
        <row r="1446">
          <cell r="E1446" t="str">
            <v>HGC-Lib-2463113</v>
          </cell>
          <cell r="F1446" t="str">
            <v>BM050</v>
          </cell>
          <cell r="G1446">
            <v>4</v>
          </cell>
          <cell r="H1446" t="str">
            <v>全基因组文库</v>
          </cell>
          <cell r="J1446">
            <v>34.86</v>
          </cell>
          <cell r="N1446" t="e">
            <v>#DIV/0!</v>
          </cell>
        </row>
        <row r="1447">
          <cell r="E1447" t="str">
            <v>HGC-Lib-2463114</v>
          </cell>
          <cell r="F1447" t="str">
            <v>BM051</v>
          </cell>
          <cell r="G1447">
            <v>4</v>
          </cell>
          <cell r="H1447" t="str">
            <v>全基因组文库</v>
          </cell>
          <cell r="J1447">
            <v>32.42</v>
          </cell>
          <cell r="N1447" t="e">
            <v>#DIV/0!</v>
          </cell>
        </row>
        <row r="1448">
          <cell r="E1448" t="str">
            <v>HGC-Lib-2463115</v>
          </cell>
          <cell r="F1448" t="str">
            <v>BM052</v>
          </cell>
          <cell r="G1448">
            <v>4</v>
          </cell>
          <cell r="H1448" t="str">
            <v>全基因组文库</v>
          </cell>
          <cell r="J1448">
            <v>27.29</v>
          </cell>
          <cell r="N1448" t="e">
            <v>#DIV/0!</v>
          </cell>
        </row>
        <row r="1449">
          <cell r="E1449" t="str">
            <v>HGC-Lib-2463116</v>
          </cell>
          <cell r="F1449" t="str">
            <v>BM053</v>
          </cell>
          <cell r="G1449">
            <v>4</v>
          </cell>
          <cell r="H1449" t="str">
            <v>全基因组文库</v>
          </cell>
          <cell r="J1449">
            <v>32.08</v>
          </cell>
          <cell r="N1449" t="e">
            <v>#DIV/0!</v>
          </cell>
        </row>
        <row r="1450">
          <cell r="E1450" t="str">
            <v>HGC-Lib-2463117</v>
          </cell>
          <cell r="F1450" t="str">
            <v>BM054</v>
          </cell>
          <cell r="G1450">
            <v>4</v>
          </cell>
          <cell r="H1450" t="str">
            <v>全基因组文库</v>
          </cell>
          <cell r="J1450">
            <v>9.36</v>
          </cell>
          <cell r="N1450" t="e">
            <v>#DIV/0!</v>
          </cell>
        </row>
        <row r="1451">
          <cell r="E1451" t="str">
            <v>HGC-Lib-2463118</v>
          </cell>
          <cell r="F1451" t="str">
            <v>BM055</v>
          </cell>
          <cell r="G1451">
            <v>4</v>
          </cell>
          <cell r="H1451" t="str">
            <v>全基因组文库</v>
          </cell>
          <cell r="J1451">
            <v>28.72</v>
          </cell>
          <cell r="N1451" t="e">
            <v>#DIV/0!</v>
          </cell>
        </row>
        <row r="1452">
          <cell r="E1452" t="str">
            <v>HGC-Lib-2463119</v>
          </cell>
          <cell r="F1452" t="str">
            <v>BM056</v>
          </cell>
          <cell r="G1452">
            <v>4</v>
          </cell>
          <cell r="H1452" t="str">
            <v>全基因组文库</v>
          </cell>
          <cell r="J1452">
            <v>32.58</v>
          </cell>
          <cell r="N1452" t="e">
            <v>#DIV/0!</v>
          </cell>
        </row>
        <row r="1453">
          <cell r="E1453" t="str">
            <v>HGC-Lib-2463120</v>
          </cell>
          <cell r="F1453" t="str">
            <v>BM057</v>
          </cell>
          <cell r="G1453">
            <v>4</v>
          </cell>
          <cell r="H1453" t="str">
            <v>全基因组文库</v>
          </cell>
          <cell r="J1453">
            <v>23.23</v>
          </cell>
          <cell r="N1453" t="e">
            <v>#DIV/0!</v>
          </cell>
        </row>
        <row r="1454">
          <cell r="E1454" t="str">
            <v>HGC-Lib-2463121</v>
          </cell>
          <cell r="F1454" t="str">
            <v>BM058</v>
          </cell>
          <cell r="G1454">
            <v>4</v>
          </cell>
          <cell r="H1454" t="str">
            <v>全基因组文库</v>
          </cell>
          <cell r="J1454">
            <v>29.93</v>
          </cell>
          <cell r="N1454" t="e">
            <v>#DIV/0!</v>
          </cell>
        </row>
        <row r="1455">
          <cell r="E1455" t="str">
            <v>HGC-Lib-2463122</v>
          </cell>
          <cell r="F1455" t="str">
            <v>BM059</v>
          </cell>
          <cell r="G1455">
            <v>4</v>
          </cell>
          <cell r="H1455" t="str">
            <v>全基因组文库</v>
          </cell>
          <cell r="J1455">
            <v>33.799999999999997</v>
          </cell>
          <cell r="N1455" t="e">
            <v>#DIV/0!</v>
          </cell>
        </row>
        <row r="1456">
          <cell r="E1456" t="str">
            <v>HGC-Lib-2463123</v>
          </cell>
          <cell r="F1456" t="str">
            <v>BM060</v>
          </cell>
          <cell r="G1456">
            <v>4</v>
          </cell>
          <cell r="H1456" t="str">
            <v>全基因组文库</v>
          </cell>
          <cell r="J1456">
            <v>35.4</v>
          </cell>
          <cell r="N1456" t="e">
            <v>#DIV/0!</v>
          </cell>
        </row>
        <row r="1457">
          <cell r="E1457" t="str">
            <v>HGC-Lib-2463124</v>
          </cell>
          <cell r="F1457" t="str">
            <v>BM061</v>
          </cell>
          <cell r="G1457">
            <v>4</v>
          </cell>
          <cell r="H1457" t="str">
            <v>全基因组文库</v>
          </cell>
          <cell r="J1457">
            <v>32.270000000000003</v>
          </cell>
          <cell r="N1457" t="e">
            <v>#DIV/0!</v>
          </cell>
        </row>
        <row r="1458">
          <cell r="E1458" t="str">
            <v>HGC-Lib-2463125</v>
          </cell>
          <cell r="F1458" t="str">
            <v>BM062</v>
          </cell>
          <cell r="G1458">
            <v>4</v>
          </cell>
          <cell r="H1458" t="str">
            <v>全基因组文库</v>
          </cell>
          <cell r="J1458">
            <v>43.42</v>
          </cell>
          <cell r="N1458" t="e">
            <v>#DIV/0!</v>
          </cell>
        </row>
        <row r="1459">
          <cell r="E1459" t="str">
            <v>HGC-Lib-2463126</v>
          </cell>
          <cell r="F1459" t="str">
            <v>BM063</v>
          </cell>
          <cell r="G1459">
            <v>4</v>
          </cell>
          <cell r="H1459" t="str">
            <v>全基因组文库</v>
          </cell>
          <cell r="J1459">
            <v>30.89</v>
          </cell>
          <cell r="N1459" t="e">
            <v>#DIV/0!</v>
          </cell>
        </row>
        <row r="1460">
          <cell r="E1460" t="str">
            <v>HGC-Lib-2463127</v>
          </cell>
          <cell r="F1460" t="str">
            <v>BM064</v>
          </cell>
          <cell r="G1460">
            <v>4</v>
          </cell>
          <cell r="H1460" t="str">
            <v>全基因组文库</v>
          </cell>
          <cell r="J1460">
            <v>32.96</v>
          </cell>
          <cell r="N1460" t="e">
            <v>#DIV/0!</v>
          </cell>
        </row>
        <row r="1461">
          <cell r="E1461" t="str">
            <v>HGC-Lib-2463128</v>
          </cell>
          <cell r="F1461" t="str">
            <v>BM065</v>
          </cell>
          <cell r="G1461">
            <v>4</v>
          </cell>
          <cell r="H1461" t="str">
            <v>全基因组文库</v>
          </cell>
          <cell r="J1461">
            <v>2.5846153846153799</v>
          </cell>
          <cell r="M1461" t="str">
            <v>加水8.4</v>
          </cell>
          <cell r="N1461" t="e">
            <v>#DIV/0!</v>
          </cell>
        </row>
        <row r="1462">
          <cell r="E1462" t="str">
            <v>HGC-Lib-2463129</v>
          </cell>
          <cell r="F1462" t="str">
            <v>BM066</v>
          </cell>
          <cell r="G1462">
            <v>4</v>
          </cell>
          <cell r="H1462" t="str">
            <v>全基因组文库</v>
          </cell>
          <cell r="J1462">
            <v>34.69</v>
          </cell>
          <cell r="N1462" t="e">
            <v>#DIV/0!</v>
          </cell>
        </row>
        <row r="1463">
          <cell r="E1463" t="str">
            <v>HGC-Lib-2463130</v>
          </cell>
          <cell r="F1463" t="str">
            <v>BM067</v>
          </cell>
          <cell r="G1463">
            <v>4</v>
          </cell>
          <cell r="H1463" t="str">
            <v>全基因组文库</v>
          </cell>
          <cell r="J1463">
            <v>31.41</v>
          </cell>
          <cell r="N1463" t="e">
            <v>#DIV/0!</v>
          </cell>
        </row>
        <row r="1464">
          <cell r="E1464" t="str">
            <v>HGC-Lib-2463131</v>
          </cell>
          <cell r="F1464" t="str">
            <v>BM068</v>
          </cell>
          <cell r="G1464">
            <v>4</v>
          </cell>
          <cell r="H1464" t="str">
            <v>全基因组文库</v>
          </cell>
          <cell r="J1464">
            <v>30.48</v>
          </cell>
          <cell r="N1464" t="e">
            <v>#DIV/0!</v>
          </cell>
        </row>
        <row r="1465">
          <cell r="E1465" t="str">
            <v>HGC-Lib-2463132</v>
          </cell>
          <cell r="F1465" t="str">
            <v>BM069</v>
          </cell>
          <cell r="G1465">
            <v>4</v>
          </cell>
          <cell r="H1465" t="str">
            <v>全基因组文库</v>
          </cell>
          <cell r="J1465">
            <v>40.799999999999997</v>
          </cell>
          <cell r="N1465" t="e">
            <v>#DIV/0!</v>
          </cell>
        </row>
        <row r="1466">
          <cell r="E1466" t="str">
            <v>HGC-Lib-2463133</v>
          </cell>
          <cell r="F1466" t="str">
            <v>BM070</v>
          </cell>
          <cell r="G1466">
            <v>4</v>
          </cell>
          <cell r="H1466" t="str">
            <v>全基因组文库</v>
          </cell>
          <cell r="J1466">
            <v>27.12</v>
          </cell>
          <cell r="N1466" t="e">
            <v>#DIV/0!</v>
          </cell>
        </row>
        <row r="1467">
          <cell r="E1467" t="str">
            <v>HGC-Lib-2463134</v>
          </cell>
          <cell r="F1467" t="str">
            <v>BM071</v>
          </cell>
          <cell r="G1467">
            <v>4</v>
          </cell>
          <cell r="H1467" t="str">
            <v>全基因组文库</v>
          </cell>
          <cell r="J1467">
            <v>33.700000000000003</v>
          </cell>
          <cell r="N1467" t="e">
            <v>#DIV/0!</v>
          </cell>
        </row>
        <row r="1468">
          <cell r="E1468" t="str">
            <v>HGC-Lib-2463135</v>
          </cell>
          <cell r="F1468" t="str">
            <v>BM072</v>
          </cell>
          <cell r="G1468">
            <v>4</v>
          </cell>
          <cell r="H1468" t="str">
            <v>全基因组文库</v>
          </cell>
          <cell r="J1468">
            <v>25.91</v>
          </cell>
          <cell r="N1468" t="e">
            <v>#DIV/0!</v>
          </cell>
        </row>
        <row r="1469">
          <cell r="E1469" t="str">
            <v>HGC-Lib-2463136</v>
          </cell>
          <cell r="F1469" t="str">
            <v>BM073</v>
          </cell>
          <cell r="G1469">
            <v>4</v>
          </cell>
          <cell r="H1469" t="str">
            <v>全基因组文库</v>
          </cell>
          <cell r="J1469">
            <v>27.16</v>
          </cell>
          <cell r="N1469" t="e">
            <v>#DIV/0!</v>
          </cell>
        </row>
        <row r="1470">
          <cell r="E1470" t="str">
            <v>HGC-Lib-2463137</v>
          </cell>
          <cell r="F1470" t="str">
            <v>BM074</v>
          </cell>
          <cell r="G1470">
            <v>4</v>
          </cell>
          <cell r="H1470" t="str">
            <v>全基因组文库</v>
          </cell>
          <cell r="J1470">
            <v>26.07</v>
          </cell>
          <cell r="N1470" t="e">
            <v>#DIV/0!</v>
          </cell>
        </row>
        <row r="1471">
          <cell r="E1471" t="str">
            <v>HGC-Lib-2463138</v>
          </cell>
          <cell r="F1471" t="str">
            <v>BM075</v>
          </cell>
          <cell r="G1471">
            <v>4</v>
          </cell>
          <cell r="H1471" t="str">
            <v>全基因组文库</v>
          </cell>
          <cell r="J1471">
            <v>26.16</v>
          </cell>
          <cell r="N1471" t="e">
            <v>#DIV/0!</v>
          </cell>
        </row>
        <row r="1472">
          <cell r="E1472" t="str">
            <v>HGC-Lib-2463139</v>
          </cell>
          <cell r="F1472" t="str">
            <v>BM076</v>
          </cell>
          <cell r="G1472">
            <v>4</v>
          </cell>
          <cell r="H1472" t="str">
            <v>全基因组文库</v>
          </cell>
          <cell r="J1472">
            <v>24.85</v>
          </cell>
          <cell r="N1472" t="e">
            <v>#DIV/0!</v>
          </cell>
        </row>
        <row r="1473">
          <cell r="E1473" t="str">
            <v>HGC-Lib-2463140</v>
          </cell>
          <cell r="F1473" t="str">
            <v>BM077</v>
          </cell>
          <cell r="G1473">
            <v>4</v>
          </cell>
          <cell r="H1473" t="str">
            <v>全基因组文库</v>
          </cell>
          <cell r="J1473">
            <v>28.77</v>
          </cell>
          <cell r="N1473" t="e">
            <v>#DIV/0!</v>
          </cell>
        </row>
        <row r="1474">
          <cell r="E1474" t="str">
            <v>HGC-Lib-2463141</v>
          </cell>
          <cell r="F1474" t="str">
            <v>BM078</v>
          </cell>
          <cell r="G1474">
            <v>4</v>
          </cell>
          <cell r="H1474" t="str">
            <v>全基因组文库</v>
          </cell>
          <cell r="J1474">
            <v>26.38</v>
          </cell>
          <cell r="N1474" t="e">
            <v>#DIV/0!</v>
          </cell>
        </row>
        <row r="1475">
          <cell r="E1475" t="str">
            <v>HGC-Lib-2463142</v>
          </cell>
          <cell r="F1475" t="str">
            <v>BM079</v>
          </cell>
          <cell r="G1475">
            <v>4</v>
          </cell>
          <cell r="H1475" t="str">
            <v>全基因组文库</v>
          </cell>
          <cell r="J1475">
            <v>34.43</v>
          </cell>
          <cell r="N1475" t="e">
            <v>#DIV/0!</v>
          </cell>
        </row>
        <row r="1476">
          <cell r="E1476" t="str">
            <v>HGC-Lib-2463143</v>
          </cell>
          <cell r="F1476" t="str">
            <v>BM080</v>
          </cell>
          <cell r="G1476">
            <v>4</v>
          </cell>
          <cell r="H1476" t="str">
            <v>全基因组文库</v>
          </cell>
          <cell r="J1476">
            <v>24.89</v>
          </cell>
          <cell r="N1476" t="e">
            <v>#DIV/0!</v>
          </cell>
        </row>
        <row r="1477">
          <cell r="E1477" t="str">
            <v>HGC-Lib-2463144</v>
          </cell>
          <cell r="F1477" t="str">
            <v>BM081</v>
          </cell>
          <cell r="G1477">
            <v>4</v>
          </cell>
          <cell r="H1477" t="str">
            <v>全基因组文库</v>
          </cell>
          <cell r="J1477">
            <v>29.62</v>
          </cell>
          <cell r="N1477" t="e">
            <v>#DIV/0!</v>
          </cell>
        </row>
        <row r="1478">
          <cell r="E1478" t="str">
            <v>HGC-Lib-2463145</v>
          </cell>
          <cell r="F1478" t="str">
            <v>BM082</v>
          </cell>
          <cell r="G1478">
            <v>4</v>
          </cell>
          <cell r="H1478" t="str">
            <v>全基因组文库</v>
          </cell>
          <cell r="J1478">
            <v>32.130000000000003</v>
          </cell>
          <cell r="N1478" t="e">
            <v>#DIV/0!</v>
          </cell>
        </row>
        <row r="1479">
          <cell r="E1479" t="str">
            <v>HGC-Lib-2463146</v>
          </cell>
          <cell r="F1479" t="str">
            <v>BM084</v>
          </cell>
          <cell r="G1479">
            <v>4</v>
          </cell>
          <cell r="H1479" t="str">
            <v>全基因组文库</v>
          </cell>
          <cell r="J1479">
            <v>32.880000000000003</v>
          </cell>
          <cell r="N1479" t="e">
            <v>#DIV/0!</v>
          </cell>
        </row>
        <row r="1480">
          <cell r="E1480" t="str">
            <v>HGC-Lib-2463147</v>
          </cell>
          <cell r="F1480" t="str">
            <v>BM085</v>
          </cell>
          <cell r="G1480">
            <v>4</v>
          </cell>
          <cell r="H1480" t="str">
            <v>全基因组文库</v>
          </cell>
          <cell r="J1480">
            <v>23.51</v>
          </cell>
          <cell r="N1480" t="e">
            <v>#DIV/0!</v>
          </cell>
        </row>
        <row r="1481">
          <cell r="E1481" t="str">
            <v>HGC-Lib-2463148</v>
          </cell>
          <cell r="F1481" t="str">
            <v>BM086</v>
          </cell>
          <cell r="G1481">
            <v>4</v>
          </cell>
          <cell r="H1481" t="str">
            <v>全基因组文库</v>
          </cell>
          <cell r="J1481">
            <v>20.149999999999999</v>
          </cell>
          <cell r="N1481" t="e">
            <v>#DIV/0!</v>
          </cell>
        </row>
        <row r="1482">
          <cell r="E1482" t="str">
            <v>HGC-Lib-2463149</v>
          </cell>
          <cell r="F1482" t="str">
            <v>BM087</v>
          </cell>
          <cell r="G1482">
            <v>4</v>
          </cell>
          <cell r="H1482" t="str">
            <v>全基因组文库</v>
          </cell>
          <cell r="J1482">
            <v>36.51</v>
          </cell>
          <cell r="N1482" t="e">
            <v>#DIV/0!</v>
          </cell>
        </row>
        <row r="1483">
          <cell r="E1483" t="str">
            <v>HGC-Lib-2463150</v>
          </cell>
          <cell r="F1483" t="str">
            <v>BM088</v>
          </cell>
          <cell r="G1483">
            <v>4</v>
          </cell>
          <cell r="H1483" t="str">
            <v>全基因组文库</v>
          </cell>
          <cell r="J1483">
            <v>19.18</v>
          </cell>
          <cell r="N1483" t="e">
            <v>#DIV/0!</v>
          </cell>
        </row>
        <row r="1484">
          <cell r="E1484" t="str">
            <v>HGC-Lib-2463151</v>
          </cell>
          <cell r="F1484" t="str">
            <v>BM089</v>
          </cell>
          <cell r="G1484">
            <v>4</v>
          </cell>
          <cell r="H1484" t="str">
            <v>全基因组文库</v>
          </cell>
          <cell r="J1484">
            <v>26.18</v>
          </cell>
          <cell r="N1484" t="e">
            <v>#DIV/0!</v>
          </cell>
        </row>
        <row r="1485">
          <cell r="E1485" t="str">
            <v>HGC-Lib-2463152</v>
          </cell>
          <cell r="F1485" t="str">
            <v>BM090</v>
          </cell>
          <cell r="G1485">
            <v>4</v>
          </cell>
          <cell r="H1485" t="str">
            <v>全基因组文库</v>
          </cell>
          <cell r="J1485">
            <v>24.39</v>
          </cell>
          <cell r="N1485" t="e">
            <v>#DIV/0!</v>
          </cell>
        </row>
        <row r="1486">
          <cell r="E1486" t="str">
            <v>HGC-Lib-2463153</v>
          </cell>
          <cell r="F1486" t="str">
            <v>BM091</v>
          </cell>
          <cell r="G1486">
            <v>4</v>
          </cell>
          <cell r="H1486" t="str">
            <v>全基因组文库</v>
          </cell>
          <cell r="J1486">
            <v>25.59</v>
          </cell>
          <cell r="N1486" t="e">
            <v>#DIV/0!</v>
          </cell>
        </row>
        <row r="1487">
          <cell r="E1487" t="str">
            <v>HGC-Lib-2463154</v>
          </cell>
          <cell r="F1487" t="str">
            <v>BM092</v>
          </cell>
          <cell r="G1487">
            <v>4</v>
          </cell>
          <cell r="H1487" t="str">
            <v>全基因组文库</v>
          </cell>
          <cell r="J1487">
            <v>38.11</v>
          </cell>
          <cell r="N1487" t="e">
            <v>#DIV/0!</v>
          </cell>
        </row>
        <row r="1488">
          <cell r="E1488" t="str">
            <v>HGC-Lib-2463155</v>
          </cell>
          <cell r="F1488" t="str">
            <v>BM093</v>
          </cell>
          <cell r="G1488">
            <v>4</v>
          </cell>
          <cell r="H1488" t="str">
            <v>全基因组文库</v>
          </cell>
          <cell r="J1488">
            <v>26.96</v>
          </cell>
          <cell r="N1488" t="e">
            <v>#DIV/0!</v>
          </cell>
        </row>
        <row r="1489">
          <cell r="E1489" t="str">
            <v>HGC-Lib-2463156</v>
          </cell>
          <cell r="F1489" t="str">
            <v>BM094</v>
          </cell>
          <cell r="G1489">
            <v>4</v>
          </cell>
          <cell r="H1489" t="str">
            <v>全基因组文库</v>
          </cell>
          <cell r="J1489">
            <v>29.27</v>
          </cell>
          <cell r="N1489" t="e">
            <v>#DIV/0!</v>
          </cell>
        </row>
        <row r="1490">
          <cell r="E1490" t="str">
            <v>HGC-Lib-2463157</v>
          </cell>
          <cell r="F1490" t="str">
            <v>BM095</v>
          </cell>
          <cell r="G1490">
            <v>4</v>
          </cell>
          <cell r="H1490" t="str">
            <v>全基因组文库</v>
          </cell>
          <cell r="J1490">
            <v>21.09</v>
          </cell>
          <cell r="N1490" t="e">
            <v>#DIV/0!</v>
          </cell>
        </row>
        <row r="1491">
          <cell r="E1491" t="str">
            <v>HGC-Lib-2463158</v>
          </cell>
          <cell r="F1491" t="str">
            <v>BM096</v>
          </cell>
          <cell r="G1491">
            <v>4</v>
          </cell>
          <cell r="H1491" t="str">
            <v>全基因组文库</v>
          </cell>
          <cell r="J1491">
            <v>13.79</v>
          </cell>
          <cell r="N1491" t="e">
            <v>#DIV/0!</v>
          </cell>
        </row>
        <row r="1492">
          <cell r="E1492" t="str">
            <v>HGC-Lib-2463159</v>
          </cell>
          <cell r="F1492" t="str">
            <v>BM097</v>
          </cell>
          <cell r="G1492">
            <v>4</v>
          </cell>
          <cell r="H1492" t="str">
            <v>全基因组文库</v>
          </cell>
          <cell r="J1492">
            <v>22</v>
          </cell>
          <cell r="N1492" t="e">
            <v>#DIV/0!</v>
          </cell>
        </row>
        <row r="1493">
          <cell r="E1493" t="str">
            <v>HGC-Lib-2463160</v>
          </cell>
          <cell r="F1493" t="str">
            <v>BM098</v>
          </cell>
          <cell r="G1493">
            <v>4</v>
          </cell>
          <cell r="H1493" t="str">
            <v>全基因组文库</v>
          </cell>
          <cell r="J1493">
            <v>30.72</v>
          </cell>
          <cell r="N1493" t="e">
            <v>#DIV/0!</v>
          </cell>
        </row>
        <row r="1494">
          <cell r="E1494" t="str">
            <v>HGC-Lib-2463161</v>
          </cell>
          <cell r="F1494" t="str">
            <v>BM099</v>
          </cell>
          <cell r="G1494">
            <v>4</v>
          </cell>
          <cell r="H1494" t="str">
            <v>全基因组文库</v>
          </cell>
          <cell r="J1494">
            <v>24.17</v>
          </cell>
          <cell r="N1494" t="e">
            <v>#DIV/0!</v>
          </cell>
        </row>
        <row r="1495">
          <cell r="E1495" t="str">
            <v>HGC-Lib-2463162</v>
          </cell>
          <cell r="F1495" t="str">
            <v>BM100</v>
          </cell>
          <cell r="G1495">
            <v>4</v>
          </cell>
          <cell r="H1495" t="str">
            <v>全基因组文库</v>
          </cell>
          <cell r="J1495">
            <v>21.97</v>
          </cell>
          <cell r="N1495" t="e">
            <v>#DIV/0!</v>
          </cell>
        </row>
        <row r="1496">
          <cell r="E1496" t="str">
            <v>HGC-Lib-2463163</v>
          </cell>
          <cell r="F1496" t="str">
            <v>BM101</v>
          </cell>
          <cell r="G1496">
            <v>4</v>
          </cell>
          <cell r="H1496" t="str">
            <v>全基因组文库</v>
          </cell>
          <cell r="J1496">
            <v>34.67</v>
          </cell>
          <cell r="N1496" t="e">
            <v>#DIV/0!</v>
          </cell>
        </row>
        <row r="1497">
          <cell r="E1497" t="str">
            <v>HGC-Lib-2463164</v>
          </cell>
          <cell r="F1497" t="str">
            <v>BM102</v>
          </cell>
          <cell r="G1497">
            <v>4</v>
          </cell>
          <cell r="H1497" t="str">
            <v>全基因组文库</v>
          </cell>
          <cell r="J1497">
            <v>40.22</v>
          </cell>
          <cell r="N1497" t="e">
            <v>#DIV/0!</v>
          </cell>
        </row>
        <row r="1498">
          <cell r="E1498" t="str">
            <v>HGC-Lib-2463165</v>
          </cell>
          <cell r="F1498" t="str">
            <v>BM103</v>
          </cell>
          <cell r="G1498">
            <v>4</v>
          </cell>
          <cell r="H1498" t="str">
            <v>全基因组文库</v>
          </cell>
          <cell r="J1498">
            <v>37.229999999999997</v>
          </cell>
          <cell r="N1498" t="e">
            <v>#DIV/0!</v>
          </cell>
        </row>
        <row r="1499">
          <cell r="E1499" t="str">
            <v>HGC-Lib-2463166</v>
          </cell>
          <cell r="F1499" t="str">
            <v>BM104</v>
          </cell>
          <cell r="G1499">
            <v>4</v>
          </cell>
          <cell r="H1499" t="str">
            <v>全基因组文库</v>
          </cell>
          <cell r="J1499">
            <v>26.79</v>
          </cell>
          <cell r="N1499" t="e">
            <v>#DIV/0!</v>
          </cell>
        </row>
        <row r="1500">
          <cell r="E1500" t="str">
            <v>HGC-Lib-2463167</v>
          </cell>
          <cell r="F1500" t="str">
            <v>BM142</v>
          </cell>
          <cell r="G1500">
            <v>4</v>
          </cell>
          <cell r="H1500" t="str">
            <v>全基因组文库</v>
          </cell>
          <cell r="J1500">
            <v>33.299999999999997</v>
          </cell>
          <cell r="N1500" t="e">
            <v>#DIV/0!</v>
          </cell>
        </row>
        <row r="1501">
          <cell r="E1501" t="str">
            <v>HGC-Lib-2463168</v>
          </cell>
          <cell r="F1501" t="str">
            <v>BM143</v>
          </cell>
          <cell r="G1501">
            <v>4</v>
          </cell>
          <cell r="H1501" t="str">
            <v>全基因组文库</v>
          </cell>
          <cell r="J1501">
            <v>29.59</v>
          </cell>
          <cell r="N1501" t="e">
            <v>#DIV/0!</v>
          </cell>
        </row>
        <row r="1502">
          <cell r="E1502" t="str">
            <v>HGC-Lib-2463169</v>
          </cell>
          <cell r="F1502" t="str">
            <v>BM144</v>
          </cell>
          <cell r="G1502">
            <v>4</v>
          </cell>
          <cell r="H1502" t="str">
            <v>全基因组文库</v>
          </cell>
          <cell r="J1502">
            <v>16.100000000000001</v>
          </cell>
          <cell r="N1502" t="e">
            <v>#DIV/0!</v>
          </cell>
        </row>
        <row r="1503">
          <cell r="E1503" t="str">
            <v>HGC-Lib-2463170</v>
          </cell>
          <cell r="F1503" t="str">
            <v>BM145</v>
          </cell>
          <cell r="G1503">
            <v>4</v>
          </cell>
          <cell r="H1503" t="str">
            <v>全基因组文库</v>
          </cell>
          <cell r="J1503">
            <v>35</v>
          </cell>
          <cell r="N1503" t="e">
            <v>#DIV/0!</v>
          </cell>
        </row>
        <row r="1504">
          <cell r="E1504" t="str">
            <v>HGC-Lib-2463171</v>
          </cell>
          <cell r="F1504" t="str">
            <v>BM146</v>
          </cell>
          <cell r="G1504">
            <v>4</v>
          </cell>
          <cell r="H1504" t="str">
            <v>全基因组文库</v>
          </cell>
          <cell r="J1504">
            <v>36.22</v>
          </cell>
          <cell r="N1504" t="e">
            <v>#DIV/0!</v>
          </cell>
        </row>
        <row r="1505">
          <cell r="E1505" t="str">
            <v>HGC-Lib-2463172</v>
          </cell>
          <cell r="F1505" t="str">
            <v>BM147</v>
          </cell>
          <cell r="G1505">
            <v>4</v>
          </cell>
          <cell r="H1505" t="str">
            <v>全基因组文库</v>
          </cell>
          <cell r="J1505">
            <v>26.31</v>
          </cell>
          <cell r="N1505" t="e">
            <v>#DIV/0!</v>
          </cell>
        </row>
        <row r="1506">
          <cell r="E1506" t="str">
            <v>HGC-Lib-2463173</v>
          </cell>
          <cell r="F1506" t="str">
            <v>BM148</v>
          </cell>
          <cell r="G1506">
            <v>4</v>
          </cell>
          <cell r="H1506" t="str">
            <v>全基因组文库</v>
          </cell>
          <cell r="J1506">
            <v>28.82</v>
          </cell>
          <cell r="N1506" t="e">
            <v>#DIV/0!</v>
          </cell>
        </row>
        <row r="1507">
          <cell r="E1507" t="str">
            <v>HGC-Lib-2463174</v>
          </cell>
          <cell r="F1507" t="str">
            <v>BM149</v>
          </cell>
          <cell r="G1507">
            <v>4</v>
          </cell>
          <cell r="H1507" t="str">
            <v>全基因组文库</v>
          </cell>
          <cell r="J1507">
            <v>34.369999999999997</v>
          </cell>
          <cell r="N1507" t="e">
            <v>#DIV/0!</v>
          </cell>
        </row>
        <row r="1508">
          <cell r="E1508" t="str">
            <v>HGC-Lib-2463175</v>
          </cell>
          <cell r="F1508" t="str">
            <v>BM150</v>
          </cell>
          <cell r="G1508">
            <v>4</v>
          </cell>
          <cell r="H1508" t="str">
            <v>全基因组文库</v>
          </cell>
          <cell r="J1508">
            <v>32.42</v>
          </cell>
          <cell r="N1508" t="e">
            <v>#DIV/0!</v>
          </cell>
        </row>
        <row r="1509">
          <cell r="E1509" t="str">
            <v>HGC-Lib-2463176</v>
          </cell>
          <cell r="F1509" t="str">
            <v>BM151</v>
          </cell>
          <cell r="G1509">
            <v>4</v>
          </cell>
          <cell r="H1509" t="str">
            <v>全基因组文库</v>
          </cell>
          <cell r="J1509">
            <v>38.54</v>
          </cell>
          <cell r="N1509" t="e">
            <v>#DIV/0!</v>
          </cell>
        </row>
        <row r="1510">
          <cell r="E1510" t="str">
            <v>HGC-Lib-2463177</v>
          </cell>
          <cell r="F1510" t="str">
            <v>BM152</v>
          </cell>
          <cell r="G1510">
            <v>4</v>
          </cell>
          <cell r="H1510" t="str">
            <v>全基因组文库</v>
          </cell>
          <cell r="J1510">
            <v>27.46</v>
          </cell>
          <cell r="N1510" t="e">
            <v>#DIV/0!</v>
          </cell>
        </row>
        <row r="1511">
          <cell r="E1511" t="str">
            <v>HGC-Lib-2463178</v>
          </cell>
          <cell r="F1511" t="str">
            <v>BM153</v>
          </cell>
          <cell r="G1511">
            <v>4</v>
          </cell>
          <cell r="H1511" t="str">
            <v>全基因组文库</v>
          </cell>
          <cell r="J1511">
            <v>34.06</v>
          </cell>
          <cell r="N1511" t="e">
            <v>#DIV/0!</v>
          </cell>
        </row>
        <row r="1512">
          <cell r="E1512" t="str">
            <v>HGC-Lib-2463179</v>
          </cell>
          <cell r="F1512" t="str">
            <v>BM154</v>
          </cell>
          <cell r="G1512">
            <v>4</v>
          </cell>
          <cell r="H1512" t="str">
            <v>全基因组文库</v>
          </cell>
          <cell r="J1512">
            <v>32.25</v>
          </cell>
          <cell r="N1512" t="e">
            <v>#DIV/0!</v>
          </cell>
        </row>
        <row r="1513">
          <cell r="E1513" t="str">
            <v>HGC-Lib-2463180</v>
          </cell>
          <cell r="F1513" t="str">
            <v>BM155</v>
          </cell>
          <cell r="G1513">
            <v>4</v>
          </cell>
          <cell r="H1513" t="str">
            <v>全基因组文库</v>
          </cell>
          <cell r="J1513">
            <v>35.56</v>
          </cell>
          <cell r="N1513" t="e">
            <v>#DIV/0!</v>
          </cell>
        </row>
        <row r="1514">
          <cell r="E1514" t="str">
            <v>HGC-Lib-2463181</v>
          </cell>
          <cell r="F1514" t="str">
            <v>BM156</v>
          </cell>
          <cell r="G1514">
            <v>4</v>
          </cell>
          <cell r="H1514" t="str">
            <v>全基因组文库</v>
          </cell>
          <cell r="J1514">
            <v>34.549999999999997</v>
          </cell>
          <cell r="N1514" t="e">
            <v>#DIV/0!</v>
          </cell>
        </row>
        <row r="1515">
          <cell r="E1515" t="str">
            <v>HGC-Lib-2463182</v>
          </cell>
          <cell r="F1515" t="str">
            <v>BM157</v>
          </cell>
          <cell r="G1515">
            <v>4</v>
          </cell>
          <cell r="H1515" t="str">
            <v>全基因组文库</v>
          </cell>
          <cell r="J1515">
            <v>32.700000000000003</v>
          </cell>
          <cell r="N1515" t="e">
            <v>#DIV/0!</v>
          </cell>
        </row>
        <row r="1516">
          <cell r="E1516" t="str">
            <v>HGC-Lib-2463183</v>
          </cell>
          <cell r="F1516" t="str">
            <v>BM158</v>
          </cell>
          <cell r="G1516">
            <v>4</v>
          </cell>
          <cell r="H1516" t="str">
            <v>全基因组文库</v>
          </cell>
          <cell r="J1516">
            <v>34.06</v>
          </cell>
          <cell r="N1516" t="e">
            <v>#DIV/0!</v>
          </cell>
        </row>
        <row r="1517">
          <cell r="E1517" t="str">
            <v>HGC-Lib-2463184</v>
          </cell>
          <cell r="F1517" t="str">
            <v>BM159</v>
          </cell>
          <cell r="G1517">
            <v>4</v>
          </cell>
          <cell r="H1517" t="str">
            <v>全基因组文库</v>
          </cell>
          <cell r="J1517">
            <v>31.57</v>
          </cell>
          <cell r="N1517" t="e">
            <v>#DIV/0!</v>
          </cell>
        </row>
        <row r="1518">
          <cell r="E1518" t="str">
            <v>HGC-Lib-2463185</v>
          </cell>
          <cell r="F1518" t="str">
            <v>BM160</v>
          </cell>
          <cell r="G1518">
            <v>4</v>
          </cell>
          <cell r="H1518" t="str">
            <v>全基因组文库</v>
          </cell>
          <cell r="J1518">
            <v>29.04</v>
          </cell>
          <cell r="N1518" t="e">
            <v>#DIV/0!</v>
          </cell>
        </row>
        <row r="1519">
          <cell r="E1519" t="str">
            <v>HGC-Lib-2463186</v>
          </cell>
          <cell r="F1519" t="str">
            <v>BM161</v>
          </cell>
          <cell r="G1519">
            <v>4</v>
          </cell>
          <cell r="H1519" t="str">
            <v>全基因组文库</v>
          </cell>
          <cell r="J1519">
            <v>29.03</v>
          </cell>
          <cell r="N1519" t="e">
            <v>#DIV/0!</v>
          </cell>
        </row>
        <row r="1520">
          <cell r="E1520" t="str">
            <v>HGC-Lib-2463187</v>
          </cell>
          <cell r="F1520" t="str">
            <v>BM163</v>
          </cell>
          <cell r="G1520">
            <v>4</v>
          </cell>
          <cell r="H1520" t="str">
            <v>全基因组文库</v>
          </cell>
          <cell r="J1520">
            <v>29.31</v>
          </cell>
          <cell r="N1520" t="e">
            <v>#DIV/0!</v>
          </cell>
        </row>
        <row r="1521">
          <cell r="E1521" t="str">
            <v>HGC-Lib-2463188</v>
          </cell>
          <cell r="F1521" t="str">
            <v>BM164</v>
          </cell>
          <cell r="G1521">
            <v>4</v>
          </cell>
          <cell r="H1521" t="str">
            <v>全基因组文库</v>
          </cell>
          <cell r="J1521">
            <v>35.49</v>
          </cell>
          <cell r="N1521" t="e">
            <v>#DIV/0!</v>
          </cell>
        </row>
        <row r="1522">
          <cell r="E1522" t="str">
            <v>HGC-Lib-2463189</v>
          </cell>
          <cell r="F1522" t="str">
            <v>BM165</v>
          </cell>
          <cell r="G1522">
            <v>4</v>
          </cell>
          <cell r="H1522" t="str">
            <v>全基因组文库</v>
          </cell>
          <cell r="J1522">
            <v>32.33</v>
          </cell>
          <cell r="N1522" t="e">
            <v>#DIV/0!</v>
          </cell>
        </row>
        <row r="1523">
          <cell r="E1523" t="str">
            <v>HGC-Lib-2463190</v>
          </cell>
          <cell r="F1523" t="str">
            <v>BM166</v>
          </cell>
          <cell r="G1523">
            <v>4</v>
          </cell>
          <cell r="H1523" t="str">
            <v>全基因组文库</v>
          </cell>
          <cell r="J1523">
            <v>33.020000000000003</v>
          </cell>
          <cell r="N1523" t="e">
            <v>#DIV/0!</v>
          </cell>
        </row>
        <row r="1524">
          <cell r="E1524" t="str">
            <v>HGC-Lib-2463191</v>
          </cell>
          <cell r="F1524" t="str">
            <v>BM167</v>
          </cell>
          <cell r="G1524">
            <v>4</v>
          </cell>
          <cell r="H1524" t="str">
            <v>全基因组文库</v>
          </cell>
          <cell r="J1524">
            <v>21.17</v>
          </cell>
          <cell r="N1524" t="e">
            <v>#DIV/0!</v>
          </cell>
        </row>
        <row r="1525">
          <cell r="E1525" t="str">
            <v>HGC-Lib-2463192</v>
          </cell>
          <cell r="F1525" t="str">
            <v>BM168</v>
          </cell>
          <cell r="G1525">
            <v>4</v>
          </cell>
          <cell r="H1525" t="str">
            <v>全基因组文库</v>
          </cell>
          <cell r="J1525">
            <v>30.38</v>
          </cell>
          <cell r="N1525" t="e">
            <v>#DIV/0!</v>
          </cell>
        </row>
        <row r="1526">
          <cell r="E1526" t="str">
            <v>HGC-Lib-2463193</v>
          </cell>
          <cell r="F1526" t="str">
            <v>BM169</v>
          </cell>
          <cell r="G1526">
            <v>4</v>
          </cell>
          <cell r="H1526" t="str">
            <v>全基因组文库</v>
          </cell>
          <cell r="J1526">
            <v>37.57</v>
          </cell>
          <cell r="N1526" t="e">
            <v>#DIV/0!</v>
          </cell>
        </row>
        <row r="1527">
          <cell r="E1527" t="str">
            <v>HGC-Lib-2463194</v>
          </cell>
          <cell r="F1527" t="str">
            <v>BM170</v>
          </cell>
          <cell r="G1527">
            <v>4</v>
          </cell>
          <cell r="H1527" t="str">
            <v>全基因组文库</v>
          </cell>
          <cell r="J1527">
            <v>29.25</v>
          </cell>
          <cell r="N1527" t="e">
            <v>#DIV/0!</v>
          </cell>
        </row>
        <row r="1528">
          <cell r="E1528" t="str">
            <v>HGC-Lib-2463195</v>
          </cell>
          <cell r="F1528" t="str">
            <v>BM171</v>
          </cell>
          <cell r="G1528">
            <v>4</v>
          </cell>
          <cell r="H1528" t="str">
            <v>全基因组文库</v>
          </cell>
          <cell r="J1528">
            <v>32.369999999999997</v>
          </cell>
          <cell r="N1528" t="e">
            <v>#DIV/0!</v>
          </cell>
        </row>
        <row r="1529">
          <cell r="E1529" t="str">
            <v>HGC-Lib-2463196</v>
          </cell>
          <cell r="F1529" t="str">
            <v>BM172</v>
          </cell>
          <cell r="G1529">
            <v>4</v>
          </cell>
          <cell r="H1529" t="str">
            <v>全基因组文库</v>
          </cell>
          <cell r="J1529">
            <v>33.54</v>
          </cell>
          <cell r="N1529" t="e">
            <v>#DIV/0!</v>
          </cell>
        </row>
        <row r="1530">
          <cell r="E1530" t="str">
            <v>HGC-Lib-2463197</v>
          </cell>
          <cell r="F1530" t="str">
            <v>BM173</v>
          </cell>
          <cell r="G1530">
            <v>4</v>
          </cell>
          <cell r="H1530" t="str">
            <v>全基因组文库</v>
          </cell>
          <cell r="J1530">
            <v>33.57</v>
          </cell>
          <cell r="N1530" t="e">
            <v>#DIV/0!</v>
          </cell>
        </row>
        <row r="1531">
          <cell r="E1531" t="str">
            <v>HGC-Lib-2463198</v>
          </cell>
          <cell r="F1531" t="str">
            <v>BM174</v>
          </cell>
          <cell r="G1531">
            <v>4</v>
          </cell>
          <cell r="H1531" t="str">
            <v>全基因组文库</v>
          </cell>
          <cell r="J1531">
            <v>27.87</v>
          </cell>
          <cell r="N1531" t="e">
            <v>#DIV/0!</v>
          </cell>
        </row>
        <row r="1532">
          <cell r="E1532" t="str">
            <v>HGC-Lib-2463199</v>
          </cell>
          <cell r="F1532" t="str">
            <v>BM175</v>
          </cell>
          <cell r="G1532">
            <v>4</v>
          </cell>
          <cell r="H1532" t="str">
            <v>全基因组文库</v>
          </cell>
          <cell r="J1532">
            <v>37.43</v>
          </cell>
          <cell r="N1532" t="e">
            <v>#DIV/0!</v>
          </cell>
        </row>
        <row r="1533">
          <cell r="E1533" t="str">
            <v>HGC-Lib-2463200</v>
          </cell>
          <cell r="F1533" t="str">
            <v>BM176</v>
          </cell>
          <cell r="G1533">
            <v>4</v>
          </cell>
          <cell r="H1533" t="str">
            <v>全基因组文库</v>
          </cell>
          <cell r="J1533">
            <v>34.08</v>
          </cell>
          <cell r="N1533" t="e">
            <v>#DIV/0!</v>
          </cell>
        </row>
        <row r="1534">
          <cell r="E1534" t="str">
            <v>HGC-Lib-2463201</v>
          </cell>
          <cell r="F1534" t="str">
            <v>BM177</v>
          </cell>
          <cell r="G1534">
            <v>4</v>
          </cell>
          <cell r="H1534" t="str">
            <v>全基因组文库</v>
          </cell>
          <cell r="J1534">
            <v>38.46</v>
          </cell>
          <cell r="N1534" t="e">
            <v>#DIV/0!</v>
          </cell>
        </row>
        <row r="1535">
          <cell r="E1535" t="str">
            <v>HGC-Lib-2463202</v>
          </cell>
          <cell r="F1535" t="str">
            <v>BM178</v>
          </cell>
          <cell r="G1535">
            <v>4</v>
          </cell>
          <cell r="H1535" t="str">
            <v>全基因组文库</v>
          </cell>
          <cell r="J1535">
            <v>28.21</v>
          </cell>
          <cell r="N1535" t="e">
            <v>#DIV/0!</v>
          </cell>
        </row>
        <row r="1536">
          <cell r="E1536" t="str">
            <v>HGC-Lib-2463203</v>
          </cell>
          <cell r="F1536" t="str">
            <v>BM179</v>
          </cell>
          <cell r="G1536">
            <v>4</v>
          </cell>
          <cell r="H1536" t="str">
            <v>全基因组文库</v>
          </cell>
          <cell r="J1536">
            <v>33.94</v>
          </cell>
          <cell r="N1536" t="e">
            <v>#DIV/0!</v>
          </cell>
        </row>
        <row r="1537">
          <cell r="E1537" t="str">
            <v>HGC-Lib-2463204</v>
          </cell>
          <cell r="F1537" t="str">
            <v>BM180</v>
          </cell>
          <cell r="G1537">
            <v>4</v>
          </cell>
          <cell r="H1537" t="str">
            <v>全基因组文库</v>
          </cell>
          <cell r="J1537">
            <v>35.92</v>
          </cell>
          <cell r="N1537" t="e">
            <v>#DIV/0!</v>
          </cell>
        </row>
        <row r="1538">
          <cell r="E1538" t="str">
            <v>HGC-Lib-2463205</v>
          </cell>
          <cell r="F1538" t="str">
            <v>BM181</v>
          </cell>
          <cell r="G1538">
            <v>4</v>
          </cell>
          <cell r="H1538" t="str">
            <v>全基因组文库</v>
          </cell>
          <cell r="J1538">
            <v>29.26</v>
          </cell>
          <cell r="N1538" t="e">
            <v>#DIV/0!</v>
          </cell>
        </row>
        <row r="1539">
          <cell r="E1539" t="str">
            <v>HGC-Lib-2463206</v>
          </cell>
          <cell r="F1539" t="str">
            <v>BM182</v>
          </cell>
          <cell r="G1539">
            <v>4</v>
          </cell>
          <cell r="H1539" t="str">
            <v>全基因组文库</v>
          </cell>
          <cell r="J1539">
            <v>31.77</v>
          </cell>
          <cell r="N1539" t="e">
            <v>#DIV/0!</v>
          </cell>
        </row>
        <row r="1540">
          <cell r="E1540" t="str">
            <v>HGC-Lib-2463207</v>
          </cell>
          <cell r="F1540" t="str">
            <v>BM183</v>
          </cell>
          <cell r="G1540">
            <v>4</v>
          </cell>
          <cell r="H1540" t="str">
            <v>全基因组文库</v>
          </cell>
          <cell r="J1540">
            <v>35.07</v>
          </cell>
          <cell r="N1540" t="e">
            <v>#DIV/0!</v>
          </cell>
        </row>
        <row r="1541">
          <cell r="E1541" t="str">
            <v>HGC-Lib-2463208</v>
          </cell>
          <cell r="F1541" t="str">
            <v>BM184</v>
          </cell>
          <cell r="G1541">
            <v>4</v>
          </cell>
          <cell r="H1541" t="str">
            <v>全基因组文库</v>
          </cell>
          <cell r="J1541">
            <v>30.05</v>
          </cell>
          <cell r="N1541" t="e">
            <v>#DIV/0!</v>
          </cell>
        </row>
        <row r="1542">
          <cell r="E1542" t="str">
            <v>HGC-Lib-2463209</v>
          </cell>
          <cell r="F1542" t="str">
            <v>BM185</v>
          </cell>
          <cell r="G1542">
            <v>4</v>
          </cell>
          <cell r="H1542" t="str">
            <v>全基因组文库</v>
          </cell>
          <cell r="J1542">
            <v>31.93</v>
          </cell>
          <cell r="N1542" t="e">
            <v>#DIV/0!</v>
          </cell>
        </row>
        <row r="1543">
          <cell r="E1543" t="str">
            <v>HGC-Lib-2463210</v>
          </cell>
          <cell r="F1543" t="str">
            <v>BM186</v>
          </cell>
          <cell r="G1543">
            <v>4</v>
          </cell>
          <cell r="H1543" t="str">
            <v>全基因组文库</v>
          </cell>
          <cell r="J1543">
            <v>20.46</v>
          </cell>
          <cell r="N1543" t="e">
            <v>#DIV/0!</v>
          </cell>
        </row>
        <row r="1544">
          <cell r="E1544" t="str">
            <v>HGC-Lib-2463211</v>
          </cell>
          <cell r="F1544" t="str">
            <v>BM187</v>
          </cell>
          <cell r="G1544">
            <v>4</v>
          </cell>
          <cell r="H1544" t="str">
            <v>全基因组文库</v>
          </cell>
          <cell r="J1544">
            <v>32.51</v>
          </cell>
          <cell r="N1544" t="e">
            <v>#DIV/0!</v>
          </cell>
        </row>
        <row r="1545">
          <cell r="E1545" t="str">
            <v>HGC-Lib-2463212</v>
          </cell>
          <cell r="F1545" t="str">
            <v>BM188</v>
          </cell>
          <cell r="G1545">
            <v>4</v>
          </cell>
          <cell r="H1545" t="str">
            <v>全基因组文库</v>
          </cell>
          <cell r="J1545">
            <v>33.32</v>
          </cell>
          <cell r="N1545" t="e">
            <v>#DIV/0!</v>
          </cell>
        </row>
        <row r="1546">
          <cell r="E1546" t="str">
            <v>HGC-Lib-2463213</v>
          </cell>
          <cell r="F1546" t="str">
            <v>BM189</v>
          </cell>
          <cell r="G1546">
            <v>4</v>
          </cell>
          <cell r="H1546" t="str">
            <v>全基因组文库</v>
          </cell>
          <cell r="J1546">
            <v>32.17</v>
          </cell>
          <cell r="N1546" t="e">
            <v>#DIV/0!</v>
          </cell>
        </row>
        <row r="1547">
          <cell r="E1547" t="str">
            <v>HGC-Lib-2463214</v>
          </cell>
          <cell r="F1547" t="str">
            <v>BM190</v>
          </cell>
          <cell r="G1547">
            <v>4</v>
          </cell>
          <cell r="H1547" t="str">
            <v>全基因组文库</v>
          </cell>
          <cell r="J1547">
            <v>30.16</v>
          </cell>
          <cell r="N1547" t="e">
            <v>#DIV/0!</v>
          </cell>
        </row>
        <row r="1548">
          <cell r="E1548" t="str">
            <v>HGC-Lib-2463215</v>
          </cell>
          <cell r="F1548" t="str">
            <v>BM191</v>
          </cell>
          <cell r="G1548">
            <v>4</v>
          </cell>
          <cell r="H1548" t="str">
            <v>全基因组文库</v>
          </cell>
          <cell r="J1548">
            <v>33.78</v>
          </cell>
          <cell r="N1548" t="e">
            <v>#DIV/0!</v>
          </cell>
        </row>
        <row r="1549">
          <cell r="E1549" t="str">
            <v>HGC-Lib-2463216</v>
          </cell>
          <cell r="F1549" t="str">
            <v>BM192</v>
          </cell>
          <cell r="G1549">
            <v>4</v>
          </cell>
          <cell r="H1549" t="str">
            <v>全基因组文库</v>
          </cell>
          <cell r="J1549">
            <v>35.76</v>
          </cell>
          <cell r="N1549" t="e">
            <v>#DIV/0!</v>
          </cell>
        </row>
        <row r="1550">
          <cell r="E1550" t="str">
            <v>HGC-Lib-2463217</v>
          </cell>
          <cell r="F1550" t="str">
            <v>BM193</v>
          </cell>
          <cell r="G1550">
            <v>4</v>
          </cell>
          <cell r="H1550" t="str">
            <v>全基因组文库</v>
          </cell>
          <cell r="J1550">
            <v>21.37</v>
          </cell>
          <cell r="N1550" t="e">
            <v>#DIV/0!</v>
          </cell>
        </row>
        <row r="1551">
          <cell r="E1551" t="str">
            <v>HGC-Lib-2463218</v>
          </cell>
          <cell r="F1551" t="str">
            <v>BM194</v>
          </cell>
          <cell r="G1551">
            <v>4</v>
          </cell>
          <cell r="H1551" t="str">
            <v>全基因组文库</v>
          </cell>
          <cell r="J1551">
            <v>34.130000000000003</v>
          </cell>
          <cell r="N1551" t="e">
            <v>#DIV/0!</v>
          </cell>
        </row>
        <row r="1552">
          <cell r="E1552" t="str">
            <v>HGC-Lib-2463219</v>
          </cell>
          <cell r="F1552" t="str">
            <v>BM195</v>
          </cell>
          <cell r="G1552">
            <v>4</v>
          </cell>
          <cell r="H1552" t="str">
            <v>全基因组文库</v>
          </cell>
          <cell r="J1552">
            <v>29.66</v>
          </cell>
          <cell r="N1552" t="e">
            <v>#DIV/0!</v>
          </cell>
        </row>
        <row r="1553">
          <cell r="E1553" t="str">
            <v>HGC-Lib-2463220</v>
          </cell>
          <cell r="F1553" t="str">
            <v>BM196</v>
          </cell>
          <cell r="G1553">
            <v>4</v>
          </cell>
          <cell r="H1553" t="str">
            <v>全基因组文库</v>
          </cell>
          <cell r="J1553">
            <v>25.38</v>
          </cell>
          <cell r="N1553" t="e">
            <v>#DIV/0!</v>
          </cell>
        </row>
        <row r="1554">
          <cell r="E1554" t="str">
            <v>HGC-Lib-2463221</v>
          </cell>
          <cell r="F1554" t="str">
            <v>BM197</v>
          </cell>
          <cell r="G1554">
            <v>4</v>
          </cell>
          <cell r="H1554" t="str">
            <v>全基因组文库</v>
          </cell>
          <cell r="J1554">
            <v>29.95</v>
          </cell>
          <cell r="N1554" t="e">
            <v>#DIV/0!</v>
          </cell>
        </row>
        <row r="1555">
          <cell r="E1555" t="str">
            <v>HGC-Lib-2463222</v>
          </cell>
          <cell r="F1555" t="str">
            <v>BM198</v>
          </cell>
          <cell r="G1555">
            <v>4</v>
          </cell>
          <cell r="H1555" t="str">
            <v>全基因组文库</v>
          </cell>
          <cell r="J1555">
            <v>38.299999999999997</v>
          </cell>
          <cell r="N1555" t="e">
            <v>#DIV/0!</v>
          </cell>
        </row>
        <row r="1556">
          <cell r="E1556" t="str">
            <v>HGC-Lib-2463223</v>
          </cell>
          <cell r="F1556" t="str">
            <v>BM199</v>
          </cell>
          <cell r="G1556">
            <v>4</v>
          </cell>
          <cell r="H1556" t="str">
            <v>全基因组文库</v>
          </cell>
          <cell r="J1556">
            <v>39.950000000000003</v>
          </cell>
          <cell r="N1556" t="e">
            <v>#DIV/0!</v>
          </cell>
        </row>
        <row r="1557">
          <cell r="E1557" t="str">
            <v>HGC-Lib-2463224</v>
          </cell>
          <cell r="F1557" t="str">
            <v>BM200</v>
          </cell>
          <cell r="G1557">
            <v>4</v>
          </cell>
          <cell r="H1557" t="str">
            <v>全基因组文库</v>
          </cell>
          <cell r="J1557">
            <v>16.149999999999999</v>
          </cell>
          <cell r="N1557" t="e">
            <v>#DIV/0!</v>
          </cell>
        </row>
        <row r="1558">
          <cell r="E1558" t="str">
            <v>HGC-Lib-2463225</v>
          </cell>
          <cell r="F1558" t="str">
            <v>BM201</v>
          </cell>
          <cell r="G1558">
            <v>4</v>
          </cell>
          <cell r="H1558" t="str">
            <v>全基因组文库</v>
          </cell>
          <cell r="J1558">
            <v>32.58</v>
          </cell>
          <cell r="N1558" t="e">
            <v>#DIV/0!</v>
          </cell>
        </row>
        <row r="1559">
          <cell r="E1559" t="str">
            <v>HGC-Lib-2463226</v>
          </cell>
          <cell r="F1559" t="str">
            <v>BM203</v>
          </cell>
          <cell r="G1559">
            <v>4</v>
          </cell>
          <cell r="H1559" t="str">
            <v>全基因组文库</v>
          </cell>
          <cell r="J1559">
            <v>27.33</v>
          </cell>
          <cell r="N1559" t="e">
            <v>#DIV/0!</v>
          </cell>
        </row>
        <row r="1560">
          <cell r="E1560" t="str">
            <v>HGC-Lib-2463227</v>
          </cell>
          <cell r="F1560" t="str">
            <v>BM204</v>
          </cell>
          <cell r="G1560">
            <v>4</v>
          </cell>
          <cell r="H1560" t="str">
            <v>全基因组文库</v>
          </cell>
          <cell r="J1560">
            <v>24.95</v>
          </cell>
          <cell r="N1560" t="e">
            <v>#DIV/0!</v>
          </cell>
        </row>
        <row r="1561">
          <cell r="E1561" t="str">
            <v>HGC-Lib-2463228</v>
          </cell>
          <cell r="F1561" t="str">
            <v>BM205</v>
          </cell>
          <cell r="G1561">
            <v>4</v>
          </cell>
          <cell r="H1561" t="str">
            <v>全基因组文库</v>
          </cell>
          <cell r="J1561">
            <v>15.75</v>
          </cell>
          <cell r="N1561" t="e">
            <v>#DIV/0!</v>
          </cell>
        </row>
        <row r="1562">
          <cell r="E1562" t="str">
            <v>HGC-Lib-2463229</v>
          </cell>
          <cell r="F1562" t="str">
            <v>BM206</v>
          </cell>
          <cell r="G1562">
            <v>4</v>
          </cell>
          <cell r="H1562" t="str">
            <v>全基因组文库</v>
          </cell>
          <cell r="J1562">
            <v>31.57</v>
          </cell>
          <cell r="N1562" t="e">
            <v>#DIV/0!</v>
          </cell>
        </row>
        <row r="1563">
          <cell r="E1563" t="str">
            <v>HGC-Lib-2463230</v>
          </cell>
          <cell r="F1563" t="str">
            <v>BM207</v>
          </cell>
          <cell r="G1563">
            <v>4</v>
          </cell>
          <cell r="H1563" t="str">
            <v>全基因组文库</v>
          </cell>
          <cell r="J1563">
            <v>24.98</v>
          </cell>
          <cell r="N1563" t="e">
            <v>#DIV/0!</v>
          </cell>
        </row>
        <row r="1564">
          <cell r="E1564" t="str">
            <v>HGC-Lib-2463231</v>
          </cell>
          <cell r="F1564" t="str">
            <v>BM208</v>
          </cell>
          <cell r="G1564">
            <v>4</v>
          </cell>
          <cell r="H1564" t="str">
            <v>全基因组文库</v>
          </cell>
          <cell r="J1564">
            <v>32.07</v>
          </cell>
          <cell r="N1564" t="e">
            <v>#DIV/0!</v>
          </cell>
        </row>
        <row r="1565">
          <cell r="E1565" t="str">
            <v>HGC-Lib-2463232</v>
          </cell>
          <cell r="F1565" t="str">
            <v>BM209</v>
          </cell>
          <cell r="G1565">
            <v>4</v>
          </cell>
          <cell r="H1565" t="str">
            <v>全基因组文库</v>
          </cell>
          <cell r="J1565">
            <v>36.08</v>
          </cell>
          <cell r="N1565" t="e">
            <v>#DIV/0!</v>
          </cell>
        </row>
        <row r="1566">
          <cell r="E1566" t="str">
            <v>HGC-Lib-2463233</v>
          </cell>
          <cell r="F1566" t="str">
            <v>BM210</v>
          </cell>
          <cell r="G1566">
            <v>4</v>
          </cell>
          <cell r="H1566" t="str">
            <v>全基因组文库</v>
          </cell>
          <cell r="J1566">
            <v>29.88</v>
          </cell>
          <cell r="N1566" t="e">
            <v>#DIV/0!</v>
          </cell>
        </row>
        <row r="1567">
          <cell r="E1567" t="str">
            <v>HGC-Lib-2463234</v>
          </cell>
          <cell r="F1567" t="str">
            <v>BM211</v>
          </cell>
          <cell r="G1567">
            <v>4</v>
          </cell>
          <cell r="H1567" t="str">
            <v>全基因组文库</v>
          </cell>
          <cell r="J1567">
            <v>32.79</v>
          </cell>
          <cell r="N1567" t="e">
            <v>#DIV/0!</v>
          </cell>
        </row>
        <row r="1568">
          <cell r="E1568" t="str">
            <v>HGC-Lib-2463235</v>
          </cell>
          <cell r="F1568" t="str">
            <v>BM212</v>
          </cell>
          <cell r="G1568">
            <v>4</v>
          </cell>
          <cell r="H1568" t="str">
            <v>全基因组文库</v>
          </cell>
          <cell r="J1568">
            <v>27</v>
          </cell>
          <cell r="N1568" t="e">
            <v>#DIV/0!</v>
          </cell>
        </row>
        <row r="1569">
          <cell r="E1569" t="str">
            <v>HGC-Lib-2463236</v>
          </cell>
          <cell r="F1569" t="str">
            <v>BM213</v>
          </cell>
          <cell r="G1569">
            <v>4</v>
          </cell>
          <cell r="H1569" t="str">
            <v>全基因组文库</v>
          </cell>
          <cell r="J1569">
            <v>33.020000000000003</v>
          </cell>
          <cell r="N1569" t="e">
            <v>#DIV/0!</v>
          </cell>
        </row>
        <row r="1570">
          <cell r="E1570" t="str">
            <v>HGC-Lib-2463237</v>
          </cell>
          <cell r="F1570" t="str">
            <v>BM214</v>
          </cell>
          <cell r="G1570">
            <v>4</v>
          </cell>
          <cell r="H1570" t="str">
            <v>全基因组文库</v>
          </cell>
          <cell r="J1570">
            <v>18.98</v>
          </cell>
          <cell r="N1570" t="e">
            <v>#DIV/0!</v>
          </cell>
        </row>
        <row r="1571">
          <cell r="E1571" t="str">
            <v>HGC-Lib-2463238</v>
          </cell>
          <cell r="F1571" t="str">
            <v>BM215</v>
          </cell>
          <cell r="G1571">
            <v>4</v>
          </cell>
          <cell r="H1571" t="str">
            <v>全基因组文库</v>
          </cell>
          <cell r="J1571">
            <v>38.94</v>
          </cell>
          <cell r="N1571" t="e">
            <v>#DIV/0!</v>
          </cell>
        </row>
        <row r="1572">
          <cell r="E1572" t="str">
            <v>HGC-Lib-2463239</v>
          </cell>
          <cell r="F1572" t="str">
            <v>BM216</v>
          </cell>
          <cell r="G1572">
            <v>4</v>
          </cell>
          <cell r="H1572" t="str">
            <v>全基因组文库</v>
          </cell>
          <cell r="J1572">
            <v>36.94</v>
          </cell>
          <cell r="N1572" t="e">
            <v>#DIV/0!</v>
          </cell>
        </row>
        <row r="1573">
          <cell r="E1573" t="str">
            <v>HGC-Lib-2463240</v>
          </cell>
          <cell r="F1573" t="str">
            <v>BM217</v>
          </cell>
          <cell r="G1573">
            <v>4</v>
          </cell>
          <cell r="H1573" t="str">
            <v>全基因组文库</v>
          </cell>
          <cell r="J1573">
            <v>42.03</v>
          </cell>
          <cell r="N1573" t="e">
            <v>#DIV/0!</v>
          </cell>
        </row>
        <row r="1574">
          <cell r="E1574" t="str">
            <v>HGC-Lib-2463241</v>
          </cell>
          <cell r="F1574" t="str">
            <v>BM218</v>
          </cell>
          <cell r="G1574">
            <v>4</v>
          </cell>
          <cell r="H1574" t="str">
            <v>全基因组文库</v>
          </cell>
          <cell r="J1574">
            <v>33.28</v>
          </cell>
          <cell r="N1574" t="e">
            <v>#DIV/0!</v>
          </cell>
        </row>
        <row r="1575">
          <cell r="E1575" t="str">
            <v>HGC-Lib-2463242</v>
          </cell>
          <cell r="F1575" t="str">
            <v>BM219</v>
          </cell>
          <cell r="G1575">
            <v>4</v>
          </cell>
          <cell r="H1575" t="str">
            <v>全基因组文库</v>
          </cell>
          <cell r="J1575">
            <v>35.950000000000003</v>
          </cell>
          <cell r="N1575" t="e">
            <v>#DIV/0!</v>
          </cell>
        </row>
        <row r="1576">
          <cell r="E1576" t="str">
            <v>HGC-Lib-2463243</v>
          </cell>
          <cell r="F1576" t="str">
            <v>BM220</v>
          </cell>
          <cell r="G1576">
            <v>4</v>
          </cell>
          <cell r="H1576" t="str">
            <v>全基因组文库</v>
          </cell>
          <cell r="J1576">
            <v>31.39</v>
          </cell>
          <cell r="N1576" t="e">
            <v>#DIV/0!</v>
          </cell>
        </row>
        <row r="1577">
          <cell r="E1577" t="str">
            <v>HGC-Lib-2463244</v>
          </cell>
          <cell r="F1577" t="str">
            <v>BM221</v>
          </cell>
          <cell r="G1577">
            <v>4</v>
          </cell>
          <cell r="H1577" t="str">
            <v>全基因组文库</v>
          </cell>
          <cell r="J1577">
            <v>36.22</v>
          </cell>
          <cell r="N1577" t="e">
            <v>#DIV/0!</v>
          </cell>
        </row>
        <row r="1578">
          <cell r="E1578" t="str">
            <v>HGC-Lib-2463245</v>
          </cell>
          <cell r="F1578" t="str">
            <v>BM222</v>
          </cell>
          <cell r="G1578">
            <v>4</v>
          </cell>
          <cell r="H1578" t="str">
            <v>全基因组文库</v>
          </cell>
          <cell r="J1578">
            <v>28.32</v>
          </cell>
          <cell r="N1578" t="e">
            <v>#DIV/0!</v>
          </cell>
        </row>
        <row r="1579">
          <cell r="E1579" t="str">
            <v>HGC-Lib-2463246</v>
          </cell>
          <cell r="F1579" t="str">
            <v>BM223</v>
          </cell>
          <cell r="G1579">
            <v>4</v>
          </cell>
          <cell r="H1579" t="str">
            <v>全基因组文库</v>
          </cell>
          <cell r="J1579">
            <v>34.159999999999997</v>
          </cell>
          <cell r="N1579" t="e">
            <v>#DIV/0!</v>
          </cell>
        </row>
        <row r="1580">
          <cell r="E1580" t="str">
            <v>HGC-Lib-2463247</v>
          </cell>
          <cell r="F1580" t="str">
            <v>BM224</v>
          </cell>
          <cell r="G1580">
            <v>4</v>
          </cell>
          <cell r="H1580" t="str">
            <v>全基因组文库</v>
          </cell>
          <cell r="J1580">
            <v>29.47</v>
          </cell>
          <cell r="N1580" t="e">
            <v>#DIV/0!</v>
          </cell>
        </row>
        <row r="1581">
          <cell r="E1581" t="str">
            <v>HGC-Lib-2463248</v>
          </cell>
          <cell r="F1581" t="str">
            <v>BM225</v>
          </cell>
          <cell r="G1581">
            <v>4</v>
          </cell>
          <cell r="H1581" t="str">
            <v>全基因组文库</v>
          </cell>
          <cell r="J1581">
            <v>33.46</v>
          </cell>
          <cell r="N1581" t="e">
            <v>#DIV/0!</v>
          </cell>
        </row>
        <row r="1582">
          <cell r="E1582" t="str">
            <v>HGC-Lib-2463249</v>
          </cell>
          <cell r="F1582" t="str">
            <v>BM226</v>
          </cell>
          <cell r="G1582">
            <v>4</v>
          </cell>
          <cell r="H1582" t="str">
            <v>全基因组文库</v>
          </cell>
          <cell r="J1582">
            <v>30.9</v>
          </cell>
          <cell r="N1582" t="e">
            <v>#DIV/0!</v>
          </cell>
        </row>
        <row r="1583">
          <cell r="E1583" t="str">
            <v>HGC-Lib-2463250</v>
          </cell>
          <cell r="F1583" t="str">
            <v>BM227</v>
          </cell>
          <cell r="G1583">
            <v>4</v>
          </cell>
          <cell r="H1583" t="str">
            <v>全基因组文库</v>
          </cell>
          <cell r="J1583">
            <v>21.02</v>
          </cell>
          <cell r="N1583" t="e">
            <v>#DIV/0!</v>
          </cell>
        </row>
        <row r="1584">
          <cell r="E1584" t="str">
            <v>HGC-Lib-2463251</v>
          </cell>
          <cell r="F1584" t="str">
            <v>BM228</v>
          </cell>
          <cell r="G1584">
            <v>4</v>
          </cell>
          <cell r="H1584" t="str">
            <v>全基因组文库</v>
          </cell>
          <cell r="J1584">
            <v>35.9</v>
          </cell>
          <cell r="N1584" t="e">
            <v>#DIV/0!</v>
          </cell>
        </row>
        <row r="1585">
          <cell r="E1585" t="str">
            <v>HGC-Lib-2463252</v>
          </cell>
          <cell r="F1585" t="str">
            <v>BM229</v>
          </cell>
          <cell r="G1585">
            <v>4</v>
          </cell>
          <cell r="H1585" t="str">
            <v>全基因组文库</v>
          </cell>
          <cell r="J1585">
            <v>36.67</v>
          </cell>
          <cell r="N1585" t="e">
            <v>#DIV/0!</v>
          </cell>
        </row>
        <row r="1586">
          <cell r="E1586" t="str">
            <v>HGC-Lib-2463253</v>
          </cell>
          <cell r="F1586" t="str">
            <v>BM231</v>
          </cell>
          <cell r="G1586">
            <v>4</v>
          </cell>
          <cell r="H1586" t="str">
            <v>全基因组文库</v>
          </cell>
          <cell r="J1586">
            <v>18.190000000000001</v>
          </cell>
          <cell r="N1586" t="e">
            <v>#DIV/0!</v>
          </cell>
        </row>
        <row r="1587">
          <cell r="E1587" t="str">
            <v>HGC-Lib-2463254</v>
          </cell>
          <cell r="F1587" t="str">
            <v>BM232</v>
          </cell>
          <cell r="G1587">
            <v>4</v>
          </cell>
          <cell r="H1587" t="str">
            <v>全基因组文库</v>
          </cell>
          <cell r="J1587">
            <v>36.42</v>
          </cell>
          <cell r="N1587" t="e">
            <v>#DIV/0!</v>
          </cell>
        </row>
        <row r="1588">
          <cell r="E1588" t="str">
            <v>HGC-Lib-2463255</v>
          </cell>
          <cell r="F1588" t="str">
            <v>BM233</v>
          </cell>
          <cell r="G1588">
            <v>4</v>
          </cell>
          <cell r="H1588" t="str">
            <v>全基因组文库</v>
          </cell>
          <cell r="J1588">
            <v>35.83</v>
          </cell>
          <cell r="N1588" t="e">
            <v>#DIV/0!</v>
          </cell>
        </row>
        <row r="1589">
          <cell r="E1589" t="str">
            <v>HGC-Lib-2463256</v>
          </cell>
          <cell r="F1589" t="str">
            <v>BM234</v>
          </cell>
          <cell r="G1589">
            <v>4</v>
          </cell>
          <cell r="H1589" t="str">
            <v>全基因组文库</v>
          </cell>
          <cell r="J1589">
            <v>39.11</v>
          </cell>
          <cell r="N1589" t="e">
            <v>#DIV/0!</v>
          </cell>
        </row>
        <row r="1590">
          <cell r="E1590" t="str">
            <v>HGC-Lib-2463257</v>
          </cell>
          <cell r="F1590" t="str">
            <v>BM235</v>
          </cell>
          <cell r="G1590">
            <v>4</v>
          </cell>
          <cell r="H1590" t="str">
            <v>全基因组文库</v>
          </cell>
          <cell r="J1590">
            <v>37.67</v>
          </cell>
          <cell r="N1590" t="e">
            <v>#DIV/0!</v>
          </cell>
        </row>
        <row r="1591">
          <cell r="E1591" t="str">
            <v>HGC-Lib-2463258</v>
          </cell>
          <cell r="F1591" t="str">
            <v>BM236</v>
          </cell>
          <cell r="G1591">
            <v>4</v>
          </cell>
          <cell r="H1591" t="str">
            <v>全基因组文库</v>
          </cell>
          <cell r="J1591">
            <v>41.51</v>
          </cell>
          <cell r="N1591" t="e">
            <v>#DIV/0!</v>
          </cell>
        </row>
        <row r="1592">
          <cell r="E1592" t="str">
            <v>HGC-Lib-2463259</v>
          </cell>
          <cell r="F1592" t="str">
            <v>BM237</v>
          </cell>
          <cell r="G1592">
            <v>4</v>
          </cell>
          <cell r="H1592" t="str">
            <v>全基因组文库</v>
          </cell>
          <cell r="J1592">
            <v>44.46</v>
          </cell>
          <cell r="N1592" t="e">
            <v>#DIV/0!</v>
          </cell>
        </row>
        <row r="1593">
          <cell r="E1593" t="str">
            <v>HGC-Lib-2463260</v>
          </cell>
          <cell r="F1593" t="str">
            <v>BM238</v>
          </cell>
          <cell r="G1593">
            <v>4</v>
          </cell>
          <cell r="H1593" t="str">
            <v>全基因组文库</v>
          </cell>
          <cell r="J1593">
            <v>19.670000000000002</v>
          </cell>
          <cell r="N1593" t="e">
            <v>#DIV/0!</v>
          </cell>
        </row>
        <row r="1594">
          <cell r="E1594" t="str">
            <v>HGC-Lib-2463261</v>
          </cell>
          <cell r="F1594" t="str">
            <v>BM239</v>
          </cell>
          <cell r="G1594">
            <v>4</v>
          </cell>
          <cell r="H1594" t="str">
            <v>全基因组文库</v>
          </cell>
          <cell r="J1594">
            <v>38.33</v>
          </cell>
          <cell r="N1594" t="e">
            <v>#DIV/0!</v>
          </cell>
        </row>
        <row r="1595">
          <cell r="E1595" t="str">
            <v>HGC-Lib-2463262</v>
          </cell>
          <cell r="F1595" t="str">
            <v>BM240</v>
          </cell>
          <cell r="G1595">
            <v>4</v>
          </cell>
          <cell r="H1595" t="str">
            <v>全基因组文库</v>
          </cell>
          <cell r="J1595">
            <v>12.33</v>
          </cell>
          <cell r="N1595" t="e">
            <v>#DIV/0!</v>
          </cell>
        </row>
        <row r="1596">
          <cell r="E1596" t="str">
            <v>HGC-Lib-2463263</v>
          </cell>
          <cell r="F1596" t="str">
            <v>BM242</v>
          </cell>
          <cell r="G1596">
            <v>4</v>
          </cell>
          <cell r="H1596" t="str">
            <v>全基因组文库</v>
          </cell>
          <cell r="J1596">
            <v>36.92</v>
          </cell>
          <cell r="N1596" t="e">
            <v>#DIV/0!</v>
          </cell>
        </row>
        <row r="1597">
          <cell r="E1597" t="str">
            <v>HGC-Lib-2463264</v>
          </cell>
          <cell r="F1597" t="str">
            <v>BM243</v>
          </cell>
          <cell r="G1597">
            <v>4</v>
          </cell>
          <cell r="H1597" t="str">
            <v>全基因组文库</v>
          </cell>
          <cell r="J1597">
            <v>16.02</v>
          </cell>
          <cell r="N1597" t="e">
            <v>#DIV/0!</v>
          </cell>
        </row>
        <row r="1598">
          <cell r="E1598" t="str">
            <v>HGC-Lib-2463265</v>
          </cell>
          <cell r="F1598" t="str">
            <v>BM244</v>
          </cell>
          <cell r="G1598">
            <v>4</v>
          </cell>
          <cell r="H1598" t="str">
            <v>全基因组文库</v>
          </cell>
          <cell r="J1598">
            <v>33.130000000000003</v>
          </cell>
          <cell r="N1598" t="e">
            <v>#DIV/0!</v>
          </cell>
        </row>
        <row r="1599">
          <cell r="E1599" t="str">
            <v>HGC-Lib-2463266</v>
          </cell>
          <cell r="F1599" t="str">
            <v>BM245</v>
          </cell>
          <cell r="G1599">
            <v>4</v>
          </cell>
          <cell r="H1599" t="str">
            <v>全基因组文库</v>
          </cell>
          <cell r="J1599">
            <v>37.24</v>
          </cell>
          <cell r="N1599" t="e">
            <v>#DIV/0!</v>
          </cell>
        </row>
        <row r="1600">
          <cell r="E1600" t="str">
            <v>HGC-Lib-2463267</v>
          </cell>
          <cell r="F1600" t="str">
            <v>BM247</v>
          </cell>
          <cell r="G1600">
            <v>4</v>
          </cell>
          <cell r="H1600" t="str">
            <v>全基因组文库</v>
          </cell>
          <cell r="J1600">
            <v>41.8</v>
          </cell>
          <cell r="N1600" t="e">
            <v>#DIV/0!</v>
          </cell>
        </row>
        <row r="1601">
          <cell r="E1601" t="str">
            <v>HGC-Lib-2463268</v>
          </cell>
          <cell r="F1601" t="str">
            <v>BM254</v>
          </cell>
          <cell r="G1601">
            <v>4</v>
          </cell>
          <cell r="H1601" t="str">
            <v>全基因组文库</v>
          </cell>
          <cell r="J1601">
            <v>35.39</v>
          </cell>
          <cell r="N1601" t="e">
            <v>#DIV/0!</v>
          </cell>
        </row>
        <row r="1602">
          <cell r="E1602" t="str">
            <v>HGC-Lib-2463269</v>
          </cell>
          <cell r="F1602" t="str">
            <v>BM256</v>
          </cell>
          <cell r="G1602">
            <v>4</v>
          </cell>
          <cell r="H1602" t="str">
            <v>全基因组文库</v>
          </cell>
          <cell r="J1602">
            <v>32.49</v>
          </cell>
          <cell r="N1602" t="e">
            <v>#DIV/0!</v>
          </cell>
        </row>
        <row r="1603">
          <cell r="E1603" t="str">
            <v>HGC-Lib-2463270</v>
          </cell>
          <cell r="F1603" t="str">
            <v>BM258</v>
          </cell>
          <cell r="G1603">
            <v>4</v>
          </cell>
          <cell r="H1603" t="str">
            <v>全基因组文库</v>
          </cell>
          <cell r="J1603">
            <v>18.66</v>
          </cell>
          <cell r="N1603" t="e">
            <v>#DIV/0!</v>
          </cell>
        </row>
        <row r="1604">
          <cell r="E1604" t="str">
            <v>HGC-Lib-2463271</v>
          </cell>
          <cell r="F1604" t="str">
            <v>BM260</v>
          </cell>
          <cell r="G1604">
            <v>4</v>
          </cell>
          <cell r="H1604" t="str">
            <v>全基因组文库</v>
          </cell>
          <cell r="J1604">
            <v>36.64</v>
          </cell>
          <cell r="N1604" t="e">
            <v>#DIV/0!</v>
          </cell>
        </row>
        <row r="1605">
          <cell r="E1605" t="str">
            <v>HGC-Lib-2463272</v>
          </cell>
          <cell r="F1605" t="str">
            <v>BM263</v>
          </cell>
          <cell r="G1605">
            <v>4</v>
          </cell>
          <cell r="H1605" t="str">
            <v>全基因组文库</v>
          </cell>
          <cell r="J1605">
            <v>34.29</v>
          </cell>
          <cell r="N1605" t="e">
            <v>#DIV/0!</v>
          </cell>
        </row>
        <row r="1606">
          <cell r="E1606" t="str">
            <v>HGC-Lib-2463273</v>
          </cell>
          <cell r="F1606" t="str">
            <v>BM264</v>
          </cell>
          <cell r="G1606">
            <v>4</v>
          </cell>
          <cell r="H1606" t="str">
            <v>全基因组文库</v>
          </cell>
          <cell r="J1606">
            <v>22.49</v>
          </cell>
          <cell r="N1606" t="e">
            <v>#DIV/0!</v>
          </cell>
        </row>
        <row r="1607">
          <cell r="E1607" t="str">
            <v>HGC-Lib-2463274</v>
          </cell>
          <cell r="F1607" t="str">
            <v>BM265</v>
          </cell>
          <cell r="G1607">
            <v>4</v>
          </cell>
          <cell r="H1607" t="str">
            <v>全基因组文库</v>
          </cell>
          <cell r="J1607">
            <v>19.96</v>
          </cell>
          <cell r="N1607" t="e">
            <v>#DIV/0!</v>
          </cell>
        </row>
        <row r="1608">
          <cell r="E1608" t="str">
            <v>HGC-Lib-2463275</v>
          </cell>
          <cell r="F1608" t="str">
            <v>BM266</v>
          </cell>
          <cell r="G1608">
            <v>4</v>
          </cell>
          <cell r="H1608" t="str">
            <v>全基因组文库</v>
          </cell>
          <cell r="J1608">
            <v>18.920000000000002</v>
          </cell>
          <cell r="N1608" t="e">
            <v>#DIV/0!</v>
          </cell>
        </row>
        <row r="1609">
          <cell r="E1609" t="str">
            <v>HGC-Lib-2463276</v>
          </cell>
          <cell r="F1609" t="str">
            <v>BM267</v>
          </cell>
          <cell r="G1609">
            <v>4</v>
          </cell>
          <cell r="H1609" t="str">
            <v>全基因组文库</v>
          </cell>
          <cell r="J1609">
            <v>24.59</v>
          </cell>
          <cell r="N1609" t="e">
            <v>#DIV/0!</v>
          </cell>
        </row>
        <row r="1610">
          <cell r="E1610" t="str">
            <v>HGC-Lib-2463277</v>
          </cell>
          <cell r="F1610" t="str">
            <v>BM273</v>
          </cell>
          <cell r="G1610">
            <v>4</v>
          </cell>
          <cell r="H1610" t="str">
            <v>全基因组文库</v>
          </cell>
          <cell r="J1610">
            <v>20.18</v>
          </cell>
          <cell r="N1610" t="e">
            <v>#DIV/0!</v>
          </cell>
        </row>
        <row r="1611">
          <cell r="E1611" t="str">
            <v>HGC-Lib-2463278</v>
          </cell>
          <cell r="F1611" t="str">
            <v>BM276</v>
          </cell>
          <cell r="G1611">
            <v>4</v>
          </cell>
          <cell r="H1611" t="str">
            <v>全基因组文库</v>
          </cell>
          <cell r="J1611">
            <v>20.75</v>
          </cell>
          <cell r="N1611" t="e">
            <v>#DIV/0!</v>
          </cell>
        </row>
        <row r="1612">
          <cell r="E1612" t="str">
            <v>HGC-Lib-2463279</v>
          </cell>
          <cell r="F1612" t="str">
            <v>BM277</v>
          </cell>
          <cell r="G1612">
            <v>4</v>
          </cell>
          <cell r="H1612" t="str">
            <v>全基因组文库</v>
          </cell>
          <cell r="J1612">
            <v>30.09</v>
          </cell>
          <cell r="N1612" t="e">
            <v>#DIV/0!</v>
          </cell>
        </row>
        <row r="1613">
          <cell r="E1613" t="str">
            <v>HGC-Lib-2463280</v>
          </cell>
          <cell r="F1613" t="str">
            <v>BM278</v>
          </cell>
          <cell r="G1613">
            <v>4</v>
          </cell>
          <cell r="H1613" t="str">
            <v>全基因组文库</v>
          </cell>
          <cell r="J1613">
            <v>14.45</v>
          </cell>
          <cell r="N1613" t="e">
            <v>#DIV/0!</v>
          </cell>
        </row>
        <row r="1614">
          <cell r="E1614" t="str">
            <v>HGC-Lib-2463281</v>
          </cell>
          <cell r="F1614" t="str">
            <v>BM282</v>
          </cell>
          <cell r="G1614">
            <v>4</v>
          </cell>
          <cell r="H1614" t="str">
            <v>全基因组文库</v>
          </cell>
          <cell r="J1614">
            <v>15.41</v>
          </cell>
          <cell r="N1614" t="e">
            <v>#DIV/0!</v>
          </cell>
        </row>
        <row r="1615">
          <cell r="E1615" t="str">
            <v>HGC-Lib-2463282</v>
          </cell>
          <cell r="F1615" t="str">
            <v>BM283</v>
          </cell>
          <cell r="G1615">
            <v>4</v>
          </cell>
          <cell r="H1615" t="str">
            <v>全基因组文库</v>
          </cell>
          <cell r="J1615">
            <v>19.059999999999999</v>
          </cell>
          <cell r="N1615" t="e">
            <v>#DIV/0!</v>
          </cell>
        </row>
        <row r="1616">
          <cell r="E1616" t="str">
            <v>HGC-Lib-2463283</v>
          </cell>
          <cell r="F1616" t="str">
            <v>BM284</v>
          </cell>
          <cell r="G1616">
            <v>4</v>
          </cell>
          <cell r="H1616" t="str">
            <v>全基因组文库</v>
          </cell>
          <cell r="J1616">
            <v>32.9</v>
          </cell>
          <cell r="N1616" t="e">
            <v>#DIV/0!</v>
          </cell>
        </row>
        <row r="1617">
          <cell r="E1617" t="str">
            <v>HGC-Lib-2463284</v>
          </cell>
          <cell r="F1617" t="str">
            <v>BM287</v>
          </cell>
          <cell r="G1617">
            <v>4</v>
          </cell>
          <cell r="H1617" t="str">
            <v>全基因组文库</v>
          </cell>
          <cell r="J1617">
            <v>30.19</v>
          </cell>
          <cell r="N1617" t="e">
            <v>#DIV/0!</v>
          </cell>
        </row>
        <row r="1618">
          <cell r="E1618" t="str">
            <v>HGC-Lib-2463285</v>
          </cell>
          <cell r="F1618" t="str">
            <v>BM288</v>
          </cell>
          <cell r="G1618">
            <v>4</v>
          </cell>
          <cell r="H1618" t="str">
            <v>全基因组文库</v>
          </cell>
          <cell r="J1618">
            <v>18.47</v>
          </cell>
          <cell r="N1618" t="e">
            <v>#DIV/0!</v>
          </cell>
        </row>
        <row r="1619">
          <cell r="E1619" t="str">
            <v>HGC-Lib-2463286</v>
          </cell>
          <cell r="F1619" t="str">
            <v>BM291</v>
          </cell>
          <cell r="G1619">
            <v>4</v>
          </cell>
          <cell r="H1619" t="str">
            <v>全基因组文库</v>
          </cell>
          <cell r="J1619">
            <v>28.76</v>
          </cell>
          <cell r="N1619" t="e">
            <v>#DIV/0!</v>
          </cell>
        </row>
        <row r="1620">
          <cell r="E1620" t="str">
            <v>HGC-Lib-2463287</v>
          </cell>
          <cell r="F1620" t="str">
            <v>BM297</v>
          </cell>
          <cell r="G1620">
            <v>4</v>
          </cell>
          <cell r="H1620" t="str">
            <v>全基因组文库</v>
          </cell>
          <cell r="J1620">
            <v>32.42</v>
          </cell>
          <cell r="N1620" t="e">
            <v>#DIV/0!</v>
          </cell>
        </row>
        <row r="1621">
          <cell r="E1621" t="str">
            <v>HGC-Lib-2463288</v>
          </cell>
          <cell r="F1621" t="str">
            <v>BM299</v>
          </cell>
          <cell r="G1621">
            <v>4</v>
          </cell>
          <cell r="H1621" t="str">
            <v>全基因组文库</v>
          </cell>
          <cell r="J1621">
            <v>32.14</v>
          </cell>
          <cell r="N1621" t="e">
            <v>#DIV/0!</v>
          </cell>
        </row>
        <row r="1622">
          <cell r="E1622" t="str">
            <v>HGC-Lib-2463289</v>
          </cell>
          <cell r="F1622" t="str">
            <v>BM301</v>
          </cell>
          <cell r="G1622">
            <v>4</v>
          </cell>
          <cell r="H1622" t="str">
            <v>全基因组文库</v>
          </cell>
          <cell r="J1622">
            <v>31.2</v>
          </cell>
          <cell r="N1622" t="e">
            <v>#DIV/0!</v>
          </cell>
        </row>
        <row r="1623">
          <cell r="E1623" t="str">
            <v>HGC-Lib-2463290</v>
          </cell>
          <cell r="F1623" t="str">
            <v>BM302</v>
          </cell>
          <cell r="G1623">
            <v>4</v>
          </cell>
          <cell r="H1623" t="str">
            <v>全基因组文库</v>
          </cell>
          <cell r="J1623">
            <v>10.32</v>
          </cell>
          <cell r="N1623" t="e">
            <v>#DIV/0!</v>
          </cell>
        </row>
        <row r="1624">
          <cell r="E1624" t="str">
            <v>HGC-Lib-2463291</v>
          </cell>
          <cell r="F1624" t="str">
            <v>BM304</v>
          </cell>
          <cell r="G1624">
            <v>4</v>
          </cell>
          <cell r="H1624" t="str">
            <v>全基因组文库</v>
          </cell>
          <cell r="J1624">
            <v>30.64</v>
          </cell>
          <cell r="M1624" t="str">
            <v>没体积</v>
          </cell>
          <cell r="N1624" t="e">
            <v>#DIV/0!</v>
          </cell>
        </row>
        <row r="1625">
          <cell r="E1625" t="str">
            <v>HGC-Lib-2463292</v>
          </cell>
          <cell r="F1625" t="str">
            <v>BM305</v>
          </cell>
          <cell r="G1625">
            <v>4</v>
          </cell>
          <cell r="H1625" t="str">
            <v>全基因组文库</v>
          </cell>
          <cell r="J1625">
            <v>2.395</v>
          </cell>
          <cell r="M1625" t="str">
            <v>加水8.45</v>
          </cell>
          <cell r="N1625" t="e">
            <v>#DIV/0!</v>
          </cell>
        </row>
        <row r="1626">
          <cell r="E1626" t="str">
            <v>HGC-Lib-2463293</v>
          </cell>
          <cell r="F1626" t="str">
            <v>BM306</v>
          </cell>
          <cell r="G1626">
            <v>4</v>
          </cell>
          <cell r="H1626" t="str">
            <v>全基因组文库</v>
          </cell>
          <cell r="J1626">
            <v>32.96</v>
          </cell>
          <cell r="N1626" t="e">
            <v>#DIV/0!</v>
          </cell>
        </row>
        <row r="1627">
          <cell r="E1627" t="str">
            <v>HGC-Lib-2463294</v>
          </cell>
          <cell r="F1627" t="str">
            <v>BM307</v>
          </cell>
          <cell r="G1627">
            <v>4</v>
          </cell>
          <cell r="H1627" t="str">
            <v>全基因组文库</v>
          </cell>
          <cell r="J1627">
            <v>30.55</v>
          </cell>
          <cell r="N1627" t="e">
            <v>#DIV/0!</v>
          </cell>
        </row>
        <row r="1628">
          <cell r="E1628" t="str">
            <v>HGC-Lib-2463295</v>
          </cell>
          <cell r="F1628" t="str">
            <v>BM308</v>
          </cell>
          <cell r="G1628">
            <v>4</v>
          </cell>
          <cell r="H1628" t="str">
            <v>全基因组文库</v>
          </cell>
          <cell r="J1628">
            <v>29.23</v>
          </cell>
          <cell r="N1628" t="e">
            <v>#DIV/0!</v>
          </cell>
        </row>
        <row r="1629">
          <cell r="E1629" t="str">
            <v>HGC-Lib-2463296</v>
          </cell>
          <cell r="F1629" t="str">
            <v>BM309</v>
          </cell>
          <cell r="G1629">
            <v>4</v>
          </cell>
          <cell r="H1629" t="str">
            <v>全基因组文库</v>
          </cell>
          <cell r="J1629">
            <v>18.38</v>
          </cell>
          <cell r="N1629" t="e">
            <v>#DIV/0!</v>
          </cell>
        </row>
        <row r="1630">
          <cell r="E1630" t="str">
            <v>HGC-Lib-2463297</v>
          </cell>
          <cell r="F1630" t="str">
            <v>BM310</v>
          </cell>
          <cell r="G1630">
            <v>4</v>
          </cell>
          <cell r="H1630" t="str">
            <v>全基因组文库</v>
          </cell>
          <cell r="J1630">
            <v>14.89</v>
          </cell>
          <cell r="N1630" t="e">
            <v>#DIV/0!</v>
          </cell>
        </row>
        <row r="1631">
          <cell r="E1631" t="str">
            <v>HGC-Lib-2463298</v>
          </cell>
          <cell r="F1631" t="str">
            <v>BM311</v>
          </cell>
          <cell r="G1631">
            <v>4</v>
          </cell>
          <cell r="H1631" t="str">
            <v>全基因组文库</v>
          </cell>
          <cell r="J1631">
            <v>24.42</v>
          </cell>
          <cell r="N1631" t="e">
            <v>#DIV/0!</v>
          </cell>
        </row>
        <row r="1632">
          <cell r="E1632" t="str">
            <v>HGC-Lib-2463299</v>
          </cell>
          <cell r="F1632" t="str">
            <v>BM312</v>
          </cell>
          <cell r="G1632">
            <v>4</v>
          </cell>
          <cell r="H1632" t="str">
            <v>全基因组文库</v>
          </cell>
          <cell r="J1632">
            <v>6.7233333333333301</v>
          </cell>
          <cell r="M1632" t="str">
            <v>加水8.8</v>
          </cell>
          <cell r="N1632" t="e">
            <v>#DIV/0!</v>
          </cell>
        </row>
        <row r="1633">
          <cell r="E1633" t="str">
            <v>HGC-Lib-2463300</v>
          </cell>
          <cell r="F1633" t="str">
            <v>BM313</v>
          </cell>
          <cell r="G1633">
            <v>4</v>
          </cell>
          <cell r="H1633" t="str">
            <v>全基因组文库</v>
          </cell>
          <cell r="J1633">
            <v>11.47</v>
          </cell>
          <cell r="N1633" t="e">
            <v>#DIV/0!</v>
          </cell>
        </row>
        <row r="1634">
          <cell r="E1634" t="str">
            <v>HGC-Lib-2463301</v>
          </cell>
          <cell r="F1634" t="str">
            <v>BM314</v>
          </cell>
          <cell r="G1634">
            <v>4</v>
          </cell>
          <cell r="H1634" t="str">
            <v>全基因组文库</v>
          </cell>
          <cell r="J1634">
            <v>29.72</v>
          </cell>
          <cell r="N1634" t="e">
            <v>#DIV/0!</v>
          </cell>
        </row>
        <row r="1635">
          <cell r="E1635" t="str">
            <v>HGC-Lib-2463302</v>
          </cell>
          <cell r="F1635" t="str">
            <v>BM315</v>
          </cell>
          <cell r="G1635">
            <v>4</v>
          </cell>
          <cell r="H1635" t="str">
            <v>全基因组文库</v>
          </cell>
          <cell r="J1635">
            <v>27.27</v>
          </cell>
          <cell r="N1635" t="e">
            <v>#DIV/0!</v>
          </cell>
        </row>
        <row r="1636">
          <cell r="E1636" t="str">
            <v>HGC-Lib-2463303</v>
          </cell>
          <cell r="F1636" t="str">
            <v>BM316</v>
          </cell>
          <cell r="G1636">
            <v>4</v>
          </cell>
          <cell r="H1636" t="str">
            <v>全基因组文库</v>
          </cell>
          <cell r="J1636">
            <v>17.100000000000001</v>
          </cell>
          <cell r="N1636" t="e">
            <v>#DIV/0!</v>
          </cell>
        </row>
        <row r="1637">
          <cell r="E1637" t="str">
            <v>HGC-Lib-2463304</v>
          </cell>
          <cell r="F1637" t="str">
            <v>BM317</v>
          </cell>
          <cell r="G1637">
            <v>4</v>
          </cell>
          <cell r="H1637" t="str">
            <v>全基因组文库</v>
          </cell>
          <cell r="J1637">
            <v>33.979999999999997</v>
          </cell>
          <cell r="N1637" t="e">
            <v>#DIV/0!</v>
          </cell>
        </row>
        <row r="1638">
          <cell r="E1638" t="str">
            <v>HGC-Lib-2463305</v>
          </cell>
          <cell r="F1638" t="str">
            <v>BM318</v>
          </cell>
          <cell r="G1638">
            <v>4</v>
          </cell>
          <cell r="H1638" t="str">
            <v>全基因组文库</v>
          </cell>
          <cell r="J1638">
            <v>13.16</v>
          </cell>
          <cell r="N1638" t="e">
            <v>#DIV/0!</v>
          </cell>
        </row>
        <row r="1639">
          <cell r="E1639" t="str">
            <v>HGC-Lib-2463306</v>
          </cell>
          <cell r="F1639" t="str">
            <v>BM319</v>
          </cell>
          <cell r="G1639">
            <v>4</v>
          </cell>
          <cell r="H1639" t="str">
            <v>全基因组文库</v>
          </cell>
          <cell r="J1639">
            <v>27.96</v>
          </cell>
          <cell r="N1639" t="e">
            <v>#DIV/0!</v>
          </cell>
        </row>
        <row r="1640">
          <cell r="E1640" t="str">
            <v>HGC-Lib-2463307</v>
          </cell>
          <cell r="F1640" t="str">
            <v>BM320</v>
          </cell>
          <cell r="G1640">
            <v>4</v>
          </cell>
          <cell r="H1640" t="str">
            <v>全基因组文库</v>
          </cell>
          <cell r="J1640">
            <v>34.81</v>
          </cell>
          <cell r="N1640" t="e">
            <v>#DIV/0!</v>
          </cell>
        </row>
        <row r="1641">
          <cell r="E1641" t="str">
            <v>HGC-Lib-2463308</v>
          </cell>
          <cell r="F1641" t="str">
            <v>BM321</v>
          </cell>
          <cell r="G1641">
            <v>4</v>
          </cell>
          <cell r="H1641" t="str">
            <v>全基因组文库</v>
          </cell>
          <cell r="J1641">
            <v>34.93</v>
          </cell>
          <cell r="N1641" t="e">
            <v>#DIV/0!</v>
          </cell>
        </row>
        <row r="1642">
          <cell r="E1642" t="str">
            <v>HGC-Lib-2463309</v>
          </cell>
          <cell r="F1642" t="str">
            <v>BM322</v>
          </cell>
          <cell r="G1642">
            <v>4</v>
          </cell>
          <cell r="H1642" t="str">
            <v>全基因组文库</v>
          </cell>
          <cell r="J1642">
            <v>28.53</v>
          </cell>
          <cell r="N1642" t="e">
            <v>#DIV/0!</v>
          </cell>
        </row>
        <row r="1643">
          <cell r="E1643" t="str">
            <v>HGC-Lib-2463310</v>
          </cell>
          <cell r="F1643" t="str">
            <v>BM323</v>
          </cell>
          <cell r="G1643">
            <v>4</v>
          </cell>
          <cell r="H1643" t="str">
            <v>全基因组文库</v>
          </cell>
          <cell r="J1643">
            <v>32.44</v>
          </cell>
          <cell r="N1643" t="e">
            <v>#DIV/0!</v>
          </cell>
        </row>
        <row r="1644">
          <cell r="E1644" t="str">
            <v>HGC-Lib-2463311</v>
          </cell>
          <cell r="F1644" t="str">
            <v>BM324</v>
          </cell>
          <cell r="G1644">
            <v>4</v>
          </cell>
          <cell r="H1644" t="str">
            <v>全基因组文库</v>
          </cell>
          <cell r="J1644">
            <v>12.56</v>
          </cell>
          <cell r="N1644" t="e">
            <v>#DIV/0!</v>
          </cell>
        </row>
        <row r="1645">
          <cell r="E1645" t="str">
            <v>HGC-Lib-2463312</v>
          </cell>
          <cell r="F1645" t="str">
            <v>BM325</v>
          </cell>
          <cell r="G1645">
            <v>4</v>
          </cell>
          <cell r="H1645" t="str">
            <v>全基因组文库</v>
          </cell>
          <cell r="J1645">
            <v>32.159999999999997</v>
          </cell>
          <cell r="N1645" t="e">
            <v>#DIV/0!</v>
          </cell>
        </row>
        <row r="1646">
          <cell r="E1646" t="str">
            <v>HGC-Lib-2463313</v>
          </cell>
          <cell r="F1646" t="str">
            <v>BM327</v>
          </cell>
          <cell r="G1646">
            <v>4</v>
          </cell>
          <cell r="H1646" t="str">
            <v>全基因组文库</v>
          </cell>
          <cell r="J1646">
            <v>34.25</v>
          </cell>
          <cell r="N1646" t="e">
            <v>#DIV/0!</v>
          </cell>
        </row>
        <row r="1647">
          <cell r="E1647" t="str">
            <v>HGC-Lib-2463314</v>
          </cell>
          <cell r="F1647" t="str">
            <v>BM328</v>
          </cell>
          <cell r="G1647">
            <v>4</v>
          </cell>
          <cell r="H1647" t="str">
            <v>全基因组文库</v>
          </cell>
          <cell r="J1647">
            <v>11.97</v>
          </cell>
          <cell r="N1647" t="e">
            <v>#DIV/0!</v>
          </cell>
        </row>
        <row r="1648">
          <cell r="E1648" t="str">
            <v>HGC-Lib-2463315</v>
          </cell>
          <cell r="F1648" t="str">
            <v>BM329</v>
          </cell>
          <cell r="G1648">
            <v>4</v>
          </cell>
          <cell r="H1648" t="str">
            <v>全基因组文库</v>
          </cell>
          <cell r="J1648">
            <v>35.58</v>
          </cell>
          <cell r="N1648" t="e">
            <v>#DIV/0!</v>
          </cell>
        </row>
        <row r="1649">
          <cell r="E1649" t="str">
            <v>HGC-Lib-2463316</v>
          </cell>
          <cell r="F1649" t="str">
            <v>BM330</v>
          </cell>
          <cell r="G1649">
            <v>4</v>
          </cell>
          <cell r="H1649" t="str">
            <v>全基因组文库</v>
          </cell>
          <cell r="J1649">
            <v>27.38</v>
          </cell>
          <cell r="N1649" t="e">
            <v>#DIV/0!</v>
          </cell>
        </row>
        <row r="1650">
          <cell r="E1650" t="str">
            <v>HGC-Lib-2463317</v>
          </cell>
          <cell r="F1650" t="str">
            <v>BM331</v>
          </cell>
          <cell r="G1650">
            <v>4</v>
          </cell>
          <cell r="H1650" t="str">
            <v>全基因组文库</v>
          </cell>
          <cell r="J1650">
            <v>32.619999999999997</v>
          </cell>
          <cell r="N1650" t="e">
            <v>#DIV/0!</v>
          </cell>
        </row>
        <row r="1651">
          <cell r="E1651" t="str">
            <v>HGC-Lib-2463318</v>
          </cell>
          <cell r="F1651" t="str">
            <v>BM332</v>
          </cell>
          <cell r="G1651">
            <v>4</v>
          </cell>
          <cell r="H1651" t="str">
            <v>全基因组文库</v>
          </cell>
          <cell r="J1651">
            <v>17.95</v>
          </cell>
          <cell r="N1651" t="e">
            <v>#DIV/0!</v>
          </cell>
        </row>
        <row r="1652">
          <cell r="E1652" t="str">
            <v>HGC-Lib-2463319</v>
          </cell>
          <cell r="F1652" t="str">
            <v>BM333</v>
          </cell>
          <cell r="G1652">
            <v>4</v>
          </cell>
          <cell r="H1652" t="str">
            <v>全基因组文库</v>
          </cell>
          <cell r="J1652">
            <v>23.19</v>
          </cell>
          <cell r="N1652" t="e">
            <v>#DIV/0!</v>
          </cell>
        </row>
        <row r="1653">
          <cell r="E1653" t="str">
            <v>HGC-Lib-2463320</v>
          </cell>
          <cell r="F1653" t="str">
            <v>BM334</v>
          </cell>
          <cell r="G1653">
            <v>4</v>
          </cell>
          <cell r="H1653" t="str">
            <v>全基因组文库</v>
          </cell>
          <cell r="J1653">
            <v>22.03</v>
          </cell>
          <cell r="N1653" t="e">
            <v>#DIV/0!</v>
          </cell>
        </row>
        <row r="1654">
          <cell r="E1654" t="str">
            <v>HGC-Lib-2463321</v>
          </cell>
          <cell r="F1654" t="str">
            <v>BM335</v>
          </cell>
          <cell r="G1654">
            <v>4</v>
          </cell>
          <cell r="H1654" t="str">
            <v>全基因组文库</v>
          </cell>
          <cell r="J1654">
            <v>27.5</v>
          </cell>
          <cell r="N1654" t="e">
            <v>#DIV/0!</v>
          </cell>
        </row>
        <row r="1655">
          <cell r="E1655" t="str">
            <v>HGC-Lib-2463322</v>
          </cell>
          <cell r="F1655" t="str">
            <v>BM336</v>
          </cell>
          <cell r="G1655">
            <v>4</v>
          </cell>
          <cell r="H1655" t="str">
            <v>全基因组文库</v>
          </cell>
          <cell r="J1655">
            <v>34.840000000000003</v>
          </cell>
          <cell r="N1655" t="e">
            <v>#DIV/0!</v>
          </cell>
        </row>
        <row r="1656">
          <cell r="E1656" t="str">
            <v>HGC-Lib-2463323</v>
          </cell>
          <cell r="F1656" t="str">
            <v>BM338</v>
          </cell>
          <cell r="G1656">
            <v>4</v>
          </cell>
          <cell r="H1656" t="str">
            <v>全基因组文库</v>
          </cell>
          <cell r="J1656">
            <v>33.32</v>
          </cell>
          <cell r="N1656" t="e">
            <v>#DIV/0!</v>
          </cell>
        </row>
        <row r="1657">
          <cell r="E1657" t="str">
            <v>HGC-Lib-2463324</v>
          </cell>
          <cell r="F1657" t="str">
            <v>BM339</v>
          </cell>
          <cell r="G1657">
            <v>4</v>
          </cell>
          <cell r="H1657" t="str">
            <v>全基因组文库</v>
          </cell>
          <cell r="J1657">
            <v>31.13</v>
          </cell>
          <cell r="N1657" t="e">
            <v>#DIV/0!</v>
          </cell>
        </row>
        <row r="1658">
          <cell r="E1658" t="str">
            <v>HGC-Lib-2463325</v>
          </cell>
          <cell r="F1658" t="str">
            <v>BM340</v>
          </cell>
          <cell r="G1658">
            <v>4</v>
          </cell>
          <cell r="H1658" t="str">
            <v>全基因组文库</v>
          </cell>
          <cell r="J1658">
            <v>36.1</v>
          </cell>
          <cell r="N1658" t="e">
            <v>#DIV/0!</v>
          </cell>
        </row>
        <row r="1659">
          <cell r="E1659" t="str">
            <v>HGC-Lib-2463326</v>
          </cell>
          <cell r="F1659" t="str">
            <v>BM341</v>
          </cell>
          <cell r="G1659">
            <v>4</v>
          </cell>
          <cell r="H1659" t="str">
            <v>全基因组文库</v>
          </cell>
          <cell r="J1659">
            <v>32.99</v>
          </cell>
          <cell r="N1659" t="e">
            <v>#DIV/0!</v>
          </cell>
        </row>
        <row r="1660">
          <cell r="E1660" t="str">
            <v>HGC-Lib-2463327</v>
          </cell>
          <cell r="F1660" t="str">
            <v>BM342</v>
          </cell>
          <cell r="G1660">
            <v>4</v>
          </cell>
          <cell r="H1660" t="str">
            <v>全基因组文库</v>
          </cell>
          <cell r="J1660">
            <v>35.68</v>
          </cell>
          <cell r="N1660" t="e">
            <v>#DIV/0!</v>
          </cell>
        </row>
        <row r="1661">
          <cell r="E1661" t="str">
            <v>HGC-Lib-2463328</v>
          </cell>
          <cell r="F1661" t="str">
            <v>BM343</v>
          </cell>
          <cell r="G1661">
            <v>4</v>
          </cell>
          <cell r="H1661" t="str">
            <v>全基因组文库</v>
          </cell>
          <cell r="J1661">
            <v>30.47</v>
          </cell>
          <cell r="N1661" t="e">
            <v>#DIV/0!</v>
          </cell>
        </row>
        <row r="1662">
          <cell r="E1662" t="str">
            <v>HGC-Lib-2463329</v>
          </cell>
          <cell r="F1662" t="str">
            <v>BM344</v>
          </cell>
          <cell r="G1662">
            <v>4</v>
          </cell>
          <cell r="H1662" t="str">
            <v>全基因组文库</v>
          </cell>
          <cell r="J1662">
            <v>29.94</v>
          </cell>
          <cell r="N1662" t="e">
            <v>#DIV/0!</v>
          </cell>
        </row>
        <row r="1663">
          <cell r="E1663" t="str">
            <v>HGC-Lib-2463330</v>
          </cell>
          <cell r="F1663" t="str">
            <v>BM345</v>
          </cell>
          <cell r="G1663">
            <v>4</v>
          </cell>
          <cell r="H1663" t="str">
            <v>全基因组文库</v>
          </cell>
          <cell r="J1663">
            <v>35.590000000000003</v>
          </cell>
          <cell r="N1663" t="e">
            <v>#DIV/0!</v>
          </cell>
        </row>
        <row r="1664">
          <cell r="E1664" t="str">
            <v>HGC-Lib-2463331</v>
          </cell>
          <cell r="F1664" t="str">
            <v>BM346</v>
          </cell>
          <cell r="G1664">
            <v>4</v>
          </cell>
          <cell r="H1664" t="str">
            <v>全基因组文库</v>
          </cell>
          <cell r="J1664">
            <v>23.86</v>
          </cell>
          <cell r="N1664" t="e">
            <v>#DIV/0!</v>
          </cell>
        </row>
        <row r="1665">
          <cell r="E1665" t="str">
            <v>HGC-Lib-2463332</v>
          </cell>
          <cell r="F1665" t="str">
            <v>BM348</v>
          </cell>
          <cell r="G1665">
            <v>4</v>
          </cell>
          <cell r="H1665" t="str">
            <v>全基因组文库</v>
          </cell>
          <cell r="J1665">
            <v>29.54</v>
          </cell>
          <cell r="N1665" t="e">
            <v>#DIV/0!</v>
          </cell>
        </row>
        <row r="1666">
          <cell r="E1666" t="str">
            <v>HGC-Lib-2463333</v>
          </cell>
          <cell r="F1666" t="str">
            <v>BM349</v>
          </cell>
          <cell r="G1666">
            <v>4</v>
          </cell>
          <cell r="H1666" t="str">
            <v>全基因组文库</v>
          </cell>
          <cell r="J1666">
            <v>34.39</v>
          </cell>
          <cell r="N1666" t="e">
            <v>#DIV/0!</v>
          </cell>
        </row>
        <row r="1667">
          <cell r="E1667" t="str">
            <v>HGC-Lib-2463334</v>
          </cell>
          <cell r="F1667" t="str">
            <v>BM350</v>
          </cell>
          <cell r="G1667">
            <v>4</v>
          </cell>
          <cell r="H1667" t="str">
            <v>全基因组文库</v>
          </cell>
          <cell r="J1667">
            <v>29.55</v>
          </cell>
          <cell r="N1667" t="e">
            <v>#DIV/0!</v>
          </cell>
        </row>
        <row r="1668">
          <cell r="E1668" t="str">
            <v>HGC-Lib-2463335</v>
          </cell>
          <cell r="F1668" t="str">
            <v>BM351</v>
          </cell>
          <cell r="G1668">
            <v>4</v>
          </cell>
          <cell r="H1668" t="str">
            <v>全基因组文库</v>
          </cell>
          <cell r="J1668">
            <v>36.119999999999997</v>
          </cell>
          <cell r="N1668" t="e">
            <v>#DIV/0!</v>
          </cell>
        </row>
        <row r="1669">
          <cell r="E1669" t="str">
            <v>HGC-Lib-2463336</v>
          </cell>
          <cell r="F1669" t="str">
            <v>BM352</v>
          </cell>
          <cell r="G1669">
            <v>4</v>
          </cell>
          <cell r="H1669" t="str">
            <v>全基因组文库</v>
          </cell>
          <cell r="J1669">
            <v>29.95</v>
          </cell>
          <cell r="N1669" t="e">
            <v>#DIV/0!</v>
          </cell>
        </row>
        <row r="1670">
          <cell r="E1670" t="str">
            <v>HGC-Lib-2463337</v>
          </cell>
          <cell r="F1670" t="str">
            <v>BM353</v>
          </cell>
          <cell r="G1670">
            <v>4</v>
          </cell>
          <cell r="H1670" t="str">
            <v>全基因组文库</v>
          </cell>
          <cell r="J1670">
            <v>30.86</v>
          </cell>
          <cell r="N1670" t="e">
            <v>#DIV/0!</v>
          </cell>
        </row>
        <row r="1671">
          <cell r="E1671" t="str">
            <v>HGC-Lib-2463338</v>
          </cell>
          <cell r="F1671" t="str">
            <v>BM355</v>
          </cell>
          <cell r="G1671">
            <v>4</v>
          </cell>
          <cell r="H1671" t="str">
            <v>全基因组文库</v>
          </cell>
          <cell r="J1671">
            <v>15.13</v>
          </cell>
          <cell r="N1671" t="e">
            <v>#DIV/0!</v>
          </cell>
        </row>
        <row r="1672">
          <cell r="E1672" t="str">
            <v>HGC-Lib-2463339</v>
          </cell>
          <cell r="F1672" t="str">
            <v>BM356</v>
          </cell>
          <cell r="G1672">
            <v>4</v>
          </cell>
          <cell r="H1672" t="str">
            <v>全基因组文库</v>
          </cell>
          <cell r="J1672">
            <v>31.49</v>
          </cell>
          <cell r="N1672" t="e">
            <v>#DIV/0!</v>
          </cell>
        </row>
        <row r="1673">
          <cell r="E1673" t="str">
            <v>HGC-Lib-2463340</v>
          </cell>
          <cell r="F1673" t="str">
            <v>BM357</v>
          </cell>
          <cell r="G1673">
            <v>4</v>
          </cell>
          <cell r="H1673" t="str">
            <v>全基因组文库</v>
          </cell>
          <cell r="J1673">
            <v>31.59</v>
          </cell>
          <cell r="N1673" t="e">
            <v>#DIV/0!</v>
          </cell>
        </row>
        <row r="1674">
          <cell r="E1674" t="str">
            <v>HGC-Lib-2463341</v>
          </cell>
          <cell r="F1674" t="str">
            <v>BM358</v>
          </cell>
          <cell r="G1674">
            <v>4</v>
          </cell>
          <cell r="H1674" t="str">
            <v>全基因组文库</v>
          </cell>
          <cell r="J1674">
            <v>12.24</v>
          </cell>
          <cell r="N1674" t="e">
            <v>#DIV/0!</v>
          </cell>
        </row>
        <row r="1675">
          <cell r="E1675" t="str">
            <v>HGC-Lib-2463342</v>
          </cell>
          <cell r="F1675" t="str">
            <v>BM359</v>
          </cell>
          <cell r="G1675">
            <v>4</v>
          </cell>
          <cell r="H1675" t="str">
            <v>全基因组文库</v>
          </cell>
          <cell r="J1675">
            <v>20.22</v>
          </cell>
          <cell r="N1675" t="e">
            <v>#DIV/0!</v>
          </cell>
        </row>
        <row r="1676">
          <cell r="E1676" t="str">
            <v>HGC-Lib-2463343</v>
          </cell>
          <cell r="F1676" t="str">
            <v>BM360</v>
          </cell>
          <cell r="G1676">
            <v>4</v>
          </cell>
          <cell r="H1676" t="str">
            <v>全基因组文库</v>
          </cell>
          <cell r="J1676">
            <v>27.56</v>
          </cell>
          <cell r="N1676" t="e">
            <v>#DIV/0!</v>
          </cell>
        </row>
        <row r="1677">
          <cell r="E1677" t="str">
            <v>HGC-Lib-2463344</v>
          </cell>
          <cell r="F1677" t="str">
            <v>BM361</v>
          </cell>
          <cell r="G1677">
            <v>4</v>
          </cell>
          <cell r="H1677" t="str">
            <v>全基因组文库</v>
          </cell>
          <cell r="J1677">
            <v>29.42</v>
          </cell>
          <cell r="N1677" t="e">
            <v>#DIV/0!</v>
          </cell>
        </row>
        <row r="1678">
          <cell r="E1678" t="str">
            <v>HGC-Lib-2463345</v>
          </cell>
          <cell r="F1678" t="str">
            <v>BM363</v>
          </cell>
          <cell r="G1678">
            <v>4</v>
          </cell>
          <cell r="H1678" t="str">
            <v>全基因组文库</v>
          </cell>
          <cell r="J1678">
            <v>33.5</v>
          </cell>
          <cell r="N1678" t="e">
            <v>#DIV/0!</v>
          </cell>
        </row>
        <row r="1679">
          <cell r="E1679" t="str">
            <v>HGC-Lib-2463346</v>
          </cell>
          <cell r="F1679" t="str">
            <v>BM364</v>
          </cell>
          <cell r="G1679">
            <v>4</v>
          </cell>
          <cell r="H1679" t="str">
            <v>全基因组文库</v>
          </cell>
          <cell r="J1679">
            <v>31.59</v>
          </cell>
          <cell r="N1679" t="e">
            <v>#DIV/0!</v>
          </cell>
        </row>
        <row r="1680">
          <cell r="E1680" t="str">
            <v>HGC-Lib-2463347</v>
          </cell>
          <cell r="F1680" t="str">
            <v>BM365</v>
          </cell>
          <cell r="G1680">
            <v>4</v>
          </cell>
          <cell r="H1680" t="str">
            <v>全基因组文库</v>
          </cell>
          <cell r="J1680">
            <v>35.729999999999997</v>
          </cell>
          <cell r="N1680" t="e">
            <v>#DIV/0!</v>
          </cell>
        </row>
        <row r="1681">
          <cell r="E1681" t="str">
            <v>HGC-Lib-2463348</v>
          </cell>
          <cell r="F1681" t="str">
            <v>BM366</v>
          </cell>
          <cell r="G1681">
            <v>4</v>
          </cell>
          <cell r="H1681" t="str">
            <v>全基因组文库</v>
          </cell>
          <cell r="J1681">
            <v>31.92</v>
          </cell>
          <cell r="N1681" t="e">
            <v>#DIV/0!</v>
          </cell>
        </row>
        <row r="1682">
          <cell r="E1682" t="str">
            <v>HGC-Lib-2463349</v>
          </cell>
          <cell r="F1682" t="str">
            <v>BM367</v>
          </cell>
          <cell r="G1682">
            <v>4</v>
          </cell>
          <cell r="H1682" t="str">
            <v>全基因组文库</v>
          </cell>
          <cell r="J1682">
            <v>40.729999999999997</v>
          </cell>
          <cell r="N1682" t="e">
            <v>#DIV/0!</v>
          </cell>
        </row>
        <row r="1683">
          <cell r="E1683" t="str">
            <v>HGC-Lib-2463350</v>
          </cell>
          <cell r="F1683" t="str">
            <v>BM369</v>
          </cell>
          <cell r="G1683">
            <v>4</v>
          </cell>
          <cell r="H1683" t="str">
            <v>全基因组文库</v>
          </cell>
          <cell r="J1683">
            <v>3.9012500000000001</v>
          </cell>
          <cell r="M1683" t="str">
            <v>加水8.75</v>
          </cell>
          <cell r="N1683" t="e">
            <v>#DIV/0!</v>
          </cell>
        </row>
        <row r="1684">
          <cell r="E1684" t="str">
            <v>HGC-Lib-2463351</v>
          </cell>
          <cell r="F1684" t="str">
            <v>BM370</v>
          </cell>
          <cell r="G1684">
            <v>4</v>
          </cell>
          <cell r="H1684" t="str">
            <v>全基因组文库</v>
          </cell>
          <cell r="J1684">
            <v>10.49</v>
          </cell>
          <cell r="N1684" t="e">
            <v>#DIV/0!</v>
          </cell>
        </row>
        <row r="1685">
          <cell r="E1685" t="str">
            <v>HGC-Lib-2463352</v>
          </cell>
          <cell r="F1685" t="str">
            <v>BM371</v>
          </cell>
          <cell r="G1685">
            <v>4</v>
          </cell>
          <cell r="H1685" t="str">
            <v>全基因组文库</v>
          </cell>
          <cell r="J1685">
            <v>26.53</v>
          </cell>
          <cell r="N1685" t="e">
            <v>#DIV/0!</v>
          </cell>
        </row>
        <row r="1686">
          <cell r="E1686" t="str">
            <v>HGC-Lib-2463353</v>
          </cell>
          <cell r="F1686" t="str">
            <v>BM372</v>
          </cell>
          <cell r="G1686">
            <v>4</v>
          </cell>
          <cell r="H1686" t="str">
            <v>全基因组文库</v>
          </cell>
          <cell r="J1686">
            <v>33.270000000000003</v>
          </cell>
          <cell r="N1686" t="e">
            <v>#DIV/0!</v>
          </cell>
        </row>
        <row r="1687">
          <cell r="E1687" t="str">
            <v>HGC-Lib-2463354</v>
          </cell>
          <cell r="F1687" t="str">
            <v>BM373</v>
          </cell>
          <cell r="G1687">
            <v>4</v>
          </cell>
          <cell r="H1687" t="str">
            <v>全基因组文库</v>
          </cell>
          <cell r="J1687">
            <v>29.37</v>
          </cell>
          <cell r="N1687" t="e">
            <v>#DIV/0!</v>
          </cell>
        </row>
        <row r="1688">
          <cell r="E1688" t="str">
            <v>HGC-Lib-2463355</v>
          </cell>
          <cell r="F1688" t="str">
            <v>BM375</v>
          </cell>
          <cell r="G1688">
            <v>4</v>
          </cell>
          <cell r="H1688" t="str">
            <v>全基因组文库</v>
          </cell>
          <cell r="J1688">
            <v>29.87</v>
          </cell>
          <cell r="N1688" t="e">
            <v>#DIV/0!</v>
          </cell>
        </row>
        <row r="1689">
          <cell r="E1689" t="str">
            <v>HGC-Lib-2463356</v>
          </cell>
          <cell r="F1689" t="str">
            <v>BM377</v>
          </cell>
          <cell r="G1689">
            <v>4</v>
          </cell>
          <cell r="H1689" t="str">
            <v>全基因组文库</v>
          </cell>
          <cell r="J1689">
            <v>36.25</v>
          </cell>
          <cell r="N1689" t="e">
            <v>#DIV/0!</v>
          </cell>
        </row>
        <row r="1690">
          <cell r="E1690" t="str">
            <v>HGC-Lib-2463357</v>
          </cell>
          <cell r="F1690" t="str">
            <v>BM381</v>
          </cell>
          <cell r="G1690">
            <v>4</v>
          </cell>
          <cell r="H1690" t="str">
            <v>全基因组文库</v>
          </cell>
          <cell r="J1690">
            <v>31.06</v>
          </cell>
          <cell r="N1690" t="e">
            <v>#DIV/0!</v>
          </cell>
        </row>
        <row r="1691">
          <cell r="E1691" t="str">
            <v>HGC-Lib-2463358</v>
          </cell>
          <cell r="F1691" t="str">
            <v>BM382</v>
          </cell>
          <cell r="G1691">
            <v>4</v>
          </cell>
          <cell r="H1691" t="str">
            <v>全基因组文库</v>
          </cell>
          <cell r="J1691">
            <v>30.27</v>
          </cell>
          <cell r="N1691" t="e">
            <v>#DIV/0!</v>
          </cell>
        </row>
        <row r="1692">
          <cell r="E1692" t="str">
            <v>HGC-Lib-2463359</v>
          </cell>
          <cell r="F1692" t="str">
            <v>BM384</v>
          </cell>
          <cell r="G1692">
            <v>4</v>
          </cell>
          <cell r="H1692" t="str">
            <v>全基因组文库</v>
          </cell>
          <cell r="J1692">
            <v>31.46</v>
          </cell>
          <cell r="N1692" t="e">
            <v>#DIV/0!</v>
          </cell>
        </row>
        <row r="1693">
          <cell r="E1693" t="str">
            <v>HGC-Lib-2463360</v>
          </cell>
          <cell r="F1693" t="str">
            <v>BM385</v>
          </cell>
          <cell r="G1693">
            <v>4</v>
          </cell>
          <cell r="H1693" t="str">
            <v>全基因组文库</v>
          </cell>
          <cell r="J1693">
            <v>6.9666666666666703</v>
          </cell>
          <cell r="M1693" t="str">
            <v>加水10.38</v>
          </cell>
          <cell r="N1693" t="e">
            <v>#DIV/0!</v>
          </cell>
        </row>
        <row r="1694">
          <cell r="E1694" t="str">
            <v>HGC-Lib-2463361</v>
          </cell>
          <cell r="F1694" t="str">
            <v>BM386</v>
          </cell>
          <cell r="G1694">
            <v>4</v>
          </cell>
          <cell r="H1694" t="str">
            <v>全基因组文库</v>
          </cell>
          <cell r="J1694">
            <v>20.89</v>
          </cell>
          <cell r="N1694" t="e">
            <v>#DIV/0!</v>
          </cell>
        </row>
        <row r="1695">
          <cell r="E1695" t="str">
            <v>HGC-Lib-2463362</v>
          </cell>
          <cell r="F1695" t="str">
            <v>BM387</v>
          </cell>
          <cell r="G1695">
            <v>4</v>
          </cell>
          <cell r="H1695" t="str">
            <v>全基因组文库</v>
          </cell>
          <cell r="J1695">
            <v>15.44</v>
          </cell>
          <cell r="N1695" t="e">
            <v>#DIV/0!</v>
          </cell>
        </row>
        <row r="1696">
          <cell r="E1696" t="str">
            <v>HGC-Lib-2463363</v>
          </cell>
          <cell r="F1696" t="str">
            <v>BM388</v>
          </cell>
          <cell r="G1696">
            <v>4</v>
          </cell>
          <cell r="H1696" t="str">
            <v>全基因组文库</v>
          </cell>
          <cell r="J1696">
            <v>31.73</v>
          </cell>
          <cell r="N1696" t="e">
            <v>#DIV/0!</v>
          </cell>
        </row>
        <row r="1697">
          <cell r="E1697" t="str">
            <v>HGC-Lib-2463364</v>
          </cell>
          <cell r="F1697" t="str">
            <v>BM389</v>
          </cell>
          <cell r="G1697">
            <v>4</v>
          </cell>
          <cell r="H1697" t="str">
            <v>全基因组文库</v>
          </cell>
          <cell r="J1697">
            <v>24.05</v>
          </cell>
          <cell r="N1697" t="e">
            <v>#DIV/0!</v>
          </cell>
        </row>
        <row r="1698">
          <cell r="E1698" t="str">
            <v>HGC-Lib-2463365</v>
          </cell>
          <cell r="F1698" t="str">
            <v>BM390</v>
          </cell>
          <cell r="G1698">
            <v>4</v>
          </cell>
          <cell r="H1698" t="str">
            <v>全基因组文库</v>
          </cell>
          <cell r="J1698">
            <v>29.1</v>
          </cell>
          <cell r="N1698" t="e">
            <v>#DIV/0!</v>
          </cell>
        </row>
        <row r="1699">
          <cell r="E1699" t="str">
            <v>HGC-Lib-2463366</v>
          </cell>
          <cell r="F1699" t="str">
            <v>BM391</v>
          </cell>
          <cell r="G1699">
            <v>4</v>
          </cell>
          <cell r="H1699" t="str">
            <v>全基因组文库</v>
          </cell>
          <cell r="J1699">
            <v>22.94</v>
          </cell>
          <cell r="N1699" t="e">
            <v>#DIV/0!</v>
          </cell>
        </row>
        <row r="1700">
          <cell r="E1700" t="str">
            <v>HGC-Lib-2463367</v>
          </cell>
          <cell r="F1700" t="str">
            <v>BM392</v>
          </cell>
          <cell r="G1700">
            <v>4</v>
          </cell>
          <cell r="H1700" t="str">
            <v>全基因组文库</v>
          </cell>
          <cell r="J1700">
            <v>23.26</v>
          </cell>
          <cell r="N1700" t="e">
            <v>#DIV/0!</v>
          </cell>
        </row>
        <row r="1701">
          <cell r="E1701" t="str">
            <v>HGC-Lib-2463368</v>
          </cell>
          <cell r="F1701" t="str">
            <v>BM393</v>
          </cell>
          <cell r="G1701">
            <v>4</v>
          </cell>
          <cell r="H1701" t="str">
            <v>全基因组文库</v>
          </cell>
          <cell r="J1701">
            <v>3.81666666666667</v>
          </cell>
          <cell r="M1701" t="str">
            <v>加水9.35</v>
          </cell>
          <cell r="N1701" t="e">
            <v>#DIV/0!</v>
          </cell>
        </row>
        <row r="1702">
          <cell r="E1702" t="str">
            <v>HGC-Lib-2463369</v>
          </cell>
          <cell r="F1702" t="str">
            <v>BM394</v>
          </cell>
          <cell r="G1702">
            <v>4</v>
          </cell>
          <cell r="H1702" t="str">
            <v>全基因组文库</v>
          </cell>
          <cell r="J1702">
            <v>20.149999999999999</v>
          </cell>
          <cell r="N1702" t="e">
            <v>#DIV/0!</v>
          </cell>
        </row>
        <row r="1703">
          <cell r="E1703" t="str">
            <v>HGC-Lib-2463370</v>
          </cell>
          <cell r="F1703" t="str">
            <v>BM395</v>
          </cell>
          <cell r="G1703">
            <v>4</v>
          </cell>
          <cell r="H1703" t="str">
            <v>全基因组文库</v>
          </cell>
          <cell r="J1703">
            <v>37.729999999999997</v>
          </cell>
          <cell r="N1703" t="e">
            <v>#DIV/0!</v>
          </cell>
        </row>
        <row r="1704">
          <cell r="E1704" t="str">
            <v>HGC-Lib-2463371</v>
          </cell>
          <cell r="F1704" t="str">
            <v>BM396</v>
          </cell>
          <cell r="G1704">
            <v>4</v>
          </cell>
          <cell r="H1704" t="str">
            <v>全基因组文库</v>
          </cell>
          <cell r="J1704">
            <v>30.27</v>
          </cell>
          <cell r="N1704" t="e">
            <v>#DIV/0!</v>
          </cell>
        </row>
        <row r="1705">
          <cell r="E1705" t="str">
            <v>HGC-Lib-2463372</v>
          </cell>
          <cell r="F1705" t="str">
            <v>BM397</v>
          </cell>
          <cell r="G1705">
            <v>4</v>
          </cell>
          <cell r="H1705" t="str">
            <v>全基因组文库</v>
          </cell>
          <cell r="J1705">
            <v>35.200000000000003</v>
          </cell>
          <cell r="N1705" t="e">
            <v>#DIV/0!</v>
          </cell>
        </row>
        <row r="1706">
          <cell r="E1706" t="str">
            <v>HGC-Lib-2463373</v>
          </cell>
          <cell r="F1706" t="str">
            <v>BM398</v>
          </cell>
          <cell r="G1706">
            <v>4</v>
          </cell>
          <cell r="H1706" t="str">
            <v>全基因组文库</v>
          </cell>
          <cell r="J1706">
            <v>28.43</v>
          </cell>
          <cell r="N1706" t="e">
            <v>#DIV/0!</v>
          </cell>
        </row>
        <row r="1707">
          <cell r="E1707" t="str">
            <v>HGC-Lib-2463374</v>
          </cell>
          <cell r="F1707" t="str">
            <v>BM400</v>
          </cell>
          <cell r="G1707">
            <v>4</v>
          </cell>
          <cell r="H1707" t="str">
            <v>全基因组文库</v>
          </cell>
          <cell r="J1707">
            <v>26.17</v>
          </cell>
          <cell r="N1707" t="e">
            <v>#DIV/0!</v>
          </cell>
        </row>
        <row r="1708">
          <cell r="E1708" t="str">
            <v>HGC-Lib-2463375</v>
          </cell>
          <cell r="F1708" t="str">
            <v>BM401</v>
          </cell>
          <cell r="G1708">
            <v>4</v>
          </cell>
          <cell r="H1708" t="str">
            <v>全基因组文库</v>
          </cell>
          <cell r="J1708">
            <v>23.98</v>
          </cell>
          <cell r="N1708" t="e">
            <v>#DIV/0!</v>
          </cell>
        </row>
        <row r="1709">
          <cell r="E1709" t="str">
            <v>HGC-Lib-2463376</v>
          </cell>
          <cell r="F1709" t="str">
            <v>BM402</v>
          </cell>
          <cell r="G1709">
            <v>4</v>
          </cell>
          <cell r="H1709" t="str">
            <v>全基因组文库</v>
          </cell>
          <cell r="J1709">
            <v>32.049999999999997</v>
          </cell>
          <cell r="N1709" t="e">
            <v>#DIV/0!</v>
          </cell>
        </row>
        <row r="1710">
          <cell r="E1710" t="str">
            <v>HGC-Lib-2463377</v>
          </cell>
          <cell r="F1710" t="str">
            <v>BM404</v>
          </cell>
          <cell r="G1710">
            <v>4</v>
          </cell>
          <cell r="H1710" t="str">
            <v>全基因组文库</v>
          </cell>
          <cell r="J1710">
            <v>37.049999999999997</v>
          </cell>
          <cell r="N1710" t="e">
            <v>#DIV/0!</v>
          </cell>
        </row>
        <row r="1711">
          <cell r="E1711" t="str">
            <v>HGC-Lib-2463378</v>
          </cell>
          <cell r="F1711" t="str">
            <v>BM405</v>
          </cell>
          <cell r="G1711">
            <v>4</v>
          </cell>
          <cell r="H1711" t="str">
            <v>全基因组文库</v>
          </cell>
          <cell r="J1711">
            <v>43.6</v>
          </cell>
          <cell r="N1711" t="e">
            <v>#DIV/0!</v>
          </cell>
        </row>
        <row r="1712">
          <cell r="E1712" t="str">
            <v>HGC-Lib-2463379</v>
          </cell>
          <cell r="F1712" t="str">
            <v>BM406</v>
          </cell>
          <cell r="G1712">
            <v>4</v>
          </cell>
          <cell r="H1712" t="str">
            <v>全基因组文库</v>
          </cell>
          <cell r="J1712">
            <v>34.56</v>
          </cell>
          <cell r="N1712" t="e">
            <v>#DIV/0!</v>
          </cell>
        </row>
        <row r="1713">
          <cell r="E1713" t="str">
            <v>HGC-Lib-2463380</v>
          </cell>
          <cell r="F1713" t="str">
            <v>BM407</v>
          </cell>
          <cell r="G1713">
            <v>4</v>
          </cell>
          <cell r="H1713" t="str">
            <v>全基因组文库</v>
          </cell>
          <cell r="J1713">
            <v>35.770000000000003</v>
          </cell>
          <cell r="N1713" t="e">
            <v>#DIV/0!</v>
          </cell>
        </row>
        <row r="1714">
          <cell r="E1714" t="str">
            <v>HGC-Lib-2463381</v>
          </cell>
          <cell r="F1714" t="str">
            <v>BM408</v>
          </cell>
          <cell r="G1714">
            <v>4</v>
          </cell>
          <cell r="H1714" t="str">
            <v>全基因组文库</v>
          </cell>
          <cell r="J1714">
            <v>36.93</v>
          </cell>
          <cell r="N1714" t="e">
            <v>#DIV/0!</v>
          </cell>
        </row>
        <row r="1715">
          <cell r="E1715" t="str">
            <v>HGC-Lib-2463382</v>
          </cell>
          <cell r="F1715" t="str">
            <v>BM409</v>
          </cell>
          <cell r="G1715">
            <v>4</v>
          </cell>
          <cell r="H1715" t="str">
            <v>全基因组文库</v>
          </cell>
          <cell r="J1715">
            <v>35.28</v>
          </cell>
          <cell r="N1715" t="e">
            <v>#DIV/0!</v>
          </cell>
        </row>
        <row r="1716">
          <cell r="E1716" t="str">
            <v>HGC-Lib-2463383</v>
          </cell>
          <cell r="F1716" t="str">
            <v>BM410</v>
          </cell>
          <cell r="G1716">
            <v>4</v>
          </cell>
          <cell r="H1716" t="str">
            <v>全基因组文库</v>
          </cell>
          <cell r="J1716">
            <v>36.85</v>
          </cell>
          <cell r="N1716" t="e">
            <v>#DIV/0!</v>
          </cell>
        </row>
        <row r="1717">
          <cell r="E1717" t="str">
            <v>HGC-Lib-2463384</v>
          </cell>
          <cell r="F1717" t="str">
            <v>BM411</v>
          </cell>
          <cell r="G1717">
            <v>4</v>
          </cell>
          <cell r="H1717" t="str">
            <v>全基因组文库</v>
          </cell>
          <cell r="J1717">
            <v>37.93</v>
          </cell>
          <cell r="N1717" t="e">
            <v>#DIV/0!</v>
          </cell>
        </row>
        <row r="1718">
          <cell r="E1718" t="str">
            <v>HGC-Lib-2463385</v>
          </cell>
          <cell r="F1718" t="str">
            <v>BM412</v>
          </cell>
          <cell r="G1718">
            <v>4</v>
          </cell>
          <cell r="H1718" t="str">
            <v>全基因组文库</v>
          </cell>
          <cell r="J1718">
            <v>31.34</v>
          </cell>
          <cell r="N1718" t="e">
            <v>#DIV/0!</v>
          </cell>
        </row>
        <row r="1719">
          <cell r="E1719" t="str">
            <v>HGC-Lib-2463386</v>
          </cell>
          <cell r="F1719" t="str">
            <v>BM413</v>
          </cell>
          <cell r="G1719">
            <v>4</v>
          </cell>
          <cell r="H1719" t="str">
            <v>全基因组文库</v>
          </cell>
          <cell r="J1719">
            <v>41.05</v>
          </cell>
          <cell r="N1719" t="e">
            <v>#DIV/0!</v>
          </cell>
        </row>
        <row r="1720">
          <cell r="E1720" t="str">
            <v>HGC-Lib-2463387</v>
          </cell>
          <cell r="F1720" t="str">
            <v>BM414</v>
          </cell>
          <cell r="G1720">
            <v>4</v>
          </cell>
          <cell r="H1720" t="str">
            <v>全基因组文库</v>
          </cell>
          <cell r="J1720">
            <v>38.39</v>
          </cell>
          <cell r="N1720" t="e">
            <v>#DIV/0!</v>
          </cell>
        </row>
        <row r="1721">
          <cell r="E1721" t="str">
            <v>HGC-Lib-2463388</v>
          </cell>
          <cell r="F1721" t="str">
            <v>BM415</v>
          </cell>
          <cell r="G1721">
            <v>4</v>
          </cell>
          <cell r="H1721" t="str">
            <v>全基因组文库</v>
          </cell>
          <cell r="J1721">
            <v>27.52</v>
          </cell>
          <cell r="N1721" t="e">
            <v>#DIV/0!</v>
          </cell>
        </row>
        <row r="1722">
          <cell r="E1722" t="str">
            <v>HGC-Lib-2463389</v>
          </cell>
          <cell r="F1722" t="str">
            <v>BM416</v>
          </cell>
          <cell r="G1722">
            <v>4</v>
          </cell>
          <cell r="H1722" t="str">
            <v>全基因组文库</v>
          </cell>
          <cell r="J1722">
            <v>40.76</v>
          </cell>
          <cell r="N1722" t="e">
            <v>#DIV/0!</v>
          </cell>
        </row>
        <row r="1723">
          <cell r="E1723" t="str">
            <v>HGC-Lib-2463390</v>
          </cell>
          <cell r="F1723" t="str">
            <v>BM417</v>
          </cell>
          <cell r="G1723">
            <v>4</v>
          </cell>
          <cell r="H1723" t="str">
            <v>全基因组文库</v>
          </cell>
          <cell r="J1723">
            <v>38.119999999999997</v>
          </cell>
          <cell r="N1723" t="e">
            <v>#DIV/0!</v>
          </cell>
        </row>
        <row r="1724">
          <cell r="E1724" t="str">
            <v>HGC-Lib-2463391</v>
          </cell>
          <cell r="F1724" t="str">
            <v>BM418</v>
          </cell>
          <cell r="G1724">
            <v>4</v>
          </cell>
          <cell r="H1724" t="str">
            <v>全基因组文库</v>
          </cell>
          <cell r="J1724">
            <v>25.15</v>
          </cell>
          <cell r="N1724" t="e">
            <v>#DIV/0!</v>
          </cell>
        </row>
        <row r="1725">
          <cell r="E1725" t="str">
            <v>HGC-Lib-2463392</v>
          </cell>
          <cell r="F1725" t="str">
            <v>BM419</v>
          </cell>
          <cell r="G1725">
            <v>4</v>
          </cell>
          <cell r="H1725" t="str">
            <v>全基因组文库</v>
          </cell>
          <cell r="J1725">
            <v>35.619999999999997</v>
          </cell>
          <cell r="N1725" t="e">
            <v>#DIV/0!</v>
          </cell>
        </row>
        <row r="1726">
          <cell r="E1726" t="str">
            <v>HGC-Lib-2463393</v>
          </cell>
          <cell r="F1726" t="str">
            <v>BM420</v>
          </cell>
          <cell r="G1726">
            <v>4</v>
          </cell>
          <cell r="H1726" t="str">
            <v>全基因组文库</v>
          </cell>
          <cell r="J1726">
            <v>16.72</v>
          </cell>
          <cell r="N1726" t="e">
            <v>#DIV/0!</v>
          </cell>
        </row>
        <row r="1727">
          <cell r="E1727" t="str">
            <v>HGC-Lib-2463394</v>
          </cell>
          <cell r="F1727" t="str">
            <v>BM421</v>
          </cell>
          <cell r="G1727">
            <v>4</v>
          </cell>
          <cell r="H1727" t="str">
            <v>全基因组文库</v>
          </cell>
          <cell r="J1727">
            <v>37.5</v>
          </cell>
          <cell r="N1727" t="e">
            <v>#DIV/0!</v>
          </cell>
        </row>
        <row r="1728">
          <cell r="E1728" t="str">
            <v>HGC-Lib-2463395</v>
          </cell>
          <cell r="F1728" t="str">
            <v>BM422</v>
          </cell>
          <cell r="G1728">
            <v>4</v>
          </cell>
          <cell r="H1728" t="str">
            <v>全基因组文库</v>
          </cell>
          <cell r="J1728">
            <v>36.42</v>
          </cell>
          <cell r="N1728" t="e">
            <v>#DIV/0!</v>
          </cell>
        </row>
        <row r="1729">
          <cell r="E1729" t="str">
            <v>HGC-Lib-2463396</v>
          </cell>
          <cell r="F1729" t="str">
            <v>BM423</v>
          </cell>
          <cell r="G1729">
            <v>4</v>
          </cell>
          <cell r="H1729" t="str">
            <v>全基因组文库</v>
          </cell>
          <cell r="J1729">
            <v>38.49</v>
          </cell>
          <cell r="N1729" t="e">
            <v>#DIV/0!</v>
          </cell>
        </row>
        <row r="1730">
          <cell r="E1730" t="str">
            <v>HGC-Lib-2463397</v>
          </cell>
          <cell r="F1730" t="str">
            <v>BM424</v>
          </cell>
          <cell r="G1730">
            <v>4</v>
          </cell>
          <cell r="H1730" t="str">
            <v>全基因组文库</v>
          </cell>
          <cell r="J1730">
            <v>33.25</v>
          </cell>
          <cell r="N1730" t="e">
            <v>#DIV/0!</v>
          </cell>
        </row>
        <row r="1731">
          <cell r="E1731" t="str">
            <v>HGC-Lib-2463398</v>
          </cell>
          <cell r="F1731" t="str">
            <v>BM425</v>
          </cell>
          <cell r="G1731">
            <v>4</v>
          </cell>
          <cell r="H1731" t="str">
            <v>全基因组文库</v>
          </cell>
          <cell r="J1731">
            <v>36.61</v>
          </cell>
          <cell r="N1731" t="e">
            <v>#DIV/0!</v>
          </cell>
        </row>
        <row r="1732">
          <cell r="E1732" t="str">
            <v>HGC-Lib-2463399</v>
          </cell>
          <cell r="F1732" t="str">
            <v>BM426</v>
          </cell>
          <cell r="G1732">
            <v>4</v>
          </cell>
          <cell r="H1732" t="str">
            <v>全基因组文库</v>
          </cell>
          <cell r="J1732">
            <v>18.72</v>
          </cell>
          <cell r="N1732" t="e">
            <v>#DIV/0!</v>
          </cell>
        </row>
        <row r="1733">
          <cell r="E1733" t="str">
            <v>HGC-Lib-2463400</v>
          </cell>
          <cell r="F1733" t="str">
            <v>BM427</v>
          </cell>
          <cell r="G1733">
            <v>4</v>
          </cell>
          <cell r="H1733" t="str">
            <v>全基因组文库</v>
          </cell>
          <cell r="J1733">
            <v>26.92</v>
          </cell>
          <cell r="N1733" t="e">
            <v>#DIV/0!</v>
          </cell>
        </row>
        <row r="1734">
          <cell r="E1734" t="str">
            <v>HGC-Lib-2463401</v>
          </cell>
          <cell r="F1734" t="str">
            <v>BM428</v>
          </cell>
          <cell r="G1734">
            <v>4</v>
          </cell>
          <cell r="H1734" t="str">
            <v>全基因组文库</v>
          </cell>
          <cell r="J1734">
            <v>35.51</v>
          </cell>
          <cell r="N1734" t="e">
            <v>#DIV/0!</v>
          </cell>
        </row>
        <row r="1735">
          <cell r="E1735" t="str">
            <v>HGC-Lib-2463402</v>
          </cell>
          <cell r="F1735" t="str">
            <v>BM429</v>
          </cell>
          <cell r="G1735">
            <v>4</v>
          </cell>
          <cell r="H1735" t="str">
            <v>全基因组文库</v>
          </cell>
          <cell r="J1735">
            <v>24.4</v>
          </cell>
          <cell r="N1735" t="e">
            <v>#DIV/0!</v>
          </cell>
        </row>
        <row r="1736">
          <cell r="E1736" t="str">
            <v>HGC-Lib-2463403</v>
          </cell>
          <cell r="F1736" t="str">
            <v>BM430</v>
          </cell>
          <cell r="G1736">
            <v>4</v>
          </cell>
          <cell r="H1736" t="str">
            <v>全基因组文库</v>
          </cell>
          <cell r="J1736">
            <v>34.770000000000003</v>
          </cell>
          <cell r="N1736" t="e">
            <v>#DIV/0!</v>
          </cell>
        </row>
        <row r="1737">
          <cell r="E1737" t="str">
            <v>HGC-Lib-2463404</v>
          </cell>
          <cell r="F1737" t="str">
            <v>BM431</v>
          </cell>
          <cell r="G1737">
            <v>4</v>
          </cell>
          <cell r="H1737" t="str">
            <v>全基因组文库</v>
          </cell>
          <cell r="J1737">
            <v>25.23</v>
          </cell>
          <cell r="N1737" t="e">
            <v>#DIV/0!</v>
          </cell>
        </row>
        <row r="1738">
          <cell r="E1738" t="str">
            <v>HGC-Lib-2463405</v>
          </cell>
          <cell r="F1738" t="str">
            <v>BM432</v>
          </cell>
          <cell r="G1738">
            <v>4</v>
          </cell>
          <cell r="H1738" t="str">
            <v>全基因组文库</v>
          </cell>
          <cell r="J1738">
            <v>33.56</v>
          </cell>
          <cell r="N1738" t="e">
            <v>#DIV/0!</v>
          </cell>
        </row>
        <row r="1739">
          <cell r="E1739" t="str">
            <v>HGC-Lib-2463406</v>
          </cell>
          <cell r="F1739" t="str">
            <v>BM433</v>
          </cell>
          <cell r="G1739">
            <v>4</v>
          </cell>
          <cell r="H1739" t="str">
            <v>全基因组文库</v>
          </cell>
          <cell r="J1739">
            <v>25.64</v>
          </cell>
          <cell r="N1739" t="e">
            <v>#DIV/0!</v>
          </cell>
        </row>
        <row r="1740">
          <cell r="E1740" t="str">
            <v>HGC-Lib-2463407</v>
          </cell>
          <cell r="F1740" t="str">
            <v>BM434</v>
          </cell>
          <cell r="G1740">
            <v>4</v>
          </cell>
          <cell r="H1740" t="str">
            <v>全基因组文库</v>
          </cell>
          <cell r="J1740">
            <v>34.71</v>
          </cell>
          <cell r="N1740" t="e">
            <v>#DIV/0!</v>
          </cell>
        </row>
        <row r="1741">
          <cell r="E1741" t="str">
            <v>HGC-Lib-2463408</v>
          </cell>
          <cell r="F1741" t="str">
            <v>BM435</v>
          </cell>
          <cell r="G1741">
            <v>4</v>
          </cell>
          <cell r="H1741" t="str">
            <v>全基因组文库</v>
          </cell>
          <cell r="J1741">
            <v>34.6</v>
          </cell>
          <cell r="N1741" t="e">
            <v>#DIV/0!</v>
          </cell>
        </row>
        <row r="1742">
          <cell r="E1742" t="str">
            <v>HGC-Lib-2463409</v>
          </cell>
          <cell r="F1742" t="str">
            <v>BM436</v>
          </cell>
          <cell r="G1742">
            <v>4</v>
          </cell>
          <cell r="H1742" t="str">
            <v>全基因组文库</v>
          </cell>
          <cell r="J1742">
            <v>35.69</v>
          </cell>
          <cell r="N1742" t="e">
            <v>#DIV/0!</v>
          </cell>
        </row>
        <row r="1743">
          <cell r="E1743" t="str">
            <v>HGC-Lib-2463410</v>
          </cell>
          <cell r="F1743" t="str">
            <v>BM437</v>
          </cell>
          <cell r="G1743">
            <v>4</v>
          </cell>
          <cell r="H1743" t="str">
            <v>全基因组文库</v>
          </cell>
          <cell r="J1743">
            <v>30.17</v>
          </cell>
          <cell r="N1743" t="e">
            <v>#DIV/0!</v>
          </cell>
        </row>
        <row r="1744">
          <cell r="E1744" t="str">
            <v>HGC-Lib-2463411</v>
          </cell>
          <cell r="F1744" t="str">
            <v>BM438</v>
          </cell>
          <cell r="G1744">
            <v>4</v>
          </cell>
          <cell r="H1744" t="str">
            <v>全基因组文库</v>
          </cell>
          <cell r="J1744">
            <v>24.5</v>
          </cell>
          <cell r="N1744" t="e">
            <v>#DIV/0!</v>
          </cell>
        </row>
        <row r="1745">
          <cell r="E1745" t="str">
            <v>HGC-Lib-2463412</v>
          </cell>
          <cell r="F1745" t="str">
            <v>BM439</v>
          </cell>
          <cell r="G1745">
            <v>4</v>
          </cell>
          <cell r="H1745" t="str">
            <v>全基因组文库</v>
          </cell>
          <cell r="J1745">
            <v>37.56</v>
          </cell>
          <cell r="N1745" t="e">
            <v>#DIV/0!</v>
          </cell>
        </row>
        <row r="1746">
          <cell r="E1746" t="str">
            <v>HGC-Lib-2463413</v>
          </cell>
          <cell r="F1746" t="str">
            <v>BM440</v>
          </cell>
          <cell r="G1746">
            <v>4</v>
          </cell>
          <cell r="H1746" t="str">
            <v>全基因组文库</v>
          </cell>
          <cell r="J1746">
            <v>36.49</v>
          </cell>
          <cell r="N1746" t="e">
            <v>#DIV/0!</v>
          </cell>
        </row>
        <row r="1747">
          <cell r="E1747" t="str">
            <v>HGC-Lib-2463414</v>
          </cell>
          <cell r="F1747" t="str">
            <v>BM441</v>
          </cell>
          <cell r="G1747">
            <v>4</v>
          </cell>
          <cell r="H1747" t="str">
            <v>全基因组文库</v>
          </cell>
          <cell r="J1747">
            <v>31.85</v>
          </cell>
          <cell r="N1747" t="e">
            <v>#DIV/0!</v>
          </cell>
        </row>
        <row r="1748">
          <cell r="E1748" t="str">
            <v>HGC-Lib-2463415</v>
          </cell>
          <cell r="F1748" t="str">
            <v>BM442</v>
          </cell>
          <cell r="G1748">
            <v>4</v>
          </cell>
          <cell r="H1748" t="str">
            <v>全基因组文库</v>
          </cell>
          <cell r="J1748">
            <v>37.450000000000003</v>
          </cell>
          <cell r="N1748" t="e">
            <v>#DIV/0!</v>
          </cell>
        </row>
        <row r="1749">
          <cell r="E1749" t="str">
            <v>HGC-Lib-2463416</v>
          </cell>
          <cell r="F1749" t="str">
            <v>BM443</v>
          </cell>
          <cell r="G1749">
            <v>4</v>
          </cell>
          <cell r="H1749" t="str">
            <v>全基因组文库</v>
          </cell>
          <cell r="J1749">
            <v>26.51</v>
          </cell>
          <cell r="N1749" t="e">
            <v>#DIV/0!</v>
          </cell>
        </row>
        <row r="1750">
          <cell r="E1750" t="str">
            <v>HGC-Lib-2463417</v>
          </cell>
          <cell r="F1750" t="str">
            <v>BM444</v>
          </cell>
          <cell r="G1750">
            <v>4</v>
          </cell>
          <cell r="H1750" t="str">
            <v>全基因组文库</v>
          </cell>
          <cell r="J1750">
            <v>35.54</v>
          </cell>
          <cell r="N1750" t="e">
            <v>#DIV/0!</v>
          </cell>
        </row>
        <row r="1751">
          <cell r="E1751" t="str">
            <v>HGC-Lib-2463418</v>
          </cell>
          <cell r="F1751" t="str">
            <v>BM445</v>
          </cell>
          <cell r="G1751">
            <v>4</v>
          </cell>
          <cell r="H1751" t="str">
            <v>全基因组文库</v>
          </cell>
          <cell r="J1751">
            <v>39.479999999999997</v>
          </cell>
          <cell r="N1751" t="e">
            <v>#DIV/0!</v>
          </cell>
        </row>
        <row r="1752">
          <cell r="E1752" t="str">
            <v>HGC-Lib-2463419</v>
          </cell>
          <cell r="F1752" t="str">
            <v>BM446</v>
          </cell>
          <cell r="G1752">
            <v>4</v>
          </cell>
          <cell r="H1752" t="str">
            <v>全基因组文库</v>
          </cell>
          <cell r="J1752">
            <v>37.58</v>
          </cell>
          <cell r="N1752" t="e">
            <v>#DIV/0!</v>
          </cell>
        </row>
        <row r="1753">
          <cell r="E1753" t="str">
            <v>HGC-Lib-2463420</v>
          </cell>
          <cell r="F1753" t="str">
            <v>BM447</v>
          </cell>
          <cell r="G1753">
            <v>4</v>
          </cell>
          <cell r="H1753" t="str">
            <v>全基因组文库</v>
          </cell>
          <cell r="J1753">
            <v>35.81</v>
          </cell>
          <cell r="N1753" t="e">
            <v>#DIV/0!</v>
          </cell>
        </row>
        <row r="1754">
          <cell r="E1754" t="str">
            <v>HGC-Lib-2463421</v>
          </cell>
          <cell r="F1754" t="str">
            <v>BM448</v>
          </cell>
          <cell r="G1754">
            <v>4</v>
          </cell>
          <cell r="H1754" t="str">
            <v>全基因组文库</v>
          </cell>
          <cell r="J1754">
            <v>20.96</v>
          </cell>
          <cell r="N1754" t="e">
            <v>#DIV/0!</v>
          </cell>
        </row>
        <row r="1755">
          <cell r="E1755" t="str">
            <v>HGC-Lib-2463422</v>
          </cell>
          <cell r="F1755" t="str">
            <v>BM449</v>
          </cell>
          <cell r="G1755">
            <v>4</v>
          </cell>
          <cell r="H1755" t="str">
            <v>全基因组文库</v>
          </cell>
          <cell r="J1755">
            <v>37.14</v>
          </cell>
          <cell r="N1755" t="e">
            <v>#DIV/0!</v>
          </cell>
        </row>
        <row r="1756">
          <cell r="E1756" t="str">
            <v>HGC-Lib-2463423</v>
          </cell>
          <cell r="F1756" t="str">
            <v>BM450</v>
          </cell>
          <cell r="G1756">
            <v>4</v>
          </cell>
          <cell r="H1756" t="str">
            <v>全基因组文库</v>
          </cell>
          <cell r="J1756">
            <v>42.32</v>
          </cell>
          <cell r="N1756" t="e">
            <v>#DIV/0!</v>
          </cell>
        </row>
        <row r="1757">
          <cell r="E1757" t="str">
            <v>HGC-Lib-2463424</v>
          </cell>
          <cell r="F1757" t="str">
            <v>BM451</v>
          </cell>
          <cell r="G1757">
            <v>4</v>
          </cell>
          <cell r="H1757" t="str">
            <v>全基因组文库</v>
          </cell>
          <cell r="J1757">
            <v>38.56</v>
          </cell>
          <cell r="N1757" t="e">
            <v>#DIV/0!</v>
          </cell>
        </row>
        <row r="1758">
          <cell r="E1758" t="str">
            <v>HGC-Lib-2463425</v>
          </cell>
          <cell r="F1758" t="str">
            <v>BM452</v>
          </cell>
          <cell r="G1758">
            <v>4</v>
          </cell>
          <cell r="H1758" t="str">
            <v>全基因组文库</v>
          </cell>
          <cell r="J1758">
            <v>25.85</v>
          </cell>
          <cell r="N1758" t="e">
            <v>#DIV/0!</v>
          </cell>
        </row>
        <row r="1759">
          <cell r="E1759" t="str">
            <v>HGC-Lib-2463426</v>
          </cell>
          <cell r="F1759" t="str">
            <v>BM453</v>
          </cell>
          <cell r="G1759">
            <v>4</v>
          </cell>
          <cell r="H1759" t="str">
            <v>全基因组文库</v>
          </cell>
          <cell r="J1759">
            <v>35.54</v>
          </cell>
          <cell r="N1759" t="e">
            <v>#DIV/0!</v>
          </cell>
        </row>
        <row r="1760">
          <cell r="E1760" t="str">
            <v>HGC-Lib-2463427</v>
          </cell>
          <cell r="F1760" t="str">
            <v>BM454</v>
          </cell>
          <cell r="G1760">
            <v>4</v>
          </cell>
          <cell r="H1760" t="str">
            <v>全基因组文库</v>
          </cell>
          <cell r="J1760">
            <v>18.62</v>
          </cell>
          <cell r="N1760" t="e">
            <v>#DIV/0!</v>
          </cell>
        </row>
        <row r="1761">
          <cell r="E1761" t="str">
            <v>HGC-Lib-2463428</v>
          </cell>
          <cell r="F1761" t="str">
            <v>BM455</v>
          </cell>
          <cell r="G1761">
            <v>4</v>
          </cell>
          <cell r="H1761" t="str">
            <v>全基因组文库</v>
          </cell>
          <cell r="J1761">
            <v>25</v>
          </cell>
          <cell r="N1761" t="e">
            <v>#DIV/0!</v>
          </cell>
        </row>
        <row r="1762">
          <cell r="E1762" t="str">
            <v>HGC-Lib-2463429</v>
          </cell>
          <cell r="F1762" t="str">
            <v>BM456</v>
          </cell>
          <cell r="G1762">
            <v>4</v>
          </cell>
          <cell r="H1762" t="str">
            <v>全基因组文库</v>
          </cell>
          <cell r="J1762">
            <v>31.18</v>
          </cell>
          <cell r="N1762" t="e">
            <v>#DIV/0!</v>
          </cell>
        </row>
        <row r="1763">
          <cell r="E1763" t="str">
            <v>HGC-Lib-2463430</v>
          </cell>
          <cell r="F1763" t="str">
            <v>BM457</v>
          </cell>
          <cell r="G1763">
            <v>4</v>
          </cell>
          <cell r="H1763" t="str">
            <v>全基因组文库</v>
          </cell>
          <cell r="J1763">
            <v>25.7</v>
          </cell>
          <cell r="N1763" t="e">
            <v>#DIV/0!</v>
          </cell>
        </row>
        <row r="1764">
          <cell r="E1764" t="str">
            <v>HGC-Lib-2463431</v>
          </cell>
          <cell r="F1764" t="str">
            <v>BM458</v>
          </cell>
          <cell r="G1764">
            <v>4</v>
          </cell>
          <cell r="H1764" t="str">
            <v>全基因组文库</v>
          </cell>
          <cell r="J1764">
            <v>30.58</v>
          </cell>
          <cell r="N1764" t="e">
            <v>#DIV/0!</v>
          </cell>
        </row>
        <row r="1765">
          <cell r="E1765" t="str">
            <v>HGC-Lib-2463432</v>
          </cell>
          <cell r="F1765" t="str">
            <v>BM459</v>
          </cell>
          <cell r="G1765">
            <v>4</v>
          </cell>
          <cell r="H1765" t="str">
            <v>全基因组文库</v>
          </cell>
          <cell r="J1765">
            <v>29.44</v>
          </cell>
          <cell r="N1765" t="e">
            <v>#DIV/0!</v>
          </cell>
        </row>
        <row r="1766">
          <cell r="E1766" t="str">
            <v>HGC-Lib-2463433</v>
          </cell>
          <cell r="F1766" t="str">
            <v>BM460</v>
          </cell>
          <cell r="G1766">
            <v>4</v>
          </cell>
          <cell r="H1766" t="str">
            <v>全基因组文库</v>
          </cell>
          <cell r="J1766">
            <v>20.59</v>
          </cell>
          <cell r="N1766" t="e">
            <v>#DIV/0!</v>
          </cell>
        </row>
        <row r="1767">
          <cell r="E1767" t="str">
            <v>HGC-Lib-2463434</v>
          </cell>
          <cell r="F1767" t="str">
            <v>BM461</v>
          </cell>
          <cell r="G1767">
            <v>4</v>
          </cell>
          <cell r="H1767" t="str">
            <v>全基因组文库</v>
          </cell>
          <cell r="J1767">
            <v>26.82</v>
          </cell>
          <cell r="N1767" t="e">
            <v>#DIV/0!</v>
          </cell>
        </row>
        <row r="1768">
          <cell r="E1768" t="str">
            <v>HGC-Lib-2463435</v>
          </cell>
          <cell r="F1768" t="str">
            <v>BM462</v>
          </cell>
          <cell r="G1768">
            <v>4</v>
          </cell>
          <cell r="H1768" t="str">
            <v>全基因组文库</v>
          </cell>
          <cell r="J1768">
            <v>29.35</v>
          </cell>
          <cell r="N1768" t="e">
            <v>#DIV/0!</v>
          </cell>
        </row>
        <row r="1769">
          <cell r="E1769" t="str">
            <v>HGC-Lib-2463436</v>
          </cell>
          <cell r="F1769" t="str">
            <v>BM463</v>
          </cell>
          <cell r="G1769">
            <v>4</v>
          </cell>
          <cell r="H1769" t="str">
            <v>全基因组文库</v>
          </cell>
          <cell r="J1769">
            <v>22.14</v>
          </cell>
          <cell r="N1769" t="e">
            <v>#DIV/0!</v>
          </cell>
        </row>
        <row r="1770">
          <cell r="E1770" t="str">
            <v>HGC-Lib-2463437</v>
          </cell>
          <cell r="F1770" t="str">
            <v>BM464</v>
          </cell>
          <cell r="G1770">
            <v>4</v>
          </cell>
          <cell r="H1770" t="str">
            <v>全基因组文库</v>
          </cell>
          <cell r="J1770">
            <v>24.66</v>
          </cell>
          <cell r="N1770" t="e">
            <v>#DIV/0!</v>
          </cell>
        </row>
        <row r="1771">
          <cell r="E1771" t="str">
            <v>HGC-Lib-2463438</v>
          </cell>
          <cell r="F1771" t="str">
            <v>BM465</v>
          </cell>
          <cell r="G1771">
            <v>4</v>
          </cell>
          <cell r="H1771" t="str">
            <v>全基因组文库</v>
          </cell>
          <cell r="J1771">
            <v>25.79</v>
          </cell>
          <cell r="N1771" t="e">
            <v>#DIV/0!</v>
          </cell>
        </row>
        <row r="1772">
          <cell r="E1772" t="str">
            <v>HGC-Lib-2463439</v>
          </cell>
          <cell r="F1772" t="str">
            <v>BM466</v>
          </cell>
          <cell r="G1772">
            <v>4</v>
          </cell>
          <cell r="H1772" t="str">
            <v>全基因组文库</v>
          </cell>
          <cell r="J1772">
            <v>34.630000000000003</v>
          </cell>
          <cell r="N1772" t="e">
            <v>#DIV/0!</v>
          </cell>
        </row>
        <row r="1773">
          <cell r="E1773" t="str">
            <v>HGC-Lib-2463440</v>
          </cell>
          <cell r="F1773" t="str">
            <v>BM467</v>
          </cell>
          <cell r="G1773">
            <v>4</v>
          </cell>
          <cell r="H1773" t="str">
            <v>全基因组文库</v>
          </cell>
          <cell r="J1773">
            <v>37.770000000000003</v>
          </cell>
          <cell r="N1773" t="e">
            <v>#DIV/0!</v>
          </cell>
        </row>
        <row r="1774">
          <cell r="E1774" t="str">
            <v>HGC-Lib-2463441</v>
          </cell>
          <cell r="F1774" t="str">
            <v>BM468</v>
          </cell>
          <cell r="G1774">
            <v>4</v>
          </cell>
          <cell r="H1774" t="str">
            <v>全基因组文库</v>
          </cell>
          <cell r="J1774">
            <v>35.299999999999997</v>
          </cell>
          <cell r="N1774" t="e">
            <v>#DIV/0!</v>
          </cell>
        </row>
        <row r="1775">
          <cell r="E1775" t="str">
            <v>HGC-Lib-2463442</v>
          </cell>
          <cell r="F1775" t="str">
            <v>BM469</v>
          </cell>
          <cell r="G1775">
            <v>4</v>
          </cell>
          <cell r="H1775" t="str">
            <v>全基因组文库</v>
          </cell>
          <cell r="J1775">
            <v>34.26</v>
          </cell>
          <cell r="N1775" t="e">
            <v>#DIV/0!</v>
          </cell>
        </row>
        <row r="1776">
          <cell r="E1776" t="str">
            <v>HGC-Lib-2463443</v>
          </cell>
          <cell r="F1776" t="str">
            <v>BM481</v>
          </cell>
          <cell r="G1776">
            <v>4</v>
          </cell>
          <cell r="H1776" t="str">
            <v>全基因组文库</v>
          </cell>
          <cell r="J1776">
            <v>33.380000000000003</v>
          </cell>
          <cell r="N1776" t="e">
            <v>#DIV/0!</v>
          </cell>
        </row>
        <row r="1777">
          <cell r="E1777" t="str">
            <v>HGC-Lib-2463444</v>
          </cell>
          <cell r="F1777" t="str">
            <v>BM482</v>
          </cell>
          <cell r="G1777">
            <v>4</v>
          </cell>
          <cell r="H1777" t="str">
            <v>全基因组文库</v>
          </cell>
          <cell r="J1777">
            <v>18.05</v>
          </cell>
          <cell r="N1777" t="e">
            <v>#DIV/0!</v>
          </cell>
        </row>
        <row r="1778">
          <cell r="E1778" t="str">
            <v>HGC-Lib-2463445</v>
          </cell>
          <cell r="F1778" t="str">
            <v>BM483</v>
          </cell>
          <cell r="G1778">
            <v>4</v>
          </cell>
          <cell r="H1778" t="str">
            <v>全基因组文库</v>
          </cell>
          <cell r="J1778">
            <v>27.28</v>
          </cell>
          <cell r="N1778" t="e">
            <v>#DIV/0!</v>
          </cell>
        </row>
        <row r="1779">
          <cell r="E1779" t="str">
            <v>HGC-Lib-2463446</v>
          </cell>
          <cell r="F1779" t="str">
            <v>BM484</v>
          </cell>
          <cell r="G1779">
            <v>4</v>
          </cell>
          <cell r="H1779" t="str">
            <v>全基因组文库</v>
          </cell>
          <cell r="J1779">
            <v>33.71</v>
          </cell>
          <cell r="N1779" t="e">
            <v>#DIV/0!</v>
          </cell>
        </row>
        <row r="1780">
          <cell r="E1780" t="str">
            <v>HGC-Lib-2463447</v>
          </cell>
          <cell r="F1780" t="str">
            <v>BM485</v>
          </cell>
          <cell r="G1780">
            <v>4</v>
          </cell>
          <cell r="H1780" t="str">
            <v>全基因组文库</v>
          </cell>
          <cell r="J1780">
            <v>29.97</v>
          </cell>
          <cell r="N1780" t="e">
            <v>#DIV/0!</v>
          </cell>
        </row>
        <row r="1781">
          <cell r="E1781" t="str">
            <v>HGC-Lib-2463448</v>
          </cell>
          <cell r="F1781" t="str">
            <v>BM486</v>
          </cell>
          <cell r="G1781">
            <v>4</v>
          </cell>
          <cell r="H1781" t="str">
            <v>全基因组文库</v>
          </cell>
          <cell r="J1781">
            <v>32.44</v>
          </cell>
          <cell r="N1781" t="e">
            <v>#DIV/0!</v>
          </cell>
        </row>
        <row r="1782">
          <cell r="E1782" t="str">
            <v>HGC-Lib-2463449</v>
          </cell>
          <cell r="F1782" t="str">
            <v>BM487</v>
          </cell>
          <cell r="G1782">
            <v>4</v>
          </cell>
          <cell r="H1782" t="str">
            <v>全基因组文库</v>
          </cell>
          <cell r="J1782">
            <v>34.130000000000003</v>
          </cell>
          <cell r="N1782" t="e">
            <v>#DIV/0!</v>
          </cell>
        </row>
        <row r="1783">
          <cell r="E1783" t="str">
            <v>HGC-Lib-2463450</v>
          </cell>
          <cell r="F1783" t="str">
            <v>BM488</v>
          </cell>
          <cell r="G1783">
            <v>4</v>
          </cell>
          <cell r="H1783" t="str">
            <v>全基因组文库</v>
          </cell>
          <cell r="J1783">
            <v>24.7</v>
          </cell>
          <cell r="N1783" t="e">
            <v>#DIV/0!</v>
          </cell>
        </row>
        <row r="1784">
          <cell r="E1784" t="str">
            <v>HGC-Lib-2463451</v>
          </cell>
          <cell r="F1784" t="str">
            <v>BM489</v>
          </cell>
          <cell r="G1784">
            <v>4</v>
          </cell>
          <cell r="H1784" t="str">
            <v>全基因组文库</v>
          </cell>
          <cell r="J1784">
            <v>39.979999999999997</v>
          </cell>
          <cell r="N1784" t="e">
            <v>#DIV/0!</v>
          </cell>
        </row>
        <row r="1785">
          <cell r="E1785" t="str">
            <v>HGC-Lib-2463452</v>
          </cell>
          <cell r="F1785" t="str">
            <v>BM490</v>
          </cell>
          <cell r="G1785">
            <v>4</v>
          </cell>
          <cell r="H1785" t="str">
            <v>全基因组文库</v>
          </cell>
          <cell r="J1785">
            <v>34.520000000000003</v>
          </cell>
          <cell r="N1785" t="e">
            <v>#DIV/0!</v>
          </cell>
        </row>
        <row r="1786">
          <cell r="E1786" t="str">
            <v>HGC-Lib-2463453</v>
          </cell>
          <cell r="F1786" t="str">
            <v>BM491</v>
          </cell>
          <cell r="G1786">
            <v>4</v>
          </cell>
          <cell r="H1786" t="str">
            <v>全基因组文库</v>
          </cell>
          <cell r="J1786">
            <v>38.15</v>
          </cell>
          <cell r="N1786" t="e">
            <v>#DIV/0!</v>
          </cell>
        </row>
        <row r="1787">
          <cell r="E1787" t="str">
            <v>HGC-Lib-2463454</v>
          </cell>
          <cell r="F1787" t="str">
            <v>BM492</v>
          </cell>
          <cell r="G1787">
            <v>4</v>
          </cell>
          <cell r="H1787" t="str">
            <v>全基因组文库</v>
          </cell>
          <cell r="J1787">
            <v>23.72</v>
          </cell>
          <cell r="N1787" t="e">
            <v>#DIV/0!</v>
          </cell>
        </row>
        <row r="1788">
          <cell r="E1788" t="str">
            <v>HGC-Lib-2463455</v>
          </cell>
          <cell r="F1788" t="str">
            <v>BM493</v>
          </cell>
          <cell r="G1788">
            <v>4</v>
          </cell>
          <cell r="H1788" t="str">
            <v>全基因组文库</v>
          </cell>
          <cell r="J1788">
            <v>37.450000000000003</v>
          </cell>
          <cell r="N1788" t="e">
            <v>#DIV/0!</v>
          </cell>
        </row>
        <row r="1789">
          <cell r="E1789" t="str">
            <v>HGC-Lib-2463456</v>
          </cell>
          <cell r="F1789" t="str">
            <v>BM494</v>
          </cell>
          <cell r="G1789">
            <v>4</v>
          </cell>
          <cell r="H1789" t="str">
            <v>全基因组文库</v>
          </cell>
          <cell r="J1789">
            <v>45.57</v>
          </cell>
          <cell r="N1789" t="e">
            <v>#DIV/0!</v>
          </cell>
        </row>
        <row r="1790">
          <cell r="E1790" t="str">
            <v>HGC-Lib-2463457</v>
          </cell>
          <cell r="F1790" t="str">
            <v>BM495</v>
          </cell>
          <cell r="G1790">
            <v>4</v>
          </cell>
          <cell r="H1790" t="str">
            <v>全基因组文库</v>
          </cell>
          <cell r="J1790">
            <v>24.7</v>
          </cell>
          <cell r="N1790" t="e">
            <v>#DIV/0!</v>
          </cell>
        </row>
        <row r="1791">
          <cell r="E1791" t="str">
            <v>HGC-Lib-2463458</v>
          </cell>
          <cell r="F1791" t="str">
            <v>BM496</v>
          </cell>
          <cell r="G1791">
            <v>4</v>
          </cell>
          <cell r="H1791" t="str">
            <v>全基因组文库</v>
          </cell>
          <cell r="J1791">
            <v>39.33</v>
          </cell>
          <cell r="N1791" t="e">
            <v>#DIV/0!</v>
          </cell>
        </row>
        <row r="1792">
          <cell r="E1792" t="str">
            <v>HGC-Lib-2463459</v>
          </cell>
          <cell r="F1792" t="str">
            <v>BM497</v>
          </cell>
          <cell r="G1792">
            <v>4</v>
          </cell>
          <cell r="H1792" t="str">
            <v>全基因组文库</v>
          </cell>
          <cell r="J1792">
            <v>37.22</v>
          </cell>
          <cell r="N1792" t="e">
            <v>#DIV/0!</v>
          </cell>
        </row>
        <row r="1793">
          <cell r="E1793" t="str">
            <v>HGC-Lib-2463460</v>
          </cell>
          <cell r="F1793" t="str">
            <v>BM498</v>
          </cell>
          <cell r="G1793">
            <v>4</v>
          </cell>
          <cell r="H1793" t="str">
            <v>全基因组文库</v>
          </cell>
          <cell r="J1793">
            <v>38.26</v>
          </cell>
          <cell r="N1793" t="e">
            <v>#DIV/0!</v>
          </cell>
        </row>
        <row r="1794">
          <cell r="E1794" t="str">
            <v>HGC-Lib-2463461</v>
          </cell>
          <cell r="F1794" t="str">
            <v>BM499</v>
          </cell>
          <cell r="G1794">
            <v>4</v>
          </cell>
          <cell r="H1794" t="str">
            <v>全基因组文库</v>
          </cell>
          <cell r="J1794">
            <v>33.54</v>
          </cell>
          <cell r="N1794" t="e">
            <v>#DIV/0!</v>
          </cell>
        </row>
        <row r="1795">
          <cell r="E1795" t="str">
            <v>HGC-Lib-2463462</v>
          </cell>
          <cell r="F1795" t="str">
            <v>BM500</v>
          </cell>
          <cell r="G1795">
            <v>4</v>
          </cell>
          <cell r="H1795" t="str">
            <v>全基因组文库</v>
          </cell>
          <cell r="J1795">
            <v>38.29</v>
          </cell>
          <cell r="N1795" t="e">
            <v>#DIV/0!</v>
          </cell>
        </row>
        <row r="1796">
          <cell r="E1796" t="str">
            <v>HGC-Lib-2463463</v>
          </cell>
          <cell r="F1796" t="str">
            <v>BM501</v>
          </cell>
          <cell r="G1796">
            <v>4</v>
          </cell>
          <cell r="H1796" t="str">
            <v>全基因组文库</v>
          </cell>
          <cell r="J1796">
            <v>31.25</v>
          </cell>
          <cell r="N1796" t="e">
            <v>#DIV/0!</v>
          </cell>
        </row>
        <row r="1797">
          <cell r="E1797" t="str">
            <v>HGC-Lib-2463464</v>
          </cell>
          <cell r="F1797" t="str">
            <v>BM502</v>
          </cell>
          <cell r="G1797">
            <v>4</v>
          </cell>
          <cell r="H1797" t="str">
            <v>全基因组文库</v>
          </cell>
          <cell r="J1797">
            <v>31.62</v>
          </cell>
          <cell r="N1797" t="e">
            <v>#DIV/0!</v>
          </cell>
        </row>
        <row r="1798">
          <cell r="E1798" t="str">
            <v>HGC-Lib-2463465</v>
          </cell>
          <cell r="F1798" t="str">
            <v>BM503</v>
          </cell>
          <cell r="G1798">
            <v>4</v>
          </cell>
          <cell r="H1798" t="str">
            <v>全基因组文库</v>
          </cell>
          <cell r="J1798">
            <v>37.57</v>
          </cell>
          <cell r="N1798" t="e">
            <v>#DIV/0!</v>
          </cell>
        </row>
        <row r="1799">
          <cell r="E1799" t="str">
            <v>HGC-Lib-2463466</v>
          </cell>
          <cell r="F1799" t="str">
            <v>BM504</v>
          </cell>
          <cell r="G1799">
            <v>4</v>
          </cell>
          <cell r="H1799" t="str">
            <v>全基因组文库</v>
          </cell>
          <cell r="J1799">
            <v>35.78</v>
          </cell>
          <cell r="N1799" t="e">
            <v>#DIV/0!</v>
          </cell>
        </row>
        <row r="1800">
          <cell r="E1800" t="str">
            <v>HGC-Lib-2463467</v>
          </cell>
          <cell r="F1800" t="str">
            <v>BM505</v>
          </cell>
          <cell r="G1800">
            <v>4</v>
          </cell>
          <cell r="H1800" t="str">
            <v>全基因组文库</v>
          </cell>
          <cell r="J1800">
            <v>37.619999999999997</v>
          </cell>
          <cell r="N1800" t="e">
            <v>#DIV/0!</v>
          </cell>
        </row>
        <row r="1801">
          <cell r="E1801" t="str">
            <v>HGC-Lib-2463468</v>
          </cell>
          <cell r="F1801" t="str">
            <v>BM506</v>
          </cell>
          <cell r="G1801">
            <v>4</v>
          </cell>
          <cell r="H1801" t="str">
            <v>全基因组文库</v>
          </cell>
          <cell r="J1801">
            <v>37.1</v>
          </cell>
          <cell r="N1801" t="e">
            <v>#DIV/0!</v>
          </cell>
        </row>
        <row r="1802">
          <cell r="E1802" t="str">
            <v>HGC-Lib-2463469</v>
          </cell>
          <cell r="F1802" t="str">
            <v>BM507</v>
          </cell>
          <cell r="G1802">
            <v>4</v>
          </cell>
          <cell r="H1802" t="str">
            <v>全基因组文库</v>
          </cell>
          <cell r="J1802">
            <v>36.700000000000003</v>
          </cell>
          <cell r="N1802" t="e">
            <v>#DIV/0!</v>
          </cell>
        </row>
        <row r="1803">
          <cell r="E1803" t="str">
            <v>HGC-Lib-2463470</v>
          </cell>
          <cell r="F1803" t="str">
            <v>BM508</v>
          </cell>
          <cell r="G1803">
            <v>4</v>
          </cell>
          <cell r="H1803" t="str">
            <v>全基因组文库</v>
          </cell>
          <cell r="J1803">
            <v>32.56</v>
          </cell>
          <cell r="N1803" t="e">
            <v>#DIV/0!</v>
          </cell>
        </row>
        <row r="1804">
          <cell r="E1804" t="str">
            <v>HGC-Lib-2463471</v>
          </cell>
          <cell r="F1804" t="str">
            <v>BM510</v>
          </cell>
          <cell r="G1804">
            <v>4</v>
          </cell>
          <cell r="H1804" t="str">
            <v>全基因组文库</v>
          </cell>
          <cell r="J1804">
            <v>35.71</v>
          </cell>
          <cell r="N1804" t="e">
            <v>#DIV/0!</v>
          </cell>
        </row>
        <row r="1805">
          <cell r="E1805" t="str">
            <v>HGC-Lib-2463472</v>
          </cell>
          <cell r="F1805" t="str">
            <v>BM511</v>
          </cell>
          <cell r="G1805">
            <v>4</v>
          </cell>
          <cell r="H1805" t="str">
            <v>全基因组文库</v>
          </cell>
          <cell r="J1805">
            <v>26.77</v>
          </cell>
          <cell r="N1805" t="e">
            <v>#DIV/0!</v>
          </cell>
        </row>
        <row r="1806">
          <cell r="E1806" t="str">
            <v>HGC-Lib-2463473</v>
          </cell>
          <cell r="F1806" t="str">
            <v>BM512</v>
          </cell>
          <cell r="G1806">
            <v>4</v>
          </cell>
          <cell r="H1806" t="str">
            <v>全基因组文库</v>
          </cell>
          <cell r="J1806">
            <v>32.130000000000003</v>
          </cell>
          <cell r="N1806" t="e">
            <v>#DIV/0!</v>
          </cell>
        </row>
        <row r="1807">
          <cell r="E1807" t="str">
            <v>HGC-Lib-2463474</v>
          </cell>
          <cell r="F1807" t="str">
            <v>BM513</v>
          </cell>
          <cell r="G1807">
            <v>4</v>
          </cell>
          <cell r="H1807" t="str">
            <v>全基因组文库</v>
          </cell>
          <cell r="J1807">
            <v>35.24</v>
          </cell>
          <cell r="N1807" t="e">
            <v>#DIV/0!</v>
          </cell>
        </row>
        <row r="1808">
          <cell r="E1808" t="str">
            <v>HGC-Lib-2463475</v>
          </cell>
          <cell r="F1808" t="str">
            <v>BM514</v>
          </cell>
          <cell r="G1808">
            <v>4</v>
          </cell>
          <cell r="H1808" t="str">
            <v>全基因组文库</v>
          </cell>
          <cell r="J1808">
            <v>38.71</v>
          </cell>
          <cell r="N1808" t="e">
            <v>#DIV/0!</v>
          </cell>
        </row>
        <row r="1809">
          <cell r="E1809" t="str">
            <v>HGC-Lib-2463476</v>
          </cell>
          <cell r="F1809" t="str">
            <v>BM515</v>
          </cell>
          <cell r="G1809">
            <v>4</v>
          </cell>
          <cell r="H1809" t="str">
            <v>全基因组文库</v>
          </cell>
          <cell r="J1809">
            <v>37.53</v>
          </cell>
          <cell r="N1809" t="e">
            <v>#DIV/0!</v>
          </cell>
        </row>
        <row r="1810">
          <cell r="E1810" t="str">
            <v>HGC-Lib-2463477</v>
          </cell>
          <cell r="F1810" t="str">
            <v>BM516</v>
          </cell>
          <cell r="G1810">
            <v>4</v>
          </cell>
          <cell r="H1810" t="str">
            <v>全基因组文库</v>
          </cell>
          <cell r="J1810">
            <v>30.71</v>
          </cell>
          <cell r="N1810" t="e">
            <v>#DIV/0!</v>
          </cell>
        </row>
        <row r="1811">
          <cell r="E1811" t="str">
            <v>HGC-Lib-2463478</v>
          </cell>
          <cell r="F1811" t="str">
            <v>BM517</v>
          </cell>
          <cell r="G1811">
            <v>4</v>
          </cell>
          <cell r="H1811" t="str">
            <v>全基因组文库</v>
          </cell>
          <cell r="J1811">
            <v>31.7</v>
          </cell>
          <cell r="N1811" t="e">
            <v>#DIV/0!</v>
          </cell>
        </row>
        <row r="1812">
          <cell r="E1812" t="str">
            <v>HGC-Lib-2463479</v>
          </cell>
          <cell r="F1812" t="str">
            <v>BM518</v>
          </cell>
          <cell r="G1812">
            <v>4</v>
          </cell>
          <cell r="H1812" t="str">
            <v>全基因组文库</v>
          </cell>
          <cell r="J1812">
            <v>39.58</v>
          </cell>
          <cell r="N1812" t="e">
            <v>#DIV/0!</v>
          </cell>
        </row>
        <row r="1813">
          <cell r="E1813" t="str">
            <v>HGC-Lib-2463480</v>
          </cell>
          <cell r="F1813" t="str">
            <v>BM519</v>
          </cell>
          <cell r="G1813">
            <v>4</v>
          </cell>
          <cell r="H1813" t="str">
            <v>全基因组文库</v>
          </cell>
          <cell r="J1813">
            <v>38.57</v>
          </cell>
          <cell r="N1813" t="e">
            <v>#DIV/0!</v>
          </cell>
        </row>
        <row r="1814">
          <cell r="E1814" t="str">
            <v>HGC-Lib-2463481</v>
          </cell>
          <cell r="F1814" t="str">
            <v>BM520</v>
          </cell>
          <cell r="G1814">
            <v>4</v>
          </cell>
          <cell r="H1814" t="str">
            <v>全基因组文库</v>
          </cell>
          <cell r="J1814">
            <v>24.91</v>
          </cell>
          <cell r="N1814" t="e">
            <v>#DIV/0!</v>
          </cell>
        </row>
        <row r="1815">
          <cell r="E1815" t="str">
            <v>HGC-Lib-2463482</v>
          </cell>
          <cell r="F1815" t="str">
            <v>BM521</v>
          </cell>
          <cell r="G1815">
            <v>4</v>
          </cell>
          <cell r="H1815" t="str">
            <v>全基因组文库</v>
          </cell>
          <cell r="J1815">
            <v>32.08</v>
          </cell>
          <cell r="N1815" t="e">
            <v>#DIV/0!</v>
          </cell>
        </row>
        <row r="1816">
          <cell r="E1816" t="str">
            <v>HGC-Lib-2463483</v>
          </cell>
          <cell r="F1816" t="str">
            <v>BM522</v>
          </cell>
          <cell r="G1816">
            <v>4</v>
          </cell>
          <cell r="H1816" t="str">
            <v>全基因组文库</v>
          </cell>
          <cell r="J1816">
            <v>14.21</v>
          </cell>
          <cell r="N1816" t="e">
            <v>#DIV/0!</v>
          </cell>
        </row>
        <row r="1817">
          <cell r="E1817" t="str">
            <v>HGC-Lib-2463484</v>
          </cell>
          <cell r="F1817" t="str">
            <v>BM524</v>
          </cell>
          <cell r="G1817">
            <v>4</v>
          </cell>
          <cell r="H1817" t="str">
            <v>全基因组文库</v>
          </cell>
          <cell r="J1817">
            <v>14.89</v>
          </cell>
          <cell r="N1817" t="e">
            <v>#DIV/0!</v>
          </cell>
        </row>
        <row r="1818">
          <cell r="E1818" t="str">
            <v>HGC-Lib-2463485</v>
          </cell>
          <cell r="F1818" t="str">
            <v>BM525</v>
          </cell>
          <cell r="G1818">
            <v>4</v>
          </cell>
          <cell r="H1818" t="str">
            <v>全基因组文库</v>
          </cell>
          <cell r="J1818">
            <v>20</v>
          </cell>
          <cell r="N1818" t="e">
            <v>#DIV/0!</v>
          </cell>
        </row>
        <row r="1819">
          <cell r="E1819" t="str">
            <v>HGC-Lib-2463486</v>
          </cell>
          <cell r="F1819" t="str">
            <v>BM526</v>
          </cell>
          <cell r="G1819">
            <v>4</v>
          </cell>
          <cell r="H1819" t="str">
            <v>全基因组文库</v>
          </cell>
          <cell r="J1819">
            <v>37.32</v>
          </cell>
          <cell r="N1819" t="e">
            <v>#DIV/0!</v>
          </cell>
        </row>
        <row r="1820">
          <cell r="E1820" t="str">
            <v>HGC-Lib-2463487</v>
          </cell>
          <cell r="F1820" t="str">
            <v>BM527</v>
          </cell>
          <cell r="G1820">
            <v>4</v>
          </cell>
          <cell r="H1820" t="str">
            <v>全基因组文库</v>
          </cell>
          <cell r="J1820">
            <v>35.96</v>
          </cell>
          <cell r="N1820" t="e">
            <v>#DIV/0!</v>
          </cell>
        </row>
        <row r="1821">
          <cell r="E1821" t="str">
            <v>HGC-Lib-2463488</v>
          </cell>
          <cell r="F1821" t="str">
            <v>BM528</v>
          </cell>
          <cell r="G1821">
            <v>4</v>
          </cell>
          <cell r="H1821" t="str">
            <v>全基因组文库</v>
          </cell>
          <cell r="J1821">
            <v>25.41</v>
          </cell>
          <cell r="N1821" t="e">
            <v>#DIV/0!</v>
          </cell>
        </row>
        <row r="1822">
          <cell r="E1822" t="str">
            <v>HGC-Lib-2463489</v>
          </cell>
          <cell r="F1822" t="str">
            <v>BM529</v>
          </cell>
          <cell r="G1822">
            <v>4</v>
          </cell>
          <cell r="H1822" t="str">
            <v>全基因组文库</v>
          </cell>
          <cell r="J1822">
            <v>24.67</v>
          </cell>
          <cell r="N1822" t="e">
            <v>#DIV/0!</v>
          </cell>
        </row>
        <row r="1823">
          <cell r="E1823" t="str">
            <v>HGC-Lib-2463490</v>
          </cell>
          <cell r="F1823" t="str">
            <v>BM530</v>
          </cell>
          <cell r="G1823">
            <v>4</v>
          </cell>
          <cell r="H1823" t="str">
            <v>全基因组文库</v>
          </cell>
          <cell r="J1823">
            <v>36.08</v>
          </cell>
          <cell r="N1823" t="e">
            <v>#DIV/0!</v>
          </cell>
        </row>
        <row r="1824">
          <cell r="E1824" t="str">
            <v>HGC-Lib-2463491</v>
          </cell>
          <cell r="F1824" t="str">
            <v>BM531</v>
          </cell>
          <cell r="G1824">
            <v>4</v>
          </cell>
          <cell r="H1824" t="str">
            <v>全基因组文库</v>
          </cell>
          <cell r="J1824">
            <v>32.619999999999997</v>
          </cell>
          <cell r="N1824" t="e">
            <v>#DIV/0!</v>
          </cell>
        </row>
        <row r="1825">
          <cell r="E1825" t="str">
            <v>HGC-Lib-2463492</v>
          </cell>
          <cell r="F1825" t="str">
            <v>BM532</v>
          </cell>
          <cell r="G1825">
            <v>4</v>
          </cell>
          <cell r="H1825" t="str">
            <v>全基因组文库</v>
          </cell>
          <cell r="J1825">
            <v>36.19</v>
          </cell>
          <cell r="N1825" t="e">
            <v>#DIV/0!</v>
          </cell>
        </row>
        <row r="1826">
          <cell r="E1826" t="str">
            <v>HGC-Lib-2463493</v>
          </cell>
          <cell r="F1826" t="str">
            <v>BM533</v>
          </cell>
          <cell r="G1826">
            <v>4</v>
          </cell>
          <cell r="H1826" t="str">
            <v>全基因组文库</v>
          </cell>
          <cell r="J1826">
            <v>22.3</v>
          </cell>
          <cell r="N1826" t="e">
            <v>#DIV/0!</v>
          </cell>
        </row>
        <row r="1827">
          <cell r="E1827" t="str">
            <v>HGC-Lib-2463494</v>
          </cell>
          <cell r="F1827" t="str">
            <v>BM534</v>
          </cell>
          <cell r="G1827">
            <v>4</v>
          </cell>
          <cell r="H1827" t="str">
            <v>全基因组文库</v>
          </cell>
          <cell r="J1827">
            <v>27.29</v>
          </cell>
          <cell r="N1827" t="e">
            <v>#DIV/0!</v>
          </cell>
        </row>
        <row r="1828">
          <cell r="E1828" t="str">
            <v>HGC-Lib-2463495</v>
          </cell>
          <cell r="F1828" t="str">
            <v>BM535</v>
          </cell>
          <cell r="G1828">
            <v>4</v>
          </cell>
          <cell r="H1828" t="str">
            <v>全基因组文库</v>
          </cell>
          <cell r="J1828">
            <v>32.97</v>
          </cell>
          <cell r="N1828" t="e">
            <v>#DIV/0!</v>
          </cell>
        </row>
        <row r="1829">
          <cell r="E1829" t="str">
            <v>HGC-Lib-2463496</v>
          </cell>
          <cell r="F1829" t="str">
            <v>BM536</v>
          </cell>
          <cell r="G1829">
            <v>4</v>
          </cell>
          <cell r="H1829" t="str">
            <v>全基因组文库</v>
          </cell>
          <cell r="J1829">
            <v>35.79</v>
          </cell>
          <cell r="N1829" t="e">
            <v>#DIV/0!</v>
          </cell>
        </row>
        <row r="1830">
          <cell r="E1830" t="str">
            <v>HGC-Lib-2463497</v>
          </cell>
          <cell r="F1830" t="str">
            <v>BM538</v>
          </cell>
          <cell r="G1830">
            <v>4</v>
          </cell>
          <cell r="H1830" t="str">
            <v>全基因组文库</v>
          </cell>
          <cell r="J1830">
            <v>43.63</v>
          </cell>
          <cell r="N1830" t="e">
            <v>#DIV/0!</v>
          </cell>
        </row>
        <row r="1831">
          <cell r="E1831" t="str">
            <v>HGC-Lib-2463498</v>
          </cell>
          <cell r="F1831" t="str">
            <v>BM539</v>
          </cell>
          <cell r="G1831">
            <v>4</v>
          </cell>
          <cell r="H1831" t="str">
            <v>全基因组文库</v>
          </cell>
          <cell r="J1831">
            <v>33.54</v>
          </cell>
          <cell r="N1831" t="e">
            <v>#DIV/0!</v>
          </cell>
        </row>
        <row r="1832">
          <cell r="E1832" t="str">
            <v>HGC-Lib-2463499</v>
          </cell>
          <cell r="F1832" t="str">
            <v>BM540</v>
          </cell>
          <cell r="G1832">
            <v>4</v>
          </cell>
          <cell r="H1832" t="str">
            <v>全基因组文库</v>
          </cell>
          <cell r="J1832">
            <v>37.61</v>
          </cell>
          <cell r="N1832" t="e">
            <v>#DIV/0!</v>
          </cell>
        </row>
        <row r="1833">
          <cell r="E1833" t="str">
            <v>HGC-Lib-2463500</v>
          </cell>
          <cell r="F1833" t="str">
            <v>BM541</v>
          </cell>
          <cell r="G1833">
            <v>4</v>
          </cell>
          <cell r="H1833" t="str">
            <v>全基因组文库</v>
          </cell>
          <cell r="J1833">
            <v>39.81</v>
          </cell>
          <cell r="N1833" t="e">
            <v>#DIV/0!</v>
          </cell>
        </row>
        <row r="1834">
          <cell r="E1834" t="str">
            <v>HGC-Lib-2463501</v>
          </cell>
          <cell r="F1834" t="str">
            <v>BM542</v>
          </cell>
          <cell r="G1834">
            <v>4</v>
          </cell>
          <cell r="H1834" t="str">
            <v>全基因组文库</v>
          </cell>
          <cell r="J1834">
            <v>39.99</v>
          </cell>
          <cell r="N1834" t="e">
            <v>#DIV/0!</v>
          </cell>
        </row>
        <row r="1835">
          <cell r="E1835" t="str">
            <v>HGC-Lib-2463502</v>
          </cell>
          <cell r="F1835" t="str">
            <v>BM543</v>
          </cell>
          <cell r="G1835">
            <v>4</v>
          </cell>
          <cell r="H1835" t="str">
            <v>全基因组文库</v>
          </cell>
          <cell r="J1835">
            <v>46.63</v>
          </cell>
          <cell r="N1835" t="e">
            <v>#DIV/0!</v>
          </cell>
        </row>
        <row r="1836">
          <cell r="E1836" t="str">
            <v>HGC-Lib-2463503</v>
          </cell>
          <cell r="F1836" t="str">
            <v>BM544</v>
          </cell>
          <cell r="G1836">
            <v>4</v>
          </cell>
          <cell r="H1836" t="str">
            <v>全基因组文库</v>
          </cell>
          <cell r="J1836">
            <v>21.68</v>
          </cell>
          <cell r="N1836" t="e">
            <v>#DIV/0!</v>
          </cell>
        </row>
        <row r="1837">
          <cell r="E1837" t="str">
            <v>HGC-Lib-2463504</v>
          </cell>
          <cell r="F1837" t="str">
            <v>BM545</v>
          </cell>
          <cell r="G1837">
            <v>4</v>
          </cell>
          <cell r="H1837" t="str">
            <v>全基因组文库</v>
          </cell>
          <cell r="J1837">
            <v>25.15</v>
          </cell>
          <cell r="N1837" t="e">
            <v>#DIV/0!</v>
          </cell>
        </row>
        <row r="1838">
          <cell r="E1838" t="str">
            <v>HGC-Lib-2463505</v>
          </cell>
          <cell r="F1838" t="str">
            <v>BM546</v>
          </cell>
          <cell r="G1838">
            <v>4</v>
          </cell>
          <cell r="H1838" t="str">
            <v>全基因组文库</v>
          </cell>
          <cell r="J1838">
            <v>22.78</v>
          </cell>
          <cell r="N1838" t="e">
            <v>#DIV/0!</v>
          </cell>
        </row>
        <row r="1839">
          <cell r="E1839" t="str">
            <v>HGC-Lib-2463506</v>
          </cell>
          <cell r="F1839" t="str">
            <v>BM547</v>
          </cell>
          <cell r="G1839">
            <v>4</v>
          </cell>
          <cell r="H1839" t="str">
            <v>全基因组文库</v>
          </cell>
          <cell r="J1839">
            <v>25.05</v>
          </cell>
          <cell r="N1839" t="e">
            <v>#DIV/0!</v>
          </cell>
        </row>
        <row r="1840">
          <cell r="E1840" t="str">
            <v>HGC-Lib-2463507</v>
          </cell>
          <cell r="F1840" t="str">
            <v>BM548</v>
          </cell>
          <cell r="G1840">
            <v>4</v>
          </cell>
          <cell r="H1840" t="str">
            <v>全基因组文库</v>
          </cell>
          <cell r="J1840">
            <v>29.63</v>
          </cell>
          <cell r="N1840" t="e">
            <v>#DIV/0!</v>
          </cell>
        </row>
        <row r="1841">
          <cell r="E1841" t="str">
            <v>HGC-Lib-2463508</v>
          </cell>
          <cell r="F1841" t="str">
            <v>BM549</v>
          </cell>
          <cell r="G1841">
            <v>4</v>
          </cell>
          <cell r="H1841" t="str">
            <v>全基因组文库</v>
          </cell>
          <cell r="J1841">
            <v>36.49</v>
          </cell>
          <cell r="N1841" t="e">
            <v>#DIV/0!</v>
          </cell>
        </row>
        <row r="1842">
          <cell r="E1842" t="str">
            <v>HGC-Lib-2463509</v>
          </cell>
          <cell r="F1842" t="str">
            <v>BM550</v>
          </cell>
          <cell r="G1842">
            <v>4</v>
          </cell>
          <cell r="H1842" t="str">
            <v>全基因组文库</v>
          </cell>
          <cell r="J1842">
            <v>33.01</v>
          </cell>
          <cell r="N1842" t="e">
            <v>#DIV/0!</v>
          </cell>
        </row>
        <row r="1843">
          <cell r="E1843" t="str">
            <v>HGC-Lib-2463510</v>
          </cell>
          <cell r="F1843" t="str">
            <v>BM551</v>
          </cell>
          <cell r="G1843">
            <v>4</v>
          </cell>
          <cell r="H1843" t="str">
            <v>全基因组文库</v>
          </cell>
          <cell r="J1843">
            <v>19.579999999999998</v>
          </cell>
          <cell r="N1843" t="e">
            <v>#DIV/0!</v>
          </cell>
        </row>
        <row r="1844">
          <cell r="E1844" t="str">
            <v>HGC-Lib-2463511</v>
          </cell>
          <cell r="F1844" t="str">
            <v>BM552</v>
          </cell>
          <cell r="G1844">
            <v>4</v>
          </cell>
          <cell r="H1844" t="str">
            <v>全基因组文库</v>
          </cell>
          <cell r="J1844">
            <v>39.31</v>
          </cell>
          <cell r="N1844" t="e">
            <v>#DIV/0!</v>
          </cell>
        </row>
        <row r="1845">
          <cell r="E1845" t="str">
            <v>HGC-Lib-2463512</v>
          </cell>
          <cell r="F1845" t="str">
            <v>BM553</v>
          </cell>
          <cell r="G1845">
            <v>4</v>
          </cell>
          <cell r="H1845" t="str">
            <v>全基因组文库</v>
          </cell>
          <cell r="J1845">
            <v>30.45</v>
          </cell>
          <cell r="N1845" t="e">
            <v>#DIV/0!</v>
          </cell>
        </row>
        <row r="1846">
          <cell r="E1846" t="str">
            <v>HGC-Lib-2463513</v>
          </cell>
          <cell r="F1846" t="str">
            <v>BM554</v>
          </cell>
          <cell r="G1846">
            <v>4</v>
          </cell>
          <cell r="H1846" t="str">
            <v>全基因组文库</v>
          </cell>
          <cell r="J1846">
            <v>11.19</v>
          </cell>
          <cell r="N1846" t="e">
            <v>#DIV/0!</v>
          </cell>
        </row>
        <row r="1847">
          <cell r="E1847" t="str">
            <v>HGC-Lib-2463514</v>
          </cell>
          <cell r="F1847" t="str">
            <v>BM555</v>
          </cell>
          <cell r="G1847">
            <v>4</v>
          </cell>
          <cell r="H1847" t="str">
            <v>全基因组文库</v>
          </cell>
          <cell r="J1847">
            <v>29.76</v>
          </cell>
          <cell r="N1847" t="e">
            <v>#DIV/0!</v>
          </cell>
        </row>
        <row r="1848">
          <cell r="E1848" t="str">
            <v>HGC-Lib-2463515</v>
          </cell>
          <cell r="F1848" t="str">
            <v>BM556</v>
          </cell>
          <cell r="G1848">
            <v>4</v>
          </cell>
          <cell r="H1848" t="str">
            <v>全基因组文库</v>
          </cell>
          <cell r="J1848">
            <v>42.46</v>
          </cell>
          <cell r="N1848" t="e">
            <v>#DIV/0!</v>
          </cell>
        </row>
        <row r="1849">
          <cell r="E1849" t="str">
            <v>HGC-Lib-2463516</v>
          </cell>
          <cell r="F1849" t="str">
            <v>BM557</v>
          </cell>
          <cell r="G1849">
            <v>4</v>
          </cell>
          <cell r="H1849" t="str">
            <v>全基因组文库</v>
          </cell>
          <cell r="J1849">
            <v>22.98</v>
          </cell>
          <cell r="N1849" t="e">
            <v>#DIV/0!</v>
          </cell>
        </row>
        <row r="1850">
          <cell r="E1850" t="str">
            <v>HGC-Lib-2463517</v>
          </cell>
          <cell r="F1850" t="str">
            <v>BM558</v>
          </cell>
          <cell r="G1850">
            <v>4</v>
          </cell>
          <cell r="H1850" t="str">
            <v>全基因组文库</v>
          </cell>
          <cell r="J1850">
            <v>38.770000000000003</v>
          </cell>
          <cell r="N1850" t="e">
            <v>#DIV/0!</v>
          </cell>
        </row>
        <row r="1851">
          <cell r="E1851" t="str">
            <v>HGC-Lib-2463518</v>
          </cell>
          <cell r="F1851" t="str">
            <v>BM559</v>
          </cell>
          <cell r="G1851">
            <v>4</v>
          </cell>
          <cell r="H1851" t="str">
            <v>全基因组文库</v>
          </cell>
          <cell r="J1851">
            <v>30.28</v>
          </cell>
          <cell r="N1851" t="e">
            <v>#DIV/0!</v>
          </cell>
        </row>
        <row r="1852">
          <cell r="E1852" t="str">
            <v>HGC-Lib-2463519</v>
          </cell>
          <cell r="F1852" t="str">
            <v>BM561</v>
          </cell>
          <cell r="G1852">
            <v>4</v>
          </cell>
          <cell r="H1852" t="str">
            <v>全基因组文库</v>
          </cell>
          <cell r="J1852">
            <v>29.13</v>
          </cell>
          <cell r="N1852" t="e">
            <v>#DIV/0!</v>
          </cell>
        </row>
        <row r="1853">
          <cell r="E1853" t="str">
            <v>HGC-Lib-2463520</v>
          </cell>
          <cell r="F1853" t="str">
            <v>BM562</v>
          </cell>
          <cell r="G1853">
            <v>4</v>
          </cell>
          <cell r="H1853" t="str">
            <v>全基因组文库</v>
          </cell>
          <cell r="J1853">
            <v>26.36</v>
          </cell>
          <cell r="N1853" t="e">
            <v>#DIV/0!</v>
          </cell>
        </row>
        <row r="1854">
          <cell r="E1854" t="str">
            <v>HGC-Lib-2463521</v>
          </cell>
          <cell r="F1854" t="str">
            <v>BM563</v>
          </cell>
          <cell r="G1854">
            <v>4</v>
          </cell>
          <cell r="H1854" t="str">
            <v>全基因组文库</v>
          </cell>
          <cell r="J1854">
            <v>15.34</v>
          </cell>
          <cell r="N1854" t="e">
            <v>#DIV/0!</v>
          </cell>
        </row>
        <row r="1855">
          <cell r="E1855" t="str">
            <v>HGC-Lib-2463522</v>
          </cell>
          <cell r="F1855" t="str">
            <v>BM564</v>
          </cell>
          <cell r="G1855">
            <v>4</v>
          </cell>
          <cell r="H1855" t="str">
            <v>全基因组文库</v>
          </cell>
          <cell r="J1855">
            <v>20.61</v>
          </cell>
          <cell r="N1855" t="e">
            <v>#DIV/0!</v>
          </cell>
        </row>
        <row r="1856">
          <cell r="E1856" t="str">
            <v>HGC-Lib-2463523</v>
          </cell>
          <cell r="F1856" t="str">
            <v>BM565</v>
          </cell>
          <cell r="G1856">
            <v>4</v>
          </cell>
          <cell r="H1856" t="str">
            <v>全基因组文库</v>
          </cell>
          <cell r="J1856">
            <v>31.73</v>
          </cell>
          <cell r="N1856" t="e">
            <v>#DIV/0!</v>
          </cell>
        </row>
        <row r="1857">
          <cell r="E1857" t="str">
            <v>HGC-Lib-2463524</v>
          </cell>
          <cell r="F1857" t="str">
            <v>BM566</v>
          </cell>
          <cell r="G1857">
            <v>4</v>
          </cell>
          <cell r="H1857" t="str">
            <v>全基因组文库</v>
          </cell>
          <cell r="J1857">
            <v>36.1</v>
          </cell>
          <cell r="N1857" t="e">
            <v>#DIV/0!</v>
          </cell>
        </row>
        <row r="1858">
          <cell r="E1858" t="str">
            <v>HGC-Lib-2463525</v>
          </cell>
          <cell r="F1858" t="str">
            <v>BM567</v>
          </cell>
          <cell r="G1858">
            <v>4</v>
          </cell>
          <cell r="H1858" t="str">
            <v>全基因组文库</v>
          </cell>
          <cell r="J1858">
            <v>29.88</v>
          </cell>
          <cell r="N1858" t="e">
            <v>#DIV/0!</v>
          </cell>
        </row>
        <row r="1859">
          <cell r="E1859" t="str">
            <v>HGC-Lib-2463526</v>
          </cell>
          <cell r="F1859" t="str">
            <v>BM569</v>
          </cell>
          <cell r="G1859">
            <v>4</v>
          </cell>
          <cell r="H1859" t="str">
            <v>全基因组文库</v>
          </cell>
          <cell r="J1859">
            <v>26.85</v>
          </cell>
          <cell r="N1859" t="e">
            <v>#DIV/0!</v>
          </cell>
        </row>
        <row r="1860">
          <cell r="E1860" t="str">
            <v>HGC-Lib-2463527</v>
          </cell>
          <cell r="F1860" t="str">
            <v>BM570</v>
          </cell>
          <cell r="G1860">
            <v>4</v>
          </cell>
          <cell r="H1860" t="str">
            <v>全基因组文库</v>
          </cell>
          <cell r="J1860">
            <v>12.91</v>
          </cell>
          <cell r="N1860" t="e">
            <v>#DIV/0!</v>
          </cell>
        </row>
        <row r="1861">
          <cell r="E1861" t="str">
            <v>HGC-Lib-2463528</v>
          </cell>
          <cell r="F1861" t="str">
            <v>BM571</v>
          </cell>
          <cell r="G1861">
            <v>4</v>
          </cell>
          <cell r="H1861" t="str">
            <v>全基因组文库</v>
          </cell>
          <cell r="J1861">
            <v>18.8</v>
          </cell>
          <cell r="N1861" t="e">
            <v>#DIV/0!</v>
          </cell>
        </row>
        <row r="1862">
          <cell r="E1862" t="str">
            <v>HGC-Lib-2463529</v>
          </cell>
          <cell r="F1862" t="str">
            <v>BM572</v>
          </cell>
          <cell r="G1862">
            <v>4</v>
          </cell>
          <cell r="H1862" t="str">
            <v>全基因组文库</v>
          </cell>
          <cell r="J1862">
            <v>22.84</v>
          </cell>
          <cell r="N1862" t="e">
            <v>#DIV/0!</v>
          </cell>
        </row>
        <row r="1863">
          <cell r="E1863" t="str">
            <v>HGC-Lib-2463530</v>
          </cell>
          <cell r="F1863" t="str">
            <v>BM573</v>
          </cell>
          <cell r="G1863">
            <v>4</v>
          </cell>
          <cell r="H1863" t="str">
            <v>全基因组文库</v>
          </cell>
          <cell r="J1863">
            <v>20.61</v>
          </cell>
          <cell r="N1863" t="e">
            <v>#DIV/0!</v>
          </cell>
        </row>
        <row r="1864">
          <cell r="E1864" t="str">
            <v>HGC-Lib-2463531</v>
          </cell>
          <cell r="F1864" t="str">
            <v>BM574</v>
          </cell>
          <cell r="G1864">
            <v>4</v>
          </cell>
          <cell r="H1864" t="str">
            <v>全基因组文库</v>
          </cell>
          <cell r="J1864">
            <v>16.829999999999998</v>
          </cell>
          <cell r="N1864" t="e">
            <v>#DIV/0!</v>
          </cell>
        </row>
        <row r="1865">
          <cell r="E1865" t="str">
            <v>HGC-Lib-2463532</v>
          </cell>
          <cell r="F1865" t="str">
            <v>BM575</v>
          </cell>
          <cell r="G1865">
            <v>4</v>
          </cell>
          <cell r="H1865" t="str">
            <v>全基因组文库</v>
          </cell>
          <cell r="J1865">
            <v>23.56</v>
          </cell>
          <cell r="N1865" t="e">
            <v>#DIV/0!</v>
          </cell>
        </row>
        <row r="1866">
          <cell r="E1866" t="str">
            <v>HGC-Lib-2463533</v>
          </cell>
          <cell r="F1866" t="str">
            <v>BM577</v>
          </cell>
          <cell r="G1866">
            <v>4</v>
          </cell>
          <cell r="H1866" t="str">
            <v>全基因组文库</v>
          </cell>
          <cell r="J1866">
            <v>35.020000000000003</v>
          </cell>
          <cell r="N1866" t="e">
            <v>#DIV/0!</v>
          </cell>
        </row>
        <row r="1867">
          <cell r="E1867" t="str">
            <v>HGC-Lib-2463534</v>
          </cell>
          <cell r="F1867" t="str">
            <v>BM578</v>
          </cell>
          <cell r="G1867">
            <v>4</v>
          </cell>
          <cell r="H1867" t="str">
            <v>全基因组文库</v>
          </cell>
          <cell r="J1867">
            <v>21.24</v>
          </cell>
          <cell r="N1867" t="e">
            <v>#DIV/0!</v>
          </cell>
        </row>
        <row r="1868">
          <cell r="E1868" t="str">
            <v>HGC-Lib-2463535</v>
          </cell>
          <cell r="F1868" t="str">
            <v>BM579</v>
          </cell>
          <cell r="G1868">
            <v>4</v>
          </cell>
          <cell r="H1868" t="str">
            <v>全基因组文库</v>
          </cell>
          <cell r="J1868">
            <v>22.15</v>
          </cell>
          <cell r="N1868" t="e">
            <v>#DIV/0!</v>
          </cell>
        </row>
        <row r="1869">
          <cell r="E1869" t="str">
            <v>HGC-Lib-2463536</v>
          </cell>
          <cell r="F1869" t="str">
            <v>BM581</v>
          </cell>
          <cell r="G1869">
            <v>4</v>
          </cell>
          <cell r="H1869" t="str">
            <v>全基因组文库</v>
          </cell>
          <cell r="J1869">
            <v>18.13</v>
          </cell>
          <cell r="N1869" t="e">
            <v>#DIV/0!</v>
          </cell>
        </row>
        <row r="1870">
          <cell r="E1870" t="str">
            <v>HGC-Lib-2463537</v>
          </cell>
          <cell r="F1870" t="str">
            <v>BM582</v>
          </cell>
          <cell r="G1870">
            <v>4</v>
          </cell>
          <cell r="H1870" t="str">
            <v>全基因组文库</v>
          </cell>
          <cell r="J1870">
            <v>31.72</v>
          </cell>
          <cell r="N1870" t="e">
            <v>#DIV/0!</v>
          </cell>
        </row>
        <row r="1871">
          <cell r="E1871" t="str">
            <v>HGC-Lib-2463538</v>
          </cell>
          <cell r="F1871" t="str">
            <v>BM583</v>
          </cell>
          <cell r="G1871">
            <v>4</v>
          </cell>
          <cell r="H1871" t="str">
            <v>全基因组文库</v>
          </cell>
          <cell r="J1871">
            <v>29.37</v>
          </cell>
          <cell r="N1871" t="e">
            <v>#DIV/0!</v>
          </cell>
        </row>
        <row r="1872">
          <cell r="E1872" t="str">
            <v>HGC-Lib-2463539</v>
          </cell>
          <cell r="F1872" t="str">
            <v>BM584</v>
          </cell>
          <cell r="G1872">
            <v>4</v>
          </cell>
          <cell r="H1872" t="str">
            <v>全基因组文库</v>
          </cell>
          <cell r="J1872">
            <v>31.9</v>
          </cell>
          <cell r="N1872" t="e">
            <v>#DIV/0!</v>
          </cell>
        </row>
        <row r="1873">
          <cell r="E1873" t="str">
            <v>HGC-Lib-2463540</v>
          </cell>
          <cell r="F1873" t="str">
            <v>BM585</v>
          </cell>
          <cell r="G1873">
            <v>4</v>
          </cell>
          <cell r="H1873" t="str">
            <v>全基因组文库</v>
          </cell>
          <cell r="J1873">
            <v>18.62</v>
          </cell>
          <cell r="N1873" t="e">
            <v>#DIV/0!</v>
          </cell>
        </row>
        <row r="1874">
          <cell r="E1874" t="str">
            <v>HGC-Lib-2463541</v>
          </cell>
          <cell r="F1874" t="str">
            <v>BM586</v>
          </cell>
          <cell r="G1874">
            <v>4</v>
          </cell>
          <cell r="H1874" t="str">
            <v>全基因组文库</v>
          </cell>
          <cell r="J1874">
            <v>20.22</v>
          </cell>
          <cell r="N1874" t="e">
            <v>#DIV/0!</v>
          </cell>
        </row>
        <row r="1875">
          <cell r="E1875" t="str">
            <v>HGC-Lib-2463542</v>
          </cell>
          <cell r="F1875" t="str">
            <v>BM587</v>
          </cell>
          <cell r="G1875">
            <v>4</v>
          </cell>
          <cell r="H1875" t="str">
            <v>全基因组文库</v>
          </cell>
          <cell r="J1875">
            <v>35.47</v>
          </cell>
          <cell r="N1875" t="e">
            <v>#DIV/0!</v>
          </cell>
        </row>
        <row r="1876">
          <cell r="E1876" t="str">
            <v>HGC-Lib-2463543</v>
          </cell>
          <cell r="F1876" t="str">
            <v>BM588</v>
          </cell>
          <cell r="G1876">
            <v>4</v>
          </cell>
          <cell r="H1876" t="str">
            <v>全基因组文库</v>
          </cell>
          <cell r="J1876">
            <v>25.03</v>
          </cell>
          <cell r="N1876" t="e">
            <v>#DIV/0!</v>
          </cell>
        </row>
        <row r="1877">
          <cell r="E1877" t="str">
            <v>HGC-Lib-2463544</v>
          </cell>
          <cell r="F1877" t="str">
            <v>BM589</v>
          </cell>
          <cell r="G1877">
            <v>4</v>
          </cell>
          <cell r="H1877" t="str">
            <v>全基因组文库</v>
          </cell>
          <cell r="J1877">
            <v>41.5</v>
          </cell>
          <cell r="N1877" t="e">
            <v>#DIV/0!</v>
          </cell>
        </row>
        <row r="1878">
          <cell r="E1878" t="str">
            <v>HGC-Lib-2463545</v>
          </cell>
          <cell r="F1878" t="str">
            <v>BM590</v>
          </cell>
          <cell r="G1878">
            <v>4</v>
          </cell>
          <cell r="H1878" t="str">
            <v>全基因组文库</v>
          </cell>
          <cell r="J1878">
            <v>38.130000000000003</v>
          </cell>
          <cell r="N1878" t="e">
            <v>#DIV/0!</v>
          </cell>
        </row>
        <row r="1879">
          <cell r="E1879" t="str">
            <v>HGC-Lib-2463546</v>
          </cell>
          <cell r="F1879" t="str">
            <v>BM591</v>
          </cell>
          <cell r="G1879">
            <v>4</v>
          </cell>
          <cell r="H1879" t="str">
            <v>全基因组文库</v>
          </cell>
          <cell r="J1879">
            <v>26.35</v>
          </cell>
          <cell r="N1879" t="e">
            <v>#DIV/0!</v>
          </cell>
        </row>
        <row r="1880">
          <cell r="E1880" t="str">
            <v>HGC-Lib-2463547</v>
          </cell>
          <cell r="F1880" t="str">
            <v>BM592</v>
          </cell>
          <cell r="G1880">
            <v>4</v>
          </cell>
          <cell r="H1880" t="str">
            <v>全基因组文库</v>
          </cell>
          <cell r="J1880">
            <v>33.22</v>
          </cell>
          <cell r="N1880" t="e">
            <v>#DIV/0!</v>
          </cell>
        </row>
        <row r="1881">
          <cell r="E1881" t="str">
            <v>HGC-Lib-2463548</v>
          </cell>
          <cell r="F1881" t="str">
            <v>BM594</v>
          </cell>
          <cell r="G1881">
            <v>4</v>
          </cell>
          <cell r="H1881" t="str">
            <v>全基因组文库</v>
          </cell>
          <cell r="J1881">
            <v>30.73</v>
          </cell>
          <cell r="N1881" t="e">
            <v>#DIV/0!</v>
          </cell>
        </row>
        <row r="1882">
          <cell r="E1882" t="str">
            <v>HGC-Lib-2463549</v>
          </cell>
          <cell r="F1882" t="str">
            <v>BM596</v>
          </cell>
          <cell r="G1882">
            <v>4</v>
          </cell>
          <cell r="H1882" t="str">
            <v>全基因组文库</v>
          </cell>
          <cell r="J1882">
            <v>42.27</v>
          </cell>
          <cell r="N1882" t="e">
            <v>#DIV/0!</v>
          </cell>
        </row>
        <row r="1883">
          <cell r="E1883" t="str">
            <v>HGC-Lib-2463550</v>
          </cell>
          <cell r="F1883" t="str">
            <v>BM597</v>
          </cell>
          <cell r="G1883">
            <v>4</v>
          </cell>
          <cell r="H1883" t="str">
            <v>全基因组文库</v>
          </cell>
          <cell r="J1883">
            <v>36.47</v>
          </cell>
          <cell r="N1883" t="e">
            <v>#DIV/0!</v>
          </cell>
        </row>
        <row r="1884">
          <cell r="E1884" t="str">
            <v>HGC-Lib-2463551</v>
          </cell>
          <cell r="F1884" t="str">
            <v>BM598</v>
          </cell>
          <cell r="G1884">
            <v>4</v>
          </cell>
          <cell r="H1884" t="str">
            <v>全基因组文库</v>
          </cell>
          <cell r="J1884">
            <v>28.05</v>
          </cell>
          <cell r="N1884" t="e">
            <v>#DIV/0!</v>
          </cell>
        </row>
        <row r="1885">
          <cell r="E1885" t="str">
            <v>HGC-Lib-2463552</v>
          </cell>
          <cell r="F1885" t="str">
            <v>BM599</v>
          </cell>
          <cell r="G1885">
            <v>4</v>
          </cell>
          <cell r="H1885" t="str">
            <v>全基因组文库</v>
          </cell>
          <cell r="J1885">
            <v>37.39</v>
          </cell>
          <cell r="N1885" t="e">
            <v>#DIV/0!</v>
          </cell>
        </row>
        <row r="1886">
          <cell r="E1886" t="str">
            <v>HGC-Lib-2463553</v>
          </cell>
          <cell r="F1886" t="str">
            <v>BM600</v>
          </cell>
          <cell r="G1886">
            <v>4</v>
          </cell>
          <cell r="H1886" t="str">
            <v>全基因组文库</v>
          </cell>
          <cell r="J1886">
            <v>34.270000000000003</v>
          </cell>
          <cell r="N1886" t="e">
            <v>#DIV/0!</v>
          </cell>
        </row>
        <row r="1887">
          <cell r="E1887" t="str">
            <v>HGC-Lib-2463554</v>
          </cell>
          <cell r="F1887" t="str">
            <v>BM601</v>
          </cell>
          <cell r="G1887">
            <v>4</v>
          </cell>
          <cell r="H1887" t="str">
            <v>全基因组文库</v>
          </cell>
          <cell r="J1887">
            <v>19.07</v>
          </cell>
          <cell r="N1887" t="e">
            <v>#DIV/0!</v>
          </cell>
        </row>
        <row r="1888">
          <cell r="E1888" t="str">
            <v>HGC-Lib-2463555</v>
          </cell>
          <cell r="F1888" t="str">
            <v>BM602</v>
          </cell>
          <cell r="G1888">
            <v>4</v>
          </cell>
          <cell r="H1888" t="str">
            <v>全基因组文库</v>
          </cell>
          <cell r="J1888">
            <v>33.07</v>
          </cell>
          <cell r="N1888" t="e">
            <v>#DIV/0!</v>
          </cell>
        </row>
        <row r="1889">
          <cell r="E1889" t="str">
            <v>HGC-Lib-2463556</v>
          </cell>
          <cell r="F1889" t="str">
            <v>BM603</v>
          </cell>
          <cell r="G1889">
            <v>4</v>
          </cell>
          <cell r="H1889" t="str">
            <v>全基因组文库</v>
          </cell>
          <cell r="J1889">
            <v>17.989999999999998</v>
          </cell>
          <cell r="N1889" t="e">
            <v>#DIV/0!</v>
          </cell>
        </row>
        <row r="1890">
          <cell r="E1890" t="str">
            <v>HGC-Lib-2463557</v>
          </cell>
          <cell r="F1890" t="str">
            <v>BM604</v>
          </cell>
          <cell r="G1890">
            <v>4</v>
          </cell>
          <cell r="H1890" t="str">
            <v>全基因组文库</v>
          </cell>
          <cell r="J1890">
            <v>17.61</v>
          </cell>
          <cell r="N1890" t="e">
            <v>#DIV/0!</v>
          </cell>
        </row>
        <row r="1891">
          <cell r="E1891" t="str">
            <v>HGC-Lib-2463558</v>
          </cell>
          <cell r="F1891" t="str">
            <v>BM605</v>
          </cell>
          <cell r="G1891">
            <v>4</v>
          </cell>
          <cell r="H1891" t="str">
            <v>全基因组文库</v>
          </cell>
          <cell r="J1891">
            <v>23.37</v>
          </cell>
          <cell r="N1891" t="e">
            <v>#DIV/0!</v>
          </cell>
        </row>
        <row r="1892">
          <cell r="E1892" t="str">
            <v>HGC-Lib-2463559</v>
          </cell>
          <cell r="F1892" t="str">
            <v>BM606</v>
          </cell>
          <cell r="G1892">
            <v>4</v>
          </cell>
          <cell r="H1892" t="str">
            <v>全基因组文库</v>
          </cell>
          <cell r="J1892">
            <v>23.77</v>
          </cell>
          <cell r="N1892" t="e">
            <v>#DIV/0!</v>
          </cell>
        </row>
        <row r="1893">
          <cell r="E1893" t="str">
            <v>HGC-Lib-2463560</v>
          </cell>
          <cell r="F1893" t="str">
            <v>BM609</v>
          </cell>
          <cell r="G1893">
            <v>4</v>
          </cell>
          <cell r="H1893" t="str">
            <v>全基因组文库</v>
          </cell>
          <cell r="J1893">
            <v>28.94</v>
          </cell>
          <cell r="N1893" t="e">
            <v>#DIV/0!</v>
          </cell>
        </row>
        <row r="1894">
          <cell r="E1894" t="str">
            <v>HGC-Lib-2463561</v>
          </cell>
          <cell r="F1894" t="str">
            <v>BM610</v>
          </cell>
          <cell r="G1894">
            <v>4</v>
          </cell>
          <cell r="H1894" t="str">
            <v>全基因组文库</v>
          </cell>
          <cell r="J1894">
            <v>27.66</v>
          </cell>
          <cell r="N1894" t="e">
            <v>#DIV/0!</v>
          </cell>
        </row>
        <row r="1895">
          <cell r="E1895" t="str">
            <v>HGC-Lib-2463562</v>
          </cell>
          <cell r="F1895" t="str">
            <v>BM611</v>
          </cell>
          <cell r="G1895">
            <v>4</v>
          </cell>
          <cell r="H1895" t="str">
            <v>全基因组文库</v>
          </cell>
          <cell r="J1895">
            <v>12.84</v>
          </cell>
          <cell r="N1895" t="e">
            <v>#DIV/0!</v>
          </cell>
        </row>
        <row r="1896">
          <cell r="E1896" t="str">
            <v>HGC-Lib-2463563</v>
          </cell>
          <cell r="F1896" t="str">
            <v>BM612</v>
          </cell>
          <cell r="G1896">
            <v>4</v>
          </cell>
          <cell r="H1896" t="str">
            <v>全基因组文库</v>
          </cell>
          <cell r="J1896">
            <v>34.14</v>
          </cell>
          <cell r="N1896" t="e">
            <v>#DIV/0!</v>
          </cell>
        </row>
        <row r="1897">
          <cell r="E1897" t="str">
            <v>HGC-Lib-2463564</v>
          </cell>
          <cell r="F1897" t="str">
            <v>BM613</v>
          </cell>
          <cell r="G1897">
            <v>4</v>
          </cell>
          <cell r="H1897" t="str">
            <v>全基因组文库</v>
          </cell>
          <cell r="J1897">
            <v>51.04</v>
          </cell>
          <cell r="N1897" t="e">
            <v>#DIV/0!</v>
          </cell>
        </row>
        <row r="1898">
          <cell r="E1898" t="str">
            <v>HGC-Lib-2463565</v>
          </cell>
          <cell r="F1898" t="str">
            <v>BM614</v>
          </cell>
          <cell r="G1898">
            <v>4</v>
          </cell>
          <cell r="H1898" t="str">
            <v>全基因组文库</v>
          </cell>
          <cell r="J1898">
            <v>32.72</v>
          </cell>
          <cell r="N1898" t="e">
            <v>#DIV/0!</v>
          </cell>
        </row>
        <row r="1899">
          <cell r="E1899" t="str">
            <v>HGC-Lib-2463566</v>
          </cell>
          <cell r="F1899" t="str">
            <v>BM615</v>
          </cell>
          <cell r="G1899">
            <v>4</v>
          </cell>
          <cell r="H1899" t="str">
            <v>全基因组文库</v>
          </cell>
          <cell r="J1899">
            <v>25.77</v>
          </cell>
          <cell r="N1899" t="e">
            <v>#DIV/0!</v>
          </cell>
        </row>
        <row r="1900">
          <cell r="E1900" t="str">
            <v>HGC-Lib-2463567</v>
          </cell>
          <cell r="F1900" t="str">
            <v>BM617</v>
          </cell>
          <cell r="G1900">
            <v>4</v>
          </cell>
          <cell r="H1900" t="str">
            <v>全基因组文库</v>
          </cell>
          <cell r="J1900">
            <v>24.73</v>
          </cell>
          <cell r="N1900" t="e">
            <v>#DIV/0!</v>
          </cell>
        </row>
        <row r="1901">
          <cell r="E1901" t="str">
            <v>HGC-Lib-2463568</v>
          </cell>
          <cell r="F1901" t="str">
            <v>BM620</v>
          </cell>
          <cell r="G1901">
            <v>4</v>
          </cell>
          <cell r="H1901" t="str">
            <v>全基因组文库</v>
          </cell>
          <cell r="J1901">
            <v>29.43</v>
          </cell>
          <cell r="N1901" t="e">
            <v>#DIV/0!</v>
          </cell>
        </row>
        <row r="1902">
          <cell r="E1902" t="str">
            <v>HGC-Lib-2463569</v>
          </cell>
          <cell r="F1902" t="str">
            <v>BM621</v>
          </cell>
          <cell r="G1902">
            <v>4</v>
          </cell>
          <cell r="H1902" t="str">
            <v>全基因组文库</v>
          </cell>
          <cell r="J1902">
            <v>33.04</v>
          </cell>
          <cell r="N1902" t="e">
            <v>#DIV/0!</v>
          </cell>
        </row>
        <row r="1903">
          <cell r="E1903" t="str">
            <v>HGC-Lib-2463570</v>
          </cell>
          <cell r="F1903" t="str">
            <v>BM622</v>
          </cell>
          <cell r="G1903">
            <v>4</v>
          </cell>
          <cell r="H1903" t="str">
            <v>全基因组文库</v>
          </cell>
          <cell r="J1903">
            <v>47.85</v>
          </cell>
          <cell r="N1903" t="e">
            <v>#DIV/0!</v>
          </cell>
        </row>
        <row r="1904">
          <cell r="E1904" t="str">
            <v>HGC-Lib-2463571</v>
          </cell>
          <cell r="F1904" t="str">
            <v>BM623</v>
          </cell>
          <cell r="G1904">
            <v>4</v>
          </cell>
          <cell r="H1904" t="str">
            <v>全基因组文库</v>
          </cell>
          <cell r="J1904">
            <v>36.1</v>
          </cell>
          <cell r="N1904" t="e">
            <v>#DIV/0!</v>
          </cell>
        </row>
        <row r="1905">
          <cell r="E1905" t="str">
            <v>HGC-Lib-2463572</v>
          </cell>
          <cell r="F1905" t="str">
            <v>BM624</v>
          </cell>
          <cell r="G1905">
            <v>4</v>
          </cell>
          <cell r="H1905" t="str">
            <v>全基因组文库</v>
          </cell>
          <cell r="J1905">
            <v>44.91</v>
          </cell>
          <cell r="N1905" t="e">
            <v>#DIV/0!</v>
          </cell>
        </row>
        <row r="1906">
          <cell r="E1906" t="str">
            <v>HGC-Lib-2463573</v>
          </cell>
          <cell r="F1906" t="str">
            <v>BM625</v>
          </cell>
          <cell r="G1906">
            <v>4</v>
          </cell>
          <cell r="H1906" t="str">
            <v>全基因组文库</v>
          </cell>
          <cell r="J1906">
            <v>16.97</v>
          </cell>
          <cell r="N1906" t="e">
            <v>#DIV/0!</v>
          </cell>
        </row>
        <row r="1907">
          <cell r="E1907" t="str">
            <v>HGC-Lib-2463574</v>
          </cell>
          <cell r="F1907" t="str">
            <v>BM626</v>
          </cell>
          <cell r="G1907">
            <v>4</v>
          </cell>
          <cell r="H1907" t="str">
            <v>全基因组文库</v>
          </cell>
          <cell r="J1907">
            <v>37.130000000000003</v>
          </cell>
          <cell r="N1907" t="e">
            <v>#DIV/0!</v>
          </cell>
        </row>
        <row r="1908">
          <cell r="E1908" t="str">
            <v>HGC-Lib-2463575</v>
          </cell>
          <cell r="F1908" t="str">
            <v>BM627</v>
          </cell>
          <cell r="G1908">
            <v>4</v>
          </cell>
          <cell r="H1908" t="str">
            <v>全基因组文库</v>
          </cell>
          <cell r="J1908">
            <v>32.35</v>
          </cell>
          <cell r="N1908" t="e">
            <v>#DIV/0!</v>
          </cell>
        </row>
        <row r="1909">
          <cell r="E1909" t="str">
            <v>HGC-Lib-2463576</v>
          </cell>
          <cell r="F1909" t="str">
            <v>BM628</v>
          </cell>
          <cell r="G1909">
            <v>4</v>
          </cell>
          <cell r="H1909" t="str">
            <v>全基因组文库</v>
          </cell>
          <cell r="J1909">
            <v>16</v>
          </cell>
          <cell r="N1909" t="e">
            <v>#DIV/0!</v>
          </cell>
        </row>
        <row r="1910">
          <cell r="E1910" t="str">
            <v>HGC-Lib-2463577</v>
          </cell>
          <cell r="F1910" t="str">
            <v>BM629</v>
          </cell>
          <cell r="G1910">
            <v>4</v>
          </cell>
          <cell r="H1910" t="str">
            <v>全基因组文库</v>
          </cell>
          <cell r="J1910">
            <v>41.01</v>
          </cell>
          <cell r="N1910" t="e">
            <v>#DIV/0!</v>
          </cell>
        </row>
        <row r="1911">
          <cell r="E1911" t="str">
            <v>HGC-Lib-2463578</v>
          </cell>
          <cell r="F1911" t="str">
            <v>BM630</v>
          </cell>
          <cell r="G1911">
            <v>4</v>
          </cell>
          <cell r="H1911" t="str">
            <v>全基因组文库</v>
          </cell>
          <cell r="J1911">
            <v>35.619999999999997</v>
          </cell>
          <cell r="N1911" t="e">
            <v>#DIV/0!</v>
          </cell>
        </row>
        <row r="1912">
          <cell r="E1912" t="str">
            <v>HGC-Lib-2463579</v>
          </cell>
          <cell r="F1912" t="str">
            <v>BM631</v>
          </cell>
          <cell r="G1912">
            <v>4</v>
          </cell>
          <cell r="H1912" t="str">
            <v>全基因组文库</v>
          </cell>
          <cell r="J1912">
            <v>19.86</v>
          </cell>
          <cell r="N1912" t="e">
            <v>#DIV/0!</v>
          </cell>
        </row>
        <row r="1913">
          <cell r="E1913" t="str">
            <v>HGC-Lib-2463580</v>
          </cell>
          <cell r="F1913" t="str">
            <v>BM632</v>
          </cell>
          <cell r="G1913">
            <v>4</v>
          </cell>
          <cell r="H1913" t="str">
            <v>全基因组文库</v>
          </cell>
          <cell r="J1913">
            <v>19.63</v>
          </cell>
          <cell r="N1913" t="e">
            <v>#DIV/0!</v>
          </cell>
        </row>
        <row r="1914">
          <cell r="E1914" t="str">
            <v>HGC-Lib-2463581</v>
          </cell>
          <cell r="F1914" t="str">
            <v>BM634</v>
          </cell>
          <cell r="G1914">
            <v>4</v>
          </cell>
          <cell r="H1914" t="str">
            <v>全基因组文库</v>
          </cell>
          <cell r="J1914">
            <v>41.74</v>
          </cell>
          <cell r="N1914" t="e">
            <v>#DIV/0!</v>
          </cell>
        </row>
        <row r="1915">
          <cell r="E1915" t="str">
            <v>HGC-Lib-2463582</v>
          </cell>
          <cell r="F1915" t="str">
            <v>BM635</v>
          </cell>
          <cell r="G1915">
            <v>4</v>
          </cell>
          <cell r="H1915" t="str">
            <v>全基因组文库</v>
          </cell>
          <cell r="J1915">
            <v>13.31</v>
          </cell>
          <cell r="N1915" t="e">
            <v>#DIV/0!</v>
          </cell>
        </row>
        <row r="1916">
          <cell r="E1916" t="str">
            <v>HGC-Lib-2463583</v>
          </cell>
          <cell r="F1916" t="str">
            <v>BM636</v>
          </cell>
          <cell r="G1916">
            <v>4</v>
          </cell>
          <cell r="H1916" t="str">
            <v>全基因组文库</v>
          </cell>
          <cell r="J1916">
            <v>16.79</v>
          </cell>
          <cell r="N1916" t="e">
            <v>#DIV/0!</v>
          </cell>
        </row>
        <row r="1917">
          <cell r="E1917" t="str">
            <v>HGC-Lib-2463584</v>
          </cell>
          <cell r="F1917" t="str">
            <v>BM638</v>
          </cell>
          <cell r="G1917">
            <v>4</v>
          </cell>
          <cell r="H1917" t="str">
            <v>全基因组文库</v>
          </cell>
          <cell r="J1917">
            <v>44.26</v>
          </cell>
          <cell r="N1917" t="e">
            <v>#DIV/0!</v>
          </cell>
        </row>
        <row r="1918">
          <cell r="E1918" t="str">
            <v>HGC-Lib-2463585</v>
          </cell>
          <cell r="F1918" t="str">
            <v>BM639</v>
          </cell>
          <cell r="G1918">
            <v>4</v>
          </cell>
          <cell r="H1918" t="str">
            <v>全基因组文库</v>
          </cell>
          <cell r="J1918">
            <v>21.93</v>
          </cell>
          <cell r="N1918" t="e">
            <v>#DIV/0!</v>
          </cell>
        </row>
        <row r="1919">
          <cell r="E1919" t="str">
            <v>HGC-Lib-2463586</v>
          </cell>
          <cell r="F1919" t="str">
            <v>BM645</v>
          </cell>
          <cell r="G1919">
            <v>4</v>
          </cell>
          <cell r="H1919" t="str">
            <v>全基因组文库</v>
          </cell>
          <cell r="J1919">
            <v>14.62</v>
          </cell>
          <cell r="N1919" t="e">
            <v>#DIV/0!</v>
          </cell>
        </row>
        <row r="1920">
          <cell r="E1920" t="str">
            <v>HGC-Lib-2463587</v>
          </cell>
          <cell r="F1920" t="str">
            <v>BM650</v>
          </cell>
          <cell r="G1920">
            <v>4</v>
          </cell>
          <cell r="H1920" t="str">
            <v>全基因组文库</v>
          </cell>
          <cell r="J1920">
            <v>12.68</v>
          </cell>
          <cell r="N1920" t="e">
            <v>#DIV/0!</v>
          </cell>
        </row>
        <row r="1921">
          <cell r="E1921" t="str">
            <v>HGC-Lib-2463588</v>
          </cell>
          <cell r="F1921" t="str">
            <v>BM654</v>
          </cell>
          <cell r="G1921">
            <v>4</v>
          </cell>
          <cell r="H1921" t="str">
            <v>全基因组文库</v>
          </cell>
          <cell r="J1921">
            <v>10.039999999999999</v>
          </cell>
          <cell r="N1921" t="e">
            <v>#DIV/0!</v>
          </cell>
        </row>
        <row r="1922">
          <cell r="E1922" t="str">
            <v>HGC-Lib-2463589</v>
          </cell>
          <cell r="F1922" t="str">
            <v>BM655</v>
          </cell>
          <cell r="G1922">
            <v>4</v>
          </cell>
          <cell r="H1922" t="str">
            <v>全基因组文库</v>
          </cell>
          <cell r="J1922">
            <v>17.73</v>
          </cell>
          <cell r="N1922" t="e">
            <v>#DIV/0!</v>
          </cell>
        </row>
        <row r="1923">
          <cell r="E1923" t="str">
            <v>HGC-Lib-2463590</v>
          </cell>
          <cell r="F1923" t="str">
            <v>BM659</v>
          </cell>
          <cell r="G1923">
            <v>4</v>
          </cell>
          <cell r="H1923" t="str">
            <v>全基因组文库</v>
          </cell>
          <cell r="J1923">
            <v>30.18</v>
          </cell>
          <cell r="N1923" t="e">
            <v>#DIV/0!</v>
          </cell>
        </row>
        <row r="1924">
          <cell r="E1924" t="str">
            <v>HGC-Lib-2463591</v>
          </cell>
          <cell r="F1924" t="str">
            <v>BM660</v>
          </cell>
          <cell r="G1924">
            <v>4</v>
          </cell>
          <cell r="H1924" t="str">
            <v>全基因组文库</v>
          </cell>
          <cell r="J1924">
            <v>15.49</v>
          </cell>
          <cell r="N1924" t="e">
            <v>#DIV/0!</v>
          </cell>
        </row>
        <row r="1925">
          <cell r="E1925" t="str">
            <v>HGC-Lib-2463592</v>
          </cell>
          <cell r="F1925" t="str">
            <v>BM661</v>
          </cell>
          <cell r="G1925">
            <v>4</v>
          </cell>
          <cell r="H1925" t="str">
            <v>全基因组文库</v>
          </cell>
          <cell r="J1925">
            <v>39.950000000000003</v>
          </cell>
          <cell r="N1925" t="e">
            <v>#DIV/0!</v>
          </cell>
        </row>
        <row r="1926">
          <cell r="E1926" t="str">
            <v>HGC-Lib-2463593</v>
          </cell>
          <cell r="F1926" t="str">
            <v>BM662</v>
          </cell>
          <cell r="G1926">
            <v>4</v>
          </cell>
          <cell r="H1926" t="str">
            <v>全基因组文库</v>
          </cell>
          <cell r="J1926">
            <v>35.14</v>
          </cell>
          <cell r="N1926" t="e">
            <v>#DIV/0!</v>
          </cell>
        </row>
        <row r="1927">
          <cell r="E1927" t="str">
            <v>HGC-Lib-2463594</v>
          </cell>
          <cell r="F1927" t="str">
            <v>BM663</v>
          </cell>
          <cell r="G1927">
            <v>4</v>
          </cell>
          <cell r="H1927" t="str">
            <v>全基因组文库</v>
          </cell>
          <cell r="J1927">
            <v>32.21</v>
          </cell>
          <cell r="N1927" t="e">
            <v>#DIV/0!</v>
          </cell>
        </row>
        <row r="1928">
          <cell r="E1928" t="str">
            <v>HGC-Lib-2463595</v>
          </cell>
          <cell r="F1928" t="str">
            <v>BM664</v>
          </cell>
          <cell r="G1928">
            <v>4</v>
          </cell>
          <cell r="H1928" t="str">
            <v>全基因组文库</v>
          </cell>
          <cell r="J1928">
            <v>32.950000000000003</v>
          </cell>
          <cell r="N1928" t="e">
            <v>#DIV/0!</v>
          </cell>
        </row>
        <row r="1929">
          <cell r="E1929" t="str">
            <v>HGC-Lib-2463596</v>
          </cell>
          <cell r="F1929" t="str">
            <v>BM665</v>
          </cell>
          <cell r="G1929">
            <v>4</v>
          </cell>
          <cell r="H1929" t="str">
            <v>全基因组文库</v>
          </cell>
          <cell r="J1929">
            <v>27.91</v>
          </cell>
          <cell r="N1929" t="e">
            <v>#DIV/0!</v>
          </cell>
        </row>
        <row r="1930">
          <cell r="E1930" t="str">
            <v>HGC-Lib-2463597</v>
          </cell>
          <cell r="F1930" t="str">
            <v>BM666</v>
          </cell>
          <cell r="G1930">
            <v>4</v>
          </cell>
          <cell r="H1930" t="str">
            <v>全基因组文库</v>
          </cell>
          <cell r="J1930">
            <v>26.76</v>
          </cell>
          <cell r="N1930" t="e">
            <v>#DIV/0!</v>
          </cell>
        </row>
        <row r="1931">
          <cell r="E1931" t="str">
            <v>HGC-Lib-2463598</v>
          </cell>
          <cell r="F1931" t="str">
            <v>BM667</v>
          </cell>
          <cell r="G1931">
            <v>4</v>
          </cell>
          <cell r="H1931" t="str">
            <v>全基因组文库</v>
          </cell>
          <cell r="J1931">
            <v>26.79</v>
          </cell>
          <cell r="N1931" t="e">
            <v>#DIV/0!</v>
          </cell>
        </row>
        <row r="1932">
          <cell r="E1932" t="str">
            <v>HGC-Lib-2463599</v>
          </cell>
          <cell r="F1932" t="str">
            <v>BM668</v>
          </cell>
          <cell r="G1932">
            <v>4</v>
          </cell>
          <cell r="H1932" t="str">
            <v>全基因组文库</v>
          </cell>
          <cell r="J1932">
            <v>39.01</v>
          </cell>
          <cell r="N1932" t="e">
            <v>#DIV/0!</v>
          </cell>
        </row>
        <row r="1933">
          <cell r="E1933" t="str">
            <v>HGC-Lib-2463600</v>
          </cell>
          <cell r="F1933" t="str">
            <v>BM669</v>
          </cell>
          <cell r="G1933">
            <v>4</v>
          </cell>
          <cell r="H1933" t="str">
            <v>全基因组文库</v>
          </cell>
          <cell r="J1933">
            <v>33.04</v>
          </cell>
          <cell r="N1933" t="e">
            <v>#DIV/0!</v>
          </cell>
        </row>
        <row r="1934">
          <cell r="E1934" t="str">
            <v>HGC-Lib-2463601</v>
          </cell>
          <cell r="F1934" t="str">
            <v>BM670</v>
          </cell>
          <cell r="G1934">
            <v>4</v>
          </cell>
          <cell r="H1934" t="str">
            <v>全基因组文库</v>
          </cell>
          <cell r="J1934">
            <v>48.28</v>
          </cell>
          <cell r="N1934" t="e">
            <v>#DIV/0!</v>
          </cell>
        </row>
        <row r="1935">
          <cell r="E1935" t="str">
            <v>HGC-Lib-2463602</v>
          </cell>
          <cell r="F1935" t="str">
            <v>BM671</v>
          </cell>
          <cell r="G1935">
            <v>4</v>
          </cell>
          <cell r="H1935" t="str">
            <v>全基因组文库</v>
          </cell>
          <cell r="J1935">
            <v>37.21</v>
          </cell>
          <cell r="N1935" t="e">
            <v>#DIV/0!</v>
          </cell>
        </row>
        <row r="1936">
          <cell r="E1936" t="str">
            <v>HGC-Lib-2463603</v>
          </cell>
          <cell r="F1936" t="str">
            <v>BM672</v>
          </cell>
          <cell r="G1936">
            <v>4</v>
          </cell>
          <cell r="H1936" t="str">
            <v>全基因组文库</v>
          </cell>
          <cell r="J1936">
            <v>36.71</v>
          </cell>
          <cell r="N1936" t="e">
            <v>#DIV/0!</v>
          </cell>
        </row>
        <row r="1937">
          <cell r="E1937" t="str">
            <v>HGC-Lib-2463604</v>
          </cell>
          <cell r="F1937" t="str">
            <v>BM673</v>
          </cell>
          <cell r="G1937">
            <v>4</v>
          </cell>
          <cell r="H1937" t="str">
            <v>全基因组文库</v>
          </cell>
          <cell r="J1937">
            <v>24.28</v>
          </cell>
          <cell r="N1937" t="e">
            <v>#DIV/0!</v>
          </cell>
        </row>
        <row r="1938">
          <cell r="E1938" t="str">
            <v>HGC-Lib-2463605</v>
          </cell>
          <cell r="F1938" t="str">
            <v>BM674</v>
          </cell>
          <cell r="G1938">
            <v>4</v>
          </cell>
          <cell r="H1938" t="str">
            <v>全基因组文库</v>
          </cell>
          <cell r="J1938">
            <v>44.37</v>
          </cell>
          <cell r="N1938" t="e">
            <v>#DIV/0!</v>
          </cell>
        </row>
        <row r="1939">
          <cell r="E1939" t="str">
            <v>HGC-Lib-2463606</v>
          </cell>
          <cell r="F1939" t="str">
            <v>BM675</v>
          </cell>
          <cell r="G1939">
            <v>4</v>
          </cell>
          <cell r="H1939" t="str">
            <v>全基因组文库</v>
          </cell>
          <cell r="J1939">
            <v>30.06</v>
          </cell>
          <cell r="N1939" t="e">
            <v>#DIV/0!</v>
          </cell>
        </row>
        <row r="1940">
          <cell r="E1940" t="str">
            <v>HGC-Lib-2463607</v>
          </cell>
          <cell r="F1940" t="str">
            <v>BM676</v>
          </cell>
          <cell r="G1940">
            <v>4</v>
          </cell>
          <cell r="H1940" t="str">
            <v>全基因组文库</v>
          </cell>
          <cell r="J1940">
            <v>40.32</v>
          </cell>
          <cell r="N1940" t="e">
            <v>#DIV/0!</v>
          </cell>
        </row>
        <row r="1941">
          <cell r="E1941" t="str">
            <v>HGC-Lib-2463608</v>
          </cell>
          <cell r="F1941" t="str">
            <v>BM677</v>
          </cell>
          <cell r="G1941">
            <v>4</v>
          </cell>
          <cell r="H1941" t="str">
            <v>全基因组文库</v>
          </cell>
          <cell r="J1941">
            <v>26.01</v>
          </cell>
          <cell r="N1941" t="e">
            <v>#DIV/0!</v>
          </cell>
        </row>
        <row r="1942">
          <cell r="E1942" t="str">
            <v>HGC-Lib-2463609</v>
          </cell>
          <cell r="F1942" t="str">
            <v>BM679</v>
          </cell>
          <cell r="G1942">
            <v>4</v>
          </cell>
          <cell r="H1942" t="str">
            <v>全基因组文库</v>
          </cell>
          <cell r="J1942">
            <v>35.700000000000003</v>
          </cell>
          <cell r="N1942" t="e">
            <v>#DIV/0!</v>
          </cell>
        </row>
        <row r="1943">
          <cell r="E1943" t="str">
            <v>HGC-Lib-2463610</v>
          </cell>
          <cell r="F1943" t="str">
            <v>BM680</v>
          </cell>
          <cell r="G1943">
            <v>4</v>
          </cell>
          <cell r="H1943" t="str">
            <v>全基因组文库</v>
          </cell>
          <cell r="J1943">
            <v>33.659999999999997</v>
          </cell>
          <cell r="N1943" t="e">
            <v>#DIV/0!</v>
          </cell>
        </row>
        <row r="1944">
          <cell r="E1944" t="str">
            <v>HGC-Lib-2463611</v>
          </cell>
          <cell r="F1944" t="str">
            <v>BM688</v>
          </cell>
          <cell r="G1944">
            <v>4</v>
          </cell>
          <cell r="H1944" t="str">
            <v>全基因组文库</v>
          </cell>
          <cell r="J1944">
            <v>40.44</v>
          </cell>
          <cell r="N1944" t="e">
            <v>#DIV/0!</v>
          </cell>
        </row>
        <row r="1945">
          <cell r="E1945" t="str">
            <v>HGC-Lib-2463612</v>
          </cell>
          <cell r="F1945" t="str">
            <v>BM689</v>
          </cell>
          <cell r="G1945">
            <v>4</v>
          </cell>
          <cell r="H1945" t="str">
            <v>全基因组文库</v>
          </cell>
          <cell r="J1945">
            <v>44.33</v>
          </cell>
          <cell r="N1945" t="e">
            <v>#DIV/0!</v>
          </cell>
        </row>
        <row r="1946">
          <cell r="E1946" t="str">
            <v>HGC-Lib-2463613</v>
          </cell>
          <cell r="F1946" t="str">
            <v>BM690</v>
          </cell>
          <cell r="G1946">
            <v>4</v>
          </cell>
          <cell r="H1946" t="str">
            <v>全基因组文库</v>
          </cell>
          <cell r="J1946">
            <v>39.85</v>
          </cell>
          <cell r="N1946" t="e">
            <v>#DIV/0!</v>
          </cell>
        </row>
        <row r="1947">
          <cell r="E1947" t="str">
            <v>HGC-Lib-2463614</v>
          </cell>
          <cell r="F1947" t="str">
            <v>BM691</v>
          </cell>
          <cell r="G1947">
            <v>4</v>
          </cell>
          <cell r="H1947" t="str">
            <v>全基因组文库</v>
          </cell>
          <cell r="J1947">
            <v>41.46</v>
          </cell>
          <cell r="N1947" t="e">
            <v>#DIV/0!</v>
          </cell>
        </row>
        <row r="1948">
          <cell r="E1948" t="str">
            <v>HGC-Lib-2463615</v>
          </cell>
          <cell r="F1948" t="str">
            <v>BM692</v>
          </cell>
          <cell r="G1948">
            <v>4</v>
          </cell>
          <cell r="H1948" t="str">
            <v>全基因组文库</v>
          </cell>
          <cell r="J1948">
            <v>37.94</v>
          </cell>
          <cell r="N1948" t="e">
            <v>#DIV/0!</v>
          </cell>
        </row>
        <row r="1949">
          <cell r="E1949" t="str">
            <v>HGC-Lib-2463616</v>
          </cell>
          <cell r="F1949" t="str">
            <v>BM693</v>
          </cell>
          <cell r="G1949">
            <v>4</v>
          </cell>
          <cell r="H1949" t="str">
            <v>全基因组文库</v>
          </cell>
          <cell r="J1949">
            <v>45.9</v>
          </cell>
          <cell r="N1949" t="e">
            <v>#DIV/0!</v>
          </cell>
        </row>
        <row r="1950">
          <cell r="E1950" t="str">
            <v>HGC-Lib-2463617</v>
          </cell>
          <cell r="F1950" t="str">
            <v>BM694</v>
          </cell>
          <cell r="G1950">
            <v>4</v>
          </cell>
          <cell r="H1950" t="str">
            <v>全基因组文库</v>
          </cell>
          <cell r="J1950">
            <v>32.86</v>
          </cell>
          <cell r="N1950" t="e">
            <v>#DIV/0!</v>
          </cell>
        </row>
        <row r="1951">
          <cell r="E1951" t="str">
            <v>HGC-Lib-2463618</v>
          </cell>
          <cell r="F1951" t="str">
            <v>BM695</v>
          </cell>
          <cell r="G1951">
            <v>4</v>
          </cell>
          <cell r="H1951" t="str">
            <v>全基因组文库</v>
          </cell>
          <cell r="J1951">
            <v>43.67</v>
          </cell>
          <cell r="N1951" t="e">
            <v>#DIV/0!</v>
          </cell>
        </row>
        <row r="1952">
          <cell r="E1952" t="str">
            <v>HGC-Lib-2463619</v>
          </cell>
          <cell r="F1952" t="str">
            <v>BM696</v>
          </cell>
          <cell r="G1952">
            <v>4</v>
          </cell>
          <cell r="H1952" t="str">
            <v>全基因组文库</v>
          </cell>
          <cell r="J1952">
            <v>43.83</v>
          </cell>
          <cell r="N1952" t="e">
            <v>#DIV/0!</v>
          </cell>
        </row>
        <row r="1953">
          <cell r="E1953" t="str">
            <v>HGC-Lib-2463620</v>
          </cell>
          <cell r="F1953" t="str">
            <v>BM697</v>
          </cell>
          <cell r="G1953">
            <v>4</v>
          </cell>
          <cell r="H1953" t="str">
            <v>全基因组文库</v>
          </cell>
          <cell r="J1953">
            <v>43.85</v>
          </cell>
          <cell r="N1953" t="e">
            <v>#DIV/0!</v>
          </cell>
        </row>
        <row r="1954">
          <cell r="E1954" t="str">
            <v>HGC-Lib-2463621</v>
          </cell>
          <cell r="F1954" t="str">
            <v>BM698</v>
          </cell>
          <cell r="G1954">
            <v>4</v>
          </cell>
          <cell r="H1954" t="str">
            <v>全基因组文库</v>
          </cell>
          <cell r="J1954">
            <v>38.71</v>
          </cell>
          <cell r="N1954" t="e">
            <v>#DIV/0!</v>
          </cell>
        </row>
        <row r="1955">
          <cell r="E1955" t="str">
            <v>HGC-Lib-2463622</v>
          </cell>
          <cell r="F1955" t="str">
            <v>BM699</v>
          </cell>
          <cell r="G1955">
            <v>4</v>
          </cell>
          <cell r="H1955" t="str">
            <v>全基因组文库</v>
          </cell>
          <cell r="J1955">
            <v>32.4</v>
          </cell>
          <cell r="N1955" t="e">
            <v>#DIV/0!</v>
          </cell>
        </row>
        <row r="1956">
          <cell r="E1956" t="str">
            <v>HGC-Lib-2463623</v>
          </cell>
          <cell r="F1956" t="str">
            <v>BM701</v>
          </cell>
          <cell r="G1956">
            <v>4</v>
          </cell>
          <cell r="H1956" t="str">
            <v>全基因组文库</v>
          </cell>
          <cell r="J1956">
            <v>20.23</v>
          </cell>
          <cell r="N1956" t="e">
            <v>#DIV/0!</v>
          </cell>
        </row>
        <row r="1957">
          <cell r="E1957" t="str">
            <v>HGC-Lib-2463624</v>
          </cell>
          <cell r="F1957" t="str">
            <v>BM702</v>
          </cell>
          <cell r="G1957">
            <v>4</v>
          </cell>
          <cell r="H1957" t="str">
            <v>全基因组文库</v>
          </cell>
          <cell r="J1957">
            <v>45.48</v>
          </cell>
          <cell r="N1957" t="e">
            <v>#DIV/0!</v>
          </cell>
        </row>
        <row r="1958">
          <cell r="E1958" t="str">
            <v>HGC-Lib-2463625</v>
          </cell>
          <cell r="F1958" t="str">
            <v>BM703</v>
          </cell>
          <cell r="G1958">
            <v>4</v>
          </cell>
          <cell r="H1958" t="str">
            <v>全基因组文库</v>
          </cell>
          <cell r="J1958">
            <v>34.78</v>
          </cell>
          <cell r="N1958" t="e">
            <v>#DIV/0!</v>
          </cell>
        </row>
        <row r="1959">
          <cell r="E1959" t="str">
            <v>HGC-Lib-2463626</v>
          </cell>
          <cell r="F1959" t="str">
            <v>BM704</v>
          </cell>
          <cell r="G1959">
            <v>4</v>
          </cell>
          <cell r="H1959" t="str">
            <v>全基因组文库</v>
          </cell>
          <cell r="J1959">
            <v>40.64</v>
          </cell>
          <cell r="N1959" t="e">
            <v>#DIV/0!</v>
          </cell>
        </row>
        <row r="1960">
          <cell r="E1960" t="str">
            <v>HGC-Lib-2463627</v>
          </cell>
          <cell r="F1960" t="str">
            <v>BM706</v>
          </cell>
          <cell r="G1960">
            <v>4</v>
          </cell>
          <cell r="H1960" t="str">
            <v>全基因组文库</v>
          </cell>
          <cell r="J1960">
            <v>40.26</v>
          </cell>
          <cell r="N1960" t="e">
            <v>#DIV/0!</v>
          </cell>
        </row>
        <row r="1961">
          <cell r="E1961" t="str">
            <v>HGC-Lib-2463628</v>
          </cell>
          <cell r="F1961" t="str">
            <v>BM707</v>
          </cell>
          <cell r="G1961">
            <v>4</v>
          </cell>
          <cell r="H1961" t="str">
            <v>全基因组文库</v>
          </cell>
          <cell r="J1961">
            <v>25.72</v>
          </cell>
          <cell r="N1961" t="e">
            <v>#DIV/0!</v>
          </cell>
        </row>
        <row r="1962">
          <cell r="E1962" t="str">
            <v>HGC-Lib-2463629</v>
          </cell>
          <cell r="F1962" t="str">
            <v>BM708</v>
          </cell>
          <cell r="G1962">
            <v>4</v>
          </cell>
          <cell r="H1962" t="str">
            <v>全基因组文库</v>
          </cell>
          <cell r="J1962">
            <v>45.76</v>
          </cell>
          <cell r="N1962" t="e">
            <v>#DIV/0!</v>
          </cell>
        </row>
        <row r="1963">
          <cell r="E1963" t="str">
            <v>HGC-Lib-2463630</v>
          </cell>
          <cell r="F1963" t="str">
            <v>BM709</v>
          </cell>
          <cell r="G1963">
            <v>4</v>
          </cell>
          <cell r="H1963" t="str">
            <v>全基因组文库</v>
          </cell>
          <cell r="J1963">
            <v>29.85</v>
          </cell>
          <cell r="N1963" t="e">
            <v>#DIV/0!</v>
          </cell>
        </row>
        <row r="1964">
          <cell r="E1964" t="str">
            <v>HGC-Lib-2463631</v>
          </cell>
          <cell r="F1964" t="str">
            <v>BM711</v>
          </cell>
          <cell r="G1964">
            <v>4</v>
          </cell>
          <cell r="H1964" t="str">
            <v>全基因组文库</v>
          </cell>
          <cell r="J1964">
            <v>34.01</v>
          </cell>
          <cell r="N1964" t="e">
            <v>#DIV/0!</v>
          </cell>
        </row>
        <row r="1965">
          <cell r="E1965" t="str">
            <v>HGC-Lib-2463632</v>
          </cell>
          <cell r="F1965" t="str">
            <v>BM712</v>
          </cell>
          <cell r="G1965">
            <v>4</v>
          </cell>
          <cell r="H1965" t="str">
            <v>全基因组文库</v>
          </cell>
          <cell r="J1965">
            <v>46.82</v>
          </cell>
          <cell r="N1965" t="e">
            <v>#DIV/0!</v>
          </cell>
        </row>
        <row r="1966">
          <cell r="E1966" t="str">
            <v>HGC-Lib-2463633</v>
          </cell>
          <cell r="F1966" t="str">
            <v>BM714</v>
          </cell>
          <cell r="G1966">
            <v>4</v>
          </cell>
          <cell r="H1966" t="str">
            <v>全基因组文库</v>
          </cell>
          <cell r="J1966">
            <v>20.350000000000001</v>
          </cell>
          <cell r="N1966" t="e">
            <v>#DIV/0!</v>
          </cell>
        </row>
        <row r="1967">
          <cell r="E1967" t="str">
            <v>HGC-Lib-2463634</v>
          </cell>
          <cell r="F1967" t="str">
            <v>BM715</v>
          </cell>
          <cell r="G1967">
            <v>4</v>
          </cell>
          <cell r="H1967" t="str">
            <v>全基因组文库</v>
          </cell>
          <cell r="J1967">
            <v>38.83</v>
          </cell>
          <cell r="N1967" t="e">
            <v>#DIV/0!</v>
          </cell>
        </row>
        <row r="1968">
          <cell r="E1968" t="str">
            <v>HGC-Lib-2463635</v>
          </cell>
          <cell r="F1968" t="str">
            <v>BM716</v>
          </cell>
          <cell r="G1968">
            <v>4</v>
          </cell>
          <cell r="H1968" t="str">
            <v>全基因组文库</v>
          </cell>
          <cell r="J1968">
            <v>39.51</v>
          </cell>
          <cell r="N1968" t="e">
            <v>#DIV/0!</v>
          </cell>
        </row>
        <row r="1969">
          <cell r="E1969" t="str">
            <v>HGC-Lib-2463636</v>
          </cell>
          <cell r="F1969" t="str">
            <v>BM717</v>
          </cell>
          <cell r="G1969">
            <v>4</v>
          </cell>
          <cell r="H1969" t="str">
            <v>全基因组文库</v>
          </cell>
          <cell r="J1969">
            <v>22.1</v>
          </cell>
          <cell r="N1969" t="e">
            <v>#DIV/0!</v>
          </cell>
        </row>
        <row r="1970">
          <cell r="E1970" t="str">
            <v>HGC-Lib-2463637</v>
          </cell>
          <cell r="F1970" t="str">
            <v>BM718</v>
          </cell>
          <cell r="G1970">
            <v>4</v>
          </cell>
          <cell r="H1970" t="str">
            <v>全基因组文库</v>
          </cell>
          <cell r="J1970">
            <v>53.6</v>
          </cell>
          <cell r="N1970" t="e">
            <v>#DIV/0!</v>
          </cell>
        </row>
        <row r="1971">
          <cell r="E1971" t="str">
            <v>HGC-Lib-2463638</v>
          </cell>
          <cell r="F1971" t="str">
            <v>BM719</v>
          </cell>
          <cell r="G1971">
            <v>4</v>
          </cell>
          <cell r="H1971" t="str">
            <v>全基因组文库</v>
          </cell>
          <cell r="J1971">
            <v>47.16</v>
          </cell>
          <cell r="N1971" t="e">
            <v>#DIV/0!</v>
          </cell>
        </row>
        <row r="1972">
          <cell r="E1972" t="str">
            <v>HGC-Lib-2463639</v>
          </cell>
          <cell r="F1972" t="str">
            <v>BM720</v>
          </cell>
          <cell r="G1972">
            <v>4</v>
          </cell>
          <cell r="H1972" t="str">
            <v>全基因组文库</v>
          </cell>
          <cell r="J1972">
            <v>39.299999999999997</v>
          </cell>
          <cell r="N1972" t="e">
            <v>#DIV/0!</v>
          </cell>
        </row>
        <row r="1973">
          <cell r="E1973" t="str">
            <v>HGC-Lib-2463640</v>
          </cell>
          <cell r="F1973" t="str">
            <v>BM722</v>
          </cell>
          <cell r="G1973">
            <v>4</v>
          </cell>
          <cell r="H1973" t="str">
            <v>全基因组文库</v>
          </cell>
          <cell r="J1973">
            <v>35.26</v>
          </cell>
          <cell r="N1973" t="e">
            <v>#DIV/0!</v>
          </cell>
        </row>
        <row r="1974">
          <cell r="E1974" t="str">
            <v>HGC-Lib-2463641</v>
          </cell>
          <cell r="F1974" t="str">
            <v>BM723</v>
          </cell>
          <cell r="G1974">
            <v>4</v>
          </cell>
          <cell r="H1974" t="str">
            <v>全基因组文库</v>
          </cell>
          <cell r="J1974">
            <v>38.25</v>
          </cell>
          <cell r="N1974" t="e">
            <v>#DIV/0!</v>
          </cell>
        </row>
        <row r="1975">
          <cell r="E1975" t="str">
            <v>HGC-Lib-2463642</v>
          </cell>
          <cell r="F1975" t="str">
            <v>BM724</v>
          </cell>
          <cell r="G1975">
            <v>4</v>
          </cell>
          <cell r="H1975" t="str">
            <v>全基因组文库</v>
          </cell>
          <cell r="J1975">
            <v>30.94</v>
          </cell>
          <cell r="N1975" t="e">
            <v>#DIV/0!</v>
          </cell>
        </row>
        <row r="1976">
          <cell r="E1976" t="str">
            <v>HGC-Lib-2463643</v>
          </cell>
          <cell r="F1976" t="str">
            <v>BM725</v>
          </cell>
          <cell r="G1976">
            <v>4</v>
          </cell>
          <cell r="H1976" t="str">
            <v>全基因组文库</v>
          </cell>
          <cell r="J1976">
            <v>49.1</v>
          </cell>
          <cell r="N1976" t="e">
            <v>#DIV/0!</v>
          </cell>
        </row>
        <row r="1977">
          <cell r="E1977" t="str">
            <v>HGC-Lib-2463644</v>
          </cell>
          <cell r="F1977" t="str">
            <v>BM726</v>
          </cell>
          <cell r="G1977">
            <v>4</v>
          </cell>
          <cell r="H1977" t="str">
            <v>全基因组文库</v>
          </cell>
          <cell r="J1977">
            <v>35.17</v>
          </cell>
          <cell r="N1977" t="e">
            <v>#DIV/0!</v>
          </cell>
        </row>
        <row r="1978">
          <cell r="E1978" t="str">
            <v>HGC-Lib-2463645</v>
          </cell>
          <cell r="F1978" t="str">
            <v>BM727</v>
          </cell>
          <cell r="G1978">
            <v>4</v>
          </cell>
          <cell r="H1978" t="str">
            <v>全基因组文库</v>
          </cell>
          <cell r="J1978">
            <v>35.42</v>
          </cell>
          <cell r="N1978" t="e">
            <v>#DIV/0!</v>
          </cell>
        </row>
        <row r="1979">
          <cell r="E1979" t="str">
            <v>HGC-Lib-2463646</v>
          </cell>
          <cell r="F1979" t="str">
            <v>BM728</v>
          </cell>
          <cell r="G1979">
            <v>4</v>
          </cell>
          <cell r="H1979" t="str">
            <v>全基因组文库</v>
          </cell>
          <cell r="J1979">
            <v>37.229999999999997</v>
          </cell>
          <cell r="N1979" t="e">
            <v>#DIV/0!</v>
          </cell>
        </row>
        <row r="1980">
          <cell r="E1980" t="str">
            <v>HGC-Lib-2463647</v>
          </cell>
          <cell r="F1980" t="str">
            <v>BM729</v>
          </cell>
          <cell r="G1980">
            <v>4</v>
          </cell>
          <cell r="H1980" t="str">
            <v>全基因组文库</v>
          </cell>
          <cell r="J1980">
            <v>41.21</v>
          </cell>
          <cell r="N1980" t="e">
            <v>#DIV/0!</v>
          </cell>
        </row>
        <row r="1981">
          <cell r="E1981" t="str">
            <v>HGC-Lib-2463648</v>
          </cell>
          <cell r="F1981" t="str">
            <v>BM730</v>
          </cell>
          <cell r="G1981">
            <v>4</v>
          </cell>
          <cell r="H1981" t="str">
            <v>全基因组文库</v>
          </cell>
          <cell r="J1981">
            <v>38.44</v>
          </cell>
          <cell r="N1981" t="e">
            <v>#DIV/0!</v>
          </cell>
        </row>
        <row r="1982">
          <cell r="E1982" t="str">
            <v>HGC-Lib-2463649</v>
          </cell>
          <cell r="F1982" t="str">
            <v>BM731</v>
          </cell>
          <cell r="G1982">
            <v>4</v>
          </cell>
          <cell r="H1982" t="str">
            <v>全基因组文库</v>
          </cell>
          <cell r="J1982">
            <v>38.369999999999997</v>
          </cell>
          <cell r="N1982" t="e">
            <v>#DIV/0!</v>
          </cell>
        </row>
        <row r="1983">
          <cell r="E1983" t="str">
            <v>HGC-Lib-2463650</v>
          </cell>
          <cell r="F1983" t="str">
            <v>BM732</v>
          </cell>
          <cell r="G1983">
            <v>4</v>
          </cell>
          <cell r="H1983" t="str">
            <v>全基因组文库</v>
          </cell>
          <cell r="J1983">
            <v>41.49</v>
          </cell>
          <cell r="N1983" t="e">
            <v>#DIV/0!</v>
          </cell>
        </row>
        <row r="1984">
          <cell r="E1984" t="str">
            <v>HGC-Lib-2463651</v>
          </cell>
          <cell r="F1984" t="str">
            <v>BM733</v>
          </cell>
          <cell r="G1984">
            <v>4</v>
          </cell>
          <cell r="H1984" t="str">
            <v>全基因组文库</v>
          </cell>
          <cell r="J1984">
            <v>34.659999999999997</v>
          </cell>
          <cell r="N1984" t="e">
            <v>#DIV/0!</v>
          </cell>
        </row>
        <row r="1985">
          <cell r="E1985" t="str">
            <v>HGC-Lib-2463652</v>
          </cell>
          <cell r="F1985" t="str">
            <v>BM734</v>
          </cell>
          <cell r="G1985">
            <v>4</v>
          </cell>
          <cell r="H1985" t="str">
            <v>全基因组文库</v>
          </cell>
          <cell r="J1985">
            <v>36.93</v>
          </cell>
          <cell r="N1985" t="e">
            <v>#DIV/0!</v>
          </cell>
        </row>
        <row r="1986">
          <cell r="E1986" t="str">
            <v>HGC-Lib-2463653</v>
          </cell>
          <cell r="F1986" t="str">
            <v>BM735</v>
          </cell>
          <cell r="G1986">
            <v>4</v>
          </cell>
          <cell r="H1986" t="str">
            <v>全基因组文库</v>
          </cell>
          <cell r="J1986">
            <v>42.81</v>
          </cell>
          <cell r="N1986" t="e">
            <v>#DIV/0!</v>
          </cell>
        </row>
        <row r="1987">
          <cell r="E1987" t="str">
            <v>HGC-Lib-2463654</v>
          </cell>
          <cell r="F1987" t="str">
            <v>BM736</v>
          </cell>
          <cell r="G1987">
            <v>4</v>
          </cell>
          <cell r="H1987" t="str">
            <v>全基因组文库</v>
          </cell>
          <cell r="J1987">
            <v>37.36</v>
          </cell>
          <cell r="N1987" t="e">
            <v>#DIV/0!</v>
          </cell>
        </row>
        <row r="1988">
          <cell r="E1988" t="str">
            <v>HGC-Lib-2463655</v>
          </cell>
          <cell r="F1988" t="str">
            <v>BM737</v>
          </cell>
          <cell r="G1988">
            <v>4</v>
          </cell>
          <cell r="H1988" t="str">
            <v>全基因组文库</v>
          </cell>
          <cell r="J1988">
            <v>37.049999999999997</v>
          </cell>
          <cell r="N1988" t="e">
            <v>#DIV/0!</v>
          </cell>
        </row>
        <row r="1989">
          <cell r="E1989" t="str">
            <v>HGC-Lib-2463656</v>
          </cell>
          <cell r="F1989" t="str">
            <v>BM741</v>
          </cell>
          <cell r="G1989">
            <v>4</v>
          </cell>
          <cell r="H1989" t="str">
            <v>全基因组文库</v>
          </cell>
          <cell r="J1989">
            <v>39.799999999999997</v>
          </cell>
          <cell r="N1989" t="e">
            <v>#DIV/0!</v>
          </cell>
        </row>
        <row r="1990">
          <cell r="E1990" t="str">
            <v>HGC-Lib-2463657</v>
          </cell>
          <cell r="F1990" t="str">
            <v>BM744</v>
          </cell>
          <cell r="G1990">
            <v>4</v>
          </cell>
          <cell r="H1990" t="str">
            <v>全基因组文库</v>
          </cell>
          <cell r="J1990">
            <v>37.17</v>
          </cell>
          <cell r="N1990" t="e">
            <v>#DIV/0!</v>
          </cell>
        </row>
        <row r="1991">
          <cell r="E1991" t="str">
            <v>HGC-Lib-2463658</v>
          </cell>
          <cell r="F1991" t="str">
            <v>BM745</v>
          </cell>
          <cell r="G1991">
            <v>4</v>
          </cell>
          <cell r="H1991" t="str">
            <v>全基因组文库</v>
          </cell>
          <cell r="J1991">
            <v>39.82</v>
          </cell>
          <cell r="N1991" t="e">
            <v>#DIV/0!</v>
          </cell>
        </row>
        <row r="1992">
          <cell r="E1992" t="str">
            <v>HGC-Lib-2463659</v>
          </cell>
          <cell r="F1992" t="str">
            <v>BM746</v>
          </cell>
          <cell r="G1992">
            <v>4</v>
          </cell>
          <cell r="H1992" t="str">
            <v>全基因组文库</v>
          </cell>
          <cell r="J1992">
            <v>37.86</v>
          </cell>
          <cell r="N1992" t="e">
            <v>#DIV/0!</v>
          </cell>
        </row>
        <row r="1993">
          <cell r="E1993" t="str">
            <v>HGC-Lib-2463660</v>
          </cell>
          <cell r="F1993" t="str">
            <v>BM747</v>
          </cell>
          <cell r="G1993">
            <v>4</v>
          </cell>
          <cell r="H1993" t="str">
            <v>全基因组文库</v>
          </cell>
          <cell r="J1993">
            <v>34.909999999999997</v>
          </cell>
          <cell r="N1993" t="e">
            <v>#DIV/0!</v>
          </cell>
        </row>
        <row r="1994">
          <cell r="E1994" t="str">
            <v>HGC-Lib-2463661</v>
          </cell>
          <cell r="F1994" t="str">
            <v>BM749</v>
          </cell>
          <cell r="G1994">
            <v>4</v>
          </cell>
          <cell r="H1994" t="str">
            <v>全基因组文库</v>
          </cell>
          <cell r="J1994">
            <v>39.69</v>
          </cell>
          <cell r="N1994" t="e">
            <v>#DIV/0!</v>
          </cell>
        </row>
        <row r="1995">
          <cell r="E1995" t="str">
            <v>HGC-Lib-2463662</v>
          </cell>
          <cell r="F1995" t="str">
            <v>BM750</v>
          </cell>
          <cell r="G1995">
            <v>4</v>
          </cell>
          <cell r="H1995" t="str">
            <v>全基因组文库</v>
          </cell>
          <cell r="J1995">
            <v>44.48</v>
          </cell>
          <cell r="N1995" t="e">
            <v>#DIV/0!</v>
          </cell>
        </row>
        <row r="1996">
          <cell r="E1996" t="str">
            <v>HGC-Lib-2463663</v>
          </cell>
          <cell r="F1996" t="str">
            <v>BM751</v>
          </cell>
          <cell r="G1996">
            <v>4</v>
          </cell>
          <cell r="H1996" t="str">
            <v>全基因组文库</v>
          </cell>
          <cell r="J1996">
            <v>36.24</v>
          </cell>
          <cell r="N1996" t="e">
            <v>#DIV/0!</v>
          </cell>
        </row>
        <row r="1997">
          <cell r="E1997" t="str">
            <v>HGC-Lib-2463664</v>
          </cell>
          <cell r="F1997" t="str">
            <v>BM752</v>
          </cell>
          <cell r="G1997">
            <v>4</v>
          </cell>
          <cell r="H1997" t="str">
            <v>全基因组文库</v>
          </cell>
          <cell r="J1997">
            <v>40.43</v>
          </cell>
          <cell r="N1997" t="e">
            <v>#DIV/0!</v>
          </cell>
        </row>
        <row r="1998">
          <cell r="E1998" t="str">
            <v>HGC-Lib-2463665</v>
          </cell>
          <cell r="F1998" t="str">
            <v>BM753</v>
          </cell>
          <cell r="G1998">
            <v>4</v>
          </cell>
          <cell r="H1998" t="str">
            <v>全基因组文库</v>
          </cell>
          <cell r="J1998">
            <v>39.75</v>
          </cell>
          <cell r="N1998" t="e">
            <v>#DIV/0!</v>
          </cell>
        </row>
        <row r="1999">
          <cell r="E1999" t="str">
            <v>HGC-Lib-2463666</v>
          </cell>
          <cell r="F1999" t="str">
            <v>BM754</v>
          </cell>
          <cell r="G1999">
            <v>4</v>
          </cell>
          <cell r="H1999" t="str">
            <v>全基因组文库</v>
          </cell>
          <cell r="J1999">
            <v>41.68</v>
          </cell>
          <cell r="N1999" t="e">
            <v>#DIV/0!</v>
          </cell>
        </row>
        <row r="2000">
          <cell r="E2000" t="str">
            <v>HGC-Lib-2463667</v>
          </cell>
          <cell r="F2000" t="str">
            <v>BM756</v>
          </cell>
          <cell r="G2000">
            <v>4</v>
          </cell>
          <cell r="H2000" t="str">
            <v>全基因组文库</v>
          </cell>
          <cell r="J2000">
            <v>38.909999999999997</v>
          </cell>
          <cell r="N2000" t="e">
            <v>#DIV/0!</v>
          </cell>
        </row>
        <row r="2001">
          <cell r="E2001" t="str">
            <v>HGC-Lib-2463668</v>
          </cell>
          <cell r="F2001" t="str">
            <v>BM757</v>
          </cell>
          <cell r="G2001">
            <v>4</v>
          </cell>
          <cell r="H2001" t="str">
            <v>全基因组文库</v>
          </cell>
          <cell r="J2001">
            <v>38.950000000000003</v>
          </cell>
          <cell r="N2001" t="e">
            <v>#DIV/0!</v>
          </cell>
        </row>
        <row r="2002">
          <cell r="E2002" t="str">
            <v>HGC-Lib-2463669</v>
          </cell>
          <cell r="F2002" t="str">
            <v>BM758</v>
          </cell>
          <cell r="G2002">
            <v>4</v>
          </cell>
          <cell r="H2002" t="str">
            <v>全基因组文库</v>
          </cell>
          <cell r="J2002">
            <v>44.7</v>
          </cell>
          <cell r="N2002" t="e">
            <v>#DIV/0!</v>
          </cell>
        </row>
        <row r="2003">
          <cell r="E2003" t="str">
            <v>HGC-Lib-2463670</v>
          </cell>
          <cell r="F2003" t="str">
            <v>BM759</v>
          </cell>
          <cell r="G2003">
            <v>4</v>
          </cell>
          <cell r="H2003" t="str">
            <v>全基因组文库</v>
          </cell>
          <cell r="J2003">
            <v>44.87</v>
          </cell>
          <cell r="N2003" t="e">
            <v>#DIV/0!</v>
          </cell>
        </row>
        <row r="2004">
          <cell r="E2004" t="str">
            <v>HGC-Lib-2463671</v>
          </cell>
          <cell r="F2004" t="str">
            <v>BM760</v>
          </cell>
          <cell r="G2004">
            <v>4</v>
          </cell>
          <cell r="H2004" t="str">
            <v>全基因组文库</v>
          </cell>
          <cell r="J2004">
            <v>40.130000000000003</v>
          </cell>
          <cell r="N2004" t="e">
            <v>#DIV/0!</v>
          </cell>
        </row>
        <row r="2005">
          <cell r="E2005" t="str">
            <v>HGC-Lib-2463672</v>
          </cell>
          <cell r="F2005" t="str">
            <v>BM761</v>
          </cell>
          <cell r="G2005">
            <v>4</v>
          </cell>
          <cell r="H2005" t="str">
            <v>全基因组文库</v>
          </cell>
          <cell r="J2005">
            <v>39.31</v>
          </cell>
          <cell r="N2005" t="e">
            <v>#DIV/0!</v>
          </cell>
        </row>
        <row r="2006">
          <cell r="E2006" t="str">
            <v>HGC-Lib-2463673</v>
          </cell>
          <cell r="F2006" t="str">
            <v>BM763</v>
          </cell>
          <cell r="G2006">
            <v>4</v>
          </cell>
          <cell r="H2006" t="str">
            <v>全基因组文库</v>
          </cell>
          <cell r="J2006">
            <v>43.35</v>
          </cell>
          <cell r="N2006" t="e">
            <v>#DIV/0!</v>
          </cell>
        </row>
        <row r="2007">
          <cell r="E2007" t="str">
            <v>HGC-Lib-2463674</v>
          </cell>
          <cell r="F2007" t="str">
            <v>BM764</v>
          </cell>
          <cell r="G2007">
            <v>4</v>
          </cell>
          <cell r="H2007" t="str">
            <v>全基因组文库</v>
          </cell>
          <cell r="J2007">
            <v>45.32</v>
          </cell>
          <cell r="N2007" t="e">
            <v>#DIV/0!</v>
          </cell>
        </row>
        <row r="2008">
          <cell r="E2008" t="str">
            <v>HGC-Lib-2463675</v>
          </cell>
          <cell r="F2008" t="str">
            <v>BM766</v>
          </cell>
          <cell r="G2008">
            <v>4</v>
          </cell>
          <cell r="H2008" t="str">
            <v>全基因组文库</v>
          </cell>
          <cell r="J2008">
            <v>42.51</v>
          </cell>
          <cell r="N2008" t="e">
            <v>#DIV/0!</v>
          </cell>
        </row>
        <row r="2009">
          <cell r="E2009" t="str">
            <v>HGC-Lib-2463676</v>
          </cell>
          <cell r="F2009" t="str">
            <v>BM767</v>
          </cell>
          <cell r="G2009">
            <v>4</v>
          </cell>
          <cell r="H2009" t="str">
            <v>全基因组文库</v>
          </cell>
          <cell r="J2009">
            <v>46.54</v>
          </cell>
          <cell r="N2009" t="e">
            <v>#DIV/0!</v>
          </cell>
        </row>
        <row r="2010">
          <cell r="E2010" t="str">
            <v>HGC-Lib-2463677</v>
          </cell>
          <cell r="F2010" t="str">
            <v>BM768</v>
          </cell>
          <cell r="G2010">
            <v>4</v>
          </cell>
          <cell r="H2010" t="str">
            <v>全基因组文库</v>
          </cell>
          <cell r="J2010">
            <v>38.07</v>
          </cell>
          <cell r="N2010" t="e">
            <v>#DIV/0!</v>
          </cell>
        </row>
        <row r="2011">
          <cell r="E2011" t="str">
            <v>HGC-Lib-2463678</v>
          </cell>
          <cell r="F2011" t="str">
            <v>BM769</v>
          </cell>
          <cell r="G2011">
            <v>4</v>
          </cell>
          <cell r="H2011" t="str">
            <v>全基因组文库</v>
          </cell>
          <cell r="J2011">
            <v>43.62</v>
          </cell>
          <cell r="N2011" t="e">
            <v>#DIV/0!</v>
          </cell>
        </row>
        <row r="2012">
          <cell r="E2012" t="str">
            <v>HGC-Lib-2463679</v>
          </cell>
          <cell r="F2012" t="str">
            <v>BM770</v>
          </cell>
          <cell r="G2012">
            <v>4</v>
          </cell>
          <cell r="H2012" t="str">
            <v>全基因组文库</v>
          </cell>
          <cell r="J2012">
            <v>43.23</v>
          </cell>
          <cell r="N2012" t="e">
            <v>#DIV/0!</v>
          </cell>
        </row>
        <row r="2013">
          <cell r="E2013" t="str">
            <v>HGC-Lib-2463680</v>
          </cell>
          <cell r="F2013" t="str">
            <v>BM771</v>
          </cell>
          <cell r="G2013">
            <v>4</v>
          </cell>
          <cell r="H2013" t="str">
            <v>全基因组文库</v>
          </cell>
          <cell r="J2013">
            <v>39.46</v>
          </cell>
          <cell r="N2013" t="e">
            <v>#DIV/0!</v>
          </cell>
        </row>
        <row r="2014">
          <cell r="E2014" t="str">
            <v>HGC-Lib-2463681</v>
          </cell>
          <cell r="F2014" t="str">
            <v>BM772</v>
          </cell>
          <cell r="G2014">
            <v>4</v>
          </cell>
          <cell r="H2014" t="str">
            <v>全基因组文库</v>
          </cell>
          <cell r="J2014">
            <v>34.78</v>
          </cell>
          <cell r="N2014" t="e">
            <v>#DIV/0!</v>
          </cell>
        </row>
        <row r="2015">
          <cell r="E2015" t="str">
            <v>HGC-Lib-2463682</v>
          </cell>
          <cell r="F2015" t="str">
            <v>BM774</v>
          </cell>
          <cell r="G2015">
            <v>4</v>
          </cell>
          <cell r="H2015" t="str">
            <v>全基因组文库</v>
          </cell>
          <cell r="J2015">
            <v>41.8</v>
          </cell>
          <cell r="N2015" t="e">
            <v>#DIV/0!</v>
          </cell>
        </row>
        <row r="2016">
          <cell r="E2016" t="str">
            <v>HGC-Lib-2463683</v>
          </cell>
          <cell r="F2016" t="str">
            <v>BM775</v>
          </cell>
          <cell r="G2016">
            <v>4</v>
          </cell>
          <cell r="H2016" t="str">
            <v>全基因组文库</v>
          </cell>
          <cell r="J2016">
            <v>39.83</v>
          </cell>
          <cell r="N2016" t="e">
            <v>#DIV/0!</v>
          </cell>
        </row>
        <row r="2017">
          <cell r="E2017" t="str">
            <v>HGC-Lib-2463684</v>
          </cell>
          <cell r="F2017" t="str">
            <v>BM776</v>
          </cell>
          <cell r="G2017">
            <v>4</v>
          </cell>
          <cell r="H2017" t="str">
            <v>全基因组文库</v>
          </cell>
          <cell r="J2017">
            <v>36.090000000000003</v>
          </cell>
          <cell r="N2017" t="e">
            <v>#DIV/0!</v>
          </cell>
        </row>
        <row r="2018">
          <cell r="E2018" t="str">
            <v>HGC-Lib-2463685</v>
          </cell>
          <cell r="F2018" t="str">
            <v>BM777</v>
          </cell>
          <cell r="G2018">
            <v>4</v>
          </cell>
          <cell r="H2018" t="str">
            <v>全基因组文库</v>
          </cell>
          <cell r="J2018">
            <v>50.4</v>
          </cell>
          <cell r="N2018" t="e">
            <v>#DIV/0!</v>
          </cell>
        </row>
        <row r="2019">
          <cell r="E2019" t="str">
            <v>HGC-Lib-2463686</v>
          </cell>
          <cell r="F2019" t="str">
            <v>BM778</v>
          </cell>
          <cell r="G2019">
            <v>4</v>
          </cell>
          <cell r="H2019" t="str">
            <v>全基因组文库</v>
          </cell>
          <cell r="J2019">
            <v>49.31</v>
          </cell>
          <cell r="N2019" t="e">
            <v>#DIV/0!</v>
          </cell>
        </row>
        <row r="2020">
          <cell r="E2020" t="str">
            <v>HGC-Lib-2463687</v>
          </cell>
          <cell r="F2020" t="str">
            <v>BM779</v>
          </cell>
          <cell r="G2020">
            <v>4</v>
          </cell>
          <cell r="H2020" t="str">
            <v>全基因组文库</v>
          </cell>
          <cell r="J2020">
            <v>47.53</v>
          </cell>
          <cell r="N2020" t="e">
            <v>#DIV/0!</v>
          </cell>
        </row>
        <row r="2021">
          <cell r="E2021" t="str">
            <v>HGC-Lib-2463688</v>
          </cell>
          <cell r="F2021" t="str">
            <v>BM780</v>
          </cell>
          <cell r="G2021">
            <v>4</v>
          </cell>
          <cell r="H2021" t="str">
            <v>全基因组文库</v>
          </cell>
          <cell r="J2021">
            <v>39.69</v>
          </cell>
          <cell r="N2021" t="e">
            <v>#DIV/0!</v>
          </cell>
        </row>
        <row r="2022">
          <cell r="E2022" t="str">
            <v>HGC-Lib-2463689</v>
          </cell>
          <cell r="F2022" t="str">
            <v>BM781</v>
          </cell>
          <cell r="G2022">
            <v>4</v>
          </cell>
          <cell r="H2022" t="str">
            <v>全基因组文库</v>
          </cell>
          <cell r="J2022">
            <v>38.1</v>
          </cell>
          <cell r="N2022" t="e">
            <v>#DIV/0!</v>
          </cell>
        </row>
        <row r="2023">
          <cell r="E2023" t="str">
            <v>HGC-Lib-2463690</v>
          </cell>
          <cell r="F2023" t="str">
            <v>BM782</v>
          </cell>
          <cell r="G2023">
            <v>4</v>
          </cell>
          <cell r="H2023" t="str">
            <v>全基因组文库</v>
          </cell>
          <cell r="J2023">
            <v>38.08</v>
          </cell>
          <cell r="N2023" t="e">
            <v>#DIV/0!</v>
          </cell>
        </row>
        <row r="2024">
          <cell r="E2024" t="str">
            <v>HGC-Lib-2463691</v>
          </cell>
          <cell r="F2024" t="str">
            <v>BM783</v>
          </cell>
          <cell r="G2024">
            <v>4</v>
          </cell>
          <cell r="H2024" t="str">
            <v>全基因组文库</v>
          </cell>
          <cell r="J2024">
            <v>43.03</v>
          </cell>
          <cell r="N2024" t="e">
            <v>#DIV/0!</v>
          </cell>
        </row>
        <row r="2025">
          <cell r="E2025" t="str">
            <v>HGC-Lib-2463692</v>
          </cell>
          <cell r="F2025" t="str">
            <v>BM784</v>
          </cell>
          <cell r="G2025">
            <v>4</v>
          </cell>
          <cell r="H2025" t="str">
            <v>全基因组文库</v>
          </cell>
          <cell r="J2025">
            <v>44.78</v>
          </cell>
          <cell r="N2025" t="e">
            <v>#DIV/0!</v>
          </cell>
        </row>
        <row r="2026">
          <cell r="E2026" t="str">
            <v>HGC-Lib-2463693</v>
          </cell>
          <cell r="F2026" t="str">
            <v>BM786</v>
          </cell>
          <cell r="G2026">
            <v>4</v>
          </cell>
          <cell r="H2026" t="str">
            <v>全基因组文库</v>
          </cell>
          <cell r="J2026">
            <v>46.73</v>
          </cell>
          <cell r="N2026" t="e">
            <v>#DIV/0!</v>
          </cell>
        </row>
        <row r="2027">
          <cell r="E2027" t="str">
            <v>HGC-Lib-2463694</v>
          </cell>
          <cell r="F2027" t="str">
            <v>BM787</v>
          </cell>
          <cell r="G2027">
            <v>4</v>
          </cell>
          <cell r="H2027" t="str">
            <v>全基因组文库</v>
          </cell>
          <cell r="J2027">
            <v>50.68</v>
          </cell>
          <cell r="N2027" t="e">
            <v>#DIV/0!</v>
          </cell>
        </row>
        <row r="2028">
          <cell r="E2028" t="str">
            <v>HGC-Lib-2463695</v>
          </cell>
          <cell r="F2028" t="str">
            <v>BM788</v>
          </cell>
          <cell r="G2028">
            <v>4</v>
          </cell>
          <cell r="H2028" t="str">
            <v>全基因组文库</v>
          </cell>
          <cell r="J2028">
            <v>42.8</v>
          </cell>
          <cell r="N2028" t="e">
            <v>#DIV/0!</v>
          </cell>
        </row>
        <row r="2029">
          <cell r="E2029" t="str">
            <v>HGC-Lib-2463696</v>
          </cell>
          <cell r="F2029" t="str">
            <v>BM790</v>
          </cell>
          <cell r="G2029">
            <v>4</v>
          </cell>
          <cell r="H2029" t="str">
            <v>全基因组文库</v>
          </cell>
          <cell r="J2029">
            <v>43.56</v>
          </cell>
          <cell r="N2029" t="e">
            <v>#DIV/0!</v>
          </cell>
        </row>
        <row r="2030">
          <cell r="E2030" t="str">
            <v>HGC-Lib-2463697</v>
          </cell>
          <cell r="F2030" t="str">
            <v>BM791</v>
          </cell>
          <cell r="G2030">
            <v>4</v>
          </cell>
          <cell r="H2030" t="str">
            <v>全基因组文库</v>
          </cell>
          <cell r="J2030">
            <v>36</v>
          </cell>
          <cell r="N2030" t="e">
            <v>#DIV/0!</v>
          </cell>
        </row>
        <row r="2031">
          <cell r="E2031" t="str">
            <v>HGC-Lib-2463698</v>
          </cell>
          <cell r="F2031" t="str">
            <v>BM792</v>
          </cell>
          <cell r="G2031">
            <v>4</v>
          </cell>
          <cell r="H2031" t="str">
            <v>全基因组文库</v>
          </cell>
          <cell r="J2031">
            <v>41</v>
          </cell>
          <cell r="N2031" t="e">
            <v>#DIV/0!</v>
          </cell>
        </row>
        <row r="2032">
          <cell r="E2032" t="str">
            <v>HGC-Lib-2463699</v>
          </cell>
          <cell r="F2032" t="str">
            <v>BM794</v>
          </cell>
          <cell r="G2032">
            <v>4</v>
          </cell>
          <cell r="H2032" t="str">
            <v>全基因组文库</v>
          </cell>
          <cell r="J2032">
            <v>41.11</v>
          </cell>
          <cell r="N2032" t="e">
            <v>#DIV/0!</v>
          </cell>
        </row>
        <row r="2033">
          <cell r="E2033" t="str">
            <v>HGC-Lib-2463700</v>
          </cell>
          <cell r="F2033" t="str">
            <v>BM796</v>
          </cell>
          <cell r="G2033">
            <v>4</v>
          </cell>
          <cell r="H2033" t="str">
            <v>全基因组文库</v>
          </cell>
          <cell r="J2033">
            <v>43.98</v>
          </cell>
          <cell r="N2033" t="e">
            <v>#DIV/0!</v>
          </cell>
        </row>
        <row r="2034">
          <cell r="E2034" t="str">
            <v>HGC-Lib-2463701</v>
          </cell>
          <cell r="F2034" t="str">
            <v>BM798</v>
          </cell>
          <cell r="G2034">
            <v>4</v>
          </cell>
          <cell r="H2034" t="str">
            <v>全基因组文库</v>
          </cell>
          <cell r="J2034">
            <v>46.61</v>
          </cell>
          <cell r="N2034" t="e">
            <v>#DIV/0!</v>
          </cell>
        </row>
        <row r="2035">
          <cell r="E2035" t="str">
            <v>HGC-Lib-2463702</v>
          </cell>
          <cell r="F2035" t="str">
            <v>BM799</v>
          </cell>
          <cell r="G2035">
            <v>4</v>
          </cell>
          <cell r="H2035" t="str">
            <v>全基因组文库</v>
          </cell>
          <cell r="J2035">
            <v>46.33</v>
          </cell>
          <cell r="N2035" t="e">
            <v>#DIV/0!</v>
          </cell>
        </row>
        <row r="2036">
          <cell r="E2036" t="str">
            <v>HGC-Lib-2463703</v>
          </cell>
          <cell r="F2036" t="str">
            <v>BM800</v>
          </cell>
          <cell r="G2036">
            <v>4</v>
          </cell>
          <cell r="H2036" t="str">
            <v>全基因组文库</v>
          </cell>
          <cell r="J2036">
            <v>42.49</v>
          </cell>
          <cell r="N2036" t="e">
            <v>#DIV/0!</v>
          </cell>
        </row>
        <row r="2037">
          <cell r="E2037" t="str">
            <v>HGC-Lib-2463704</v>
          </cell>
          <cell r="F2037" t="str">
            <v>BM801</v>
          </cell>
          <cell r="G2037">
            <v>4</v>
          </cell>
          <cell r="H2037" t="str">
            <v>全基因组文库</v>
          </cell>
          <cell r="J2037">
            <v>42.19</v>
          </cell>
          <cell r="N2037" t="e">
            <v>#DIV/0!</v>
          </cell>
        </row>
        <row r="2038">
          <cell r="E2038" t="str">
            <v>HGC-Lib-2463705</v>
          </cell>
          <cell r="F2038" t="str">
            <v>BM803</v>
          </cell>
          <cell r="G2038">
            <v>4</v>
          </cell>
          <cell r="H2038" t="str">
            <v>全基因组文库</v>
          </cell>
          <cell r="J2038">
            <v>38.72</v>
          </cell>
          <cell r="N2038" t="e">
            <v>#DIV/0!</v>
          </cell>
        </row>
        <row r="2039">
          <cell r="E2039" t="str">
            <v>HGC-Lib-2463706</v>
          </cell>
          <cell r="F2039" t="str">
            <v>BM804</v>
          </cell>
          <cell r="G2039">
            <v>4</v>
          </cell>
          <cell r="H2039" t="str">
            <v>全基因组文库</v>
          </cell>
          <cell r="J2039">
            <v>36.21</v>
          </cell>
          <cell r="N2039" t="e">
            <v>#DIV/0!</v>
          </cell>
        </row>
        <row r="2040">
          <cell r="E2040" t="str">
            <v>HGC-Lib-2463707</v>
          </cell>
          <cell r="F2040" t="str">
            <v>BM806</v>
          </cell>
          <cell r="G2040">
            <v>4</v>
          </cell>
          <cell r="H2040" t="str">
            <v>全基因组文库</v>
          </cell>
          <cell r="J2040">
            <v>42.69</v>
          </cell>
          <cell r="N2040" t="e">
            <v>#DIV/0!</v>
          </cell>
        </row>
        <row r="2041">
          <cell r="E2041" t="str">
            <v>HGC-Lib-2463708</v>
          </cell>
          <cell r="F2041" t="str">
            <v>BM807</v>
          </cell>
          <cell r="G2041">
            <v>4</v>
          </cell>
          <cell r="H2041" t="str">
            <v>全基因组文库</v>
          </cell>
          <cell r="J2041">
            <v>41.32</v>
          </cell>
          <cell r="N2041" t="e">
            <v>#DIV/0!</v>
          </cell>
        </row>
        <row r="2042">
          <cell r="E2042" t="str">
            <v>HGC-Lib-2463709</v>
          </cell>
          <cell r="F2042" t="str">
            <v>BM810</v>
          </cell>
          <cell r="G2042">
            <v>4</v>
          </cell>
          <cell r="H2042" t="str">
            <v>全基因组文库</v>
          </cell>
          <cell r="J2042">
            <v>37.549999999999997</v>
          </cell>
          <cell r="N2042" t="e">
            <v>#DIV/0!</v>
          </cell>
        </row>
        <row r="2043">
          <cell r="E2043" t="str">
            <v>HGC-Lib-2463710</v>
          </cell>
          <cell r="F2043" t="str">
            <v>BM816</v>
          </cell>
          <cell r="G2043">
            <v>4</v>
          </cell>
          <cell r="H2043" t="str">
            <v>全基因组文库</v>
          </cell>
          <cell r="J2043">
            <v>41.53</v>
          </cell>
          <cell r="N2043" t="e">
            <v>#DIV/0!</v>
          </cell>
        </row>
        <row r="2044">
          <cell r="E2044" t="str">
            <v>HGC-Lib-2463711</v>
          </cell>
          <cell r="F2044" t="str">
            <v>BM817</v>
          </cell>
          <cell r="G2044">
            <v>4</v>
          </cell>
          <cell r="H2044" t="str">
            <v>全基因组文库</v>
          </cell>
          <cell r="J2044">
            <v>32.29</v>
          </cell>
          <cell r="N2044" t="e">
            <v>#DIV/0!</v>
          </cell>
        </row>
        <row r="2045">
          <cell r="E2045" t="str">
            <v>HGC-Lib-2463712</v>
          </cell>
          <cell r="F2045" t="str">
            <v>BM818</v>
          </cell>
          <cell r="G2045">
            <v>4</v>
          </cell>
          <cell r="H2045" t="str">
            <v>全基因组文库</v>
          </cell>
          <cell r="J2045">
            <v>35.49</v>
          </cell>
          <cell r="N2045" t="e">
            <v>#DIV/0!</v>
          </cell>
        </row>
        <row r="2046">
          <cell r="E2046" t="str">
            <v>HGC-Lib-2463713</v>
          </cell>
          <cell r="F2046" t="str">
            <v>BM819</v>
          </cell>
          <cell r="G2046">
            <v>4</v>
          </cell>
          <cell r="H2046" t="str">
            <v>全基因组文库</v>
          </cell>
          <cell r="J2046">
            <v>37.979999999999997</v>
          </cell>
          <cell r="N2046" t="e">
            <v>#DIV/0!</v>
          </cell>
        </row>
        <row r="2047">
          <cell r="E2047" t="str">
            <v>HGC-Lib-2463714</v>
          </cell>
          <cell r="F2047" t="str">
            <v>BM820</v>
          </cell>
          <cell r="G2047">
            <v>4</v>
          </cell>
          <cell r="H2047" t="str">
            <v>全基因组文库</v>
          </cell>
          <cell r="J2047">
            <v>36.71</v>
          </cell>
          <cell r="N2047" t="e">
            <v>#DIV/0!</v>
          </cell>
        </row>
        <row r="2048">
          <cell r="E2048" t="str">
            <v>HGC-Lib-2463715</v>
          </cell>
          <cell r="F2048" t="str">
            <v>BM821</v>
          </cell>
          <cell r="G2048">
            <v>4</v>
          </cell>
          <cell r="H2048" t="str">
            <v>全基因组文库</v>
          </cell>
          <cell r="J2048">
            <v>36.14</v>
          </cell>
          <cell r="N2048" t="e">
            <v>#DIV/0!</v>
          </cell>
        </row>
        <row r="2049">
          <cell r="E2049" t="str">
            <v>HGC-Lib-2463716</v>
          </cell>
          <cell r="F2049" t="str">
            <v>BM824</v>
          </cell>
          <cell r="G2049">
            <v>4</v>
          </cell>
          <cell r="H2049" t="str">
            <v>全基因组文库</v>
          </cell>
          <cell r="J2049">
            <v>36.89</v>
          </cell>
          <cell r="N2049" t="e">
            <v>#DIV/0!</v>
          </cell>
        </row>
        <row r="2050">
          <cell r="E2050" t="str">
            <v>HGC-Lib-2463717</v>
          </cell>
          <cell r="F2050" t="str">
            <v>BM826</v>
          </cell>
          <cell r="G2050">
            <v>4</v>
          </cell>
          <cell r="H2050" t="str">
            <v>全基因组文库</v>
          </cell>
          <cell r="J2050">
            <v>47.57</v>
          </cell>
          <cell r="N2050" t="e">
            <v>#DIV/0!</v>
          </cell>
        </row>
        <row r="2051">
          <cell r="E2051" t="str">
            <v>HGC-Lib-2463718</v>
          </cell>
          <cell r="F2051" t="str">
            <v>BM827</v>
          </cell>
          <cell r="G2051">
            <v>4</v>
          </cell>
          <cell r="H2051" t="str">
            <v>全基因组文库</v>
          </cell>
          <cell r="J2051">
            <v>47.38</v>
          </cell>
          <cell r="N2051" t="e">
            <v>#DIV/0!</v>
          </cell>
        </row>
        <row r="2052">
          <cell r="E2052" t="str">
            <v>HGC-Lib-2463719</v>
          </cell>
          <cell r="F2052" t="str">
            <v>BM828</v>
          </cell>
          <cell r="G2052">
            <v>4</v>
          </cell>
          <cell r="H2052" t="str">
            <v>全基因组文库</v>
          </cell>
          <cell r="J2052">
            <v>37.43</v>
          </cell>
          <cell r="N2052" t="e">
            <v>#DIV/0!</v>
          </cell>
        </row>
        <row r="2053">
          <cell r="E2053" t="str">
            <v>HGC-Lib-2463720</v>
          </cell>
          <cell r="F2053" t="str">
            <v>BM829</v>
          </cell>
          <cell r="G2053">
            <v>4</v>
          </cell>
          <cell r="H2053" t="str">
            <v>全基因组文库</v>
          </cell>
          <cell r="J2053">
            <v>33.549999999999997</v>
          </cell>
          <cell r="N2053" t="e">
            <v>#DIV/0!</v>
          </cell>
        </row>
        <row r="2054">
          <cell r="E2054" t="str">
            <v>HGC-Lib-2463721</v>
          </cell>
          <cell r="F2054" t="str">
            <v>BM162</v>
          </cell>
          <cell r="G2054">
            <v>4</v>
          </cell>
          <cell r="H2054" t="str">
            <v>全基因组文库</v>
          </cell>
          <cell r="J2054">
            <v>38.049999999999997</v>
          </cell>
          <cell r="N2054" t="e">
            <v>#DIV/0!</v>
          </cell>
        </row>
        <row r="2055">
          <cell r="E2055" t="str">
            <v>HGC-Lib-2463722</v>
          </cell>
          <cell r="F2055" t="str">
            <v>BM230</v>
          </cell>
          <cell r="G2055">
            <v>4</v>
          </cell>
          <cell r="H2055" t="str">
            <v>全基因组文库</v>
          </cell>
          <cell r="J2055">
            <v>20.18</v>
          </cell>
          <cell r="N2055" t="e">
            <v>#DIV/0!</v>
          </cell>
        </row>
        <row r="2056">
          <cell r="E2056" t="str">
            <v>HGC-Lib-2463723</v>
          </cell>
          <cell r="F2056" t="str">
            <v>BM241</v>
          </cell>
          <cell r="G2056">
            <v>4</v>
          </cell>
          <cell r="H2056" t="str">
            <v>全基因组文库</v>
          </cell>
          <cell r="J2056">
            <v>25.87</v>
          </cell>
          <cell r="N2056" t="e">
            <v>#DIV/0!</v>
          </cell>
        </row>
        <row r="2057">
          <cell r="E2057" t="str">
            <v>HGC-Lib-2463724</v>
          </cell>
          <cell r="F2057" t="str">
            <v>BM246</v>
          </cell>
          <cell r="G2057">
            <v>4</v>
          </cell>
          <cell r="H2057" t="str">
            <v>全基因组文库</v>
          </cell>
          <cell r="J2057">
            <v>17.87</v>
          </cell>
          <cell r="N2057" t="e">
            <v>#DIV/0!</v>
          </cell>
        </row>
        <row r="2058">
          <cell r="E2058" t="str">
            <v>HGC-Lib-2463725</v>
          </cell>
          <cell r="F2058" t="str">
            <v>BM248</v>
          </cell>
          <cell r="G2058">
            <v>4</v>
          </cell>
          <cell r="H2058" t="str">
            <v>全基因组文库</v>
          </cell>
          <cell r="J2058">
            <v>22.7</v>
          </cell>
          <cell r="N2058" t="e">
            <v>#DIV/0!</v>
          </cell>
        </row>
        <row r="2059">
          <cell r="E2059" t="str">
            <v>HGC-Lib-2463726</v>
          </cell>
          <cell r="F2059" t="str">
            <v>BM249</v>
          </cell>
          <cell r="G2059">
            <v>4</v>
          </cell>
          <cell r="H2059" t="str">
            <v>全基因组文库</v>
          </cell>
          <cell r="J2059">
            <v>13.51</v>
          </cell>
          <cell r="N2059" t="e">
            <v>#DIV/0!</v>
          </cell>
        </row>
        <row r="2060">
          <cell r="E2060" t="str">
            <v>HGC-Lib-2463727</v>
          </cell>
          <cell r="F2060" t="str">
            <v>BM250</v>
          </cell>
          <cell r="G2060">
            <v>4</v>
          </cell>
          <cell r="H2060" t="str">
            <v>全基因组文库</v>
          </cell>
          <cell r="J2060">
            <v>19.45</v>
          </cell>
          <cell r="N2060" t="e">
            <v>#DIV/0!</v>
          </cell>
        </row>
        <row r="2061">
          <cell r="E2061" t="str">
            <v>HGC-Lib-2463728</v>
          </cell>
          <cell r="F2061" t="str">
            <v>BM252</v>
          </cell>
          <cell r="G2061">
            <v>4</v>
          </cell>
          <cell r="H2061" t="str">
            <v>全基因组文库</v>
          </cell>
          <cell r="J2061">
            <v>16.68</v>
          </cell>
          <cell r="N2061" t="e">
            <v>#DIV/0!</v>
          </cell>
        </row>
        <row r="2062">
          <cell r="E2062" t="str">
            <v>HGC-Lib-2463729</v>
          </cell>
          <cell r="F2062" t="str">
            <v>BM253</v>
          </cell>
          <cell r="G2062">
            <v>4</v>
          </cell>
          <cell r="H2062" t="str">
            <v>全基因组文库</v>
          </cell>
          <cell r="J2062">
            <v>22.99</v>
          </cell>
          <cell r="N2062" t="e">
            <v>#DIV/0!</v>
          </cell>
        </row>
        <row r="2063">
          <cell r="E2063" t="str">
            <v>HGC-Lib-2463730</v>
          </cell>
          <cell r="F2063" t="str">
            <v>BM255</v>
          </cell>
          <cell r="G2063">
            <v>4</v>
          </cell>
          <cell r="H2063" t="str">
            <v>全基因组文库</v>
          </cell>
          <cell r="J2063">
            <v>33.44</v>
          </cell>
          <cell r="N2063" t="e">
            <v>#DIV/0!</v>
          </cell>
        </row>
        <row r="2064">
          <cell r="E2064" t="str">
            <v>HGC-Lib-2463731</v>
          </cell>
          <cell r="F2064" t="str">
            <v>BM257</v>
          </cell>
          <cell r="G2064">
            <v>4</v>
          </cell>
          <cell r="H2064" t="str">
            <v>全基因组文库</v>
          </cell>
          <cell r="J2064">
            <v>22.62</v>
          </cell>
          <cell r="N2064" t="e">
            <v>#DIV/0!</v>
          </cell>
        </row>
        <row r="2065">
          <cell r="E2065" t="str">
            <v>HGC-Lib-2463732</v>
          </cell>
          <cell r="F2065" t="str">
            <v>BM259</v>
          </cell>
          <cell r="G2065">
            <v>4</v>
          </cell>
          <cell r="H2065" t="str">
            <v>全基因组文库</v>
          </cell>
          <cell r="J2065">
            <v>27.77</v>
          </cell>
          <cell r="N2065" t="e">
            <v>#DIV/0!</v>
          </cell>
        </row>
        <row r="2066">
          <cell r="E2066" t="str">
            <v>HGC-Lib-2463733</v>
          </cell>
          <cell r="F2066" t="str">
            <v>BM261</v>
          </cell>
          <cell r="G2066">
            <v>4</v>
          </cell>
          <cell r="H2066" t="str">
            <v>全基因组文库</v>
          </cell>
          <cell r="J2066">
            <v>23.87</v>
          </cell>
          <cell r="N2066" t="e">
            <v>#DIV/0!</v>
          </cell>
        </row>
        <row r="2067">
          <cell r="E2067" t="str">
            <v>HGC-Lib-2463734</v>
          </cell>
          <cell r="F2067" t="str">
            <v>BM262</v>
          </cell>
          <cell r="G2067">
            <v>4</v>
          </cell>
          <cell r="H2067" t="str">
            <v>全基因组文库</v>
          </cell>
          <cell r="J2067">
            <v>19.8</v>
          </cell>
          <cell r="N2067" t="e">
            <v>#DIV/0!</v>
          </cell>
        </row>
        <row r="2068">
          <cell r="E2068" t="str">
            <v>HGC-Lib-2463735</v>
          </cell>
          <cell r="F2068" t="str">
            <v>BM268</v>
          </cell>
          <cell r="G2068">
            <v>4</v>
          </cell>
          <cell r="H2068" t="str">
            <v>全基因组文库</v>
          </cell>
          <cell r="J2068">
            <v>29.27</v>
          </cell>
          <cell r="N2068" t="e">
            <v>#DIV/0!</v>
          </cell>
        </row>
        <row r="2069">
          <cell r="E2069" t="str">
            <v>HGC-Lib-2463736</v>
          </cell>
          <cell r="F2069" t="str">
            <v>BM269</v>
          </cell>
          <cell r="G2069">
            <v>4</v>
          </cell>
          <cell r="H2069" t="str">
            <v>全基因组文库</v>
          </cell>
          <cell r="J2069">
            <v>19.87</v>
          </cell>
          <cell r="N2069" t="e">
            <v>#DIV/0!</v>
          </cell>
        </row>
        <row r="2070">
          <cell r="E2070" t="str">
            <v>HGC-Lib-2463737</v>
          </cell>
          <cell r="F2070" t="str">
            <v>BM270</v>
          </cell>
          <cell r="G2070">
            <v>4</v>
          </cell>
          <cell r="H2070" t="str">
            <v>全基因组文库</v>
          </cell>
          <cell r="J2070">
            <v>20.11</v>
          </cell>
          <cell r="N2070" t="e">
            <v>#DIV/0!</v>
          </cell>
        </row>
        <row r="2071">
          <cell r="E2071" t="str">
            <v>HGC-Lib-2463738</v>
          </cell>
          <cell r="F2071" t="str">
            <v>BM271</v>
          </cell>
          <cell r="G2071">
            <v>4</v>
          </cell>
          <cell r="H2071" t="str">
            <v>全基因组文库</v>
          </cell>
          <cell r="J2071">
            <v>21.13</v>
          </cell>
          <cell r="N2071" t="e">
            <v>#DIV/0!</v>
          </cell>
        </row>
        <row r="2072">
          <cell r="E2072" t="str">
            <v>HGC-Lib-2463739</v>
          </cell>
          <cell r="F2072" t="str">
            <v>BM272</v>
          </cell>
          <cell r="G2072">
            <v>4</v>
          </cell>
          <cell r="H2072" t="str">
            <v>全基因组文库</v>
          </cell>
          <cell r="J2072">
            <v>16.39</v>
          </cell>
          <cell r="N2072" t="e">
            <v>#DIV/0!</v>
          </cell>
        </row>
        <row r="2073">
          <cell r="E2073" t="str">
            <v>HGC-Lib-2463740</v>
          </cell>
          <cell r="F2073" t="str">
            <v>BM274</v>
          </cell>
          <cell r="G2073">
            <v>4</v>
          </cell>
          <cell r="H2073" t="str">
            <v>全基因组文库</v>
          </cell>
          <cell r="J2073">
            <v>31.15</v>
          </cell>
          <cell r="N2073" t="e">
            <v>#DIV/0!</v>
          </cell>
        </row>
        <row r="2074">
          <cell r="E2074" t="str">
            <v>HGC-Lib-2463741</v>
          </cell>
          <cell r="F2074" t="str">
            <v>BM275</v>
          </cell>
          <cell r="G2074">
            <v>4</v>
          </cell>
          <cell r="H2074" t="str">
            <v>全基因组文库</v>
          </cell>
          <cell r="J2074">
            <v>17.190000000000001</v>
          </cell>
          <cell r="N2074" t="e">
            <v>#DIV/0!</v>
          </cell>
        </row>
        <row r="2075">
          <cell r="E2075" t="str">
            <v>HGC-Lib-2463742</v>
          </cell>
          <cell r="F2075" t="str">
            <v>BM279</v>
          </cell>
          <cell r="G2075">
            <v>4</v>
          </cell>
          <cell r="H2075" t="str">
            <v>全基因组文库</v>
          </cell>
          <cell r="J2075">
            <v>23.82</v>
          </cell>
          <cell r="N2075" t="e">
            <v>#DIV/0!</v>
          </cell>
        </row>
        <row r="2076">
          <cell r="E2076" t="str">
            <v>HGC-Lib-2463743</v>
          </cell>
          <cell r="F2076" t="str">
            <v>BM280</v>
          </cell>
          <cell r="G2076">
            <v>4</v>
          </cell>
          <cell r="H2076" t="str">
            <v>全基因组文库</v>
          </cell>
          <cell r="J2076">
            <v>13.46</v>
          </cell>
          <cell r="N2076" t="e">
            <v>#DIV/0!</v>
          </cell>
        </row>
        <row r="2077">
          <cell r="E2077" t="str">
            <v>HGC-Lib-2463744</v>
          </cell>
          <cell r="F2077" t="str">
            <v>BM281</v>
          </cell>
          <cell r="G2077">
            <v>4</v>
          </cell>
          <cell r="H2077" t="str">
            <v>全基因组文库</v>
          </cell>
          <cell r="J2077">
            <v>18.690000000000001</v>
          </cell>
          <cell r="N2077" t="e">
            <v>#DIV/0!</v>
          </cell>
        </row>
        <row r="2078">
          <cell r="E2078" t="str">
            <v>HGC-Lib-2463745</v>
          </cell>
          <cell r="F2078" t="str">
            <v>BM285</v>
          </cell>
          <cell r="G2078">
            <v>4</v>
          </cell>
          <cell r="H2078" t="str">
            <v>全基因组文库</v>
          </cell>
          <cell r="J2078">
            <v>19.899999999999999</v>
          </cell>
          <cell r="N2078" t="e">
            <v>#DIV/0!</v>
          </cell>
        </row>
        <row r="2079">
          <cell r="E2079" t="str">
            <v>HGC-Lib-2463746</v>
          </cell>
          <cell r="F2079" t="str">
            <v>BM286</v>
          </cell>
          <cell r="G2079">
            <v>4</v>
          </cell>
          <cell r="H2079" t="str">
            <v>全基因组文库</v>
          </cell>
          <cell r="J2079">
            <v>20.82</v>
          </cell>
          <cell r="N2079" t="e">
            <v>#DIV/0!</v>
          </cell>
        </row>
        <row r="2080">
          <cell r="E2080" t="str">
            <v>HGC-Lib-2463747</v>
          </cell>
          <cell r="F2080" t="str">
            <v>BM289</v>
          </cell>
          <cell r="G2080">
            <v>4</v>
          </cell>
          <cell r="H2080" t="str">
            <v>全基因组文库</v>
          </cell>
          <cell r="J2080">
            <v>26.63</v>
          </cell>
          <cell r="N2080" t="e">
            <v>#DIV/0!</v>
          </cell>
        </row>
        <row r="2081">
          <cell r="E2081" t="str">
            <v>HGC-Lib-2463748</v>
          </cell>
          <cell r="F2081" t="str">
            <v>BM290</v>
          </cell>
          <cell r="G2081">
            <v>4</v>
          </cell>
          <cell r="H2081" t="str">
            <v>全基因组文库</v>
          </cell>
          <cell r="J2081">
            <v>24.09</v>
          </cell>
          <cell r="N2081" t="e">
            <v>#DIV/0!</v>
          </cell>
        </row>
        <row r="2082">
          <cell r="E2082" t="str">
            <v>HGC-Lib-2463749</v>
          </cell>
          <cell r="F2082" t="str">
            <v>BM292</v>
          </cell>
          <cell r="G2082">
            <v>4</v>
          </cell>
          <cell r="H2082" t="str">
            <v>全基因组文库</v>
          </cell>
          <cell r="J2082">
            <v>17.510000000000002</v>
          </cell>
          <cell r="N2082" t="e">
            <v>#DIV/0!</v>
          </cell>
        </row>
        <row r="2083">
          <cell r="E2083" t="str">
            <v>HGC-Lib-2463750</v>
          </cell>
          <cell r="F2083" t="str">
            <v>BM293</v>
          </cell>
          <cell r="G2083">
            <v>4</v>
          </cell>
          <cell r="H2083" t="str">
            <v>全基因组文库</v>
          </cell>
          <cell r="J2083">
            <v>14.67</v>
          </cell>
          <cell r="N2083" t="e">
            <v>#DIV/0!</v>
          </cell>
        </row>
        <row r="2084">
          <cell r="E2084" t="str">
            <v>HGC-Lib-2463751</v>
          </cell>
          <cell r="F2084" t="str">
            <v>BM294</v>
          </cell>
          <cell r="G2084">
            <v>4</v>
          </cell>
          <cell r="H2084" t="str">
            <v>全基因组文库</v>
          </cell>
          <cell r="J2084">
            <v>16.71</v>
          </cell>
          <cell r="N2084" t="e">
            <v>#DIV/0!</v>
          </cell>
        </row>
        <row r="2085">
          <cell r="E2085" t="str">
            <v>HGC-Lib-2463752</v>
          </cell>
          <cell r="F2085" t="str">
            <v>BM295</v>
          </cell>
          <cell r="G2085">
            <v>4</v>
          </cell>
          <cell r="H2085" t="str">
            <v>全基因组文库</v>
          </cell>
          <cell r="J2085">
            <v>22.43</v>
          </cell>
          <cell r="N2085" t="e">
            <v>#DIV/0!</v>
          </cell>
        </row>
        <row r="2086">
          <cell r="E2086" t="str">
            <v>HGC-Lib-2463753</v>
          </cell>
          <cell r="F2086" t="str">
            <v>BM296</v>
          </cell>
          <cell r="G2086">
            <v>4</v>
          </cell>
          <cell r="H2086" t="str">
            <v>全基因组文库</v>
          </cell>
          <cell r="J2086">
            <v>22.56</v>
          </cell>
          <cell r="N2086" t="e">
            <v>#DIV/0!</v>
          </cell>
        </row>
        <row r="2087">
          <cell r="E2087" t="str">
            <v>HGC-Lib-2463754</v>
          </cell>
          <cell r="F2087" t="str">
            <v>BM298</v>
          </cell>
          <cell r="G2087">
            <v>4</v>
          </cell>
          <cell r="H2087" t="str">
            <v>全基因组文库</v>
          </cell>
          <cell r="J2087">
            <v>25.08</v>
          </cell>
          <cell r="N2087" t="e">
            <v>#DIV/0!</v>
          </cell>
        </row>
        <row r="2088">
          <cell r="E2088" t="str">
            <v>HGC-Lib-2463755</v>
          </cell>
          <cell r="F2088" t="str">
            <v>BM300</v>
          </cell>
          <cell r="G2088">
            <v>4</v>
          </cell>
          <cell r="H2088" t="str">
            <v>全基因组文库</v>
          </cell>
          <cell r="J2088">
            <v>17.329999999999998</v>
          </cell>
          <cell r="N2088" t="e">
            <v>#DIV/0!</v>
          </cell>
        </row>
        <row r="2089">
          <cell r="E2089" t="str">
            <v>HGC-Lib-2463756</v>
          </cell>
          <cell r="F2089" t="str">
            <v>BM337</v>
          </cell>
          <cell r="G2089">
            <v>4</v>
          </cell>
          <cell r="H2089" t="str">
            <v>全基因组文库</v>
          </cell>
          <cell r="J2089">
            <v>15.59</v>
          </cell>
          <cell r="N2089" t="e">
            <v>#DIV/0!</v>
          </cell>
        </row>
        <row r="2090">
          <cell r="E2090" t="str">
            <v>HGC-Lib-2463757</v>
          </cell>
          <cell r="F2090" t="str">
            <v>BM368</v>
          </cell>
          <cell r="G2090">
            <v>4</v>
          </cell>
          <cell r="H2090" t="str">
            <v>全基因组文库</v>
          </cell>
          <cell r="J2090">
            <v>22.36</v>
          </cell>
          <cell r="N2090" t="e">
            <v>#DIV/0!</v>
          </cell>
        </row>
        <row r="2091">
          <cell r="E2091" t="str">
            <v>HGC-Lib-2463758</v>
          </cell>
          <cell r="F2091" t="str">
            <v>BM376</v>
          </cell>
          <cell r="G2091">
            <v>4</v>
          </cell>
          <cell r="H2091" t="str">
            <v>全基因组文库</v>
          </cell>
          <cell r="J2091">
            <v>28.34</v>
          </cell>
          <cell r="N2091" t="e">
            <v>#DIV/0!</v>
          </cell>
        </row>
        <row r="2092">
          <cell r="E2092" t="str">
            <v>HGC-Lib-2463759</v>
          </cell>
          <cell r="F2092" t="str">
            <v>BM378</v>
          </cell>
          <cell r="G2092">
            <v>4</v>
          </cell>
          <cell r="H2092" t="str">
            <v>全基因组文库</v>
          </cell>
          <cell r="J2092">
            <v>25.45</v>
          </cell>
          <cell r="N2092" t="e">
            <v>#DIV/0!</v>
          </cell>
        </row>
        <row r="2093">
          <cell r="E2093" t="str">
            <v>HGC-Lib-2463760</v>
          </cell>
          <cell r="F2093" t="str">
            <v>BM379</v>
          </cell>
          <cell r="G2093">
            <v>4</v>
          </cell>
          <cell r="H2093" t="str">
            <v>全基因组文库</v>
          </cell>
          <cell r="J2093">
            <v>24.94</v>
          </cell>
          <cell r="N2093" t="e">
            <v>#DIV/0!</v>
          </cell>
        </row>
        <row r="2094">
          <cell r="E2094" t="str">
            <v>HGC-Lib-2463761</v>
          </cell>
          <cell r="F2094" t="str">
            <v>BM595</v>
          </cell>
          <cell r="G2094">
            <v>4</v>
          </cell>
          <cell r="H2094" t="str">
            <v>全基因组文库</v>
          </cell>
          <cell r="J2094">
            <v>26.02</v>
          </cell>
          <cell r="N2094" t="e">
            <v>#DIV/0!</v>
          </cell>
        </row>
        <row r="2095">
          <cell r="E2095" t="str">
            <v>HGC-Lib-2463762</v>
          </cell>
          <cell r="F2095" t="str">
            <v>BM607</v>
          </cell>
          <cell r="G2095">
            <v>4</v>
          </cell>
          <cell r="H2095" t="str">
            <v>全基因组文库</v>
          </cell>
          <cell r="J2095">
            <v>34.049999999999997</v>
          </cell>
          <cell r="N2095" t="e">
            <v>#DIV/0!</v>
          </cell>
        </row>
        <row r="2096">
          <cell r="E2096" t="str">
            <v>HGC-Lib-2463763</v>
          </cell>
          <cell r="F2096" t="str">
            <v>BM303</v>
          </cell>
          <cell r="G2096">
            <v>4</v>
          </cell>
          <cell r="H2096" t="str">
            <v>全基因组文库</v>
          </cell>
          <cell r="J2096">
            <v>33.03</v>
          </cell>
          <cell r="N2096" t="e">
            <v>#DIV/0!</v>
          </cell>
        </row>
        <row r="2097">
          <cell r="E2097" t="str">
            <v>HGC-Lib-2463764</v>
          </cell>
          <cell r="F2097" t="str">
            <v>BM347</v>
          </cell>
          <cell r="G2097">
            <v>4</v>
          </cell>
          <cell r="H2097" t="str">
            <v>全基因组文库</v>
          </cell>
          <cell r="J2097">
            <v>40.549999999999997</v>
          </cell>
          <cell r="N2097" t="e">
            <v>#DIV/0!</v>
          </cell>
        </row>
        <row r="2098">
          <cell r="E2098" t="str">
            <v>HGC-Lib-2463765</v>
          </cell>
          <cell r="F2098" t="str">
            <v>LD240729O-1811A</v>
          </cell>
          <cell r="G2098">
            <v>6</v>
          </cell>
          <cell r="H2098" t="str">
            <v>DNA宏基因组文库</v>
          </cell>
          <cell r="I2098" t="str">
            <v>GZQ</v>
          </cell>
          <cell r="J2098">
            <v>6.08</v>
          </cell>
          <cell r="N2098" t="e">
            <v>#DIV/0!</v>
          </cell>
        </row>
        <row r="2099">
          <cell r="E2099" t="str">
            <v>HGC-Lib-2463766</v>
          </cell>
          <cell r="F2099" t="str">
            <v>LD240729O-1812A</v>
          </cell>
          <cell r="G2099">
            <v>6</v>
          </cell>
          <cell r="H2099" t="str">
            <v>DNA宏基因组文库</v>
          </cell>
          <cell r="I2099" t="str">
            <v>GZQ</v>
          </cell>
          <cell r="J2099">
            <v>5.6</v>
          </cell>
          <cell r="N2099" t="e">
            <v>#DIV/0!</v>
          </cell>
        </row>
        <row r="2100">
          <cell r="E2100" t="str">
            <v>HGC-Lib-2463767</v>
          </cell>
          <cell r="F2100" t="str">
            <v>LD240712O-2868A</v>
          </cell>
          <cell r="G2100">
            <v>20</v>
          </cell>
          <cell r="H2100" t="str">
            <v>DNA宏基因组文库</v>
          </cell>
          <cell r="I2100" t="str">
            <v>GZQ</v>
          </cell>
          <cell r="J2100">
            <v>11.3</v>
          </cell>
          <cell r="N2100" t="e">
            <v>#DIV/0!</v>
          </cell>
        </row>
        <row r="2101">
          <cell r="E2101" t="str">
            <v>HGC-Lib-2463768</v>
          </cell>
          <cell r="F2101" t="str">
            <v>LD240715O-4315A</v>
          </cell>
          <cell r="G2101">
            <v>10</v>
          </cell>
          <cell r="H2101" t="str">
            <v>DNA病毒组文库</v>
          </cell>
          <cell r="I2101" t="str">
            <v>GZQ</v>
          </cell>
          <cell r="J2101">
            <v>11.1</v>
          </cell>
          <cell r="N2101" t="e">
            <v>#DIV/0!</v>
          </cell>
        </row>
        <row r="2102">
          <cell r="E2102" t="str">
            <v>HGC-Lib-2463769</v>
          </cell>
          <cell r="F2102" t="str">
            <v>LD240715O-4316A</v>
          </cell>
          <cell r="G2102">
            <v>10</v>
          </cell>
          <cell r="H2102" t="str">
            <v>DNA病毒组文库</v>
          </cell>
          <cell r="I2102" t="str">
            <v>GZQ</v>
          </cell>
          <cell r="J2102">
            <v>5.24</v>
          </cell>
          <cell r="N2102" t="e">
            <v>#DIV/0!</v>
          </cell>
        </row>
        <row r="2103">
          <cell r="E2103" t="str">
            <v>HGC-Lib-2463770</v>
          </cell>
          <cell r="F2103" t="str">
            <v>LD240715O-4317A</v>
          </cell>
          <cell r="G2103">
            <v>10</v>
          </cell>
          <cell r="H2103" t="str">
            <v>DNA病毒组文库</v>
          </cell>
          <cell r="I2103" t="str">
            <v>GZQ</v>
          </cell>
          <cell r="J2103">
            <v>5.62</v>
          </cell>
          <cell r="N2103" t="e">
            <v>#DIV/0!</v>
          </cell>
        </row>
        <row r="2104">
          <cell r="E2104" t="str">
            <v>HGC-Lib-2463771</v>
          </cell>
          <cell r="F2104" t="str">
            <v>LR240722O-5635A</v>
          </cell>
          <cell r="G2104">
            <v>15</v>
          </cell>
          <cell r="H2104" t="str">
            <v>宏转录组文库</v>
          </cell>
          <cell r="I2104" t="str">
            <v>GZQ</v>
          </cell>
          <cell r="J2104">
            <v>4.5599999999999996</v>
          </cell>
          <cell r="N2104" t="e">
            <v>#DIV/0!</v>
          </cell>
        </row>
        <row r="2105">
          <cell r="E2105" t="str">
            <v>HGC-Lib-2463772</v>
          </cell>
          <cell r="F2105" t="str">
            <v>LD240726O-2816A</v>
          </cell>
          <cell r="G2105">
            <v>10</v>
          </cell>
          <cell r="H2105" t="str">
            <v>DNA宏基因组文库</v>
          </cell>
          <cell r="I2105" t="str">
            <v>GZQ</v>
          </cell>
          <cell r="J2105">
            <v>8.8000000000000007</v>
          </cell>
          <cell r="N2105" t="e">
            <v>#DIV/0!</v>
          </cell>
        </row>
        <row r="2106">
          <cell r="E2106" t="str">
            <v>HGC-Lib-2463773</v>
          </cell>
          <cell r="F2106" t="str">
            <v>LR240724O-2299A</v>
          </cell>
          <cell r="G2106">
            <v>6</v>
          </cell>
          <cell r="H2106" t="str">
            <v>普通真核转录组文库</v>
          </cell>
          <cell r="I2106" t="str">
            <v>GZQ</v>
          </cell>
          <cell r="J2106">
            <v>52.2</v>
          </cell>
          <cell r="N2106" t="e">
            <v>#DIV/0!</v>
          </cell>
        </row>
        <row r="2107">
          <cell r="E2107" t="str">
            <v>HGC-Lib-2463774</v>
          </cell>
          <cell r="F2107" t="str">
            <v>LR240724O-2300A</v>
          </cell>
          <cell r="G2107">
            <v>6</v>
          </cell>
          <cell r="H2107" t="str">
            <v>普通真核转录组文库</v>
          </cell>
          <cell r="I2107" t="str">
            <v>GZQ</v>
          </cell>
          <cell r="J2107">
            <v>41</v>
          </cell>
          <cell r="N2107" t="e">
            <v>#DIV/0!</v>
          </cell>
        </row>
        <row r="2108">
          <cell r="E2108" t="str">
            <v>HGC-Lib-2463775</v>
          </cell>
          <cell r="F2108" t="str">
            <v>LR240725O-1851A</v>
          </cell>
          <cell r="G2108">
            <v>6</v>
          </cell>
          <cell r="H2108" t="str">
            <v>普通真核转录组文库</v>
          </cell>
          <cell r="I2108" t="str">
            <v>GZQ</v>
          </cell>
          <cell r="J2108">
            <v>52.4</v>
          </cell>
          <cell r="N2108" t="e">
            <v>#DIV/0!</v>
          </cell>
        </row>
        <row r="2109">
          <cell r="E2109" t="str">
            <v>HGC-Lib-2463776</v>
          </cell>
          <cell r="F2109" t="str">
            <v>LR240725O-1852A</v>
          </cell>
          <cell r="G2109">
            <v>6</v>
          </cell>
          <cell r="H2109" t="str">
            <v>普通真核转录组文库</v>
          </cell>
          <cell r="I2109" t="str">
            <v>GZQ</v>
          </cell>
          <cell r="J2109">
            <v>83</v>
          </cell>
          <cell r="N2109" t="e">
            <v>#DIV/0!</v>
          </cell>
        </row>
        <row r="2110">
          <cell r="E2110" t="str">
            <v>HGC-Lib-2463777</v>
          </cell>
          <cell r="F2110" t="str">
            <v>LR240725O-1853A</v>
          </cell>
          <cell r="G2110">
            <v>6</v>
          </cell>
          <cell r="H2110" t="str">
            <v>普通真核转录组文库</v>
          </cell>
          <cell r="I2110" t="str">
            <v>GZQ</v>
          </cell>
          <cell r="J2110">
            <v>30.8</v>
          </cell>
          <cell r="N2110" t="e">
            <v>#DIV/0!</v>
          </cell>
        </row>
        <row r="2111">
          <cell r="E2111" t="str">
            <v>HGC-Lib-2463778</v>
          </cell>
          <cell r="F2111" t="str">
            <v>LR240725O-1854A</v>
          </cell>
          <cell r="G2111">
            <v>6</v>
          </cell>
          <cell r="H2111" t="str">
            <v>普通真核转录组文库</v>
          </cell>
          <cell r="I2111" t="str">
            <v>GZQ</v>
          </cell>
          <cell r="J2111">
            <v>29.2</v>
          </cell>
          <cell r="N2111" t="e">
            <v>#DIV/0!</v>
          </cell>
        </row>
        <row r="2112">
          <cell r="E2112" t="str">
            <v>HGC-Lib-2463779</v>
          </cell>
          <cell r="F2112" t="str">
            <v>LR240725O-1855A</v>
          </cell>
          <cell r="G2112">
            <v>6</v>
          </cell>
          <cell r="H2112" t="str">
            <v>普通真核转录组文库</v>
          </cell>
          <cell r="I2112" t="str">
            <v>GZQ</v>
          </cell>
          <cell r="J2112">
            <v>21.6</v>
          </cell>
          <cell r="N2112" t="e">
            <v>#DIV/0!</v>
          </cell>
        </row>
        <row r="2113">
          <cell r="E2113" t="str">
            <v>HGC-Lib-2463780</v>
          </cell>
          <cell r="F2113" t="str">
            <v>LR240725O-1856A</v>
          </cell>
          <cell r="G2113">
            <v>6</v>
          </cell>
          <cell r="H2113" t="str">
            <v>普通真核转录组文库</v>
          </cell>
          <cell r="I2113" t="str">
            <v>GZQ</v>
          </cell>
          <cell r="J2113">
            <v>22.6</v>
          </cell>
          <cell r="N2113" t="e">
            <v>#DIV/0!</v>
          </cell>
        </row>
        <row r="2114">
          <cell r="E2114" t="str">
            <v>HGC-Lib-2463781</v>
          </cell>
          <cell r="F2114" t="str">
            <v>LR240725O-1857A</v>
          </cell>
          <cell r="G2114">
            <v>6</v>
          </cell>
          <cell r="H2114" t="str">
            <v>普通真核转录组文库</v>
          </cell>
          <cell r="I2114" t="str">
            <v>GZQ</v>
          </cell>
          <cell r="J2114">
            <v>24.6</v>
          </cell>
          <cell r="N2114" t="e">
            <v>#DIV/0!</v>
          </cell>
        </row>
        <row r="2115">
          <cell r="E2115" t="str">
            <v>HGC-Lib-2463782</v>
          </cell>
          <cell r="F2115" t="str">
            <v>LR240725O-1858A</v>
          </cell>
          <cell r="G2115">
            <v>6</v>
          </cell>
          <cell r="H2115" t="str">
            <v>普通真核转录组文库</v>
          </cell>
          <cell r="I2115" t="str">
            <v>GZQ</v>
          </cell>
          <cell r="J2115">
            <v>23.4</v>
          </cell>
          <cell r="N2115" t="e">
            <v>#DIV/0!</v>
          </cell>
        </row>
        <row r="2116">
          <cell r="E2116" t="str">
            <v>HGC-Lib-2463783</v>
          </cell>
          <cell r="F2116" t="str">
            <v>LR240725O-1859A</v>
          </cell>
          <cell r="G2116">
            <v>6</v>
          </cell>
          <cell r="H2116" t="str">
            <v>普通真核转录组文库</v>
          </cell>
          <cell r="I2116" t="str">
            <v>GZQ</v>
          </cell>
          <cell r="J2116">
            <v>23</v>
          </cell>
          <cell r="N2116" t="e">
            <v>#DIV/0!</v>
          </cell>
        </row>
        <row r="2117">
          <cell r="E2117" t="str">
            <v>HGC-Lib-2463784</v>
          </cell>
          <cell r="F2117" t="str">
            <v>LR240725O-1860A</v>
          </cell>
          <cell r="G2117">
            <v>6</v>
          </cell>
          <cell r="H2117" t="str">
            <v>普通真核转录组文库</v>
          </cell>
          <cell r="I2117" t="str">
            <v>GZQ</v>
          </cell>
          <cell r="J2117">
            <v>20.2</v>
          </cell>
          <cell r="N2117" t="e">
            <v>#DIV/0!</v>
          </cell>
        </row>
        <row r="2118">
          <cell r="E2118" t="str">
            <v>HGC-Lib-2463785</v>
          </cell>
          <cell r="F2118" t="str">
            <v>LR240725O-1861A</v>
          </cell>
          <cell r="G2118">
            <v>6</v>
          </cell>
          <cell r="H2118" t="str">
            <v>普通真核转录组文库</v>
          </cell>
          <cell r="I2118" t="str">
            <v>GZQ</v>
          </cell>
          <cell r="J2118">
            <v>20.8</v>
          </cell>
          <cell r="N2118" t="e">
            <v>#DIV/0!</v>
          </cell>
        </row>
        <row r="2119">
          <cell r="E2119" t="str">
            <v>HGC-Lib-2463786</v>
          </cell>
          <cell r="F2119" t="str">
            <v>LR240725O-1862A</v>
          </cell>
          <cell r="G2119">
            <v>6</v>
          </cell>
          <cell r="H2119" t="str">
            <v>普通真核转录组文库</v>
          </cell>
          <cell r="I2119" t="str">
            <v>GZQ</v>
          </cell>
          <cell r="J2119">
            <v>22.2</v>
          </cell>
          <cell r="N2119" t="e">
            <v>#DIV/0!</v>
          </cell>
        </row>
        <row r="2120">
          <cell r="E2120" t="str">
            <v>HGC-Lib-2463787</v>
          </cell>
          <cell r="F2120" t="str">
            <v>LR240725O-1863A</v>
          </cell>
          <cell r="G2120">
            <v>6</v>
          </cell>
          <cell r="H2120" t="str">
            <v>普通真核转录组文库</v>
          </cell>
          <cell r="I2120" t="str">
            <v>GZQ</v>
          </cell>
          <cell r="J2120">
            <v>51.2</v>
          </cell>
          <cell r="N2120" t="e">
            <v>#DIV/0!</v>
          </cell>
        </row>
        <row r="2121">
          <cell r="E2121" t="str">
            <v>HGC-Lib-2463788</v>
          </cell>
          <cell r="F2121" t="str">
            <v>LR240725O-1864A</v>
          </cell>
          <cell r="G2121">
            <v>6</v>
          </cell>
          <cell r="H2121" t="str">
            <v>普通真核转录组文库</v>
          </cell>
          <cell r="I2121" t="str">
            <v>GZQ</v>
          </cell>
          <cell r="J2121">
            <v>45.8</v>
          </cell>
          <cell r="N2121" t="e">
            <v>#DIV/0!</v>
          </cell>
        </row>
        <row r="2122">
          <cell r="E2122" t="str">
            <v>HGC-Lib-2463789</v>
          </cell>
          <cell r="F2122" t="str">
            <v>LR240725O-1865A</v>
          </cell>
          <cell r="G2122">
            <v>6</v>
          </cell>
          <cell r="H2122" t="str">
            <v>普通真核转录组文库</v>
          </cell>
          <cell r="I2122" t="str">
            <v>GZQ</v>
          </cell>
          <cell r="J2122">
            <v>36</v>
          </cell>
          <cell r="N2122" t="e">
            <v>#DIV/0!</v>
          </cell>
        </row>
        <row r="2123">
          <cell r="E2123" t="str">
            <v>HGC-Lib-2463790</v>
          </cell>
          <cell r="F2123" t="str">
            <v>LR240725O-1866A</v>
          </cell>
          <cell r="G2123">
            <v>6</v>
          </cell>
          <cell r="H2123" t="str">
            <v>普通真核转录组文库</v>
          </cell>
          <cell r="I2123" t="str">
            <v>GZQ</v>
          </cell>
          <cell r="J2123">
            <v>40.200000000000003</v>
          </cell>
          <cell r="N2123" t="e">
            <v>#DIV/0!</v>
          </cell>
        </row>
        <row r="2124">
          <cell r="E2124" t="str">
            <v>HGC-Lib-2463791</v>
          </cell>
          <cell r="F2124" t="str">
            <v>LR240725O-1867A</v>
          </cell>
          <cell r="G2124">
            <v>6</v>
          </cell>
          <cell r="H2124" t="str">
            <v>普通真核转录组文库</v>
          </cell>
          <cell r="I2124" t="str">
            <v>GZQ</v>
          </cell>
          <cell r="J2124">
            <v>51</v>
          </cell>
          <cell r="N2124" t="e">
            <v>#DIV/0!</v>
          </cell>
        </row>
        <row r="2125">
          <cell r="E2125" t="str">
            <v>HGC-Lib-2463792</v>
          </cell>
          <cell r="F2125" t="str">
            <v>LR240725O-1868A</v>
          </cell>
          <cell r="G2125">
            <v>6</v>
          </cell>
          <cell r="H2125" t="str">
            <v>普通真核转录组文库</v>
          </cell>
          <cell r="I2125" t="str">
            <v>GZQ</v>
          </cell>
          <cell r="J2125">
            <v>60.2</v>
          </cell>
          <cell r="N2125" t="e">
            <v>#DIV/0!</v>
          </cell>
        </row>
        <row r="2126">
          <cell r="E2126" t="str">
            <v>HGC-Lib-2463793</v>
          </cell>
          <cell r="F2126" t="str">
            <v>LR240725O-1869A</v>
          </cell>
          <cell r="G2126">
            <v>6</v>
          </cell>
          <cell r="H2126" t="str">
            <v>普通真核转录组文库</v>
          </cell>
          <cell r="I2126" t="str">
            <v>GZQ</v>
          </cell>
          <cell r="J2126">
            <v>56.2</v>
          </cell>
          <cell r="N2126" t="e">
            <v>#DIV/0!</v>
          </cell>
        </row>
        <row r="2127">
          <cell r="E2127" t="str">
            <v>HGC-Lib-2463794</v>
          </cell>
          <cell r="F2127" t="str">
            <v>LR240725O-1870A</v>
          </cell>
          <cell r="G2127">
            <v>6</v>
          </cell>
          <cell r="H2127" t="str">
            <v>普通真核转录组文库</v>
          </cell>
          <cell r="I2127" t="str">
            <v>GZQ</v>
          </cell>
          <cell r="J2127">
            <v>48</v>
          </cell>
          <cell r="N2127" t="e">
            <v>#DIV/0!</v>
          </cell>
        </row>
        <row r="2128">
          <cell r="E2128" t="str">
            <v>HGC-Lib-2463795</v>
          </cell>
          <cell r="F2128" t="str">
            <v>LR240725O-1871A</v>
          </cell>
          <cell r="G2128">
            <v>6</v>
          </cell>
          <cell r="H2128" t="str">
            <v>普通真核转录组文库</v>
          </cell>
          <cell r="I2128" t="str">
            <v>GZQ</v>
          </cell>
          <cell r="J2128">
            <v>66</v>
          </cell>
          <cell r="N2128" t="e">
            <v>#DIV/0!</v>
          </cell>
        </row>
        <row r="2129">
          <cell r="E2129" t="str">
            <v>HGC-Lib-2463796</v>
          </cell>
          <cell r="F2129" t="str">
            <v>LR240725O-1872A</v>
          </cell>
          <cell r="G2129">
            <v>6</v>
          </cell>
          <cell r="H2129" t="str">
            <v>普通真核转录组文库</v>
          </cell>
          <cell r="I2129" t="str">
            <v>GZQ</v>
          </cell>
          <cell r="J2129">
            <v>48.8</v>
          </cell>
          <cell r="N2129" t="e">
            <v>#DIV/0!</v>
          </cell>
        </row>
        <row r="2130">
          <cell r="E2130" t="str">
            <v>HGC-Lib-2463797</v>
          </cell>
          <cell r="F2130" t="str">
            <v>LR240725O-1873A</v>
          </cell>
          <cell r="G2130">
            <v>6</v>
          </cell>
          <cell r="H2130" t="str">
            <v>普通真核转录组文库</v>
          </cell>
          <cell r="I2130" t="str">
            <v>GZQ</v>
          </cell>
          <cell r="J2130">
            <v>78</v>
          </cell>
          <cell r="N2130" t="e">
            <v>#DIV/0!</v>
          </cell>
        </row>
        <row r="2131">
          <cell r="E2131" t="str">
            <v>HGC-Lib-2463798</v>
          </cell>
          <cell r="F2131" t="str">
            <v>LR240725O-1874A</v>
          </cell>
          <cell r="G2131">
            <v>6</v>
          </cell>
          <cell r="H2131" t="str">
            <v>普通真核转录组文库</v>
          </cell>
          <cell r="I2131" t="str">
            <v>GZQ</v>
          </cell>
          <cell r="J2131">
            <v>25.5</v>
          </cell>
          <cell r="N2131" t="e">
            <v>#DIV/0!</v>
          </cell>
        </row>
        <row r="2132">
          <cell r="E2132" t="str">
            <v>HGC-Lib-2463799</v>
          </cell>
          <cell r="F2132" t="str">
            <v>LR240725O-1875A</v>
          </cell>
          <cell r="G2132">
            <v>6</v>
          </cell>
          <cell r="H2132" t="str">
            <v>普通真核转录组文库</v>
          </cell>
          <cell r="I2132" t="str">
            <v>GZQ</v>
          </cell>
          <cell r="J2132">
            <v>92.2</v>
          </cell>
          <cell r="N2132" t="e">
            <v>#DIV/0!</v>
          </cell>
        </row>
        <row r="2133">
          <cell r="E2133" t="str">
            <v>HGC-Lib-2463800</v>
          </cell>
          <cell r="F2133" t="str">
            <v>LR240725O-1876A</v>
          </cell>
          <cell r="G2133">
            <v>6</v>
          </cell>
          <cell r="H2133" t="str">
            <v>普通真核转录组文库</v>
          </cell>
          <cell r="I2133" t="str">
            <v>GZQ</v>
          </cell>
          <cell r="J2133">
            <v>91.6</v>
          </cell>
          <cell r="N2133" t="e">
            <v>#DIV/0!</v>
          </cell>
        </row>
        <row r="2134">
          <cell r="E2134" t="str">
            <v>HGC-Lib-2463801</v>
          </cell>
          <cell r="F2134" t="str">
            <v>LR240725O-1877A</v>
          </cell>
          <cell r="G2134">
            <v>6</v>
          </cell>
          <cell r="H2134" t="str">
            <v>普通真核转录组文库</v>
          </cell>
          <cell r="I2134" t="str">
            <v>GZQ</v>
          </cell>
          <cell r="J2134">
            <v>86.4</v>
          </cell>
          <cell r="N2134" t="e">
            <v>#DIV/0!</v>
          </cell>
        </row>
        <row r="2135">
          <cell r="E2135" t="str">
            <v>HGC-Lib-2463802</v>
          </cell>
          <cell r="F2135" t="str">
            <v>LR240725O-1878A</v>
          </cell>
          <cell r="G2135">
            <v>6</v>
          </cell>
          <cell r="H2135" t="str">
            <v>普通真核转录组文库</v>
          </cell>
          <cell r="I2135" t="str">
            <v>GZQ</v>
          </cell>
          <cell r="J2135">
            <v>75.8</v>
          </cell>
          <cell r="N2135" t="e">
            <v>#DIV/0!</v>
          </cell>
        </row>
        <row r="2136">
          <cell r="E2136" t="str">
            <v>HGC-Lib-2463803</v>
          </cell>
          <cell r="F2136" t="str">
            <v>LR240725O-1879A</v>
          </cell>
          <cell r="G2136">
            <v>6</v>
          </cell>
          <cell r="H2136" t="str">
            <v>普通真核转录组文库</v>
          </cell>
          <cell r="I2136" t="str">
            <v>GZQ</v>
          </cell>
          <cell r="J2136">
            <v>61.2</v>
          </cell>
          <cell r="N2136" t="e">
            <v>#DIV/0!</v>
          </cell>
        </row>
        <row r="2137">
          <cell r="E2137" t="str">
            <v>HGC-Lib-2463804</v>
          </cell>
          <cell r="F2137" t="str">
            <v>LR240725O-1880A</v>
          </cell>
          <cell r="G2137">
            <v>6</v>
          </cell>
          <cell r="H2137" t="str">
            <v>普通真核转录组文库</v>
          </cell>
          <cell r="I2137" t="str">
            <v>GZQ</v>
          </cell>
          <cell r="J2137">
            <v>91.4</v>
          </cell>
          <cell r="N2137" t="e">
            <v>#DIV/0!</v>
          </cell>
        </row>
        <row r="2138">
          <cell r="E2138" t="str">
            <v>HGC-Lib-2463805</v>
          </cell>
          <cell r="F2138" t="str">
            <v>LR240725O-1881A</v>
          </cell>
          <cell r="G2138">
            <v>6</v>
          </cell>
          <cell r="H2138" t="str">
            <v>普通真核转录组文库</v>
          </cell>
          <cell r="I2138" t="str">
            <v>GZQ</v>
          </cell>
          <cell r="J2138">
            <v>82.6</v>
          </cell>
          <cell r="N2138" t="e">
            <v>#DIV/0!</v>
          </cell>
        </row>
        <row r="2139">
          <cell r="E2139" t="str">
            <v>HGC-Lib-2463806</v>
          </cell>
          <cell r="F2139" t="str">
            <v>LR240725O-1882A</v>
          </cell>
          <cell r="G2139">
            <v>6</v>
          </cell>
          <cell r="H2139" t="str">
            <v>普通真核转录组文库</v>
          </cell>
          <cell r="I2139" t="str">
            <v>GZQ</v>
          </cell>
          <cell r="J2139">
            <v>92</v>
          </cell>
          <cell r="N2139" t="e">
            <v>#DIV/0!</v>
          </cell>
        </row>
        <row r="2140">
          <cell r="E2140" t="str">
            <v>HGC-Lib-2463807</v>
          </cell>
          <cell r="F2140" t="str">
            <v>LR240725O-1883A</v>
          </cell>
          <cell r="G2140">
            <v>6</v>
          </cell>
          <cell r="H2140" t="str">
            <v>普通真核转录组文库</v>
          </cell>
          <cell r="I2140" t="str">
            <v>GZQ</v>
          </cell>
          <cell r="J2140">
            <v>91</v>
          </cell>
          <cell r="N2140" t="e">
            <v>#DIV/0!</v>
          </cell>
        </row>
        <row r="2141">
          <cell r="E2141" t="str">
            <v>HGC-Lib-2463808</v>
          </cell>
          <cell r="F2141" t="str">
            <v>LR240726O-2342A</v>
          </cell>
          <cell r="G2141">
            <v>6</v>
          </cell>
          <cell r="H2141" t="str">
            <v>普通真核转录组文库</v>
          </cell>
          <cell r="I2141" t="str">
            <v>GZQ</v>
          </cell>
          <cell r="J2141">
            <v>58.6</v>
          </cell>
          <cell r="N2141" t="e">
            <v>#DIV/0!</v>
          </cell>
        </row>
        <row r="2142">
          <cell r="E2142" t="str">
            <v>HGC-Lib-2463809</v>
          </cell>
          <cell r="F2142" t="str">
            <v>LR240726O-2343A</v>
          </cell>
          <cell r="G2142">
            <v>6</v>
          </cell>
          <cell r="H2142" t="str">
            <v>普通真核转录组文库</v>
          </cell>
          <cell r="I2142" t="str">
            <v>GZQ</v>
          </cell>
          <cell r="J2142">
            <v>63</v>
          </cell>
          <cell r="N2142" t="e">
            <v>#DIV/0!</v>
          </cell>
        </row>
        <row r="2143">
          <cell r="E2143" t="str">
            <v>HGC-Lib-2463810</v>
          </cell>
          <cell r="F2143" t="str">
            <v>LR240726O-2344A</v>
          </cell>
          <cell r="G2143">
            <v>6</v>
          </cell>
          <cell r="H2143" t="str">
            <v>普通真核转录组文库</v>
          </cell>
          <cell r="I2143" t="str">
            <v>GZQ</v>
          </cell>
          <cell r="J2143">
            <v>96.6</v>
          </cell>
          <cell r="N2143" t="e">
            <v>#DIV/0!</v>
          </cell>
        </row>
        <row r="2144">
          <cell r="E2144" t="str">
            <v>HGC-Lib-2463811</v>
          </cell>
          <cell r="F2144" t="str">
            <v>LR240726O-2345A</v>
          </cell>
          <cell r="G2144">
            <v>6</v>
          </cell>
          <cell r="H2144" t="str">
            <v>普通真核转录组文库</v>
          </cell>
          <cell r="I2144" t="str">
            <v>GZQ</v>
          </cell>
          <cell r="J2144">
            <v>79.400000000000006</v>
          </cell>
          <cell r="N2144" t="e">
            <v>#DIV/0!</v>
          </cell>
        </row>
        <row r="2145">
          <cell r="E2145" t="str">
            <v>HGC-Lib-2463812</v>
          </cell>
          <cell r="F2145" t="str">
            <v>LR240726O-2346A</v>
          </cell>
          <cell r="G2145">
            <v>6</v>
          </cell>
          <cell r="H2145" t="str">
            <v>普通真核转录组文库</v>
          </cell>
          <cell r="I2145" t="str">
            <v>GZQ</v>
          </cell>
          <cell r="J2145">
            <v>70</v>
          </cell>
          <cell r="N2145" t="e">
            <v>#DIV/0!</v>
          </cell>
        </row>
        <row r="2146">
          <cell r="E2146" t="str">
            <v>HGC-Lib-2463813</v>
          </cell>
          <cell r="F2146" t="str">
            <v>LR240726O-2347A</v>
          </cell>
          <cell r="G2146">
            <v>6</v>
          </cell>
          <cell r="H2146" t="str">
            <v>普通真核转录组文库</v>
          </cell>
          <cell r="I2146" t="str">
            <v>XCL</v>
          </cell>
          <cell r="J2146">
            <v>88.2</v>
          </cell>
          <cell r="N2146" t="e">
            <v>#DIV/0!</v>
          </cell>
        </row>
        <row r="2147">
          <cell r="E2147" t="str">
            <v>HGC-Lib-2463814</v>
          </cell>
          <cell r="F2147" t="str">
            <v>LR240726O-2348A</v>
          </cell>
          <cell r="G2147">
            <v>6</v>
          </cell>
          <cell r="H2147" t="str">
            <v>普通真核转录组文库</v>
          </cell>
          <cell r="I2147" t="str">
            <v>XCL</v>
          </cell>
          <cell r="J2147">
            <v>73.400000000000006</v>
          </cell>
          <cell r="N2147" t="e">
            <v>#DIV/0!</v>
          </cell>
        </row>
        <row r="2148">
          <cell r="E2148" t="str">
            <v>HGC-Lib-2463815</v>
          </cell>
          <cell r="F2148" t="str">
            <v>LR240726O-2349A</v>
          </cell>
          <cell r="G2148">
            <v>6</v>
          </cell>
          <cell r="H2148" t="str">
            <v>普通真核转录组文库</v>
          </cell>
          <cell r="I2148" t="str">
            <v>XCL</v>
          </cell>
          <cell r="J2148">
            <v>96.8</v>
          </cell>
          <cell r="N2148" t="e">
            <v>#DIV/0!</v>
          </cell>
        </row>
        <row r="2149">
          <cell r="E2149" t="str">
            <v>HGC-Lib-2463816</v>
          </cell>
          <cell r="F2149" t="str">
            <v>LR240726O-2350A</v>
          </cell>
          <cell r="G2149">
            <v>6</v>
          </cell>
          <cell r="H2149" t="str">
            <v>普通真核转录组文库</v>
          </cell>
          <cell r="I2149" t="str">
            <v>XCL</v>
          </cell>
          <cell r="J2149">
            <v>87</v>
          </cell>
          <cell r="N2149" t="e">
            <v>#DIV/0!</v>
          </cell>
        </row>
        <row r="2150">
          <cell r="E2150" t="str">
            <v>HGC-Lib-2463817</v>
          </cell>
          <cell r="F2150" t="str">
            <v>LR240726O-2351A</v>
          </cell>
          <cell r="G2150">
            <v>6</v>
          </cell>
          <cell r="H2150" t="str">
            <v>普通真核转录组文库</v>
          </cell>
          <cell r="I2150" t="str">
            <v>XCL</v>
          </cell>
          <cell r="J2150">
            <v>87.6</v>
          </cell>
          <cell r="N2150" t="e">
            <v>#DIV/0!</v>
          </cell>
        </row>
        <row r="2151">
          <cell r="E2151" t="str">
            <v>HGC-Lib-2463818</v>
          </cell>
          <cell r="F2151" t="str">
            <v>LR240726O-2352A</v>
          </cell>
          <cell r="G2151">
            <v>6</v>
          </cell>
          <cell r="H2151" t="str">
            <v>普通真核转录组文库</v>
          </cell>
          <cell r="I2151" t="str">
            <v>XCL</v>
          </cell>
          <cell r="J2151">
            <v>77.8</v>
          </cell>
          <cell r="N2151" t="e">
            <v>#DIV/0!</v>
          </cell>
        </row>
        <row r="2152">
          <cell r="E2152" t="str">
            <v>HGC-Lib-2463819</v>
          </cell>
          <cell r="F2152" t="str">
            <v>LR240727O-0202A</v>
          </cell>
          <cell r="G2152">
            <v>6</v>
          </cell>
          <cell r="H2152" t="str">
            <v>普通真核转录组文库</v>
          </cell>
          <cell r="I2152" t="str">
            <v>XCL</v>
          </cell>
          <cell r="J2152">
            <v>92.6</v>
          </cell>
          <cell r="N2152" t="e">
            <v>#DIV/0!</v>
          </cell>
        </row>
        <row r="2153">
          <cell r="E2153" t="str">
            <v>HGC-Lib-2463820</v>
          </cell>
          <cell r="F2153" t="str">
            <v>LR240727O-0203A</v>
          </cell>
          <cell r="G2153">
            <v>6</v>
          </cell>
          <cell r="H2153" t="str">
            <v>普通真核转录组文库</v>
          </cell>
          <cell r="I2153" t="str">
            <v>XCL</v>
          </cell>
          <cell r="J2153">
            <v>96.8</v>
          </cell>
          <cell r="N2153" t="e">
            <v>#DIV/0!</v>
          </cell>
        </row>
        <row r="2154">
          <cell r="E2154" t="str">
            <v>HGC-Lib-2463821</v>
          </cell>
          <cell r="F2154" t="str">
            <v>LR240727O-0204A</v>
          </cell>
          <cell r="G2154">
            <v>6</v>
          </cell>
          <cell r="H2154" t="str">
            <v>普通真核转录组文库</v>
          </cell>
          <cell r="I2154" t="str">
            <v>XCL</v>
          </cell>
          <cell r="J2154">
            <v>95.8</v>
          </cell>
          <cell r="N2154" t="e">
            <v>#DIV/0!</v>
          </cell>
        </row>
        <row r="2155">
          <cell r="E2155" t="str">
            <v>HGC-Lib-2463822</v>
          </cell>
          <cell r="F2155" t="str">
            <v>LR240727O-0205A</v>
          </cell>
          <cell r="G2155">
            <v>6</v>
          </cell>
          <cell r="H2155" t="str">
            <v>普通真核转录组文库</v>
          </cell>
          <cell r="I2155" t="str">
            <v>XCL</v>
          </cell>
          <cell r="J2155">
            <v>84.4</v>
          </cell>
          <cell r="N2155" t="e">
            <v>#DIV/0!</v>
          </cell>
        </row>
        <row r="2156">
          <cell r="E2156" t="str">
            <v>HGC-Lib-2463823</v>
          </cell>
          <cell r="F2156" t="str">
            <v>LR240727O-0206A</v>
          </cell>
          <cell r="G2156">
            <v>6</v>
          </cell>
          <cell r="H2156" t="str">
            <v>普通真核转录组文库</v>
          </cell>
          <cell r="I2156" t="str">
            <v>XCL</v>
          </cell>
          <cell r="J2156">
            <v>81.599999999999994</v>
          </cell>
          <cell r="N2156" t="e">
            <v>#DIV/0!</v>
          </cell>
        </row>
        <row r="2157">
          <cell r="E2157" t="str">
            <v>HGC-Lib-2463824</v>
          </cell>
          <cell r="F2157" t="str">
            <v>LR240727O-0207A</v>
          </cell>
          <cell r="G2157">
            <v>6</v>
          </cell>
          <cell r="H2157" t="str">
            <v>普通真核转录组文库</v>
          </cell>
          <cell r="I2157" t="str">
            <v>XCL</v>
          </cell>
          <cell r="J2157">
            <v>81.2</v>
          </cell>
          <cell r="N2157" t="e">
            <v>#DIV/0!</v>
          </cell>
        </row>
        <row r="2158">
          <cell r="E2158" t="str">
            <v>HGC-Lib-2463825</v>
          </cell>
          <cell r="F2158" t="str">
            <v>LR240727O-0208A</v>
          </cell>
          <cell r="G2158">
            <v>6</v>
          </cell>
          <cell r="H2158" t="str">
            <v>普通真核转录组文库</v>
          </cell>
          <cell r="I2158" t="str">
            <v>XCL</v>
          </cell>
          <cell r="J2158">
            <v>86</v>
          </cell>
          <cell r="N2158" t="e">
            <v>#DIV/0!</v>
          </cell>
        </row>
        <row r="2159">
          <cell r="E2159" t="str">
            <v>HGC-Lib-2463826</v>
          </cell>
          <cell r="F2159" t="str">
            <v>LR240727O-0209A</v>
          </cell>
          <cell r="G2159">
            <v>6</v>
          </cell>
          <cell r="H2159" t="str">
            <v>普通真核转录组文库</v>
          </cell>
          <cell r="I2159" t="str">
            <v>XCL</v>
          </cell>
          <cell r="J2159">
            <v>93.6</v>
          </cell>
          <cell r="N2159" t="e">
            <v>#DIV/0!</v>
          </cell>
        </row>
        <row r="2160">
          <cell r="E2160" t="str">
            <v>HGC-Lib-2463827</v>
          </cell>
          <cell r="F2160" t="str">
            <v>LR240727O-0210A</v>
          </cell>
          <cell r="G2160">
            <v>6</v>
          </cell>
          <cell r="H2160" t="str">
            <v>普通真核转录组文库</v>
          </cell>
          <cell r="I2160" t="str">
            <v>XCL</v>
          </cell>
          <cell r="J2160">
            <v>85</v>
          </cell>
          <cell r="N2160" t="e">
            <v>#DIV/0!</v>
          </cell>
        </row>
        <row r="2161">
          <cell r="E2161" t="str">
            <v>HGC-Lib-2463828</v>
          </cell>
          <cell r="F2161" t="str">
            <v>LD240722O-5651A</v>
          </cell>
          <cell r="G2161">
            <v>1</v>
          </cell>
          <cell r="H2161" t="str">
            <v>DNA基因组文库</v>
          </cell>
          <cell r="I2161" t="str">
            <v>XCL</v>
          </cell>
          <cell r="J2161">
            <v>93</v>
          </cell>
          <cell r="N2161" t="e">
            <v>#DIV/0!</v>
          </cell>
        </row>
        <row r="2162">
          <cell r="E2162" t="str">
            <v>HGC-Lib-2463829</v>
          </cell>
          <cell r="F2162" t="str">
            <v>LD240722O-5652A</v>
          </cell>
          <cell r="G2162">
            <v>1</v>
          </cell>
          <cell r="H2162" t="str">
            <v>DNA基因组文库</v>
          </cell>
          <cell r="I2162" t="str">
            <v>XCL</v>
          </cell>
          <cell r="J2162">
            <v>67.8</v>
          </cell>
          <cell r="N2162" t="e">
            <v>#DIV/0!</v>
          </cell>
        </row>
        <row r="2163">
          <cell r="E2163" t="str">
            <v>HGC-Lib-2463830</v>
          </cell>
          <cell r="F2163" t="str">
            <v>LD240722O-5653A</v>
          </cell>
          <cell r="G2163">
            <v>10</v>
          </cell>
          <cell r="H2163" t="str">
            <v>DNA宏基因组文库</v>
          </cell>
          <cell r="I2163" t="str">
            <v>XCL</v>
          </cell>
          <cell r="J2163">
            <v>5.16</v>
          </cell>
          <cell r="N2163" t="e">
            <v>#DIV/0!</v>
          </cell>
        </row>
        <row r="2164">
          <cell r="E2164" t="str">
            <v>HGC-Lib-2463831</v>
          </cell>
          <cell r="F2164" t="str">
            <v>LD240725O-1811A</v>
          </cell>
          <cell r="G2164">
            <v>1</v>
          </cell>
          <cell r="H2164" t="str">
            <v>DNA基因组文库</v>
          </cell>
          <cell r="I2164" t="str">
            <v>XCL</v>
          </cell>
          <cell r="J2164">
            <v>45.8</v>
          </cell>
          <cell r="N2164" t="e">
            <v>#DIV/0!</v>
          </cell>
        </row>
        <row r="2165">
          <cell r="E2165" t="str">
            <v>HGC-Lib-2463832</v>
          </cell>
          <cell r="F2165" t="str">
            <v>LD240725O-1812A</v>
          </cell>
          <cell r="G2165">
            <v>10</v>
          </cell>
          <cell r="H2165" t="str">
            <v>DNA宏基因组文库</v>
          </cell>
          <cell r="I2165" t="str">
            <v>XCL</v>
          </cell>
          <cell r="J2165">
            <v>42.8</v>
          </cell>
          <cell r="N2165" t="e">
            <v>#DIV/0!</v>
          </cell>
        </row>
        <row r="2166">
          <cell r="E2166" t="str">
            <v>HGC-Lib-2463833</v>
          </cell>
          <cell r="F2166" t="str">
            <v>LD240725O-1813A</v>
          </cell>
          <cell r="G2166">
            <v>10</v>
          </cell>
          <cell r="H2166" t="str">
            <v>DNA宏基因组文库</v>
          </cell>
          <cell r="I2166" t="str">
            <v>XCL</v>
          </cell>
          <cell r="J2166">
            <v>64.2</v>
          </cell>
          <cell r="N2166" t="e">
            <v>#DIV/0!</v>
          </cell>
        </row>
        <row r="2167">
          <cell r="E2167" t="str">
            <v>HGC-Lib-2463834</v>
          </cell>
          <cell r="F2167" t="str">
            <v>LD240725O-1814A</v>
          </cell>
          <cell r="G2167">
            <v>10</v>
          </cell>
          <cell r="H2167" t="str">
            <v>DNA宏基因组文库</v>
          </cell>
          <cell r="I2167" t="str">
            <v>XCL</v>
          </cell>
          <cell r="J2167">
            <v>55.2</v>
          </cell>
          <cell r="N2167" t="e">
            <v>#DIV/0!</v>
          </cell>
        </row>
        <row r="2168">
          <cell r="E2168" t="str">
            <v>HGC-Lib-2463835</v>
          </cell>
          <cell r="F2168" t="str">
            <v>LD240725O-1815A</v>
          </cell>
          <cell r="G2168">
            <v>10</v>
          </cell>
          <cell r="H2168" t="str">
            <v>DNA宏基因组文库</v>
          </cell>
          <cell r="I2168" t="str">
            <v>XCL</v>
          </cell>
          <cell r="J2168">
            <v>50.4</v>
          </cell>
          <cell r="N2168" t="e">
            <v>#DIV/0!</v>
          </cell>
        </row>
        <row r="2169">
          <cell r="E2169" t="str">
            <v>HGC-Lib-2463836</v>
          </cell>
          <cell r="F2169" t="str">
            <v>LD240725O-1816A</v>
          </cell>
          <cell r="G2169">
            <v>10</v>
          </cell>
          <cell r="H2169" t="str">
            <v>DNA宏基因组文库</v>
          </cell>
          <cell r="I2169" t="str">
            <v>XCL</v>
          </cell>
          <cell r="J2169">
            <v>69.8</v>
          </cell>
          <cell r="N2169" t="e">
            <v>#DIV/0!</v>
          </cell>
        </row>
        <row r="2170">
          <cell r="E2170" t="str">
            <v>HGC-Lib-2463837</v>
          </cell>
          <cell r="F2170" t="str">
            <v>LD240725O-1817A</v>
          </cell>
          <cell r="G2170">
            <v>10</v>
          </cell>
          <cell r="H2170" t="str">
            <v>DNA宏基因组文库</v>
          </cell>
          <cell r="I2170" t="str">
            <v>XCL</v>
          </cell>
          <cell r="J2170">
            <v>92.6</v>
          </cell>
          <cell r="N2170" t="e">
            <v>#DIV/0!</v>
          </cell>
        </row>
        <row r="2171">
          <cell r="E2171" t="str">
            <v>HGC-Lib-2463838</v>
          </cell>
          <cell r="F2171" t="str">
            <v>LD240726O-2330A</v>
          </cell>
          <cell r="G2171">
            <v>1</v>
          </cell>
          <cell r="H2171" t="str">
            <v>DNA基因组文库</v>
          </cell>
          <cell r="I2171" t="str">
            <v>XCL</v>
          </cell>
          <cell r="J2171">
            <v>94</v>
          </cell>
          <cell r="N2171" t="e">
            <v>#DIV/0!</v>
          </cell>
        </row>
        <row r="2172">
          <cell r="E2172" t="str">
            <v>HGC-Lib-2463839</v>
          </cell>
          <cell r="F2172" t="str">
            <v>LD240728O-0025A</v>
          </cell>
          <cell r="G2172">
            <v>10</v>
          </cell>
          <cell r="H2172" t="str">
            <v>DNA宏基因组文库</v>
          </cell>
          <cell r="I2172" t="str">
            <v>XCL</v>
          </cell>
          <cell r="J2172">
            <v>52.2</v>
          </cell>
          <cell r="N2172" t="e">
            <v>#DIV/0!</v>
          </cell>
        </row>
        <row r="2173">
          <cell r="E2173" t="str">
            <v>HGC-Lib-2463840</v>
          </cell>
          <cell r="F2173" t="str">
            <v>LD240718O-1234A</v>
          </cell>
          <cell r="G2173">
            <v>10</v>
          </cell>
          <cell r="H2173" t="str">
            <v>DNA病毒组文库</v>
          </cell>
          <cell r="I2173" t="str">
            <v>XCL</v>
          </cell>
          <cell r="J2173">
            <v>51.2</v>
          </cell>
          <cell r="N2173" t="e">
            <v>#DIV/0!</v>
          </cell>
        </row>
        <row r="2174">
          <cell r="E2174" t="str">
            <v>HGC-Lib-2463841</v>
          </cell>
          <cell r="F2174" t="str">
            <v>LD240718O-1235A</v>
          </cell>
          <cell r="G2174">
            <v>10</v>
          </cell>
          <cell r="H2174" t="str">
            <v>DNA病毒组文库</v>
          </cell>
          <cell r="I2174" t="str">
            <v>XCL</v>
          </cell>
          <cell r="J2174">
            <v>46.8</v>
          </cell>
          <cell r="N2174" t="e">
            <v>#DIV/0!</v>
          </cell>
        </row>
        <row r="2175">
          <cell r="E2175" t="str">
            <v>HGC-Lib-2463842</v>
          </cell>
          <cell r="F2175" t="str">
            <v>LD240718O-1236A</v>
          </cell>
          <cell r="G2175">
            <v>10</v>
          </cell>
          <cell r="H2175" t="str">
            <v>DNA病毒组文库</v>
          </cell>
          <cell r="I2175" t="str">
            <v>XCL</v>
          </cell>
          <cell r="J2175">
            <v>41.8</v>
          </cell>
          <cell r="N2175" t="e">
            <v>#DIV/0!</v>
          </cell>
        </row>
        <row r="2176">
          <cell r="E2176" t="str">
            <v>HGC-Lib-2463843</v>
          </cell>
          <cell r="F2176" t="str">
            <v>LD240718O-1237A</v>
          </cell>
          <cell r="G2176">
            <v>10</v>
          </cell>
          <cell r="H2176" t="str">
            <v>DNA病毒组文库</v>
          </cell>
          <cell r="I2176" t="str">
            <v>XCL</v>
          </cell>
          <cell r="J2176">
            <v>36.6</v>
          </cell>
          <cell r="N2176" t="e">
            <v>#DIV/0!</v>
          </cell>
        </row>
        <row r="2177">
          <cell r="E2177" t="str">
            <v>HGC-Lib-2463844</v>
          </cell>
          <cell r="F2177" t="str">
            <v>LD240718O-1238A</v>
          </cell>
          <cell r="G2177">
            <v>10</v>
          </cell>
          <cell r="H2177" t="str">
            <v>DNA病毒组文库</v>
          </cell>
          <cell r="I2177" t="str">
            <v>XCL</v>
          </cell>
          <cell r="J2177">
            <v>45</v>
          </cell>
          <cell r="N2177" t="e">
            <v>#DIV/0!</v>
          </cell>
        </row>
        <row r="2178">
          <cell r="E2178" t="str">
            <v>HGC-Lib-2463845</v>
          </cell>
          <cell r="F2178" t="str">
            <v>LD240718O-1239A</v>
          </cell>
          <cell r="G2178">
            <v>10</v>
          </cell>
          <cell r="H2178" t="str">
            <v>DNA病毒组文库</v>
          </cell>
          <cell r="I2178" t="str">
            <v>XCL</v>
          </cell>
          <cell r="J2178">
            <v>13.9</v>
          </cell>
          <cell r="N2178" t="e">
            <v>#DIV/0!</v>
          </cell>
        </row>
        <row r="2179">
          <cell r="E2179" t="str">
            <v>HGC-Lib-2463846</v>
          </cell>
          <cell r="F2179" t="str">
            <v>LD240718O-1240A</v>
          </cell>
          <cell r="G2179">
            <v>10</v>
          </cell>
          <cell r="H2179" t="str">
            <v>DNA病毒组文库</v>
          </cell>
          <cell r="I2179" t="str">
            <v>XCL</v>
          </cell>
          <cell r="J2179">
            <v>43.2</v>
          </cell>
          <cell r="N2179" t="e">
            <v>#DIV/0!</v>
          </cell>
        </row>
        <row r="2180">
          <cell r="E2180" t="str">
            <v>HGC-Lib-2463847</v>
          </cell>
          <cell r="F2180" t="str">
            <v>LD240718O-1241A</v>
          </cell>
          <cell r="G2180">
            <v>10</v>
          </cell>
          <cell r="H2180" t="str">
            <v>DNA病毒组文库</v>
          </cell>
          <cell r="I2180" t="str">
            <v>XCL</v>
          </cell>
          <cell r="J2180">
            <v>34.799999999999997</v>
          </cell>
          <cell r="N2180" t="e">
            <v>#DIV/0!</v>
          </cell>
        </row>
        <row r="2181">
          <cell r="E2181" t="str">
            <v>HGC-Lib-2463848</v>
          </cell>
          <cell r="F2181" t="str">
            <v>LD240718O-1242A</v>
          </cell>
          <cell r="G2181">
            <v>10</v>
          </cell>
          <cell r="H2181" t="str">
            <v>DNA病毒组文库</v>
          </cell>
          <cell r="I2181" t="str">
            <v>XCL</v>
          </cell>
          <cell r="J2181">
            <v>43</v>
          </cell>
          <cell r="N2181" t="e">
            <v>#DIV/0!</v>
          </cell>
        </row>
        <row r="2182">
          <cell r="E2182" t="str">
            <v>HGC-Lib-2463849</v>
          </cell>
          <cell r="F2182" t="str">
            <v>LD240722D-0495A</v>
          </cell>
          <cell r="G2182">
            <v>30</v>
          </cell>
          <cell r="H2182" t="str">
            <v>DNA宏基因组文库</v>
          </cell>
          <cell r="I2182" t="str">
            <v>XCL</v>
          </cell>
          <cell r="J2182">
            <v>9.74</v>
          </cell>
          <cell r="N2182" t="e">
            <v>#DIV/0!</v>
          </cell>
        </row>
        <row r="2183">
          <cell r="E2183" t="str">
            <v>HGC-Lib-2463850</v>
          </cell>
          <cell r="F2183" t="str">
            <v>LD240722D-0496A</v>
          </cell>
          <cell r="G2183">
            <v>30</v>
          </cell>
          <cell r="H2183" t="str">
            <v>DNA宏基因组文库</v>
          </cell>
          <cell r="I2183" t="str">
            <v>XCL</v>
          </cell>
          <cell r="J2183">
            <v>97.8</v>
          </cell>
          <cell r="N2183" t="e">
            <v>#DIV/0!</v>
          </cell>
        </row>
        <row r="2184">
          <cell r="E2184" t="str">
            <v>HGC-Lib-2463851</v>
          </cell>
          <cell r="F2184" t="str">
            <v>LD240722D-0497A</v>
          </cell>
          <cell r="G2184">
            <v>30</v>
          </cell>
          <cell r="H2184" t="str">
            <v>DNA宏基因组文库</v>
          </cell>
          <cell r="I2184" t="str">
            <v>XCL</v>
          </cell>
          <cell r="J2184">
            <v>26</v>
          </cell>
          <cell r="N2184" t="e">
            <v>#DIV/0!</v>
          </cell>
        </row>
        <row r="2185">
          <cell r="E2185" t="str">
            <v>HGC-Lib-2463852</v>
          </cell>
          <cell r="F2185" t="str">
            <v>LD240722D-0498A</v>
          </cell>
          <cell r="G2185">
            <v>30</v>
          </cell>
          <cell r="H2185" t="str">
            <v>DNA宏基因组文库</v>
          </cell>
          <cell r="I2185" t="str">
            <v>XCL</v>
          </cell>
          <cell r="J2185">
            <v>54.2</v>
          </cell>
          <cell r="N2185" t="e">
            <v>#DIV/0!</v>
          </cell>
        </row>
        <row r="2186">
          <cell r="E2186" t="str">
            <v>HGC-Lib-2463853</v>
          </cell>
          <cell r="F2186" t="str">
            <v>LD240722D-0499A</v>
          </cell>
          <cell r="G2186">
            <v>30</v>
          </cell>
          <cell r="H2186" t="str">
            <v>DNA宏基因组文库</v>
          </cell>
          <cell r="I2186" t="str">
            <v>XCL</v>
          </cell>
          <cell r="J2186">
            <v>16.3</v>
          </cell>
          <cell r="N2186" t="e">
            <v>#DIV/0!</v>
          </cell>
        </row>
        <row r="2187">
          <cell r="E2187" t="str">
            <v>HGC-Lib-2463854</v>
          </cell>
          <cell r="F2187" t="str">
            <v>LD240722D-0500A</v>
          </cell>
          <cell r="G2187">
            <v>30</v>
          </cell>
          <cell r="H2187" t="str">
            <v>DNA宏基因组文库</v>
          </cell>
          <cell r="I2187" t="str">
            <v>XCL</v>
          </cell>
          <cell r="J2187">
            <v>4.46</v>
          </cell>
          <cell r="N2187" t="e">
            <v>#DIV/0!</v>
          </cell>
        </row>
        <row r="2188">
          <cell r="E2188" t="str">
            <v>HGC-Lib-2463855</v>
          </cell>
          <cell r="F2188" t="str">
            <v>LD240722D-0501A</v>
          </cell>
          <cell r="G2188">
            <v>30</v>
          </cell>
          <cell r="H2188" t="str">
            <v>DNA宏基因组文库</v>
          </cell>
          <cell r="I2188" t="str">
            <v>XCL</v>
          </cell>
          <cell r="J2188">
            <v>93.4</v>
          </cell>
          <cell r="N2188" t="e">
            <v>#DIV/0!</v>
          </cell>
        </row>
        <row r="2189">
          <cell r="E2189" t="str">
            <v>HGC-Lib-2463856</v>
          </cell>
          <cell r="F2189" t="str">
            <v>LD240722D-0502A</v>
          </cell>
          <cell r="G2189">
            <v>30</v>
          </cell>
          <cell r="H2189" t="str">
            <v>DNA宏基因组文库</v>
          </cell>
          <cell r="I2189" t="str">
            <v>XCL</v>
          </cell>
          <cell r="J2189">
            <v>21</v>
          </cell>
          <cell r="N2189" t="e">
            <v>#DIV/0!</v>
          </cell>
        </row>
        <row r="2190">
          <cell r="E2190" t="str">
            <v>HGC-Lib-2463857</v>
          </cell>
          <cell r="F2190" t="str">
            <v>LD240722D-0503A</v>
          </cell>
          <cell r="G2190">
            <v>30</v>
          </cell>
          <cell r="H2190" t="str">
            <v>DNA宏基因组文库</v>
          </cell>
          <cell r="I2190" t="str">
            <v>XCL</v>
          </cell>
          <cell r="J2190">
            <v>18.7</v>
          </cell>
          <cell r="N2190" t="e">
            <v>#DIV/0!</v>
          </cell>
        </row>
        <row r="2191">
          <cell r="E2191" t="str">
            <v>HGC-Lib-2463858</v>
          </cell>
          <cell r="F2191" t="str">
            <v>LD240722D-0504A</v>
          </cell>
          <cell r="G2191">
            <v>30</v>
          </cell>
          <cell r="H2191" t="str">
            <v>DNA宏基因组文库</v>
          </cell>
          <cell r="I2191" t="str">
            <v>XCL</v>
          </cell>
          <cell r="J2191">
            <v>62.4</v>
          </cell>
          <cell r="N2191" t="e">
            <v>#DIV/0!</v>
          </cell>
        </row>
        <row r="2192">
          <cell r="E2192" t="str">
            <v>HGC-Lib-2463859</v>
          </cell>
          <cell r="F2192" t="str">
            <v>LD240722D-0505A</v>
          </cell>
          <cell r="G2192">
            <v>30</v>
          </cell>
          <cell r="H2192" t="str">
            <v>DNA宏基因组文库</v>
          </cell>
          <cell r="I2192" t="str">
            <v>XCL</v>
          </cell>
          <cell r="J2192">
            <v>76</v>
          </cell>
          <cell r="N2192" t="e">
            <v>#DIV/0!</v>
          </cell>
        </row>
        <row r="2193">
          <cell r="E2193" t="str">
            <v>HGC-Lib-2463860</v>
          </cell>
          <cell r="F2193" t="str">
            <v>LD240722D-0506A</v>
          </cell>
          <cell r="G2193">
            <v>30</v>
          </cell>
          <cell r="H2193" t="str">
            <v>DNA宏基因组文库</v>
          </cell>
          <cell r="I2193" t="str">
            <v>XCL</v>
          </cell>
          <cell r="J2193">
            <v>22.4</v>
          </cell>
          <cell r="N2193" t="e">
            <v>#DIV/0!</v>
          </cell>
        </row>
        <row r="2194">
          <cell r="E2194" t="str">
            <v>HGC-Lib-2463861</v>
          </cell>
          <cell r="F2194" t="str">
            <v>LD240722D-0507A</v>
          </cell>
          <cell r="G2194">
            <v>30</v>
          </cell>
          <cell r="H2194" t="str">
            <v>DNA宏基因组文库</v>
          </cell>
          <cell r="I2194" t="str">
            <v>XCL</v>
          </cell>
          <cell r="J2194">
            <v>54.8</v>
          </cell>
          <cell r="N2194" t="e">
            <v>#DIV/0!</v>
          </cell>
        </row>
        <row r="2195">
          <cell r="E2195" t="str">
            <v>HGC-Lib-2463862</v>
          </cell>
          <cell r="F2195" t="str">
            <v>LD240722D-0508A</v>
          </cell>
          <cell r="G2195">
            <v>30</v>
          </cell>
          <cell r="H2195" t="str">
            <v>DNA宏基因组文库</v>
          </cell>
          <cell r="I2195" t="str">
            <v>XCL</v>
          </cell>
          <cell r="J2195">
            <v>43.4</v>
          </cell>
          <cell r="N2195" t="e">
            <v>#DIV/0!</v>
          </cell>
        </row>
        <row r="2196">
          <cell r="E2196" t="str">
            <v>HGC-Lib-2463863</v>
          </cell>
          <cell r="F2196" t="str">
            <v>LD240722D-0509A</v>
          </cell>
          <cell r="G2196">
            <v>30</v>
          </cell>
          <cell r="H2196" t="str">
            <v>DNA宏基因组文库</v>
          </cell>
          <cell r="I2196" t="str">
            <v>XCL</v>
          </cell>
          <cell r="J2196">
            <v>20</v>
          </cell>
          <cell r="N2196" t="e">
            <v>#DIV/0!</v>
          </cell>
        </row>
        <row r="2197">
          <cell r="E2197" t="str">
            <v>HGC-Lib-2463864</v>
          </cell>
          <cell r="F2197" t="str">
            <v>LD240722D-0510A</v>
          </cell>
          <cell r="G2197">
            <v>30</v>
          </cell>
          <cell r="H2197" t="str">
            <v>DNA宏基因组文库</v>
          </cell>
          <cell r="I2197" t="str">
            <v>XCL</v>
          </cell>
          <cell r="J2197">
            <v>49.8</v>
          </cell>
          <cell r="N2197" t="e">
            <v>#DIV/0!</v>
          </cell>
        </row>
        <row r="2198">
          <cell r="E2198" t="str">
            <v>HGC-Lib-2463865</v>
          </cell>
          <cell r="F2198" t="str">
            <v>LD240722D-0511A</v>
          </cell>
          <cell r="G2198">
            <v>30</v>
          </cell>
          <cell r="H2198" t="str">
            <v>DNA宏基因组文库</v>
          </cell>
          <cell r="I2198" t="str">
            <v>XCL</v>
          </cell>
          <cell r="J2198">
            <v>18</v>
          </cell>
          <cell r="N2198" t="e">
            <v>#DIV/0!</v>
          </cell>
        </row>
        <row r="2199">
          <cell r="E2199" t="str">
            <v>HGC-Lib-2463866</v>
          </cell>
          <cell r="F2199" t="str">
            <v>LD240722D-0512A</v>
          </cell>
          <cell r="G2199">
            <v>30</v>
          </cell>
          <cell r="H2199" t="str">
            <v>DNA宏基因组文库</v>
          </cell>
          <cell r="I2199" t="str">
            <v>XCL</v>
          </cell>
          <cell r="J2199">
            <v>6.94</v>
          </cell>
          <cell r="N2199" t="e">
            <v>#DIV/0!</v>
          </cell>
        </row>
        <row r="2200">
          <cell r="E2200" t="str">
            <v>HGC-Lib-2463867</v>
          </cell>
          <cell r="F2200" t="str">
            <v>LD240722D-0513A</v>
          </cell>
          <cell r="G2200">
            <v>30</v>
          </cell>
          <cell r="H2200" t="str">
            <v>DNA宏基因组文库</v>
          </cell>
          <cell r="I2200" t="str">
            <v>XCL</v>
          </cell>
          <cell r="J2200">
            <v>62.2</v>
          </cell>
          <cell r="N2200" t="e">
            <v>#DIV/0!</v>
          </cell>
        </row>
        <row r="2201">
          <cell r="E2201" t="str">
            <v>HGC-Lib-2463868</v>
          </cell>
          <cell r="F2201" t="str">
            <v>LD240722D-0514A</v>
          </cell>
          <cell r="G2201">
            <v>30</v>
          </cell>
          <cell r="H2201" t="str">
            <v>DNA宏基因组文库</v>
          </cell>
          <cell r="I2201" t="str">
            <v>XCL</v>
          </cell>
          <cell r="J2201">
            <v>28.6</v>
          </cell>
          <cell r="N2201" t="e">
            <v>#DIV/0!</v>
          </cell>
        </row>
        <row r="2202">
          <cell r="E2202" t="str">
            <v>HGC-Lib-2463869</v>
          </cell>
          <cell r="F2202" t="str">
            <v>LD240722D-0515A</v>
          </cell>
          <cell r="G2202">
            <v>30</v>
          </cell>
          <cell r="H2202" t="str">
            <v>DNA宏基因组文库</v>
          </cell>
          <cell r="I2202" t="str">
            <v>XCL</v>
          </cell>
          <cell r="J2202">
            <v>42</v>
          </cell>
          <cell r="N2202" t="e">
            <v>#DIV/0!</v>
          </cell>
        </row>
        <row r="2203">
          <cell r="E2203" t="str">
            <v>HGC-Lib-2463870</v>
          </cell>
          <cell r="F2203" t="str">
            <v>LD240722D-0516A</v>
          </cell>
          <cell r="G2203">
            <v>30</v>
          </cell>
          <cell r="H2203" t="str">
            <v>DNA宏基因组文库</v>
          </cell>
          <cell r="I2203" t="str">
            <v>XCL</v>
          </cell>
          <cell r="J2203">
            <v>26.6</v>
          </cell>
          <cell r="N2203" t="e">
            <v>#DIV/0!</v>
          </cell>
        </row>
        <row r="2204">
          <cell r="E2204" t="str">
            <v>HGC-Lib-2463871</v>
          </cell>
          <cell r="F2204" t="str">
            <v>LD240722D-0517A</v>
          </cell>
          <cell r="G2204">
            <v>30</v>
          </cell>
          <cell r="H2204" t="str">
            <v>DNA宏基因组文库</v>
          </cell>
          <cell r="I2204" t="str">
            <v>XCL</v>
          </cell>
          <cell r="J2204">
            <v>38.4</v>
          </cell>
          <cell r="N2204" t="e">
            <v>#DIV/0!</v>
          </cell>
        </row>
        <row r="2205">
          <cell r="E2205" t="str">
            <v>HGC-Lib-2463872</v>
          </cell>
          <cell r="F2205" t="str">
            <v>LD240722D-0518A</v>
          </cell>
          <cell r="G2205">
            <v>30</v>
          </cell>
          <cell r="H2205" t="str">
            <v>DNA宏基因组文库</v>
          </cell>
          <cell r="I2205" t="str">
            <v>XCL</v>
          </cell>
          <cell r="J2205">
            <v>14</v>
          </cell>
          <cell r="N2205" t="e">
            <v>#DIV/0!</v>
          </cell>
        </row>
        <row r="2206">
          <cell r="E2206" t="str">
            <v>HGC-Lib-2463873</v>
          </cell>
          <cell r="F2206" t="str">
            <v>LD240724O-1930A</v>
          </cell>
          <cell r="G2206">
            <v>1</v>
          </cell>
          <cell r="H2206" t="str">
            <v>DNA基因组文库</v>
          </cell>
          <cell r="I2206" t="str">
            <v>XCL</v>
          </cell>
          <cell r="J2206">
            <v>86.2</v>
          </cell>
          <cell r="N2206" t="e">
            <v>#DIV/0!</v>
          </cell>
        </row>
        <row r="2207">
          <cell r="E2207" t="str">
            <v>HGC-Lib-2463874</v>
          </cell>
          <cell r="F2207" t="str">
            <v>LD240724O-1931A</v>
          </cell>
          <cell r="G2207">
            <v>1</v>
          </cell>
          <cell r="H2207" t="str">
            <v>DNA基因组文库</v>
          </cell>
          <cell r="I2207" t="str">
            <v>XCL</v>
          </cell>
          <cell r="J2207">
            <v>10.4</v>
          </cell>
          <cell r="N2207" t="e">
            <v>#DIV/0!</v>
          </cell>
        </row>
        <row r="2208">
          <cell r="E2208" t="str">
            <v>HGC-Lib-2463875</v>
          </cell>
          <cell r="F2208" t="str">
            <v>LD240724O-1932A</v>
          </cell>
          <cell r="G2208">
            <v>1</v>
          </cell>
          <cell r="H2208" t="str">
            <v>DNA基因组文库</v>
          </cell>
          <cell r="I2208" t="str">
            <v>XCL</v>
          </cell>
          <cell r="J2208">
            <v>7</v>
          </cell>
          <cell r="N2208" t="e">
            <v>#DIV/0!</v>
          </cell>
        </row>
        <row r="2209">
          <cell r="E2209" t="str">
            <v>HGC-Lib-2463876</v>
          </cell>
          <cell r="F2209" t="str">
            <v>LD240724O-1933A</v>
          </cell>
          <cell r="G2209">
            <v>1</v>
          </cell>
          <cell r="H2209" t="str">
            <v>DNA基因组文库</v>
          </cell>
          <cell r="I2209" t="str">
            <v>XCL</v>
          </cell>
          <cell r="J2209">
            <v>67</v>
          </cell>
          <cell r="N2209" t="e">
            <v>#DIV/0!</v>
          </cell>
        </row>
        <row r="2210">
          <cell r="E2210" t="str">
            <v>HGC-Lib-2463877</v>
          </cell>
          <cell r="F2210" t="str">
            <v>LD240724O-1934A</v>
          </cell>
          <cell r="G2210">
            <v>1</v>
          </cell>
          <cell r="H2210" t="str">
            <v>DNA基因组文库</v>
          </cell>
          <cell r="I2210" t="str">
            <v>XCL</v>
          </cell>
          <cell r="J2210">
            <v>17.5</v>
          </cell>
          <cell r="N2210" t="e">
            <v>#DIV/0!</v>
          </cell>
        </row>
        <row r="2211">
          <cell r="E2211" t="str">
            <v>HGC-Lib-2463878</v>
          </cell>
          <cell r="F2211" t="str">
            <v>LD240724O-1935A</v>
          </cell>
          <cell r="G2211">
            <v>1</v>
          </cell>
          <cell r="H2211" t="str">
            <v>DNA基因组文库</v>
          </cell>
          <cell r="I2211" t="str">
            <v>XCL</v>
          </cell>
          <cell r="J2211">
            <v>71.400000000000006</v>
          </cell>
          <cell r="N2211" t="e">
            <v>#DIV/0!</v>
          </cell>
        </row>
        <row r="2212">
          <cell r="E2212" t="str">
            <v>HGC-Lib-2463879</v>
          </cell>
          <cell r="F2212" t="str">
            <v>LD240724O-1936A</v>
          </cell>
          <cell r="G2212">
            <v>1</v>
          </cell>
          <cell r="H2212" t="str">
            <v>DNA基因组文库</v>
          </cell>
          <cell r="I2212" t="str">
            <v>XCL</v>
          </cell>
          <cell r="J2212">
            <v>56.4</v>
          </cell>
          <cell r="N2212" t="e">
            <v>#DIV/0!</v>
          </cell>
        </row>
        <row r="2213">
          <cell r="E2213" t="str">
            <v>HGC-Lib-2463880</v>
          </cell>
          <cell r="F2213" t="str">
            <v>LD240724O-1937A</v>
          </cell>
          <cell r="G2213">
            <v>1</v>
          </cell>
          <cell r="H2213" t="str">
            <v>DNA基因组文库</v>
          </cell>
          <cell r="I2213" t="str">
            <v>XCL</v>
          </cell>
          <cell r="J2213">
            <v>56.6</v>
          </cell>
          <cell r="N2213" t="e">
            <v>#DIV/0!</v>
          </cell>
        </row>
        <row r="2214">
          <cell r="E2214" t="str">
            <v>HGC-Lib-2463881</v>
          </cell>
          <cell r="F2214" t="str">
            <v>LD240724O-1938A</v>
          </cell>
          <cell r="G2214">
            <v>1</v>
          </cell>
          <cell r="H2214" t="str">
            <v>DNA基因组文库</v>
          </cell>
          <cell r="I2214" t="str">
            <v>XCL</v>
          </cell>
          <cell r="J2214">
            <v>55.2</v>
          </cell>
          <cell r="N2214" t="e">
            <v>#DIV/0!</v>
          </cell>
        </row>
        <row r="2215">
          <cell r="E2215" t="str">
            <v>HGC-Lib-2463882</v>
          </cell>
          <cell r="F2215" t="str">
            <v>LD240724O-1939A</v>
          </cell>
          <cell r="G2215">
            <v>1</v>
          </cell>
          <cell r="H2215" t="str">
            <v>DNA基因组文库</v>
          </cell>
          <cell r="I2215" t="str">
            <v>XCL</v>
          </cell>
          <cell r="J2215">
            <v>30.6</v>
          </cell>
          <cell r="N2215" t="e">
            <v>#DIV/0!</v>
          </cell>
        </row>
        <row r="2216">
          <cell r="E2216" t="str">
            <v>HGC-Lib-2463883</v>
          </cell>
          <cell r="F2216" t="str">
            <v>LD240724O-1940A</v>
          </cell>
          <cell r="G2216">
            <v>1</v>
          </cell>
          <cell r="H2216" t="str">
            <v>DNA基因组文库</v>
          </cell>
          <cell r="I2216" t="str">
            <v>XCL</v>
          </cell>
          <cell r="J2216">
            <v>12.3</v>
          </cell>
          <cell r="N2216" t="e">
            <v>#DIV/0!</v>
          </cell>
        </row>
        <row r="2217">
          <cell r="E2217" t="str">
            <v>HGC-Lib-2463884</v>
          </cell>
          <cell r="F2217" t="str">
            <v>LD240724O-1941A</v>
          </cell>
          <cell r="G2217">
            <v>1</v>
          </cell>
          <cell r="H2217" t="str">
            <v>DNA基因组文库</v>
          </cell>
          <cell r="I2217" t="str">
            <v>XCL</v>
          </cell>
          <cell r="J2217">
            <v>75.400000000000006</v>
          </cell>
          <cell r="N2217" t="e">
            <v>#DIV/0!</v>
          </cell>
        </row>
        <row r="2218">
          <cell r="E2218" t="str">
            <v>HGC-Lib-2463885</v>
          </cell>
          <cell r="F2218" t="str">
            <v>LD240724O-1942A</v>
          </cell>
          <cell r="G2218">
            <v>1</v>
          </cell>
          <cell r="H2218" t="str">
            <v>DNA基因组文库</v>
          </cell>
          <cell r="I2218" t="str">
            <v>XCL</v>
          </cell>
          <cell r="J2218">
            <v>11.3</v>
          </cell>
          <cell r="N2218" t="e">
            <v>#DIV/0!</v>
          </cell>
        </row>
        <row r="2219">
          <cell r="E2219" t="str">
            <v>HGC-Lib-2463886</v>
          </cell>
          <cell r="F2219" t="str">
            <v>LD240724O-1943A</v>
          </cell>
          <cell r="G2219">
            <v>1</v>
          </cell>
          <cell r="H2219" t="str">
            <v>DNA基因组文库</v>
          </cell>
          <cell r="I2219" t="str">
            <v>XCL</v>
          </cell>
          <cell r="J2219">
            <v>27.8</v>
          </cell>
          <cell r="N2219" t="e">
            <v>#DIV/0!</v>
          </cell>
        </row>
        <row r="2220">
          <cell r="E2220" t="str">
            <v>HGC-Lib-2463887</v>
          </cell>
          <cell r="F2220" t="str">
            <v>LD240724O-1944A</v>
          </cell>
          <cell r="G2220">
            <v>1</v>
          </cell>
          <cell r="H2220" t="str">
            <v>DNA基因组文库</v>
          </cell>
          <cell r="I2220" t="str">
            <v>XCL</v>
          </cell>
          <cell r="J2220">
            <v>64.2</v>
          </cell>
          <cell r="N2220" t="e">
            <v>#DIV/0!</v>
          </cell>
        </row>
        <row r="2221">
          <cell r="E2221" t="str">
            <v>HGC-Lib-2463888</v>
          </cell>
          <cell r="F2221" t="str">
            <v>LD240724O-1945A</v>
          </cell>
          <cell r="G2221">
            <v>1</v>
          </cell>
          <cell r="H2221" t="str">
            <v>DNA基因组文库</v>
          </cell>
          <cell r="I2221" t="str">
            <v>XCL</v>
          </cell>
          <cell r="J2221">
            <v>9.86</v>
          </cell>
          <cell r="N2221" t="e">
            <v>#DIV/0!</v>
          </cell>
        </row>
        <row r="2222">
          <cell r="E2222" t="str">
            <v>HGC-Lib-2463889</v>
          </cell>
          <cell r="F2222" t="str">
            <v>LD240724O-1946A</v>
          </cell>
          <cell r="G2222">
            <v>1</v>
          </cell>
          <cell r="H2222" t="str">
            <v>DNA基因组文库</v>
          </cell>
          <cell r="I2222" t="str">
            <v>XCL</v>
          </cell>
          <cell r="J2222">
            <v>81.2</v>
          </cell>
          <cell r="N2222" t="e">
            <v>#DIV/0!</v>
          </cell>
        </row>
        <row r="2223">
          <cell r="E2223" t="str">
            <v>HGC-Lib-2463890</v>
          </cell>
          <cell r="F2223" t="str">
            <v>LD240724O-1947A</v>
          </cell>
          <cell r="G2223">
            <v>1</v>
          </cell>
          <cell r="H2223" t="str">
            <v>DNA基因组文库</v>
          </cell>
          <cell r="I2223" t="str">
            <v>XCL</v>
          </cell>
          <cell r="J2223">
            <v>40.6</v>
          </cell>
          <cell r="N2223" t="e">
            <v>#DIV/0!</v>
          </cell>
        </row>
        <row r="2224">
          <cell r="E2224" t="str">
            <v>HGC-Lib-2463891</v>
          </cell>
          <cell r="F2224" t="str">
            <v>LD240724O-1948A</v>
          </cell>
          <cell r="G2224">
            <v>1</v>
          </cell>
          <cell r="H2224" t="str">
            <v>DNA基因组文库</v>
          </cell>
          <cell r="I2224" t="str">
            <v>XCL</v>
          </cell>
          <cell r="J2224">
            <v>34.799999999999997</v>
          </cell>
          <cell r="N2224" t="e">
            <v>#DIV/0!</v>
          </cell>
        </row>
        <row r="2225">
          <cell r="E2225" t="str">
            <v>HGC-Lib-2463892</v>
          </cell>
          <cell r="F2225" t="str">
            <v>LD240724O-1949A</v>
          </cell>
          <cell r="G2225">
            <v>1</v>
          </cell>
          <cell r="H2225" t="str">
            <v>DNA基因组文库</v>
          </cell>
          <cell r="I2225" t="str">
            <v>XCL</v>
          </cell>
          <cell r="J2225">
            <v>31.4</v>
          </cell>
          <cell r="N2225" t="e">
            <v>#DIV/0!</v>
          </cell>
        </row>
        <row r="2226">
          <cell r="E2226" t="str">
            <v>HGC-Lib-2463893</v>
          </cell>
          <cell r="F2226" t="str">
            <v>LD240724O-1950A</v>
          </cell>
          <cell r="G2226">
            <v>1</v>
          </cell>
          <cell r="H2226" t="str">
            <v>DNA基因组文库</v>
          </cell>
          <cell r="I2226" t="str">
            <v>XCL</v>
          </cell>
          <cell r="J2226">
            <v>34.6</v>
          </cell>
          <cell r="N2226" t="e">
            <v>#DIV/0!</v>
          </cell>
        </row>
        <row r="2227">
          <cell r="E2227" t="str">
            <v>HGC-Lib-2463894</v>
          </cell>
          <cell r="F2227" t="str">
            <v>LD240724O-1951A</v>
          </cell>
          <cell r="G2227">
            <v>1</v>
          </cell>
          <cell r="H2227" t="str">
            <v>DNA基因组文库</v>
          </cell>
          <cell r="I2227" t="str">
            <v>WH</v>
          </cell>
          <cell r="J2227">
            <v>23.4</v>
          </cell>
          <cell r="N2227" t="e">
            <v>#DIV/0!</v>
          </cell>
        </row>
        <row r="2228">
          <cell r="E2228" t="str">
            <v>HGC-Lib-2463895</v>
          </cell>
          <cell r="F2228" t="str">
            <v>LD240724O-1952A</v>
          </cell>
          <cell r="G2228">
            <v>1</v>
          </cell>
          <cell r="H2228" t="str">
            <v>DNA基因组文库</v>
          </cell>
          <cell r="I2228" t="str">
            <v>WH</v>
          </cell>
          <cell r="J2228">
            <v>66</v>
          </cell>
          <cell r="N2228" t="e">
            <v>#DIV/0!</v>
          </cell>
        </row>
        <row r="2229">
          <cell r="E2229" t="str">
            <v>HGC-Lib-2463896</v>
          </cell>
          <cell r="F2229" t="str">
            <v>LD240724O-1953A</v>
          </cell>
          <cell r="G2229">
            <v>1</v>
          </cell>
          <cell r="H2229" t="str">
            <v>DNA基因组文库</v>
          </cell>
          <cell r="I2229" t="str">
            <v>WH</v>
          </cell>
          <cell r="J2229">
            <v>18.3</v>
          </cell>
          <cell r="N2229" t="e">
            <v>#DIV/0!</v>
          </cell>
        </row>
        <row r="2230">
          <cell r="E2230" t="str">
            <v>HGC-Lib-2463897</v>
          </cell>
          <cell r="F2230" t="str">
            <v>LD240724O-1954A</v>
          </cell>
          <cell r="G2230">
            <v>1</v>
          </cell>
          <cell r="H2230" t="str">
            <v>DNA基因组文库</v>
          </cell>
          <cell r="I2230" t="str">
            <v>WH</v>
          </cell>
          <cell r="J2230">
            <v>63</v>
          </cell>
          <cell r="N2230" t="e">
            <v>#DIV/0!</v>
          </cell>
        </row>
        <row r="2231">
          <cell r="E2231" t="str">
            <v>HGC-Lib-2463898</v>
          </cell>
          <cell r="F2231" t="str">
            <v>LD240724O-1955A</v>
          </cell>
          <cell r="G2231">
            <v>1</v>
          </cell>
          <cell r="H2231" t="str">
            <v>DNA基因组文库</v>
          </cell>
          <cell r="I2231" t="str">
            <v>WH</v>
          </cell>
          <cell r="J2231">
            <v>12.4</v>
          </cell>
          <cell r="N2231" t="e">
            <v>#DIV/0!</v>
          </cell>
        </row>
        <row r="2232">
          <cell r="E2232" t="str">
            <v>HGC-Lib-2463899</v>
          </cell>
          <cell r="F2232" t="str">
            <v>LD240724O-1956A</v>
          </cell>
          <cell r="G2232">
            <v>1</v>
          </cell>
          <cell r="H2232" t="str">
            <v>DNA基因组文库</v>
          </cell>
          <cell r="I2232" t="str">
            <v>WH</v>
          </cell>
          <cell r="J2232">
            <v>48.8</v>
          </cell>
          <cell r="N2232" t="e">
            <v>#DIV/0!</v>
          </cell>
        </row>
        <row r="2233">
          <cell r="E2233" t="str">
            <v>HGC-Lib-2463900</v>
          </cell>
          <cell r="F2233" t="str">
            <v>LD240724O-1957A</v>
          </cell>
          <cell r="G2233">
            <v>1</v>
          </cell>
          <cell r="H2233" t="str">
            <v>DNA基因组文库</v>
          </cell>
          <cell r="I2233" t="str">
            <v>WH</v>
          </cell>
          <cell r="J2233">
            <v>34.4</v>
          </cell>
          <cell r="N2233" t="e">
            <v>#DIV/0!</v>
          </cell>
        </row>
        <row r="2234">
          <cell r="E2234" t="str">
            <v>HGC-Lib-2463901</v>
          </cell>
          <cell r="F2234" t="str">
            <v>LD240724O-1958A</v>
          </cell>
          <cell r="G2234">
            <v>1</v>
          </cell>
          <cell r="H2234" t="str">
            <v>DNA基因组文库</v>
          </cell>
          <cell r="I2234" t="str">
            <v>WH</v>
          </cell>
          <cell r="J2234">
            <v>36</v>
          </cell>
          <cell r="N2234" t="e">
            <v>#DIV/0!</v>
          </cell>
        </row>
        <row r="2235">
          <cell r="E2235" t="str">
            <v>HGC-Lib-2463902</v>
          </cell>
          <cell r="F2235" t="str">
            <v>LD240724O-1959A</v>
          </cell>
          <cell r="G2235">
            <v>1</v>
          </cell>
          <cell r="H2235" t="str">
            <v>DNA基因组文库</v>
          </cell>
          <cell r="I2235" t="str">
            <v>WH</v>
          </cell>
          <cell r="J2235">
            <v>22.4</v>
          </cell>
          <cell r="N2235" t="e">
            <v>#DIV/0!</v>
          </cell>
        </row>
        <row r="2236">
          <cell r="E2236" t="str">
            <v>HGC-Lib-2463903</v>
          </cell>
          <cell r="F2236" t="str">
            <v>LD240724O-1960A</v>
          </cell>
          <cell r="G2236">
            <v>1</v>
          </cell>
          <cell r="H2236" t="str">
            <v>DNA基因组文库</v>
          </cell>
          <cell r="I2236" t="str">
            <v>WH</v>
          </cell>
          <cell r="J2236">
            <v>81.400000000000006</v>
          </cell>
          <cell r="N2236" t="e">
            <v>#DIV/0!</v>
          </cell>
        </row>
        <row r="2237">
          <cell r="E2237" t="str">
            <v>HGC-Lib-2463904</v>
          </cell>
          <cell r="F2237" t="str">
            <v>LD240724O-1961A</v>
          </cell>
          <cell r="G2237">
            <v>1</v>
          </cell>
          <cell r="H2237" t="str">
            <v>DNA基因组文库</v>
          </cell>
          <cell r="I2237" t="str">
            <v>WH</v>
          </cell>
          <cell r="J2237">
            <v>17.3</v>
          </cell>
          <cell r="N2237" t="e">
            <v>#DIV/0!</v>
          </cell>
        </row>
        <row r="2238">
          <cell r="E2238" t="str">
            <v>HGC-Lib-2463905</v>
          </cell>
          <cell r="F2238" t="str">
            <v>LD240724O-1962A</v>
          </cell>
          <cell r="G2238">
            <v>1</v>
          </cell>
          <cell r="H2238" t="str">
            <v>DNA基因组文库</v>
          </cell>
          <cell r="I2238" t="str">
            <v>WH</v>
          </cell>
          <cell r="J2238">
            <v>5.36</v>
          </cell>
          <cell r="N2238" t="e">
            <v>#DIV/0!</v>
          </cell>
        </row>
        <row r="2239">
          <cell r="E2239" t="str">
            <v>HGC-Lib-2463906</v>
          </cell>
          <cell r="F2239" t="str">
            <v>LD240724O-1963A</v>
          </cell>
          <cell r="G2239">
            <v>1</v>
          </cell>
          <cell r="H2239" t="str">
            <v>DNA基因组文库</v>
          </cell>
          <cell r="I2239" t="str">
            <v>WH</v>
          </cell>
          <cell r="J2239">
            <v>77</v>
          </cell>
          <cell r="N2239" t="e">
            <v>#DIV/0!</v>
          </cell>
        </row>
        <row r="2240">
          <cell r="E2240" t="str">
            <v>HGC-Lib-2463907</v>
          </cell>
          <cell r="F2240" t="str">
            <v>LD240724O-1964A</v>
          </cell>
          <cell r="G2240">
            <v>1</v>
          </cell>
          <cell r="H2240" t="str">
            <v>DNA基因组文库</v>
          </cell>
          <cell r="I2240" t="str">
            <v>WH</v>
          </cell>
          <cell r="J2240">
            <v>73.2</v>
          </cell>
          <cell r="N2240" t="e">
            <v>#DIV/0!</v>
          </cell>
        </row>
        <row r="2241">
          <cell r="E2241" t="str">
            <v>HGC-Lib-2463908</v>
          </cell>
          <cell r="F2241" t="str">
            <v>LD240724O-1965A</v>
          </cell>
          <cell r="G2241">
            <v>1</v>
          </cell>
          <cell r="H2241" t="str">
            <v>DNA基因组文库</v>
          </cell>
          <cell r="I2241" t="str">
            <v>WH</v>
          </cell>
          <cell r="J2241">
            <v>49.8</v>
          </cell>
          <cell r="N2241" t="e">
            <v>#DIV/0!</v>
          </cell>
        </row>
        <row r="2242">
          <cell r="E2242" t="str">
            <v>HGC-Lib-2463909</v>
          </cell>
          <cell r="F2242" t="str">
            <v>LD240724O-1966A</v>
          </cell>
          <cell r="G2242">
            <v>1</v>
          </cell>
          <cell r="H2242" t="str">
            <v>DNA基因组文库</v>
          </cell>
          <cell r="I2242" t="str">
            <v>WH</v>
          </cell>
          <cell r="J2242">
            <v>7.08</v>
          </cell>
          <cell r="N2242" t="e">
            <v>#DIV/0!</v>
          </cell>
        </row>
        <row r="2243">
          <cell r="E2243" t="str">
            <v>HGC-Lib-2463910</v>
          </cell>
          <cell r="F2243" t="str">
            <v>LD240724O-1967A</v>
          </cell>
          <cell r="G2243">
            <v>1</v>
          </cell>
          <cell r="H2243" t="str">
            <v>DNA基因组文库</v>
          </cell>
          <cell r="I2243" t="str">
            <v>WH</v>
          </cell>
          <cell r="J2243">
            <v>56.6</v>
          </cell>
          <cell r="N2243" t="e">
            <v>#DIV/0!</v>
          </cell>
        </row>
        <row r="2244">
          <cell r="E2244" t="str">
            <v>HGC-Lib-2463911</v>
          </cell>
          <cell r="F2244" t="str">
            <v>LD240724O-1968A</v>
          </cell>
          <cell r="G2244">
            <v>1</v>
          </cell>
          <cell r="H2244" t="str">
            <v>DNA基因组文库</v>
          </cell>
          <cell r="I2244" t="str">
            <v>WH</v>
          </cell>
          <cell r="J2244">
            <v>60</v>
          </cell>
          <cell r="N2244" t="e">
            <v>#DIV/0!</v>
          </cell>
        </row>
        <row r="2245">
          <cell r="E2245" t="str">
            <v>HGC-Lib-2463912</v>
          </cell>
          <cell r="F2245" t="str">
            <v>LD240724O-1969A</v>
          </cell>
          <cell r="G2245">
            <v>1</v>
          </cell>
          <cell r="H2245" t="str">
            <v>DNA基因组文库</v>
          </cell>
          <cell r="I2245" t="str">
            <v>WH</v>
          </cell>
          <cell r="J2245">
            <v>55.6</v>
          </cell>
          <cell r="N2245" t="e">
            <v>#DIV/0!</v>
          </cell>
        </row>
        <row r="2246">
          <cell r="E2246" t="str">
            <v>HGC-Lib-2463913</v>
          </cell>
          <cell r="F2246" t="str">
            <v>LD240724O-1970A</v>
          </cell>
          <cell r="G2246">
            <v>1</v>
          </cell>
          <cell r="H2246" t="str">
            <v>DNA基因组文库</v>
          </cell>
          <cell r="I2246" t="str">
            <v>WH</v>
          </cell>
          <cell r="J2246">
            <v>79.2</v>
          </cell>
          <cell r="N2246" t="e">
            <v>#DIV/0!</v>
          </cell>
        </row>
        <row r="2247">
          <cell r="E2247" t="str">
            <v>HGC-Lib-2463914</v>
          </cell>
          <cell r="F2247" t="str">
            <v>LD240724O-1971A</v>
          </cell>
          <cell r="G2247">
            <v>1</v>
          </cell>
          <cell r="H2247" t="str">
            <v>DNA基因组文库</v>
          </cell>
          <cell r="I2247" t="str">
            <v>WH</v>
          </cell>
          <cell r="J2247">
            <v>46.4</v>
          </cell>
          <cell r="N2247" t="e">
            <v>#DIV/0!</v>
          </cell>
        </row>
        <row r="2248">
          <cell r="E2248" t="str">
            <v>HGC-Lib-2463915</v>
          </cell>
          <cell r="F2248" t="str">
            <v>LD240724O-1972A</v>
          </cell>
          <cell r="G2248">
            <v>1</v>
          </cell>
          <cell r="H2248" t="str">
            <v>DNA基因组文库</v>
          </cell>
          <cell r="I2248" t="str">
            <v>WH</v>
          </cell>
          <cell r="J2248">
            <v>55.8</v>
          </cell>
          <cell r="N2248" t="e">
            <v>#DIV/0!</v>
          </cell>
        </row>
        <row r="2249">
          <cell r="E2249" t="str">
            <v>HGC-Lib-2463916</v>
          </cell>
          <cell r="F2249" t="str">
            <v>LD240724O-1973A</v>
          </cell>
          <cell r="G2249">
            <v>1</v>
          </cell>
          <cell r="H2249" t="str">
            <v>DNA基因组文库</v>
          </cell>
          <cell r="I2249" t="str">
            <v>WH</v>
          </cell>
          <cell r="J2249">
            <v>49.4</v>
          </cell>
          <cell r="N2249" t="e">
            <v>#DIV/0!</v>
          </cell>
        </row>
        <row r="2250">
          <cell r="E2250" t="str">
            <v>HGC-Lib-2463917</v>
          </cell>
          <cell r="F2250" t="str">
            <v>LD240724O-1974A</v>
          </cell>
          <cell r="G2250">
            <v>1</v>
          </cell>
          <cell r="H2250" t="str">
            <v>DNA基因组文库</v>
          </cell>
          <cell r="I2250" t="str">
            <v>WH</v>
          </cell>
          <cell r="J2250">
            <v>61.8</v>
          </cell>
          <cell r="N2250" t="e">
            <v>#DIV/0!</v>
          </cell>
        </row>
        <row r="2251">
          <cell r="E2251" t="str">
            <v>HGC-Lib-2463918</v>
          </cell>
          <cell r="F2251" t="str">
            <v>LD240724O-1975A</v>
          </cell>
          <cell r="G2251">
            <v>1</v>
          </cell>
          <cell r="H2251" t="str">
            <v>DNA基因组文库</v>
          </cell>
          <cell r="I2251" t="str">
            <v>WH</v>
          </cell>
          <cell r="J2251">
            <v>67</v>
          </cell>
          <cell r="N2251" t="e">
            <v>#DIV/0!</v>
          </cell>
        </row>
        <row r="2252">
          <cell r="E2252" t="str">
            <v>HGC-Lib-2463919</v>
          </cell>
          <cell r="F2252" t="str">
            <v>LD240724O-1976A</v>
          </cell>
          <cell r="G2252">
            <v>1</v>
          </cell>
          <cell r="H2252" t="str">
            <v>DNA基因组文库</v>
          </cell>
          <cell r="I2252" t="str">
            <v>WH</v>
          </cell>
          <cell r="J2252">
            <v>42.2</v>
          </cell>
          <cell r="N2252" t="e">
            <v>#DIV/0!</v>
          </cell>
        </row>
        <row r="2253">
          <cell r="E2253" t="str">
            <v>HGC-Lib-2463920</v>
          </cell>
          <cell r="F2253" t="str">
            <v>LD240724O-1977A</v>
          </cell>
          <cell r="G2253">
            <v>1</v>
          </cell>
          <cell r="H2253" t="str">
            <v>DNA基因组文库</v>
          </cell>
          <cell r="I2253" t="str">
            <v>WH</v>
          </cell>
          <cell r="J2253">
            <v>47.2</v>
          </cell>
          <cell r="N2253" t="e">
            <v>#DIV/0!</v>
          </cell>
        </row>
        <row r="2254">
          <cell r="E2254" t="str">
            <v>HGC-Lib-2463921</v>
          </cell>
          <cell r="F2254" t="str">
            <v>LD240724O-1978A</v>
          </cell>
          <cell r="G2254">
            <v>1</v>
          </cell>
          <cell r="H2254" t="str">
            <v>DNA基因组文库</v>
          </cell>
          <cell r="I2254" t="str">
            <v>WH</v>
          </cell>
          <cell r="J2254">
            <v>43.2</v>
          </cell>
          <cell r="N2254" t="e">
            <v>#DIV/0!</v>
          </cell>
        </row>
        <row r="2255">
          <cell r="E2255" t="str">
            <v>HGC-Lib-2463922</v>
          </cell>
          <cell r="F2255" t="str">
            <v>LD240724O-1979A</v>
          </cell>
          <cell r="G2255">
            <v>1</v>
          </cell>
          <cell r="H2255" t="str">
            <v>DNA基因组文库</v>
          </cell>
          <cell r="I2255" t="str">
            <v>WH</v>
          </cell>
          <cell r="J2255">
            <v>14.6</v>
          </cell>
          <cell r="N2255" t="e">
            <v>#DIV/0!</v>
          </cell>
        </row>
        <row r="2256">
          <cell r="E2256" t="str">
            <v>HGC-Lib-2463923</v>
          </cell>
          <cell r="F2256" t="str">
            <v>LD240724O-1980A</v>
          </cell>
          <cell r="G2256">
            <v>1</v>
          </cell>
          <cell r="H2256" t="str">
            <v>DNA基因组文库</v>
          </cell>
          <cell r="I2256" t="str">
            <v>WH</v>
          </cell>
          <cell r="J2256">
            <v>56.2</v>
          </cell>
          <cell r="N2256" t="e">
            <v>#DIV/0!</v>
          </cell>
        </row>
        <row r="2257">
          <cell r="E2257" t="str">
            <v>HGC-Lib-2463924</v>
          </cell>
          <cell r="F2257" t="str">
            <v>LD240724O-1981A</v>
          </cell>
          <cell r="G2257">
            <v>1</v>
          </cell>
          <cell r="H2257" t="str">
            <v>DNA基因组文库</v>
          </cell>
          <cell r="I2257" t="str">
            <v>WH</v>
          </cell>
          <cell r="J2257">
            <v>13.3</v>
          </cell>
          <cell r="N2257" t="e">
            <v>#DIV/0!</v>
          </cell>
        </row>
        <row r="2258">
          <cell r="E2258" t="str">
            <v>HGC-Lib-2463925</v>
          </cell>
          <cell r="F2258" t="str">
            <v>LD240724O-1982A</v>
          </cell>
          <cell r="G2258">
            <v>1</v>
          </cell>
          <cell r="H2258" t="str">
            <v>DNA基因组文库</v>
          </cell>
          <cell r="I2258" t="str">
            <v>WH</v>
          </cell>
          <cell r="J2258">
            <v>35</v>
          </cell>
          <cell r="N2258" t="e">
            <v>#DIV/0!</v>
          </cell>
        </row>
        <row r="2259">
          <cell r="E2259" t="str">
            <v>HGC-Lib-2463926</v>
          </cell>
          <cell r="F2259" t="str">
            <v>LD240724O-1983A</v>
          </cell>
          <cell r="G2259">
            <v>1</v>
          </cell>
          <cell r="H2259" t="str">
            <v>DNA基因组文库</v>
          </cell>
          <cell r="I2259" t="str">
            <v>WH</v>
          </cell>
          <cell r="J2259">
            <v>35.200000000000003</v>
          </cell>
          <cell r="N2259" t="e">
            <v>#DIV/0!</v>
          </cell>
        </row>
        <row r="2260">
          <cell r="E2260" t="str">
            <v>HGC-Lib-2463927</v>
          </cell>
          <cell r="F2260" t="str">
            <v>LD240724O-1984A</v>
          </cell>
          <cell r="G2260">
            <v>1</v>
          </cell>
          <cell r="H2260" t="str">
            <v>DNA基因组文库</v>
          </cell>
          <cell r="I2260" t="str">
            <v>WH</v>
          </cell>
          <cell r="J2260">
            <v>11.3</v>
          </cell>
          <cell r="N2260" t="e">
            <v>#DIV/0!</v>
          </cell>
        </row>
        <row r="2261">
          <cell r="E2261" t="str">
            <v>HGC-Lib-2463928</v>
          </cell>
          <cell r="F2261" t="str">
            <v>LD240724O-1985A</v>
          </cell>
          <cell r="G2261">
            <v>1</v>
          </cell>
          <cell r="H2261" t="str">
            <v>DNA基因组文库</v>
          </cell>
          <cell r="I2261" t="str">
            <v>WH</v>
          </cell>
          <cell r="J2261">
            <v>45</v>
          </cell>
          <cell r="N2261" t="e">
            <v>#DIV/0!</v>
          </cell>
        </row>
        <row r="2262">
          <cell r="E2262" t="str">
            <v>HGC-Lib-2463929</v>
          </cell>
          <cell r="F2262" t="str">
            <v>LD240724O-1986A</v>
          </cell>
          <cell r="G2262">
            <v>1</v>
          </cell>
          <cell r="H2262" t="str">
            <v>DNA基因组文库</v>
          </cell>
          <cell r="I2262" t="str">
            <v>WH</v>
          </cell>
          <cell r="J2262">
            <v>54.8</v>
          </cell>
          <cell r="N2262" t="e">
            <v>#DIV/0!</v>
          </cell>
        </row>
        <row r="2263">
          <cell r="E2263" t="str">
            <v>HGC-Lib-2463930</v>
          </cell>
          <cell r="F2263" t="str">
            <v>LD240724O-1987A</v>
          </cell>
          <cell r="G2263">
            <v>1</v>
          </cell>
          <cell r="H2263" t="str">
            <v>DNA基因组文库</v>
          </cell>
          <cell r="I2263" t="str">
            <v>WH</v>
          </cell>
          <cell r="J2263">
            <v>47.8</v>
          </cell>
          <cell r="N2263" t="e">
            <v>#DIV/0!</v>
          </cell>
        </row>
        <row r="2264">
          <cell r="E2264" t="str">
            <v>HGC-Lib-2463931</v>
          </cell>
          <cell r="F2264" t="str">
            <v>LD240724O-1988A</v>
          </cell>
          <cell r="G2264">
            <v>1</v>
          </cell>
          <cell r="H2264" t="str">
            <v>DNA基因组文库</v>
          </cell>
          <cell r="I2264" t="str">
            <v>WH</v>
          </cell>
          <cell r="J2264">
            <v>78.2</v>
          </cell>
          <cell r="N2264" t="e">
            <v>#DIV/0!</v>
          </cell>
        </row>
        <row r="2265">
          <cell r="E2265" t="str">
            <v>HGC-Lib-2463932</v>
          </cell>
          <cell r="F2265" t="str">
            <v>LD240724O-1989A</v>
          </cell>
          <cell r="G2265">
            <v>1</v>
          </cell>
          <cell r="H2265" t="str">
            <v>DNA基因组文库</v>
          </cell>
          <cell r="I2265" t="str">
            <v>WH</v>
          </cell>
          <cell r="J2265">
            <v>38.4</v>
          </cell>
          <cell r="N2265" t="e">
            <v>#DIV/0!</v>
          </cell>
        </row>
        <row r="2266">
          <cell r="E2266" t="str">
            <v>HGC-Lib-2463933</v>
          </cell>
          <cell r="F2266" t="str">
            <v>LD240724O-1990A</v>
          </cell>
          <cell r="G2266">
            <v>1</v>
          </cell>
          <cell r="H2266" t="str">
            <v>DNA基因组文库</v>
          </cell>
          <cell r="I2266" t="str">
            <v>WH</v>
          </cell>
          <cell r="J2266">
            <v>45.2</v>
          </cell>
          <cell r="N2266" t="e">
            <v>#DIV/0!</v>
          </cell>
        </row>
        <row r="2267">
          <cell r="E2267" t="str">
            <v>HGC-Lib-2463934</v>
          </cell>
          <cell r="F2267" t="str">
            <v>LD240724O-1991A</v>
          </cell>
          <cell r="G2267">
            <v>1</v>
          </cell>
          <cell r="H2267" t="str">
            <v>DNA基因组文库</v>
          </cell>
          <cell r="I2267" t="str">
            <v>WH</v>
          </cell>
          <cell r="J2267">
            <v>28.4</v>
          </cell>
          <cell r="N2267" t="e">
            <v>#DIV/0!</v>
          </cell>
        </row>
        <row r="2268">
          <cell r="E2268" t="str">
            <v>HGC-Lib-2463935</v>
          </cell>
          <cell r="F2268" t="str">
            <v>LD240724O-1992A</v>
          </cell>
          <cell r="G2268">
            <v>1</v>
          </cell>
          <cell r="H2268" t="str">
            <v>DNA基因组文库</v>
          </cell>
          <cell r="I2268" t="str">
            <v>WH</v>
          </cell>
          <cell r="J2268">
            <v>11.7</v>
          </cell>
          <cell r="N2268" t="e">
            <v>#DIV/0!</v>
          </cell>
        </row>
        <row r="2269">
          <cell r="E2269" t="str">
            <v>HGC-Lib-2463936</v>
          </cell>
          <cell r="F2269" t="str">
            <v>LD240724O-1993A</v>
          </cell>
          <cell r="G2269">
            <v>1</v>
          </cell>
          <cell r="H2269" t="str">
            <v>DNA基因组文库</v>
          </cell>
          <cell r="I2269" t="str">
            <v>WH</v>
          </cell>
          <cell r="J2269">
            <v>79.400000000000006</v>
          </cell>
          <cell r="N2269" t="e">
            <v>#DIV/0!</v>
          </cell>
        </row>
        <row r="2270">
          <cell r="E2270" t="str">
            <v>HGC-Lib-2463937</v>
          </cell>
          <cell r="F2270" t="str">
            <v>LD240724O-1994A</v>
          </cell>
          <cell r="G2270">
            <v>1</v>
          </cell>
          <cell r="H2270" t="str">
            <v>DNA基因组文库</v>
          </cell>
          <cell r="I2270" t="str">
            <v>WH</v>
          </cell>
          <cell r="J2270">
            <v>97.2</v>
          </cell>
          <cell r="N2270" t="e">
            <v>#DIV/0!</v>
          </cell>
        </row>
        <row r="2271">
          <cell r="E2271" t="str">
            <v>HGC-Lib-2463938</v>
          </cell>
          <cell r="F2271" t="str">
            <v>LD240724O-1995A</v>
          </cell>
          <cell r="G2271">
            <v>1</v>
          </cell>
          <cell r="H2271" t="str">
            <v>DNA基因组文库</v>
          </cell>
          <cell r="I2271" t="str">
            <v>WH</v>
          </cell>
          <cell r="J2271">
            <v>76.8</v>
          </cell>
          <cell r="N2271" t="e">
            <v>#DIV/0!</v>
          </cell>
        </row>
        <row r="2272">
          <cell r="E2272" t="str">
            <v>HGC-Lib-2463939</v>
          </cell>
          <cell r="F2272" t="str">
            <v>LD240724O-1996A</v>
          </cell>
          <cell r="G2272">
            <v>1</v>
          </cell>
          <cell r="H2272" t="str">
            <v>DNA基因组文库</v>
          </cell>
          <cell r="I2272" t="str">
            <v>WH</v>
          </cell>
          <cell r="J2272">
            <v>72.400000000000006</v>
          </cell>
          <cell r="N2272" t="e">
            <v>#DIV/0!</v>
          </cell>
        </row>
        <row r="2273">
          <cell r="E2273" t="str">
            <v>HGC-Lib-2463940</v>
          </cell>
          <cell r="F2273" t="str">
            <v>LD240724O-1997A</v>
          </cell>
          <cell r="G2273">
            <v>1</v>
          </cell>
          <cell r="H2273" t="str">
            <v>DNA基因组文库</v>
          </cell>
          <cell r="I2273" t="str">
            <v>WH</v>
          </cell>
          <cell r="J2273">
            <v>26.4</v>
          </cell>
          <cell r="N2273" t="e">
            <v>#DIV/0!</v>
          </cell>
        </row>
        <row r="2274">
          <cell r="E2274" t="str">
            <v>HGC-Lib-2463941</v>
          </cell>
          <cell r="F2274" t="str">
            <v>LD240724O-1998A</v>
          </cell>
          <cell r="G2274">
            <v>1</v>
          </cell>
          <cell r="H2274" t="str">
            <v>DNA基因组文库</v>
          </cell>
          <cell r="I2274" t="str">
            <v>WH</v>
          </cell>
          <cell r="J2274">
            <v>9</v>
          </cell>
          <cell r="N2274" t="e">
            <v>#DIV/0!</v>
          </cell>
        </row>
        <row r="2275">
          <cell r="E2275" t="str">
            <v>HGC-Lib-2463942</v>
          </cell>
          <cell r="F2275" t="str">
            <v>LD240724O-1999A</v>
          </cell>
          <cell r="G2275">
            <v>1</v>
          </cell>
          <cell r="H2275" t="str">
            <v>DNA基因组文库</v>
          </cell>
          <cell r="I2275" t="str">
            <v>WWH</v>
          </cell>
          <cell r="J2275">
            <v>6.04</v>
          </cell>
          <cell r="N2275" t="e">
            <v>#DIV/0!</v>
          </cell>
        </row>
        <row r="2276">
          <cell r="E2276" t="str">
            <v>HGC-Lib-2463943</v>
          </cell>
          <cell r="F2276" t="str">
            <v>LD240725O-1133A</v>
          </cell>
          <cell r="G2276">
            <v>15</v>
          </cell>
          <cell r="H2276" t="str">
            <v>DNA宏基因组文库</v>
          </cell>
          <cell r="I2276" t="str">
            <v>WWH</v>
          </cell>
          <cell r="J2276">
            <v>42</v>
          </cell>
          <cell r="N2276" t="e">
            <v>#DIV/0!</v>
          </cell>
        </row>
        <row r="2277">
          <cell r="E2277" t="str">
            <v>HGC-Lib-2463944</v>
          </cell>
          <cell r="F2277" t="str">
            <v>LD240725O-1134A</v>
          </cell>
          <cell r="G2277">
            <v>15</v>
          </cell>
          <cell r="H2277" t="str">
            <v>DNA宏基因组文库</v>
          </cell>
          <cell r="I2277" t="str">
            <v>WWH</v>
          </cell>
          <cell r="J2277">
            <v>43</v>
          </cell>
          <cell r="N2277" t="e">
            <v>#DIV/0!</v>
          </cell>
        </row>
        <row r="2278">
          <cell r="E2278" t="str">
            <v>HGC-Lib-2463985</v>
          </cell>
          <cell r="F2278" t="str">
            <v>T875-1</v>
          </cell>
          <cell r="G2278">
            <v>8</v>
          </cell>
          <cell r="H2278" t="str">
            <v>mRNA文库</v>
          </cell>
          <cell r="I2278" t="str">
            <v>WWH</v>
          </cell>
          <cell r="J2278">
            <v>50</v>
          </cell>
          <cell r="N2278" t="e">
            <v>#DIV/0!</v>
          </cell>
        </row>
        <row r="2279">
          <cell r="E2279" t="str">
            <v>HGC-Lib-2463986</v>
          </cell>
          <cell r="F2279" t="str">
            <v>T875-2</v>
          </cell>
          <cell r="G2279">
            <v>8</v>
          </cell>
          <cell r="H2279" t="str">
            <v>mRNA文库</v>
          </cell>
          <cell r="I2279" t="str">
            <v>WWH</v>
          </cell>
          <cell r="J2279">
            <v>12</v>
          </cell>
          <cell r="N2279" t="e">
            <v>#DIV/0!</v>
          </cell>
        </row>
        <row r="2280">
          <cell r="E2280" t="str">
            <v>HGC-Lib-2463987</v>
          </cell>
          <cell r="F2280" t="str">
            <v>T875-7</v>
          </cell>
          <cell r="G2280">
            <v>8</v>
          </cell>
          <cell r="H2280" t="str">
            <v>mRNA文库</v>
          </cell>
          <cell r="I2280" t="str">
            <v>WWH</v>
          </cell>
          <cell r="J2280">
            <v>27.6</v>
          </cell>
          <cell r="N2280" t="e">
            <v>#DIV/0!</v>
          </cell>
        </row>
        <row r="2281">
          <cell r="E2281" t="str">
            <v>HGC-Lib-2463988</v>
          </cell>
          <cell r="F2281" t="str">
            <v>T875-8</v>
          </cell>
          <cell r="G2281">
            <v>8</v>
          </cell>
          <cell r="H2281" t="str">
            <v>mRNA文库</v>
          </cell>
          <cell r="I2281" t="str">
            <v>WWH</v>
          </cell>
          <cell r="J2281">
            <v>6.4</v>
          </cell>
          <cell r="N2281" t="e">
            <v>#DIV/0!</v>
          </cell>
        </row>
        <row r="2282">
          <cell r="E2282" t="str">
            <v>HGC-Lib-2463989</v>
          </cell>
          <cell r="F2282" t="str">
            <v>T875-9</v>
          </cell>
          <cell r="G2282">
            <v>8</v>
          </cell>
          <cell r="H2282" t="str">
            <v>mRNA文库</v>
          </cell>
          <cell r="I2282" t="str">
            <v>WWH</v>
          </cell>
          <cell r="J2282">
            <v>13.3</v>
          </cell>
          <cell r="N2282" t="e">
            <v>#DIV/0!</v>
          </cell>
        </row>
        <row r="2283">
          <cell r="E2283" t="str">
            <v>HGC-Lib-2463990</v>
          </cell>
          <cell r="F2283" t="str">
            <v>T875-10</v>
          </cell>
          <cell r="G2283">
            <v>8</v>
          </cell>
          <cell r="H2283" t="str">
            <v>mRNA文库</v>
          </cell>
          <cell r="I2283" t="str">
            <v>WWH</v>
          </cell>
          <cell r="J2283">
            <v>20.2</v>
          </cell>
          <cell r="N2283" t="e">
            <v>#DIV/0!</v>
          </cell>
        </row>
        <row r="2284">
          <cell r="E2284" t="str">
            <v>HGC-Lib-2463991</v>
          </cell>
          <cell r="F2284" t="str">
            <v>T875-11</v>
          </cell>
          <cell r="G2284">
            <v>8</v>
          </cell>
          <cell r="H2284" t="str">
            <v>mRNA文库</v>
          </cell>
          <cell r="I2284" t="str">
            <v>WWH</v>
          </cell>
          <cell r="J2284">
            <v>21.8</v>
          </cell>
          <cell r="N2284" t="e">
            <v>#DIV/0!</v>
          </cell>
        </row>
        <row r="2285">
          <cell r="E2285" t="str">
            <v>HGC-Lib-2463992</v>
          </cell>
          <cell r="F2285" t="str">
            <v>T875-12</v>
          </cell>
          <cell r="G2285">
            <v>8</v>
          </cell>
          <cell r="H2285" t="str">
            <v>mRNA文库</v>
          </cell>
          <cell r="I2285" t="str">
            <v>WWH</v>
          </cell>
          <cell r="J2285">
            <v>27.2</v>
          </cell>
          <cell r="N2285" t="e">
            <v>#DIV/0!</v>
          </cell>
        </row>
        <row r="2286">
          <cell r="E2286" t="str">
            <v>HGC-Lib-2463993</v>
          </cell>
          <cell r="F2286" t="str">
            <v>T875-13</v>
          </cell>
          <cell r="G2286">
            <v>8</v>
          </cell>
          <cell r="H2286" t="str">
            <v>mRNA文库</v>
          </cell>
          <cell r="I2286" t="str">
            <v>WWH</v>
          </cell>
          <cell r="J2286">
            <v>43</v>
          </cell>
          <cell r="N2286" t="e">
            <v>#DIV/0!</v>
          </cell>
        </row>
        <row r="2287">
          <cell r="E2287" t="str">
            <v>HGC-Lib-2463994</v>
          </cell>
          <cell r="F2287" t="str">
            <v>T875-14</v>
          </cell>
          <cell r="G2287">
            <v>8</v>
          </cell>
          <cell r="H2287" t="str">
            <v>mRNA文库</v>
          </cell>
          <cell r="I2287" t="str">
            <v>WWH</v>
          </cell>
          <cell r="J2287">
            <v>52.4</v>
          </cell>
          <cell r="N2287" t="e">
            <v>#DIV/0!</v>
          </cell>
        </row>
        <row r="2288">
          <cell r="E2288" t="str">
            <v>HGC-Lib-2463997</v>
          </cell>
          <cell r="F2288" t="str">
            <v>A8-1</v>
          </cell>
          <cell r="G2288">
            <v>10</v>
          </cell>
          <cell r="H2288" t="str">
            <v>PCR产物文库</v>
          </cell>
          <cell r="I2288" t="str">
            <v>WWH</v>
          </cell>
          <cell r="J2288">
            <v>49.6</v>
          </cell>
          <cell r="K2288">
            <v>516</v>
          </cell>
          <cell r="N2288">
            <v>147.88312462731099</v>
          </cell>
        </row>
        <row r="2289">
          <cell r="E2289" t="str">
            <v>HGC-Lib-2464019</v>
          </cell>
          <cell r="F2289" t="str">
            <v>L240731004X3</v>
          </cell>
          <cell r="G2289">
            <v>90</v>
          </cell>
          <cell r="H2289" t="str">
            <v>10X 3'转录组文库</v>
          </cell>
          <cell r="I2289" t="str">
            <v>WWH</v>
          </cell>
          <cell r="J2289">
            <v>21.6</v>
          </cell>
          <cell r="N2289" t="e">
            <v>#DIV/0!</v>
          </cell>
        </row>
        <row r="2290">
          <cell r="E2290" t="str">
            <v>HGC-Lib-2464020</v>
          </cell>
          <cell r="F2290" t="str">
            <v>L240731003X3</v>
          </cell>
          <cell r="G2290">
            <v>90</v>
          </cell>
          <cell r="H2290" t="str">
            <v>10X 3'转录组文库</v>
          </cell>
          <cell r="I2290" t="str">
            <v>WWH</v>
          </cell>
          <cell r="J2290">
            <v>15.3</v>
          </cell>
          <cell r="N2290" t="e">
            <v>#DIV/0!</v>
          </cell>
        </row>
        <row r="2291">
          <cell r="E2291" t="str">
            <v>HGC-Lib-2464021</v>
          </cell>
          <cell r="F2291" t="str">
            <v>L240731002X3</v>
          </cell>
          <cell r="G2291">
            <v>90</v>
          </cell>
          <cell r="H2291" t="str">
            <v>10X 3'转录组文库</v>
          </cell>
          <cell r="I2291" t="str">
            <v>WWH</v>
          </cell>
          <cell r="J2291">
            <v>24</v>
          </cell>
          <cell r="N2291" t="e">
            <v>#DIV/0!</v>
          </cell>
        </row>
        <row r="2292">
          <cell r="E2292" t="str">
            <v>HGC-Lib-2464022</v>
          </cell>
          <cell r="F2292" t="str">
            <v>L240731005X3</v>
          </cell>
          <cell r="G2292">
            <v>90</v>
          </cell>
          <cell r="H2292" t="str">
            <v>10X 3'转录组文库</v>
          </cell>
          <cell r="I2292" t="str">
            <v>WWH</v>
          </cell>
          <cell r="J2292">
            <v>19.100000000000001</v>
          </cell>
          <cell r="N2292" t="e">
            <v>#DIV/0!</v>
          </cell>
        </row>
        <row r="2293">
          <cell r="E2293" t="str">
            <v>HGC-Lib-2464023</v>
          </cell>
          <cell r="F2293" t="str">
            <v>L240731001X3</v>
          </cell>
          <cell r="G2293">
            <v>90</v>
          </cell>
          <cell r="H2293" t="str">
            <v>10X 3'转录组文库</v>
          </cell>
          <cell r="I2293" t="str">
            <v>WWH</v>
          </cell>
          <cell r="J2293">
            <v>18</v>
          </cell>
          <cell r="N2293" t="e">
            <v>#DIV/0!</v>
          </cell>
        </row>
        <row r="2294">
          <cell r="E2294" t="str">
            <v>HGC-Lib-2464024</v>
          </cell>
          <cell r="F2294" t="str">
            <v>L240731006X3</v>
          </cell>
          <cell r="G2294">
            <v>90</v>
          </cell>
          <cell r="H2294" t="str">
            <v>10X 3'转录组文库</v>
          </cell>
          <cell r="I2294" t="str">
            <v>WWH</v>
          </cell>
          <cell r="J2294">
            <v>17.3</v>
          </cell>
          <cell r="N2294" t="e">
            <v>#DIV/0!</v>
          </cell>
        </row>
        <row r="2295">
          <cell r="E2295" t="str">
            <v>HGC-Lib-2464025</v>
          </cell>
          <cell r="F2295" t="str">
            <v>L240731073X3</v>
          </cell>
          <cell r="G2295">
            <v>100</v>
          </cell>
          <cell r="H2295" t="str">
            <v>10X 3'转录组文库</v>
          </cell>
          <cell r="I2295" t="str">
            <v>WWH</v>
          </cell>
          <cell r="J2295">
            <v>15.6</v>
          </cell>
          <cell r="N2295" t="e">
            <v>#DIV/0!</v>
          </cell>
        </row>
        <row r="2296">
          <cell r="E2296" t="str">
            <v>HGC-Lib-2464032</v>
          </cell>
          <cell r="F2296" t="str">
            <v>DW14-1</v>
          </cell>
          <cell r="G2296">
            <v>10</v>
          </cell>
          <cell r="H2296" t="str">
            <v>ATAC-Seq文库</v>
          </cell>
          <cell r="I2296" t="str">
            <v>WWH</v>
          </cell>
          <cell r="J2296">
            <v>69.2</v>
          </cell>
          <cell r="K2296">
            <v>539</v>
          </cell>
          <cell r="L2296" t="str">
            <v>YHT</v>
          </cell>
          <cell r="N2296">
            <v>197.51676894534</v>
          </cell>
        </row>
        <row r="2297">
          <cell r="E2297" t="str">
            <v>HGC-Lib-2464033</v>
          </cell>
          <cell r="F2297" t="str">
            <v>DW14-2</v>
          </cell>
          <cell r="G2297">
            <v>10</v>
          </cell>
          <cell r="H2297" t="str">
            <v>ATAC-Seq文库</v>
          </cell>
          <cell r="I2297" t="str">
            <v>WWH</v>
          </cell>
          <cell r="J2297">
            <v>54.2</v>
          </cell>
          <cell r="K2297">
            <v>568</v>
          </cell>
          <cell r="L2297" t="str">
            <v>YHT</v>
          </cell>
          <cell r="N2297">
            <v>146.803900325027</v>
          </cell>
        </row>
        <row r="2298">
          <cell r="E2298" t="str">
            <v>HGC-Lib-2464034</v>
          </cell>
          <cell r="F2298" t="str">
            <v>DW14-3</v>
          </cell>
          <cell r="G2298">
            <v>10</v>
          </cell>
          <cell r="H2298" t="str">
            <v>ATAC-Seq文库</v>
          </cell>
          <cell r="I2298" t="str">
            <v>WWH</v>
          </cell>
          <cell r="J2298">
            <v>39.6</v>
          </cell>
          <cell r="K2298">
            <v>567</v>
          </cell>
          <cell r="L2298" t="str">
            <v>YHT</v>
          </cell>
          <cell r="N2298">
            <v>107.448107448107</v>
          </cell>
        </row>
        <row r="2299">
          <cell r="E2299" t="str">
            <v>HGC-Lib-2464035</v>
          </cell>
          <cell r="F2299" t="str">
            <v>DW14-4</v>
          </cell>
          <cell r="G2299">
            <v>10</v>
          </cell>
          <cell r="H2299" t="str">
            <v>ATAC-Seq文库</v>
          </cell>
          <cell r="I2299" t="str">
            <v>WWH</v>
          </cell>
          <cell r="J2299">
            <v>34</v>
          </cell>
          <cell r="K2299">
            <v>561</v>
          </cell>
          <cell r="L2299" t="str">
            <v>YHT</v>
          </cell>
          <cell r="N2299">
            <v>93.240093240093202</v>
          </cell>
        </row>
        <row r="2300">
          <cell r="E2300" t="str">
            <v>HGC-Lib-2464036</v>
          </cell>
          <cell r="F2300" t="str">
            <v>DW14-5</v>
          </cell>
          <cell r="G2300">
            <v>10</v>
          </cell>
          <cell r="H2300" t="str">
            <v>ATAC-Seq文库</v>
          </cell>
          <cell r="I2300" t="str">
            <v>WWH</v>
          </cell>
          <cell r="J2300">
            <v>57.8</v>
          </cell>
          <cell r="K2300">
            <v>466</v>
          </cell>
          <cell r="L2300" t="str">
            <v>YHT</v>
          </cell>
          <cell r="N2300">
            <v>190.822053482998</v>
          </cell>
        </row>
        <row r="2301">
          <cell r="E2301" t="str">
            <v>HGC-Lib-2464037</v>
          </cell>
          <cell r="F2301" t="str">
            <v>0808X1</v>
          </cell>
          <cell r="G2301">
            <v>1000</v>
          </cell>
          <cell r="H2301" t="str">
            <v>10x 5'单细胞</v>
          </cell>
          <cell r="I2301" t="str">
            <v>YHT</v>
          </cell>
          <cell r="J2301">
            <v>28</v>
          </cell>
          <cell r="K2301">
            <v>460</v>
          </cell>
          <cell r="L2301" t="str">
            <v>YHT</v>
          </cell>
          <cell r="N2301">
            <v>93.645484949832806</v>
          </cell>
        </row>
        <row r="2302">
          <cell r="E2302" t="str">
            <v>HGC-POOL-2464076</v>
          </cell>
          <cell r="F2302" t="str">
            <v>240808-XBP1-NGS</v>
          </cell>
          <cell r="G2302">
            <v>5</v>
          </cell>
          <cell r="H2302" t="str">
            <v>PCR产物文库</v>
          </cell>
          <cell r="I2302" t="str">
            <v>YHT</v>
          </cell>
          <cell r="J2302">
            <v>21.2</v>
          </cell>
          <cell r="K2302">
            <v>833</v>
          </cell>
          <cell r="L2302" t="str">
            <v>YHT</v>
          </cell>
          <cell r="N2302">
            <v>39.154123187736602</v>
          </cell>
        </row>
        <row r="2303">
          <cell r="E2303" t="str">
            <v>HGC-Lib-2464077</v>
          </cell>
          <cell r="F2303" t="str">
            <v>DYNOLC240801051</v>
          </cell>
          <cell r="G2303">
            <v>100</v>
          </cell>
          <cell r="H2303" t="str">
            <v>singleron-3'转录组文库</v>
          </cell>
          <cell r="I2303" t="str">
            <v>TY</v>
          </cell>
          <cell r="J2303">
            <v>27.8</v>
          </cell>
          <cell r="N2303" t="e">
            <v>#DIV/0!</v>
          </cell>
        </row>
        <row r="2304">
          <cell r="E2304" t="str">
            <v>HGC-Lib-2464078</v>
          </cell>
          <cell r="F2304" t="str">
            <v>DYNOLC240801052</v>
          </cell>
          <cell r="G2304">
            <v>100</v>
          </cell>
          <cell r="H2304" t="str">
            <v>singleron-3'转录组文库</v>
          </cell>
          <cell r="I2304" t="str">
            <v>TY</v>
          </cell>
          <cell r="J2304">
            <v>27.8</v>
          </cell>
          <cell r="N2304" t="e">
            <v>#DIV/0!</v>
          </cell>
        </row>
        <row r="2305">
          <cell r="E2305" t="str">
            <v>HGC-Lib-2464079</v>
          </cell>
          <cell r="F2305" t="str">
            <v>DYNOLC240801054</v>
          </cell>
          <cell r="G2305">
            <v>100</v>
          </cell>
          <cell r="H2305" t="str">
            <v>singleron-3'转录组文库</v>
          </cell>
          <cell r="I2305" t="str">
            <v>TY</v>
          </cell>
          <cell r="J2305">
            <v>30.6</v>
          </cell>
          <cell r="N2305" t="e">
            <v>#DIV/0!</v>
          </cell>
        </row>
        <row r="2306">
          <cell r="E2306" t="str">
            <v>HGC-Lib-2464080</v>
          </cell>
          <cell r="F2306" t="str">
            <v>LFTC240713055FS</v>
          </cell>
          <cell r="G2306">
            <v>90</v>
          </cell>
          <cell r="H2306" t="str">
            <v>singleron-3'全长转录组文库</v>
          </cell>
          <cell r="I2306" t="str">
            <v>TY</v>
          </cell>
          <cell r="J2306">
            <v>27.6</v>
          </cell>
          <cell r="N2306" t="e">
            <v>#DIV/0!</v>
          </cell>
        </row>
        <row r="2307">
          <cell r="E2307" t="str">
            <v>HGC-Lib-2464081</v>
          </cell>
          <cell r="F2307" t="str">
            <v>LC240802016</v>
          </cell>
          <cell r="G2307">
            <v>10</v>
          </cell>
          <cell r="H2307" t="str">
            <v>singleron-3'转录组文库</v>
          </cell>
          <cell r="I2307" t="str">
            <v>TY</v>
          </cell>
          <cell r="J2307">
            <v>28.8</v>
          </cell>
          <cell r="N2307" t="e">
            <v>#DIV/0!</v>
          </cell>
        </row>
        <row r="2308">
          <cell r="E2308" t="str">
            <v>HGC-Lib-2464082</v>
          </cell>
          <cell r="F2308" t="str">
            <v>LA240802048</v>
          </cell>
          <cell r="G2308">
            <v>100</v>
          </cell>
          <cell r="H2308" t="str">
            <v>singleron-3'转录组文库</v>
          </cell>
          <cell r="I2308" t="str">
            <v>TY</v>
          </cell>
          <cell r="J2308">
            <v>27.8</v>
          </cell>
          <cell r="N2308" t="e">
            <v>#DIV/0!</v>
          </cell>
        </row>
        <row r="2309">
          <cell r="E2309" t="str">
            <v>HGC-Lib-2464083</v>
          </cell>
          <cell r="F2309" t="str">
            <v>LPMA240802015</v>
          </cell>
          <cell r="G2309">
            <v>80</v>
          </cell>
          <cell r="H2309" t="str">
            <v>singleron-3'转录组文库</v>
          </cell>
          <cell r="I2309" t="str">
            <v>TY</v>
          </cell>
          <cell r="J2309">
            <v>26.2</v>
          </cell>
          <cell r="N2309" t="e">
            <v>#DIV/0!</v>
          </cell>
        </row>
        <row r="2310">
          <cell r="E2310" t="str">
            <v>HGC-Lib-2464084</v>
          </cell>
          <cell r="F2310" t="str">
            <v>LFTBHC240802045</v>
          </cell>
          <cell r="G2310">
            <v>200</v>
          </cell>
          <cell r="H2310" t="str">
            <v>singleron-3'全长转录组文库</v>
          </cell>
          <cell r="I2310" t="str">
            <v>TY</v>
          </cell>
          <cell r="J2310">
            <v>27</v>
          </cell>
          <cell r="N2310" t="e">
            <v>#DIV/0!</v>
          </cell>
        </row>
        <row r="2311">
          <cell r="E2311" t="str">
            <v>HGC-Lib-2464085</v>
          </cell>
          <cell r="F2311" t="str">
            <v>LFTBHC240802046</v>
          </cell>
          <cell r="G2311">
            <v>200</v>
          </cell>
          <cell r="H2311" t="str">
            <v>singleron-3'全长转录组文库</v>
          </cell>
          <cell r="I2311" t="str">
            <v>TY</v>
          </cell>
          <cell r="J2311">
            <v>27.4</v>
          </cell>
          <cell r="N2311" t="e">
            <v>#DIV/0!</v>
          </cell>
        </row>
        <row r="2312">
          <cell r="E2312" t="str">
            <v>HGC-Lib-2464086</v>
          </cell>
          <cell r="F2312" t="str">
            <v>LPMA240802047</v>
          </cell>
          <cell r="G2312">
            <v>100</v>
          </cell>
          <cell r="H2312" t="str">
            <v>singleron-3'转录组文库</v>
          </cell>
          <cell r="I2312" t="str">
            <v>TY</v>
          </cell>
          <cell r="J2312">
            <v>26.8</v>
          </cell>
          <cell r="N2312" t="e">
            <v>#DIV/0!</v>
          </cell>
        </row>
        <row r="2313">
          <cell r="E2313" t="str">
            <v>HGC-Lib-2464087</v>
          </cell>
          <cell r="F2313" t="str">
            <v>LFC240802042</v>
          </cell>
          <cell r="G2313">
            <v>90</v>
          </cell>
          <cell r="H2313" t="str">
            <v>singleron-3'转录组文库</v>
          </cell>
          <cell r="I2313" t="str">
            <v>TY</v>
          </cell>
          <cell r="J2313">
            <v>25.2</v>
          </cell>
          <cell r="N2313" t="e">
            <v>#DIV/0!</v>
          </cell>
        </row>
        <row r="2314">
          <cell r="E2314" t="str">
            <v>HGC-Lib-2464088</v>
          </cell>
          <cell r="F2314" t="str">
            <v>LFC240802043</v>
          </cell>
          <cell r="G2314">
            <v>90</v>
          </cell>
          <cell r="H2314" t="str">
            <v>singleron-3'转录组文库</v>
          </cell>
          <cell r="I2314" t="str">
            <v>TY</v>
          </cell>
          <cell r="J2314">
            <v>24.6</v>
          </cell>
          <cell r="N2314" t="e">
            <v>#DIV/0!</v>
          </cell>
        </row>
        <row r="2315">
          <cell r="E2315" t="str">
            <v>HGC-Lib-2464089</v>
          </cell>
          <cell r="F2315" t="str">
            <v>LC240802060</v>
          </cell>
          <cell r="G2315">
            <v>100</v>
          </cell>
          <cell r="H2315" t="str">
            <v>singleron-3'转录组文库</v>
          </cell>
          <cell r="I2315" t="str">
            <v>TY</v>
          </cell>
          <cell r="J2315">
            <v>27.4</v>
          </cell>
          <cell r="N2315" t="e">
            <v>#DIV/0!</v>
          </cell>
        </row>
        <row r="2316">
          <cell r="E2316" t="str">
            <v>HGC-Lib-2464090</v>
          </cell>
          <cell r="F2316" t="str">
            <v>LEBVC240802068</v>
          </cell>
          <cell r="G2316">
            <v>80</v>
          </cell>
          <cell r="H2316" t="str">
            <v>singleron-3'转录组文库</v>
          </cell>
          <cell r="I2316" t="str">
            <v>TY</v>
          </cell>
          <cell r="J2316">
            <v>21.6</v>
          </cell>
          <cell r="N2316" t="e">
            <v>#DIV/0!</v>
          </cell>
        </row>
        <row r="2317">
          <cell r="E2317" t="str">
            <v>HGC-Lib-2464091</v>
          </cell>
          <cell r="F2317" t="str">
            <v>LFTBC240802069</v>
          </cell>
          <cell r="G2317">
            <v>70</v>
          </cell>
          <cell r="H2317" t="str">
            <v>singleron-3'全长转录组文库</v>
          </cell>
          <cell r="I2317" t="str">
            <v>TY</v>
          </cell>
          <cell r="J2317">
            <v>23</v>
          </cell>
          <cell r="N2317" t="e">
            <v>#DIV/0!</v>
          </cell>
        </row>
        <row r="2318">
          <cell r="E2318" t="str">
            <v>HGC-Lib-2464092</v>
          </cell>
          <cell r="F2318" t="str">
            <v>LFTBC240802058X2</v>
          </cell>
          <cell r="G2318">
            <v>90</v>
          </cell>
          <cell r="H2318" t="str">
            <v>singleron-3'全长转录组文库</v>
          </cell>
          <cell r="I2318" t="str">
            <v>TY</v>
          </cell>
          <cell r="J2318">
            <v>23.6</v>
          </cell>
          <cell r="N2318" t="e">
            <v>#DIV/0!</v>
          </cell>
        </row>
        <row r="2319">
          <cell r="E2319" t="str">
            <v>HGC-Lib-2464093</v>
          </cell>
          <cell r="F2319" t="str">
            <v>LFTC240802054</v>
          </cell>
          <cell r="G2319">
            <v>100</v>
          </cell>
          <cell r="H2319" t="str">
            <v>singleron-3'全长转录组文库</v>
          </cell>
          <cell r="I2319" t="str">
            <v>TY</v>
          </cell>
          <cell r="J2319">
            <v>23.4</v>
          </cell>
          <cell r="N2319" t="e">
            <v>#DIV/0!</v>
          </cell>
        </row>
        <row r="2320">
          <cell r="E2320" t="str">
            <v>HGC-Lib-2464094</v>
          </cell>
          <cell r="F2320" t="str">
            <v>LPMC240802063</v>
          </cell>
          <cell r="G2320">
            <v>100</v>
          </cell>
          <cell r="H2320" t="str">
            <v>singleron-3'转录组文库</v>
          </cell>
          <cell r="I2320" t="str">
            <v>TY</v>
          </cell>
          <cell r="J2320">
            <v>24.2</v>
          </cell>
          <cell r="N2320" t="e">
            <v>#DIV/0!</v>
          </cell>
        </row>
        <row r="2321">
          <cell r="E2321" t="str">
            <v>HGC-Lib-2464095</v>
          </cell>
          <cell r="F2321" t="str">
            <v>LPMC240802064</v>
          </cell>
          <cell r="G2321">
            <v>100</v>
          </cell>
          <cell r="H2321" t="str">
            <v>singleron-3'转录组文库</v>
          </cell>
          <cell r="I2321" t="str">
            <v>TY</v>
          </cell>
          <cell r="J2321">
            <v>30.2</v>
          </cell>
          <cell r="N2321" t="e">
            <v>#DIV/0!</v>
          </cell>
        </row>
        <row r="2322">
          <cell r="E2322" t="str">
            <v>HGC-Lib-2464096</v>
          </cell>
          <cell r="F2322" t="str">
            <v>LPMC240802066X2</v>
          </cell>
          <cell r="G2322">
            <v>200</v>
          </cell>
          <cell r="H2322" t="str">
            <v>singleron-3'转录组文库</v>
          </cell>
          <cell r="I2322" t="str">
            <v>TY</v>
          </cell>
          <cell r="J2322">
            <v>28.6</v>
          </cell>
          <cell r="N2322" t="e">
            <v>#DIV/0!</v>
          </cell>
        </row>
        <row r="2323">
          <cell r="E2323" t="str">
            <v>HGC-Lib-2464097</v>
          </cell>
          <cell r="F2323" t="str">
            <v>LFTC240801065CK</v>
          </cell>
          <cell r="G2323">
            <v>30</v>
          </cell>
          <cell r="H2323" t="str">
            <v>singleron-3'全长转录组文库</v>
          </cell>
          <cell r="I2323" t="str">
            <v>TY</v>
          </cell>
          <cell r="J2323">
            <v>30.4</v>
          </cell>
          <cell r="N2323" t="e">
            <v>#DIV/0!</v>
          </cell>
        </row>
        <row r="2324">
          <cell r="E2324" t="str">
            <v>HGC-Lib-2464098</v>
          </cell>
          <cell r="F2324" t="str">
            <v>LFTC240803014</v>
          </cell>
          <cell r="G2324">
            <v>100</v>
          </cell>
          <cell r="H2324" t="str">
            <v>singleron-3'全长转录组文库</v>
          </cell>
          <cell r="I2324" t="str">
            <v>TY</v>
          </cell>
          <cell r="J2324">
            <v>25.6</v>
          </cell>
          <cell r="N2324" t="e">
            <v>#DIV/0!</v>
          </cell>
        </row>
        <row r="2325">
          <cell r="E2325" t="str">
            <v>HGC-Lib-2464099</v>
          </cell>
          <cell r="F2325" t="str">
            <v>LFTC240803015</v>
          </cell>
          <cell r="G2325">
            <v>100</v>
          </cell>
          <cell r="H2325" t="str">
            <v>singleron-3'全长转录组文库</v>
          </cell>
          <cell r="I2325" t="str">
            <v>TY</v>
          </cell>
          <cell r="J2325">
            <v>23.8</v>
          </cell>
          <cell r="N2325" t="e">
            <v>#DIV/0!</v>
          </cell>
        </row>
        <row r="2326">
          <cell r="E2326" t="str">
            <v>HGC-Lib-2464100</v>
          </cell>
          <cell r="F2326" t="str">
            <v>LFTC240803016</v>
          </cell>
          <cell r="G2326">
            <v>100</v>
          </cell>
          <cell r="H2326" t="str">
            <v>singleron-3'全长转录组文库</v>
          </cell>
          <cell r="I2326" t="str">
            <v>TY</v>
          </cell>
          <cell r="J2326">
            <v>21.6</v>
          </cell>
          <cell r="N2326" t="e">
            <v>#DIV/0!</v>
          </cell>
        </row>
        <row r="2327">
          <cell r="E2327" t="str">
            <v>HGC-Lib-2464101</v>
          </cell>
          <cell r="F2327" t="str">
            <v>LC240803017</v>
          </cell>
          <cell r="G2327">
            <v>100</v>
          </cell>
          <cell r="H2327" t="str">
            <v>singleron-3'转录组文库</v>
          </cell>
          <cell r="I2327" t="str">
            <v>TY</v>
          </cell>
          <cell r="J2327">
            <v>13.9</v>
          </cell>
          <cell r="N2327" t="e">
            <v>#DIV/0!</v>
          </cell>
        </row>
        <row r="2328">
          <cell r="E2328" t="str">
            <v>HGC-Lib-2464102</v>
          </cell>
          <cell r="F2328" t="str">
            <v>LHC240803005</v>
          </cell>
          <cell r="G2328">
            <v>200</v>
          </cell>
          <cell r="H2328" t="str">
            <v>singleron-3'转录组文库</v>
          </cell>
          <cell r="I2328" t="str">
            <v>TY</v>
          </cell>
          <cell r="J2328">
            <v>38.200000000000003</v>
          </cell>
          <cell r="N2328" t="e">
            <v>#DIV/0!</v>
          </cell>
        </row>
        <row r="2329">
          <cell r="E2329" t="str">
            <v>HGC-Lib-2464103</v>
          </cell>
          <cell r="F2329" t="str">
            <v>LC240803023</v>
          </cell>
          <cell r="G2329">
            <v>90</v>
          </cell>
          <cell r="H2329" t="str">
            <v>singleron-3'转录组文库</v>
          </cell>
          <cell r="I2329" t="str">
            <v>TY</v>
          </cell>
          <cell r="J2329">
            <v>39.200000000000003</v>
          </cell>
          <cell r="N2329" t="e">
            <v>#DIV/0!</v>
          </cell>
        </row>
        <row r="2330">
          <cell r="E2330" t="str">
            <v>HGC-Lib-2464104</v>
          </cell>
          <cell r="F2330" t="str">
            <v>LA240803025X2</v>
          </cell>
          <cell r="G2330">
            <v>90</v>
          </cell>
          <cell r="H2330" t="str">
            <v>singleron-3'转录组文库</v>
          </cell>
          <cell r="I2330" t="str">
            <v>TY</v>
          </cell>
          <cell r="J2330">
            <v>34.799999999999997</v>
          </cell>
          <cell r="N2330" t="e">
            <v>#DIV/0!</v>
          </cell>
        </row>
        <row r="2331">
          <cell r="E2331" t="str">
            <v>HGC-Lib-2464105</v>
          </cell>
          <cell r="F2331" t="str">
            <v>LA240803027X1</v>
          </cell>
          <cell r="G2331">
            <v>90</v>
          </cell>
          <cell r="H2331" t="str">
            <v>singleron-3'转录组文库</v>
          </cell>
          <cell r="I2331" t="str">
            <v>TY</v>
          </cell>
          <cell r="J2331">
            <v>37</v>
          </cell>
          <cell r="N2331" t="e">
            <v>#DIV/0!</v>
          </cell>
        </row>
        <row r="2332">
          <cell r="E2332" t="str">
            <v>HGC-Lib-2464106</v>
          </cell>
          <cell r="F2332" t="str">
            <v>LA240803026X1</v>
          </cell>
          <cell r="G2332">
            <v>90</v>
          </cell>
          <cell r="H2332" t="str">
            <v>singleron-3'转录组文库</v>
          </cell>
          <cell r="I2332" t="str">
            <v>TY</v>
          </cell>
          <cell r="J2332">
            <v>38.4</v>
          </cell>
          <cell r="N2332" t="e">
            <v>#DIV/0!</v>
          </cell>
        </row>
        <row r="2333">
          <cell r="E2333" t="str">
            <v>HGC-Lib-2464107</v>
          </cell>
          <cell r="F2333" t="str">
            <v>LA240803028X2</v>
          </cell>
          <cell r="G2333">
            <v>90</v>
          </cell>
          <cell r="H2333" t="str">
            <v>singleron-3'转录组文库</v>
          </cell>
          <cell r="I2333" t="str">
            <v>TY</v>
          </cell>
          <cell r="J2333">
            <v>42.4</v>
          </cell>
          <cell r="N2333" t="e">
            <v>#DIV/0!</v>
          </cell>
        </row>
        <row r="2334">
          <cell r="E2334" t="str">
            <v>HGC-Lib-2464108</v>
          </cell>
          <cell r="F2334" t="str">
            <v>LFTC240802053CK</v>
          </cell>
          <cell r="G2334">
            <v>100</v>
          </cell>
          <cell r="H2334" t="str">
            <v>singleron-3'全长转录组文库</v>
          </cell>
          <cell r="I2334" t="str">
            <v>TY</v>
          </cell>
          <cell r="J2334">
            <v>38.4</v>
          </cell>
          <cell r="N2334" t="e">
            <v>#DIV/0!</v>
          </cell>
        </row>
        <row r="2335">
          <cell r="E2335" t="str">
            <v>HGC-Lib-2464109</v>
          </cell>
          <cell r="F2335" t="str">
            <v>LC240804017</v>
          </cell>
          <cell r="G2335">
            <v>100</v>
          </cell>
          <cell r="H2335" t="str">
            <v>singleron-3'转录组文库</v>
          </cell>
          <cell r="I2335" t="str">
            <v>TY</v>
          </cell>
          <cell r="J2335">
            <v>32</v>
          </cell>
          <cell r="N2335" t="e">
            <v>#DIV/0!</v>
          </cell>
        </row>
        <row r="2336">
          <cell r="E2336" t="str">
            <v>HGC-Lib-2464110</v>
          </cell>
          <cell r="F2336" t="str">
            <v>LC240804018</v>
          </cell>
          <cell r="G2336">
            <v>100</v>
          </cell>
          <cell r="H2336" t="str">
            <v>singleron-3'转录组文库</v>
          </cell>
          <cell r="I2336" t="str">
            <v>TY</v>
          </cell>
          <cell r="J2336">
            <v>37.200000000000003</v>
          </cell>
          <cell r="N2336" t="e">
            <v>#DIV/0!</v>
          </cell>
        </row>
        <row r="2337">
          <cell r="E2337" t="str">
            <v>HGC-Lib-2464111</v>
          </cell>
          <cell r="F2337" t="str">
            <v>LC240804019</v>
          </cell>
          <cell r="G2337">
            <v>100</v>
          </cell>
          <cell r="H2337" t="str">
            <v>singleron-3'转录组文库</v>
          </cell>
          <cell r="I2337" t="str">
            <v>TY</v>
          </cell>
          <cell r="J2337">
            <v>39</v>
          </cell>
          <cell r="N2337" t="e">
            <v>#DIV/0!</v>
          </cell>
        </row>
        <row r="2338">
          <cell r="E2338" t="str">
            <v>HGC-Lib-2464112</v>
          </cell>
          <cell r="F2338" t="str">
            <v>LA240804020</v>
          </cell>
          <cell r="G2338">
            <v>100</v>
          </cell>
          <cell r="H2338" t="str">
            <v>singleron-3'转录组文库</v>
          </cell>
          <cell r="I2338" t="str">
            <v>TY</v>
          </cell>
          <cell r="J2338">
            <v>22.4</v>
          </cell>
          <cell r="N2338" t="e">
            <v>#DIV/0!</v>
          </cell>
        </row>
        <row r="2339">
          <cell r="E2339" t="str">
            <v>HGC-Lib-2464113</v>
          </cell>
          <cell r="F2339" t="str">
            <v>LC240804021</v>
          </cell>
          <cell r="G2339">
            <v>100</v>
          </cell>
          <cell r="H2339" t="str">
            <v>singleron-3'转录组文库</v>
          </cell>
          <cell r="I2339" t="str">
            <v>TY</v>
          </cell>
          <cell r="J2339">
            <v>35.200000000000003</v>
          </cell>
          <cell r="N2339" t="e">
            <v>#DIV/0!</v>
          </cell>
        </row>
        <row r="2340">
          <cell r="E2340" t="str">
            <v>HGC-Lib-2464114</v>
          </cell>
          <cell r="F2340" t="str">
            <v>LC240804022</v>
          </cell>
          <cell r="G2340">
            <v>100</v>
          </cell>
          <cell r="H2340" t="str">
            <v>singleron-3'转录组文库</v>
          </cell>
          <cell r="I2340" t="str">
            <v>TY</v>
          </cell>
          <cell r="J2340">
            <v>35.4</v>
          </cell>
          <cell r="N2340" t="e">
            <v>#DIV/0!</v>
          </cell>
        </row>
        <row r="2341">
          <cell r="E2341" t="str">
            <v>HGC-Lib-2464115</v>
          </cell>
          <cell r="F2341" t="str">
            <v>LC240805041</v>
          </cell>
          <cell r="G2341">
            <v>100</v>
          </cell>
          <cell r="H2341" t="str">
            <v>singleron-3'转录组文库</v>
          </cell>
          <cell r="I2341" t="str">
            <v>TY</v>
          </cell>
          <cell r="J2341">
            <v>45.6</v>
          </cell>
          <cell r="N2341" t="e">
            <v>#DIV/0!</v>
          </cell>
        </row>
        <row r="2342">
          <cell r="E2342" t="str">
            <v>HGC-Lib-2464116</v>
          </cell>
          <cell r="F2342" t="str">
            <v>LC240725054FS</v>
          </cell>
          <cell r="G2342">
            <v>100</v>
          </cell>
          <cell r="H2342" t="str">
            <v>singleron-3'转录组文库</v>
          </cell>
          <cell r="I2342" t="str">
            <v>TY</v>
          </cell>
          <cell r="J2342">
            <v>22</v>
          </cell>
          <cell r="N2342" t="e">
            <v>#DIV/0!</v>
          </cell>
        </row>
        <row r="2343">
          <cell r="E2343" t="str">
            <v>HGC-Lib-2464117</v>
          </cell>
          <cell r="F2343" t="str">
            <v>LC240805008X1</v>
          </cell>
          <cell r="G2343">
            <v>100</v>
          </cell>
          <cell r="H2343" t="str">
            <v>singleron-3'转录组文库</v>
          </cell>
          <cell r="I2343" t="str">
            <v>TY</v>
          </cell>
          <cell r="J2343">
            <v>20.6</v>
          </cell>
          <cell r="N2343" t="e">
            <v>#DIV/0!</v>
          </cell>
        </row>
        <row r="2344">
          <cell r="E2344" t="str">
            <v>HGC-Lib-2464118</v>
          </cell>
          <cell r="F2344" t="str">
            <v>LC240730127</v>
          </cell>
          <cell r="G2344">
            <v>150</v>
          </cell>
          <cell r="H2344" t="str">
            <v>singleron-3'转录组文库</v>
          </cell>
          <cell r="I2344" t="str">
            <v>TY</v>
          </cell>
          <cell r="J2344">
            <v>17.5</v>
          </cell>
          <cell r="N2344" t="e">
            <v>#DIV/0!</v>
          </cell>
        </row>
        <row r="2345">
          <cell r="E2345" t="str">
            <v>HGC-Lib-2464119</v>
          </cell>
          <cell r="F2345" t="str">
            <v>PMLPMA240802015</v>
          </cell>
          <cell r="G2345">
            <v>12</v>
          </cell>
          <cell r="H2345" t="str">
            <v>其他碱基不平衡文库</v>
          </cell>
          <cell r="I2345" t="str">
            <v>TY</v>
          </cell>
          <cell r="J2345">
            <v>45.6</v>
          </cell>
          <cell r="M2345" t="str">
            <v>14.76UL水</v>
          </cell>
          <cell r="N2345" t="e">
            <v>#DIV/0!</v>
          </cell>
        </row>
        <row r="2346">
          <cell r="E2346" t="str">
            <v>HGC-Lib-2464120</v>
          </cell>
          <cell r="F2346" t="str">
            <v>LC240731056</v>
          </cell>
          <cell r="G2346">
            <v>200</v>
          </cell>
          <cell r="H2346" t="str">
            <v>singleron-3'转录组文库</v>
          </cell>
          <cell r="I2346" t="str">
            <v>TY</v>
          </cell>
          <cell r="J2346">
            <v>28.4</v>
          </cell>
          <cell r="N2346" t="e">
            <v>#DIV/0!</v>
          </cell>
        </row>
        <row r="2347">
          <cell r="E2347" t="str">
            <v>HGC-Lib-2464121</v>
          </cell>
          <cell r="F2347" t="str">
            <v>LC240731057</v>
          </cell>
          <cell r="G2347">
            <v>200</v>
          </cell>
          <cell r="H2347" t="str">
            <v>singleron-3'转录组文库</v>
          </cell>
          <cell r="I2347" t="str">
            <v>TY</v>
          </cell>
          <cell r="J2347">
            <v>40</v>
          </cell>
          <cell r="N2347" t="e">
            <v>#DIV/0!</v>
          </cell>
        </row>
        <row r="2348">
          <cell r="E2348" t="str">
            <v>HGC-Lib-2464122</v>
          </cell>
          <cell r="F2348" t="str">
            <v>LC240731058</v>
          </cell>
          <cell r="G2348">
            <v>200</v>
          </cell>
          <cell r="H2348" t="str">
            <v>singleron-3'转录组文库</v>
          </cell>
          <cell r="I2348" t="str">
            <v>TY</v>
          </cell>
          <cell r="J2348">
            <v>38.799999999999997</v>
          </cell>
          <cell r="N2348" t="e">
            <v>#DIV/0!</v>
          </cell>
        </row>
        <row r="2349">
          <cell r="E2349" t="str">
            <v>HGC-Lib-2464123</v>
          </cell>
          <cell r="F2349" t="str">
            <v>LC240801050</v>
          </cell>
          <cell r="G2349">
            <v>100</v>
          </cell>
          <cell r="H2349" t="str">
            <v>singleron-3'转录组文库</v>
          </cell>
          <cell r="I2349" t="str">
            <v>TY</v>
          </cell>
          <cell r="J2349">
            <v>39.200000000000003</v>
          </cell>
          <cell r="N2349" t="e">
            <v>#DIV/0!</v>
          </cell>
        </row>
        <row r="2350">
          <cell r="E2350" t="str">
            <v>HGC-Lib-2464124</v>
          </cell>
          <cell r="F2350" t="str">
            <v>LFTC240801064</v>
          </cell>
          <cell r="G2350">
            <v>30</v>
          </cell>
          <cell r="H2350" t="str">
            <v>singleron-3'全长转录组文库</v>
          </cell>
          <cell r="I2350" t="str">
            <v>TY</v>
          </cell>
          <cell r="J2350">
            <v>33.200000000000003</v>
          </cell>
          <cell r="N2350" t="e">
            <v>#DIV/0!</v>
          </cell>
        </row>
        <row r="2351">
          <cell r="E2351" t="str">
            <v>HGC-Lib-2464125</v>
          </cell>
          <cell r="F2351" t="str">
            <v>LA240801001</v>
          </cell>
          <cell r="G2351">
            <v>100</v>
          </cell>
          <cell r="H2351" t="str">
            <v>singleron-3'转录组文库</v>
          </cell>
          <cell r="I2351" t="str">
            <v>WH</v>
          </cell>
          <cell r="J2351">
            <v>38.6</v>
          </cell>
          <cell r="N2351" t="e">
            <v>#DIV/0!</v>
          </cell>
        </row>
        <row r="2352">
          <cell r="E2352" t="str">
            <v>HGC-Lib-2464126</v>
          </cell>
          <cell r="F2352" t="str">
            <v>LC240801005</v>
          </cell>
          <cell r="G2352">
            <v>120</v>
          </cell>
          <cell r="H2352" t="str">
            <v>singleron-3'转录组文库</v>
          </cell>
          <cell r="I2352" t="str">
            <v>WH</v>
          </cell>
          <cell r="J2352">
            <v>37</v>
          </cell>
          <cell r="N2352" t="e">
            <v>#DIV/0!</v>
          </cell>
        </row>
        <row r="2353">
          <cell r="E2353" t="str">
            <v>HGC-Lib-2464127</v>
          </cell>
          <cell r="F2353" t="str">
            <v>LFTC240629055</v>
          </cell>
          <cell r="G2353">
            <v>5</v>
          </cell>
          <cell r="H2353" t="str">
            <v>singleron-3'全长转录组文库</v>
          </cell>
          <cell r="I2353" t="str">
            <v>WH</v>
          </cell>
          <cell r="J2353">
            <v>13</v>
          </cell>
          <cell r="N2353" t="e">
            <v>#DIV/0!</v>
          </cell>
        </row>
        <row r="2354">
          <cell r="E2354" t="str">
            <v>HGC-Lib-2464128</v>
          </cell>
          <cell r="F2354" t="str">
            <v>LA240802004</v>
          </cell>
          <cell r="G2354">
            <v>120</v>
          </cell>
          <cell r="H2354" t="str">
            <v>singleron-3'转录组文库</v>
          </cell>
          <cell r="I2354" t="str">
            <v>WH</v>
          </cell>
          <cell r="J2354">
            <v>31.8</v>
          </cell>
          <cell r="N2354" t="e">
            <v>#DIV/0!</v>
          </cell>
        </row>
        <row r="2355">
          <cell r="E2355" t="str">
            <v>HGC-Lib-2464129</v>
          </cell>
          <cell r="F2355" t="str">
            <v>LA240802005</v>
          </cell>
          <cell r="G2355">
            <v>120</v>
          </cell>
          <cell r="H2355" t="str">
            <v>singleron-3'转录组文库</v>
          </cell>
          <cell r="I2355" t="str">
            <v>WH</v>
          </cell>
          <cell r="J2355">
            <v>31</v>
          </cell>
          <cell r="N2355" t="e">
            <v>#DIV/0!</v>
          </cell>
        </row>
        <row r="2356">
          <cell r="E2356" t="str">
            <v>HGC-Lib-2464130</v>
          </cell>
          <cell r="F2356" t="str">
            <v>LA240802006</v>
          </cell>
          <cell r="G2356">
            <v>120</v>
          </cell>
          <cell r="H2356" t="str">
            <v>singleron-3'转录组文库</v>
          </cell>
          <cell r="I2356" t="str">
            <v>WH</v>
          </cell>
          <cell r="J2356">
            <v>39.4</v>
          </cell>
          <cell r="N2356" t="e">
            <v>#DIV/0!</v>
          </cell>
        </row>
        <row r="2357">
          <cell r="E2357" t="str">
            <v>HGC-Lib-2464131</v>
          </cell>
          <cell r="F2357" t="str">
            <v>EBLEBVC240802068</v>
          </cell>
          <cell r="G2357">
            <v>12</v>
          </cell>
          <cell r="H2357" t="str">
            <v>其他碱基不平衡文库</v>
          </cell>
          <cell r="I2357" t="str">
            <v>WH</v>
          </cell>
          <cell r="J2357">
            <v>13.7</v>
          </cell>
          <cell r="N2357" t="e">
            <v>#DIV/0!</v>
          </cell>
        </row>
        <row r="2358">
          <cell r="E2358" t="str">
            <v>HGC-POOL-2464132</v>
          </cell>
          <cell r="F2358" t="str">
            <v>L240805065XA</v>
          </cell>
          <cell r="G2358">
            <v>70</v>
          </cell>
          <cell r="H2358" t="str">
            <v>10X ATAC文库</v>
          </cell>
          <cell r="I2358" t="str">
            <v>WH</v>
          </cell>
          <cell r="J2358">
            <v>15.55</v>
          </cell>
          <cell r="N2358" t="e">
            <v>#DIV/0!</v>
          </cell>
        </row>
        <row r="2359">
          <cell r="E2359" t="str">
            <v>HGC-Lib-2464133</v>
          </cell>
          <cell r="F2359" t="str">
            <v>R240808003</v>
          </cell>
          <cell r="G2359">
            <v>10</v>
          </cell>
          <cell r="H2359" t="str">
            <v>singleron-3'转录组文库</v>
          </cell>
          <cell r="I2359" t="str">
            <v>WH</v>
          </cell>
          <cell r="J2359">
            <v>7</v>
          </cell>
          <cell r="N2359" t="e">
            <v>#DIV/0!</v>
          </cell>
        </row>
        <row r="2360">
          <cell r="E2360" t="str">
            <v>HGC-Lib-2464134</v>
          </cell>
          <cell r="F2360" t="str">
            <v>R240808004</v>
          </cell>
          <cell r="G2360">
            <v>10</v>
          </cell>
          <cell r="H2360" t="str">
            <v>singleron-3'转录组文库</v>
          </cell>
          <cell r="I2360" t="str">
            <v>WH</v>
          </cell>
          <cell r="J2360">
            <v>7.08</v>
          </cell>
          <cell r="N2360" t="e">
            <v>#DIV/0!</v>
          </cell>
        </row>
        <row r="2361">
          <cell r="E2361" t="str">
            <v>HGC-Lib-2464135</v>
          </cell>
          <cell r="F2361" t="str">
            <v>R240808005</v>
          </cell>
          <cell r="G2361">
            <v>10</v>
          </cell>
          <cell r="H2361" t="str">
            <v>singleron-3'转录组文库</v>
          </cell>
          <cell r="I2361" t="str">
            <v>WH</v>
          </cell>
          <cell r="J2361">
            <v>7.42</v>
          </cell>
          <cell r="N2361" t="e">
            <v>#DIV/0!</v>
          </cell>
        </row>
        <row r="2362">
          <cell r="E2362" t="str">
            <v>HGC-Lib-2464136</v>
          </cell>
          <cell r="F2362" t="str">
            <v>R240808006</v>
          </cell>
          <cell r="G2362">
            <v>5</v>
          </cell>
          <cell r="H2362" t="str">
            <v>其他碱基不平衡文库</v>
          </cell>
          <cell r="I2362" t="str">
            <v>WH</v>
          </cell>
          <cell r="J2362">
            <v>23.8</v>
          </cell>
          <cell r="N2362" t="e">
            <v>#DIV/0!</v>
          </cell>
        </row>
        <row r="2363">
          <cell r="E2363" t="str">
            <v>HGC-Lib-2464137</v>
          </cell>
          <cell r="F2363" t="str">
            <v>R240808007</v>
          </cell>
          <cell r="G2363">
            <v>5</v>
          </cell>
          <cell r="H2363" t="str">
            <v>其他碱基不平衡文库</v>
          </cell>
          <cell r="I2363" t="str">
            <v>WH</v>
          </cell>
          <cell r="J2363">
            <v>22.2</v>
          </cell>
          <cell r="N2363" t="e">
            <v>#DIV/0!</v>
          </cell>
        </row>
        <row r="2364">
          <cell r="E2364" t="str">
            <v>HGC-Lib-2464138</v>
          </cell>
          <cell r="F2364" t="str">
            <v>R240808008</v>
          </cell>
          <cell r="G2364">
            <v>5</v>
          </cell>
          <cell r="H2364" t="str">
            <v>其他碱基不平衡文库</v>
          </cell>
          <cell r="I2364" t="str">
            <v>WH</v>
          </cell>
          <cell r="J2364">
            <v>31.4</v>
          </cell>
          <cell r="N2364" t="e">
            <v>#DIV/0!</v>
          </cell>
        </row>
        <row r="2365">
          <cell r="E2365" t="str">
            <v>HGC-Lib-2464139</v>
          </cell>
          <cell r="F2365" t="str">
            <v>R240808009</v>
          </cell>
          <cell r="G2365">
            <v>5</v>
          </cell>
          <cell r="H2365" t="str">
            <v>其他碱基不平衡文库</v>
          </cell>
          <cell r="I2365" t="str">
            <v>WH</v>
          </cell>
          <cell r="J2365">
            <v>31.2</v>
          </cell>
          <cell r="N2365" t="e">
            <v>#DIV/0!</v>
          </cell>
        </row>
        <row r="2366">
          <cell r="E2366" t="str">
            <v>HGC-Lib-2464140</v>
          </cell>
          <cell r="F2366" t="str">
            <v>R240808010</v>
          </cell>
          <cell r="G2366">
            <v>5</v>
          </cell>
          <cell r="H2366" t="str">
            <v>其他碱基不平衡文库</v>
          </cell>
          <cell r="I2366" t="str">
            <v>WH</v>
          </cell>
          <cell r="J2366">
            <v>13.4</v>
          </cell>
          <cell r="N2366" t="e">
            <v>#DIV/0!</v>
          </cell>
        </row>
        <row r="2367">
          <cell r="E2367" t="str">
            <v>HGC-Lib-2464141</v>
          </cell>
          <cell r="F2367" t="str">
            <v>R240808011</v>
          </cell>
          <cell r="G2367">
            <v>5</v>
          </cell>
          <cell r="H2367" t="str">
            <v>其他碱基不平衡文库</v>
          </cell>
          <cell r="I2367" t="str">
            <v>WH</v>
          </cell>
          <cell r="J2367">
            <v>12.7</v>
          </cell>
          <cell r="N2367" t="e">
            <v>#DIV/0!</v>
          </cell>
        </row>
        <row r="2368">
          <cell r="E2368" t="str">
            <v>HGC-POOL-2464142</v>
          </cell>
          <cell r="F2368" t="str">
            <v>PCRD-240808-001</v>
          </cell>
          <cell r="G2368">
            <v>10</v>
          </cell>
          <cell r="H2368" t="str">
            <v>singleron-3'转录组文库</v>
          </cell>
          <cell r="I2368" t="str">
            <v>WH</v>
          </cell>
          <cell r="J2368">
            <v>5.0599999999999996</v>
          </cell>
          <cell r="N2368" t="e">
            <v>#DIV/0!</v>
          </cell>
        </row>
        <row r="2369">
          <cell r="E2369" t="str">
            <v>HGC-Lib-2464179</v>
          </cell>
          <cell r="F2369" t="str">
            <v>T890-1</v>
          </cell>
          <cell r="G2369">
            <v>3</v>
          </cell>
          <cell r="H2369" t="str">
            <v>small RNA文库</v>
          </cell>
          <cell r="I2369" t="str">
            <v>WH</v>
          </cell>
          <cell r="J2369">
            <v>23.4</v>
          </cell>
          <cell r="K2369">
            <v>208</v>
          </cell>
          <cell r="L2369" t="str">
            <v>WH</v>
          </cell>
          <cell r="N2369">
            <v>173.07692307692301</v>
          </cell>
        </row>
        <row r="2370">
          <cell r="E2370" t="str">
            <v>HGC-Lib-2464180</v>
          </cell>
          <cell r="F2370" t="str">
            <v>T890-2</v>
          </cell>
          <cell r="G2370">
            <v>3</v>
          </cell>
          <cell r="H2370" t="str">
            <v>small RNA文库</v>
          </cell>
          <cell r="I2370" t="str">
            <v>WH</v>
          </cell>
          <cell r="J2370">
            <v>59.2</v>
          </cell>
          <cell r="K2370">
            <v>225</v>
          </cell>
          <cell r="L2370" t="str">
            <v>WH</v>
          </cell>
          <cell r="N2370">
            <v>404.786324786325</v>
          </cell>
        </row>
        <row r="2371">
          <cell r="E2371" t="str">
            <v>HGC-Lib-2464181</v>
          </cell>
          <cell r="F2371" t="str">
            <v>T890-3</v>
          </cell>
          <cell r="G2371">
            <v>3</v>
          </cell>
          <cell r="H2371" t="str">
            <v>small RNA文库</v>
          </cell>
          <cell r="I2371" t="str">
            <v>WH</v>
          </cell>
          <cell r="J2371">
            <v>10.199999999999999</v>
          </cell>
          <cell r="K2371">
            <v>200</v>
          </cell>
          <cell r="L2371" t="str">
            <v>WH</v>
          </cell>
          <cell r="N2371">
            <v>78.461538461538495</v>
          </cell>
        </row>
        <row r="2372">
          <cell r="E2372" t="str">
            <v>HGC-Lib-2464182</v>
          </cell>
          <cell r="F2372" t="str">
            <v>T890-4</v>
          </cell>
          <cell r="G2372">
            <v>3</v>
          </cell>
          <cell r="H2372" t="str">
            <v>small RNA文库</v>
          </cell>
          <cell r="I2372" t="str">
            <v>WH</v>
          </cell>
          <cell r="J2372">
            <v>50.4</v>
          </cell>
          <cell r="K2372">
            <v>231</v>
          </cell>
          <cell r="L2372" t="str">
            <v>WH</v>
          </cell>
          <cell r="N2372">
            <v>335.66433566433602</v>
          </cell>
        </row>
        <row r="2373">
          <cell r="E2373" t="str">
            <v>HGC-Lib-2464183</v>
          </cell>
          <cell r="F2373" t="str">
            <v>T890-5</v>
          </cell>
          <cell r="G2373">
            <v>3</v>
          </cell>
          <cell r="H2373" t="str">
            <v>small RNA文库</v>
          </cell>
          <cell r="I2373" t="str">
            <v>WH</v>
          </cell>
          <cell r="J2373">
            <v>40.799999999999997</v>
          </cell>
          <cell r="K2373">
            <v>222</v>
          </cell>
          <cell r="L2373" t="str">
            <v>WH</v>
          </cell>
          <cell r="N2373">
            <v>282.744282744283</v>
          </cell>
        </row>
        <row r="2374">
          <cell r="E2374" t="str">
            <v>HGC-Lib-2464184</v>
          </cell>
          <cell r="F2374" t="str">
            <v>T890-6</v>
          </cell>
          <cell r="G2374">
            <v>3</v>
          </cell>
          <cell r="H2374" t="str">
            <v>small RNA文库</v>
          </cell>
          <cell r="I2374" t="str">
            <v>WH</v>
          </cell>
          <cell r="J2374">
            <v>59.4</v>
          </cell>
          <cell r="K2374">
            <v>227</v>
          </cell>
          <cell r="L2374" t="str">
            <v>WH</v>
          </cell>
          <cell r="N2374">
            <v>402.57539817011201</v>
          </cell>
        </row>
        <row r="2375">
          <cell r="E2375" t="str">
            <v>HGC-Lib-2464185</v>
          </cell>
          <cell r="F2375" t="str">
            <v>T890-7</v>
          </cell>
          <cell r="G2375">
            <v>3</v>
          </cell>
          <cell r="H2375" t="str">
            <v>small RNA文库</v>
          </cell>
          <cell r="I2375" t="str">
            <v>WH</v>
          </cell>
          <cell r="J2375">
            <v>69.8</v>
          </cell>
          <cell r="K2375">
            <v>232</v>
          </cell>
          <cell r="L2375" t="str">
            <v>WH</v>
          </cell>
          <cell r="N2375">
            <v>462.864721485411</v>
          </cell>
        </row>
        <row r="2376">
          <cell r="E2376" t="str">
            <v>HGC-Lib-2464299</v>
          </cell>
          <cell r="F2376" t="str">
            <v>WK0809-1</v>
          </cell>
          <cell r="G2376">
            <v>8</v>
          </cell>
          <cell r="H2376" t="str">
            <v>WES/panel捕获文库</v>
          </cell>
          <cell r="I2376" t="str">
            <v>WH</v>
          </cell>
          <cell r="J2376">
            <v>1.71</v>
          </cell>
          <cell r="K2376">
            <v>385</v>
          </cell>
          <cell r="L2376" t="str">
            <v>WH</v>
          </cell>
          <cell r="N2376">
            <v>6.83316683316683</v>
          </cell>
        </row>
        <row r="2377">
          <cell r="E2377" t="str">
            <v>HGC-POOL-2464300</v>
          </cell>
          <cell r="F2377" t="str">
            <v>pool-4588-Xplus</v>
          </cell>
          <cell r="G2377" t="str">
            <v>1000</v>
          </cell>
          <cell r="H2377" t="str">
            <v>10x单细胞测序70%，mRNA测序30%</v>
          </cell>
          <cell r="I2377" t="str">
            <v>WH</v>
          </cell>
          <cell r="J2377">
            <v>18.399999999999999</v>
          </cell>
          <cell r="K2377">
            <v>491</v>
          </cell>
          <cell r="L2377" t="str">
            <v>WH</v>
          </cell>
          <cell r="N2377">
            <v>57.653141156196099</v>
          </cell>
        </row>
        <row r="2378">
          <cell r="E2378" t="str">
            <v>HGC-POOL-2464301</v>
          </cell>
          <cell r="F2378" t="str">
            <v>pool-4589-Xplus</v>
          </cell>
          <cell r="G2378" t="str">
            <v>1000</v>
          </cell>
          <cell r="H2378" t="str">
            <v>10x单细胞测序v3,100%</v>
          </cell>
          <cell r="I2378" t="str">
            <v>WH</v>
          </cell>
          <cell r="J2378">
            <v>17</v>
          </cell>
          <cell r="K2378">
            <v>501</v>
          </cell>
          <cell r="L2378" t="str">
            <v>WH</v>
          </cell>
          <cell r="N2378">
            <v>52.203285736219897</v>
          </cell>
        </row>
        <row r="2379">
          <cell r="E2379" t="str">
            <v>HGC-POOL-2464302</v>
          </cell>
          <cell r="F2379" t="str">
            <v>pool-4590-Xplus</v>
          </cell>
          <cell r="G2379" t="str">
            <v>1000</v>
          </cell>
          <cell r="H2379" t="str">
            <v>10x单细胞测序v3,100%</v>
          </cell>
          <cell r="I2379" t="str">
            <v>WH</v>
          </cell>
          <cell r="J2379">
            <v>11.4</v>
          </cell>
          <cell r="K2379">
            <v>483</v>
          </cell>
          <cell r="L2379" t="str">
            <v>WH</v>
          </cell>
          <cell r="N2379">
            <v>36.311514572384098</v>
          </cell>
        </row>
        <row r="2380">
          <cell r="E2380" t="str">
            <v>HGC-POOL-2464303</v>
          </cell>
          <cell r="F2380" t="str">
            <v>A240809-1</v>
          </cell>
          <cell r="G2380">
            <v>16</v>
          </cell>
          <cell r="H2380" t="str">
            <v>PCR产物文库</v>
          </cell>
          <cell r="I2380" t="str">
            <v>WH</v>
          </cell>
          <cell r="J2380">
            <v>2.58</v>
          </cell>
          <cell r="K2380">
            <v>300</v>
          </cell>
          <cell r="L2380" t="str">
            <v>WH</v>
          </cell>
          <cell r="N2380">
            <v>13.2307692307692</v>
          </cell>
        </row>
        <row r="2381">
          <cell r="E2381" t="str">
            <v>HGC-POOL-2464304</v>
          </cell>
          <cell r="F2381" t="str">
            <v>A240809-2</v>
          </cell>
          <cell r="G2381">
            <v>24</v>
          </cell>
          <cell r="H2381" t="str">
            <v>PCR产物文库</v>
          </cell>
          <cell r="I2381" t="str">
            <v>WH</v>
          </cell>
          <cell r="J2381">
            <v>4.32</v>
          </cell>
          <cell r="K2381">
            <v>230</v>
          </cell>
          <cell r="L2381" t="str">
            <v>WH</v>
          </cell>
          <cell r="N2381">
            <v>28.896321070234102</v>
          </cell>
        </row>
        <row r="2382">
          <cell r="E2382" t="str">
            <v>HGC-POOL-2464305</v>
          </cell>
          <cell r="F2382" t="str">
            <v>pool-4591-48-Xplus</v>
          </cell>
          <cell r="G2382">
            <v>48</v>
          </cell>
          <cell r="H2382" t="str">
            <v>cut&amp;tag测序,100%</v>
          </cell>
          <cell r="I2382" t="str">
            <v>WH</v>
          </cell>
          <cell r="J2382">
            <v>3.52</v>
          </cell>
          <cell r="K2382">
            <v>396</v>
          </cell>
          <cell r="L2382" t="str">
            <v>WH</v>
          </cell>
          <cell r="N2382">
            <v>13.675213675213699</v>
          </cell>
        </row>
        <row r="2383">
          <cell r="E2383" t="str">
            <v>HGC-POOL-2464306</v>
          </cell>
          <cell r="F2383" t="str">
            <v>YX20240809_2</v>
          </cell>
          <cell r="G2383">
            <v>22</v>
          </cell>
          <cell r="H2383" t="str">
            <v>mRNA文库</v>
          </cell>
          <cell r="I2383" t="str">
            <v>WH</v>
          </cell>
          <cell r="J2383">
            <v>1.99</v>
          </cell>
          <cell r="K2383">
            <v>298</v>
          </cell>
          <cell r="L2383" t="str">
            <v>WH</v>
          </cell>
          <cell r="N2383">
            <v>10.2736189984512</v>
          </cell>
        </row>
        <row r="2384">
          <cell r="E2384" t="str">
            <v>HGC-POOL-2464307</v>
          </cell>
          <cell r="F2384" t="str">
            <v>YX20240809_3</v>
          </cell>
          <cell r="G2384">
            <v>252</v>
          </cell>
          <cell r="H2384" t="str">
            <v>mRNA文库</v>
          </cell>
          <cell r="I2384" t="str">
            <v>WH</v>
          </cell>
          <cell r="J2384">
            <v>16.399999999999999</v>
          </cell>
          <cell r="K2384">
            <v>323</v>
          </cell>
          <cell r="L2384" t="str">
            <v>WH</v>
          </cell>
          <cell r="N2384">
            <v>78.113836627768507</v>
          </cell>
        </row>
        <row r="2385">
          <cell r="E2385" t="str">
            <v>HGC-POOL-2464308</v>
          </cell>
          <cell r="F2385" t="str">
            <v>YX20240809_4</v>
          </cell>
          <cell r="G2385">
            <v>864</v>
          </cell>
          <cell r="H2385" t="str">
            <v>mRNA文库</v>
          </cell>
          <cell r="I2385" t="str">
            <v>WH</v>
          </cell>
          <cell r="J2385">
            <v>17.5</v>
          </cell>
          <cell r="K2385">
            <v>321</v>
          </cell>
          <cell r="L2385" t="str">
            <v>WH</v>
          </cell>
          <cell r="N2385">
            <v>83.872513779055794</v>
          </cell>
        </row>
        <row r="2386">
          <cell r="E2386" t="str">
            <v>HGC-Lib-2464342</v>
          </cell>
          <cell r="F2386" t="str">
            <v>0809X1</v>
          </cell>
          <cell r="G2386">
            <v>1000</v>
          </cell>
          <cell r="H2386" t="str">
            <v>10× 3'单细胞</v>
          </cell>
          <cell r="I2386" t="str">
            <v>WH</v>
          </cell>
          <cell r="J2386">
            <v>23</v>
          </cell>
          <cell r="K2386">
            <v>485</v>
          </cell>
          <cell r="L2386" t="str">
            <v>WH</v>
          </cell>
          <cell r="N2386">
            <v>72.957969865186399</v>
          </cell>
        </row>
        <row r="2387">
          <cell r="E2387" t="str">
            <v>HGC-Lib-2464348</v>
          </cell>
          <cell r="F2387" t="str">
            <v>R240809023</v>
          </cell>
          <cell r="G2387">
            <v>10</v>
          </cell>
          <cell r="H2387" t="str">
            <v>singleron-3'转录组文库</v>
          </cell>
          <cell r="I2387" t="str">
            <v>WH</v>
          </cell>
          <cell r="J2387">
            <v>16.899999999999999</v>
          </cell>
          <cell r="N2387" t="e">
            <v>#DIV/0!</v>
          </cell>
        </row>
        <row r="2388">
          <cell r="E2388" t="str">
            <v>HGC-Lib-2464349</v>
          </cell>
          <cell r="F2388" t="str">
            <v>R240809024</v>
          </cell>
          <cell r="G2388">
            <v>10</v>
          </cell>
          <cell r="H2388" t="str">
            <v>singleron-3'转录组文库</v>
          </cell>
          <cell r="I2388" t="str">
            <v>WH</v>
          </cell>
          <cell r="J2388">
            <v>3.52</v>
          </cell>
          <cell r="N2388" t="e">
            <v>#DIV/0!</v>
          </cell>
        </row>
        <row r="2389">
          <cell r="E2389" t="str">
            <v>HGC-Lib-2464350</v>
          </cell>
          <cell r="F2389" t="str">
            <v>R240809025</v>
          </cell>
          <cell r="G2389">
            <v>10</v>
          </cell>
          <cell r="H2389" t="str">
            <v>singleron-3'转录组文库</v>
          </cell>
          <cell r="I2389" t="str">
            <v>WH</v>
          </cell>
          <cell r="J2389">
            <v>2.2200000000000002</v>
          </cell>
          <cell r="N2389" t="e">
            <v>#DIV/0!</v>
          </cell>
        </row>
        <row r="2390">
          <cell r="E2390" t="str">
            <v>HGC-Lib-2464351</v>
          </cell>
          <cell r="F2390" t="str">
            <v>R240809026</v>
          </cell>
          <cell r="G2390">
            <v>10</v>
          </cell>
          <cell r="H2390" t="str">
            <v>singleron-3'转录组文库</v>
          </cell>
          <cell r="I2390" t="str">
            <v>WH</v>
          </cell>
          <cell r="J2390">
            <v>3.72</v>
          </cell>
          <cell r="N2390" t="e">
            <v>#DIV/0!</v>
          </cell>
        </row>
        <row r="2391">
          <cell r="E2391" t="str">
            <v>HGC-POOL-2464352</v>
          </cell>
          <cell r="F2391" t="str">
            <v>PCRD-240809-002</v>
          </cell>
          <cell r="G2391">
            <v>80</v>
          </cell>
          <cell r="H2391" t="str">
            <v>singleron-3'转录组文库</v>
          </cell>
          <cell r="I2391" t="str">
            <v>WH</v>
          </cell>
          <cell r="J2391">
            <v>21.2</v>
          </cell>
          <cell r="N2391" t="e">
            <v>#DIV/0!</v>
          </cell>
        </row>
        <row r="2392">
          <cell r="E2392" t="str">
            <v>HGC-Lib-2464353</v>
          </cell>
          <cell r="F2392" t="str">
            <v>R240809043</v>
          </cell>
          <cell r="G2392">
            <v>5</v>
          </cell>
          <cell r="H2392" t="str">
            <v>singleron-3'转录组文库</v>
          </cell>
          <cell r="I2392" t="str">
            <v>WH</v>
          </cell>
          <cell r="J2392">
            <v>17</v>
          </cell>
          <cell r="N2392" t="e">
            <v>#DIV/0!</v>
          </cell>
        </row>
        <row r="2393">
          <cell r="E2393" t="str">
            <v>HGC-Lib-2464354</v>
          </cell>
          <cell r="F2393" t="str">
            <v>R240809044</v>
          </cell>
          <cell r="G2393">
            <v>5</v>
          </cell>
          <cell r="H2393" t="str">
            <v>singleron-单细胞TCR文库</v>
          </cell>
          <cell r="I2393" t="str">
            <v>WH</v>
          </cell>
          <cell r="J2393">
            <v>41.8</v>
          </cell>
          <cell r="N2393" t="e">
            <v>#DIV/0!</v>
          </cell>
        </row>
        <row r="2394">
          <cell r="E2394" t="str">
            <v>HGC-Lib-2464355</v>
          </cell>
          <cell r="F2394" t="str">
            <v>R240809045</v>
          </cell>
          <cell r="G2394">
            <v>5</v>
          </cell>
          <cell r="H2394" t="str">
            <v>singleron-单细胞TCR文库</v>
          </cell>
          <cell r="I2394" t="str">
            <v>WH</v>
          </cell>
          <cell r="J2394">
            <v>28.2</v>
          </cell>
          <cell r="N2394" t="e">
            <v>#DIV/0!</v>
          </cell>
        </row>
        <row r="2395">
          <cell r="E2395" t="str">
            <v>HGC-Lib-2464356</v>
          </cell>
          <cell r="F2395" t="str">
            <v>R240809046</v>
          </cell>
          <cell r="G2395">
            <v>5</v>
          </cell>
          <cell r="H2395" t="str">
            <v>singleron-3'转录组文库</v>
          </cell>
          <cell r="I2395" t="str">
            <v>WH</v>
          </cell>
          <cell r="J2395">
            <v>11.7</v>
          </cell>
          <cell r="N2395" t="e">
            <v>#DIV/0!</v>
          </cell>
        </row>
        <row r="2396">
          <cell r="E2396" t="str">
            <v>HGC-Lib-2464357</v>
          </cell>
          <cell r="F2396" t="str">
            <v>LC240806101</v>
          </cell>
          <cell r="G2396">
            <v>90</v>
          </cell>
          <cell r="H2396" t="str">
            <v>singleron-3'转录组文库</v>
          </cell>
          <cell r="I2396" t="str">
            <v>WH</v>
          </cell>
          <cell r="J2396">
            <v>6.6</v>
          </cell>
          <cell r="N2396" t="e">
            <v>#DIV/0!</v>
          </cell>
        </row>
        <row r="2397">
          <cell r="E2397" t="str">
            <v>HGC-Lib-2464358</v>
          </cell>
          <cell r="F2397" t="str">
            <v>LA240806107</v>
          </cell>
          <cell r="G2397">
            <v>100</v>
          </cell>
          <cell r="H2397" t="str">
            <v>singleron-3'转录组文库</v>
          </cell>
          <cell r="I2397" t="str">
            <v>WH</v>
          </cell>
          <cell r="J2397">
            <v>5.98</v>
          </cell>
          <cell r="N2397" t="e">
            <v>#DIV/0!</v>
          </cell>
        </row>
        <row r="2398">
          <cell r="E2398" t="str">
            <v>HGC-Lib-2464359</v>
          </cell>
          <cell r="F2398" t="str">
            <v>LA240806105</v>
          </cell>
          <cell r="G2398">
            <v>90</v>
          </cell>
          <cell r="H2398" t="str">
            <v>singleron-3'转录组文库</v>
          </cell>
          <cell r="I2398" t="str">
            <v>WH</v>
          </cell>
          <cell r="J2398">
            <v>5.68</v>
          </cell>
          <cell r="N2398" t="e">
            <v>#DIV/0!</v>
          </cell>
        </row>
        <row r="2399">
          <cell r="E2399" t="str">
            <v>HGC-Lib-2464360</v>
          </cell>
          <cell r="F2399" t="str">
            <v>LA240802020</v>
          </cell>
          <cell r="G2399">
            <v>100</v>
          </cell>
          <cell r="H2399" t="str">
            <v>singleron-3'转录组文库</v>
          </cell>
          <cell r="I2399" t="str">
            <v>WH</v>
          </cell>
          <cell r="J2399">
            <v>27.8</v>
          </cell>
          <cell r="N2399" t="e">
            <v>#DIV/0!</v>
          </cell>
        </row>
        <row r="2400">
          <cell r="E2400" t="str">
            <v>HGC-Lib-2464361</v>
          </cell>
          <cell r="F2400" t="str">
            <v>LA240802010</v>
          </cell>
          <cell r="G2400">
            <v>100</v>
          </cell>
          <cell r="H2400" t="str">
            <v>singleron-3'转录组文库</v>
          </cell>
          <cell r="I2400" t="str">
            <v>WH</v>
          </cell>
          <cell r="J2400">
            <v>30.2</v>
          </cell>
          <cell r="N2400" t="e">
            <v>#DIV/0!</v>
          </cell>
        </row>
        <row r="2401">
          <cell r="E2401" t="str">
            <v>HGC-Lib-2464362</v>
          </cell>
          <cell r="F2401" t="str">
            <v>LA240802009</v>
          </cell>
          <cell r="G2401">
            <v>100</v>
          </cell>
          <cell r="H2401" t="str">
            <v>singleron-3'转录组文库</v>
          </cell>
          <cell r="I2401" t="str">
            <v>WH</v>
          </cell>
          <cell r="J2401">
            <v>29.8</v>
          </cell>
          <cell r="N2401" t="e">
            <v>#DIV/0!</v>
          </cell>
        </row>
        <row r="2402">
          <cell r="E2402" t="str">
            <v>HGC-Lib-2464363</v>
          </cell>
          <cell r="F2402" t="str">
            <v>LC240719021</v>
          </cell>
          <cell r="G2402">
            <v>10</v>
          </cell>
          <cell r="H2402" t="str">
            <v>singleron-3'转录组文库</v>
          </cell>
          <cell r="I2402" t="str">
            <v>WH</v>
          </cell>
          <cell r="J2402">
            <v>17.100000000000001</v>
          </cell>
          <cell r="N2402" t="e">
            <v>#DIV/0!</v>
          </cell>
        </row>
        <row r="2403">
          <cell r="E2403" t="str">
            <v>HGC-Lib-2464364</v>
          </cell>
          <cell r="F2403" t="str">
            <v>LC240719022</v>
          </cell>
          <cell r="G2403">
            <v>10</v>
          </cell>
          <cell r="H2403" t="str">
            <v>singleron-3'转录组文库</v>
          </cell>
          <cell r="I2403" t="str">
            <v>WH</v>
          </cell>
          <cell r="J2403">
            <v>13.3</v>
          </cell>
          <cell r="N2403" t="e">
            <v>#DIV/0!</v>
          </cell>
        </row>
        <row r="2404">
          <cell r="E2404" t="str">
            <v>HGC-Lib-2464365</v>
          </cell>
          <cell r="F2404" t="str">
            <v>LA240803001</v>
          </cell>
          <cell r="G2404">
            <v>100</v>
          </cell>
          <cell r="H2404" t="str">
            <v>singleron-3'转录组文库</v>
          </cell>
          <cell r="I2404" t="str">
            <v>WH</v>
          </cell>
          <cell r="J2404">
            <v>29.8</v>
          </cell>
          <cell r="N2404" t="e">
            <v>#DIV/0!</v>
          </cell>
        </row>
        <row r="2405">
          <cell r="E2405" t="str">
            <v>HGC-Lib-2464366</v>
          </cell>
          <cell r="F2405" t="str">
            <v>LC240801047</v>
          </cell>
          <cell r="G2405">
            <v>10</v>
          </cell>
          <cell r="H2405" t="str">
            <v>singleron-3'转录组文库</v>
          </cell>
          <cell r="I2405" t="str">
            <v>WH</v>
          </cell>
          <cell r="J2405">
            <v>36.6</v>
          </cell>
          <cell r="N2405" t="e">
            <v>#DIV/0!</v>
          </cell>
        </row>
        <row r="2406">
          <cell r="E2406" t="str">
            <v>HGC-Lib-2464367</v>
          </cell>
          <cell r="F2406" t="str">
            <v>LFTBC240723042X1</v>
          </cell>
          <cell r="G2406">
            <v>10</v>
          </cell>
          <cell r="H2406" t="str">
            <v>singleron-3'全长转录组文库</v>
          </cell>
          <cell r="I2406" t="str">
            <v>WH</v>
          </cell>
          <cell r="J2406">
            <v>28</v>
          </cell>
          <cell r="N2406" t="e">
            <v>#DIV/0!</v>
          </cell>
        </row>
        <row r="2407">
          <cell r="E2407" t="str">
            <v>HGC-Lib-2464368</v>
          </cell>
          <cell r="F2407" t="str">
            <v>LFTBC240723043X1</v>
          </cell>
          <cell r="G2407">
            <v>10</v>
          </cell>
          <cell r="H2407" t="str">
            <v>singleron-3'全长转录组文库</v>
          </cell>
          <cell r="I2407" t="str">
            <v>WH</v>
          </cell>
          <cell r="J2407">
            <v>26.2</v>
          </cell>
          <cell r="N2407" t="e">
            <v>#DIV/0!</v>
          </cell>
        </row>
        <row r="2408">
          <cell r="E2408" t="str">
            <v>HGC-Lib-2464369</v>
          </cell>
          <cell r="F2408" t="str">
            <v>LFTBC240723042X2</v>
          </cell>
          <cell r="G2408">
            <v>10</v>
          </cell>
          <cell r="H2408" t="str">
            <v>singleron-3'全长转录组文库</v>
          </cell>
          <cell r="I2408" t="str">
            <v>WH</v>
          </cell>
          <cell r="J2408">
            <v>26.4</v>
          </cell>
          <cell r="N2408" t="e">
            <v>#DIV/0!</v>
          </cell>
        </row>
        <row r="2409">
          <cell r="E2409" t="str">
            <v>HGC-Lib-2464370</v>
          </cell>
          <cell r="F2409" t="str">
            <v>LFTBC240723043X2</v>
          </cell>
          <cell r="G2409">
            <v>10</v>
          </cell>
          <cell r="H2409" t="str">
            <v>singleron-3'全长转录组文库</v>
          </cell>
          <cell r="I2409" t="str">
            <v>WH</v>
          </cell>
          <cell r="J2409">
            <v>28.2</v>
          </cell>
          <cell r="N2409" t="e">
            <v>#DIV/0!</v>
          </cell>
        </row>
        <row r="2410">
          <cell r="E2410" t="str">
            <v>HGC-Lib-2464038</v>
          </cell>
          <cell r="F2410" t="str">
            <v>WT-3</v>
          </cell>
          <cell r="G2410">
            <v>6</v>
          </cell>
          <cell r="H2410" t="str">
            <v>mRNA文库</v>
          </cell>
          <cell r="I2410" t="str">
            <v>ZZ</v>
          </cell>
          <cell r="J2410">
            <v>0.39600000000000002</v>
          </cell>
          <cell r="K2410">
            <v>307</v>
          </cell>
          <cell r="L2410" t="str">
            <v>YHT</v>
          </cell>
          <cell r="N2410">
            <v>1.9844650463543001</v>
          </cell>
        </row>
        <row r="2411">
          <cell r="E2411" t="str">
            <v>HGC-Lib-2464039</v>
          </cell>
          <cell r="F2411" t="str">
            <v>CK-RIP</v>
          </cell>
          <cell r="G2411">
            <v>6</v>
          </cell>
          <cell r="H2411" t="str">
            <v>RIP-seq文库</v>
          </cell>
          <cell r="I2411" t="str">
            <v>ZZ</v>
          </cell>
          <cell r="J2411">
            <v>0.68200000000000005</v>
          </cell>
          <cell r="K2411">
            <v>348</v>
          </cell>
          <cell r="L2411" t="str">
            <v>YHT</v>
          </cell>
          <cell r="N2411">
            <v>3.0150309460654299</v>
          </cell>
        </row>
        <row r="2412">
          <cell r="E2412" t="str">
            <v>HGC-Lib-2464040</v>
          </cell>
          <cell r="F2412" t="str">
            <v>4-RIP1</v>
          </cell>
          <cell r="G2412">
            <v>6</v>
          </cell>
          <cell r="H2412" t="str">
            <v>RIP-seq文库</v>
          </cell>
          <cell r="I2412" t="str">
            <v>ZZ</v>
          </cell>
          <cell r="J2412">
            <v>12.4</v>
          </cell>
          <cell r="K2412">
            <v>301</v>
          </cell>
          <cell r="L2412" t="str">
            <v>YHT</v>
          </cell>
          <cell r="N2412">
            <v>63.378481983133099</v>
          </cell>
        </row>
        <row r="2413">
          <cell r="E2413" t="str">
            <v>HGC-Lib-2464041</v>
          </cell>
          <cell r="F2413" t="str">
            <v>Q-RIP1</v>
          </cell>
          <cell r="G2413">
            <v>6</v>
          </cell>
          <cell r="H2413" t="str">
            <v>RIP-seq文库</v>
          </cell>
          <cell r="I2413" t="str">
            <v>ZZ</v>
          </cell>
          <cell r="J2413">
            <v>14.4</v>
          </cell>
          <cell r="K2413">
            <v>463</v>
          </cell>
          <cell r="L2413" t="str">
            <v>YHT</v>
          </cell>
          <cell r="N2413">
            <v>47.848479813922602</v>
          </cell>
        </row>
        <row r="2414">
          <cell r="E2414" t="str">
            <v>HGC-Lib-2464042</v>
          </cell>
          <cell r="F2414" t="str">
            <v>R-RIP1</v>
          </cell>
          <cell r="G2414">
            <v>6</v>
          </cell>
          <cell r="H2414" t="str">
            <v>RIP-seq文库</v>
          </cell>
          <cell r="I2414" t="str">
            <v>ZZ</v>
          </cell>
          <cell r="J2414">
            <v>6.72</v>
          </cell>
          <cell r="K2414">
            <v>319</v>
          </cell>
          <cell r="L2414" t="str">
            <v>YHT</v>
          </cell>
          <cell r="N2414">
            <v>32.408970340004799</v>
          </cell>
        </row>
        <row r="2415">
          <cell r="E2415" t="str">
            <v>HGC-Lib-2464043</v>
          </cell>
          <cell r="F2415" t="str">
            <v>C2-RIP1</v>
          </cell>
          <cell r="G2415">
            <v>6</v>
          </cell>
          <cell r="H2415" t="str">
            <v>RIP-seq文库</v>
          </cell>
          <cell r="I2415" t="str">
            <v>ZZ</v>
          </cell>
          <cell r="J2415">
            <v>16.100000000000001</v>
          </cell>
          <cell r="K2415">
            <v>369</v>
          </cell>
          <cell r="L2415" t="str">
            <v>YHT</v>
          </cell>
          <cell r="N2415">
            <v>67.125286637481807</v>
          </cell>
        </row>
        <row r="2416">
          <cell r="E2416" t="str">
            <v>HGC-Lib-2464044</v>
          </cell>
          <cell r="F2416" t="str">
            <v>CK-inp1</v>
          </cell>
          <cell r="G2416">
            <v>6</v>
          </cell>
          <cell r="H2416" t="str">
            <v>RIP-seq文库</v>
          </cell>
          <cell r="I2416" t="str">
            <v>ZZ</v>
          </cell>
          <cell r="J2416">
            <v>13.8</v>
          </cell>
          <cell r="K2416">
            <v>408</v>
          </cell>
          <cell r="L2416" t="str">
            <v>YHT</v>
          </cell>
          <cell r="N2416">
            <v>52.036199095022603</v>
          </cell>
        </row>
        <row r="2417">
          <cell r="E2417" t="str">
            <v>HGC-Lib-2464045</v>
          </cell>
          <cell r="F2417" t="str">
            <v>4-inp1</v>
          </cell>
          <cell r="G2417">
            <v>6</v>
          </cell>
          <cell r="H2417" t="str">
            <v>RIP-seq文库</v>
          </cell>
          <cell r="I2417" t="str">
            <v>ZZ</v>
          </cell>
          <cell r="J2417">
            <v>10.199999999999999</v>
          </cell>
          <cell r="K2417">
            <v>414</v>
          </cell>
          <cell r="L2417" t="str">
            <v>YHT</v>
          </cell>
          <cell r="N2417">
            <v>37.904124860646597</v>
          </cell>
        </row>
        <row r="2418">
          <cell r="E2418" t="str">
            <v>HGC-Lib-2464046</v>
          </cell>
          <cell r="F2418" t="str">
            <v>Q-inp1</v>
          </cell>
          <cell r="G2418">
            <v>6</v>
          </cell>
          <cell r="H2418" t="str">
            <v>RIP-seq文库</v>
          </cell>
          <cell r="I2418" t="str">
            <v>ZZ</v>
          </cell>
          <cell r="J2418">
            <v>14.1</v>
          </cell>
          <cell r="K2418">
            <v>413</v>
          </cell>
          <cell r="L2418" t="str">
            <v>YHT</v>
          </cell>
          <cell r="N2418">
            <v>52.523747439001703</v>
          </cell>
        </row>
        <row r="2419">
          <cell r="E2419" t="str">
            <v>HGC-Lib-2464047</v>
          </cell>
          <cell r="F2419" t="str">
            <v>R-inp1</v>
          </cell>
          <cell r="G2419">
            <v>6</v>
          </cell>
          <cell r="H2419" t="str">
            <v>RIP-seq文库</v>
          </cell>
          <cell r="I2419" t="str">
            <v>ZZ</v>
          </cell>
          <cell r="J2419">
            <v>13.5</v>
          </cell>
          <cell r="K2419">
            <v>404</v>
          </cell>
          <cell r="L2419" t="str">
            <v>YHT</v>
          </cell>
          <cell r="N2419">
            <v>51.408987052551403</v>
          </cell>
        </row>
        <row r="2420">
          <cell r="E2420" t="str">
            <v>HGC-Lib-2464048</v>
          </cell>
          <cell r="F2420" t="str">
            <v>4-RIP2</v>
          </cell>
          <cell r="G2420">
            <v>6</v>
          </cell>
          <cell r="H2420" t="str">
            <v>RIP-seq文库</v>
          </cell>
          <cell r="I2420" t="str">
            <v>ZZ</v>
          </cell>
          <cell r="J2420">
            <v>12.8</v>
          </cell>
          <cell r="K2420">
            <v>304</v>
          </cell>
          <cell r="L2420" t="str">
            <v>YHT</v>
          </cell>
          <cell r="N2420">
            <v>64.777327935222701</v>
          </cell>
        </row>
        <row r="2421">
          <cell r="E2421" t="str">
            <v>HGC-Lib-2464049</v>
          </cell>
          <cell r="F2421" t="str">
            <v>Q-RIP2</v>
          </cell>
          <cell r="G2421">
            <v>6</v>
          </cell>
          <cell r="H2421" t="str">
            <v>RIP-seq文库</v>
          </cell>
          <cell r="I2421" t="str">
            <v>ZZ</v>
          </cell>
          <cell r="J2421">
            <v>14.8</v>
          </cell>
          <cell r="K2421">
            <v>454</v>
          </cell>
          <cell r="L2421" t="str">
            <v>YHT</v>
          </cell>
          <cell r="N2421">
            <v>50.152490681125002</v>
          </cell>
        </row>
        <row r="2422">
          <cell r="E2422" t="str">
            <v>HGC-Lib-2464050</v>
          </cell>
          <cell r="F2422" t="str">
            <v>R-RIP2</v>
          </cell>
          <cell r="G2422">
            <v>6</v>
          </cell>
          <cell r="H2422" t="str">
            <v>RIP-seq文库</v>
          </cell>
          <cell r="I2422" t="str">
            <v>ZZ</v>
          </cell>
          <cell r="J2422">
            <v>7.06</v>
          </cell>
          <cell r="K2422">
            <v>323</v>
          </cell>
          <cell r="L2422" t="str">
            <v>YHT</v>
          </cell>
          <cell r="N2422">
            <v>33.6270540604906</v>
          </cell>
        </row>
        <row r="2423">
          <cell r="E2423" t="str">
            <v>HGC-Lib-2464051</v>
          </cell>
          <cell r="F2423" t="str">
            <v>C2-RIP2</v>
          </cell>
          <cell r="G2423">
            <v>6</v>
          </cell>
          <cell r="H2423" t="str">
            <v>RIP-seq文库</v>
          </cell>
          <cell r="I2423" t="str">
            <v>ZZ</v>
          </cell>
          <cell r="J2423">
            <v>17.7</v>
          </cell>
          <cell r="K2423">
            <v>367</v>
          </cell>
          <cell r="L2423" t="str">
            <v>YHT</v>
          </cell>
          <cell r="N2423">
            <v>74.198281282749903</v>
          </cell>
        </row>
        <row r="2424">
          <cell r="E2424" t="str">
            <v>HGC-Lib-2464052</v>
          </cell>
          <cell r="F2424" t="str">
            <v>CK-inp2</v>
          </cell>
          <cell r="G2424">
            <v>6</v>
          </cell>
          <cell r="H2424" t="str">
            <v>RIP-seq文库</v>
          </cell>
          <cell r="I2424" t="str">
            <v>ZZ</v>
          </cell>
          <cell r="J2424">
            <v>13.2</v>
          </cell>
          <cell r="K2424">
            <v>408</v>
          </cell>
          <cell r="L2424" t="str">
            <v>YHT</v>
          </cell>
          <cell r="N2424">
            <v>49.773755656108598</v>
          </cell>
        </row>
        <row r="2425">
          <cell r="E2425" t="str">
            <v>HGC-Lib-2464053</v>
          </cell>
          <cell r="F2425" t="str">
            <v>4-inp2</v>
          </cell>
          <cell r="G2425">
            <v>6</v>
          </cell>
          <cell r="H2425" t="str">
            <v>RIP-seq文库</v>
          </cell>
          <cell r="I2425" t="str">
            <v>ZZ</v>
          </cell>
          <cell r="J2425">
            <v>9.68</v>
          </cell>
          <cell r="K2425">
            <v>412</v>
          </cell>
          <cell r="L2425" t="str">
            <v>YHT</v>
          </cell>
          <cell r="N2425">
            <v>36.146377893950699</v>
          </cell>
        </row>
        <row r="2426">
          <cell r="E2426" t="str">
            <v>HGC-Lib-2464054</v>
          </cell>
          <cell r="F2426" t="str">
            <v>Q-inp2</v>
          </cell>
          <cell r="G2426">
            <v>6</v>
          </cell>
          <cell r="H2426" t="str">
            <v>RIP-seq文库</v>
          </cell>
          <cell r="I2426" t="str">
            <v>ZZ</v>
          </cell>
          <cell r="J2426">
            <v>13.9</v>
          </cell>
          <cell r="K2426">
            <v>409</v>
          </cell>
          <cell r="L2426" t="str">
            <v>YHT</v>
          </cell>
          <cell r="N2426">
            <v>52.285123189768697</v>
          </cell>
        </row>
        <row r="2427">
          <cell r="E2427" t="str">
            <v>HGC-Lib-2464055</v>
          </cell>
          <cell r="F2427" t="str">
            <v>R-inp2</v>
          </cell>
          <cell r="G2427">
            <v>6</v>
          </cell>
          <cell r="H2427" t="str">
            <v>RIP-seq文库</v>
          </cell>
          <cell r="I2427" t="str">
            <v>ZZ</v>
          </cell>
          <cell r="J2427">
            <v>14.3</v>
          </cell>
          <cell r="K2427">
            <v>397</v>
          </cell>
          <cell r="L2427" t="str">
            <v>YHT</v>
          </cell>
          <cell r="N2427">
            <v>55.415617128463502</v>
          </cell>
        </row>
        <row r="2428">
          <cell r="E2428" t="str">
            <v>HGC-Lib-2464056</v>
          </cell>
          <cell r="F2428" t="str">
            <v>4-RIP3</v>
          </cell>
          <cell r="G2428">
            <v>6</v>
          </cell>
          <cell r="H2428" t="str">
            <v>RIP-seq文库</v>
          </cell>
          <cell r="I2428" t="str">
            <v>ZZ</v>
          </cell>
          <cell r="J2428">
            <v>12.1</v>
          </cell>
          <cell r="K2428">
            <v>306</v>
          </cell>
          <cell r="L2428" t="str">
            <v>YHT</v>
          </cell>
          <cell r="N2428">
            <v>60.8345902463549</v>
          </cell>
        </row>
        <row r="2429">
          <cell r="E2429" t="str">
            <v>HGC-Lib-2464057</v>
          </cell>
          <cell r="F2429" t="str">
            <v>Q-RIP3</v>
          </cell>
          <cell r="G2429">
            <v>6</v>
          </cell>
          <cell r="H2429" t="str">
            <v>RIP-seq文库</v>
          </cell>
          <cell r="I2429" t="str">
            <v>ZZ</v>
          </cell>
          <cell r="J2429">
            <v>14.7</v>
          </cell>
          <cell r="K2429">
            <v>457</v>
          </cell>
          <cell r="L2429" t="str">
            <v>YHT</v>
          </cell>
          <cell r="N2429">
            <v>49.486618414408298</v>
          </cell>
        </row>
        <row r="2430">
          <cell r="E2430" t="str">
            <v>HGC-Lib-2464058</v>
          </cell>
          <cell r="F2430" t="str">
            <v>R-RIP3</v>
          </cell>
          <cell r="G2430">
            <v>6</v>
          </cell>
          <cell r="H2430" t="str">
            <v>RIP-seq文库</v>
          </cell>
          <cell r="I2430" t="str">
            <v>ZZ</v>
          </cell>
          <cell r="J2430">
            <v>6.8</v>
          </cell>
          <cell r="K2430">
            <v>319</v>
          </cell>
          <cell r="L2430" t="str">
            <v>YHT</v>
          </cell>
          <cell r="N2430">
            <v>32.7947914154811</v>
          </cell>
        </row>
        <row r="2431">
          <cell r="E2431" t="str">
            <v>HGC-Lib-2464059</v>
          </cell>
          <cell r="F2431" t="str">
            <v>C2-RIP3</v>
          </cell>
          <cell r="G2431">
            <v>5</v>
          </cell>
          <cell r="H2431" t="str">
            <v>RIP-seq文库</v>
          </cell>
          <cell r="I2431" t="str">
            <v>ZZ</v>
          </cell>
          <cell r="J2431">
            <v>16.899999999999999</v>
          </cell>
          <cell r="K2431">
            <v>368</v>
          </cell>
          <cell r="L2431" t="str">
            <v>YHT</v>
          </cell>
          <cell r="N2431">
            <v>70.652173913043498</v>
          </cell>
        </row>
        <row r="2432">
          <cell r="E2432" t="str">
            <v>HGC-Lib-2464060</v>
          </cell>
          <cell r="F2432" t="str">
            <v>K</v>
          </cell>
          <cell r="G2432">
            <v>5</v>
          </cell>
          <cell r="H2432" t="str">
            <v>small RNA文库</v>
          </cell>
          <cell r="I2432" t="str">
            <v>ZZ</v>
          </cell>
          <cell r="J2432" t="str">
            <v>/</v>
          </cell>
          <cell r="N2432" t="e">
            <v>#VALUE!</v>
          </cell>
        </row>
        <row r="2433">
          <cell r="E2433" t="str">
            <v>HGC-Lib-2464061</v>
          </cell>
          <cell r="F2433">
            <v>61</v>
          </cell>
          <cell r="G2433">
            <v>5</v>
          </cell>
          <cell r="H2433" t="str">
            <v>small RNA文库</v>
          </cell>
          <cell r="I2433" t="str">
            <v>ZZ</v>
          </cell>
          <cell r="J2433" t="str">
            <v>/</v>
          </cell>
          <cell r="N2433" t="e">
            <v>#VALUE!</v>
          </cell>
        </row>
        <row r="2434">
          <cell r="E2434" t="str">
            <v>HGC-Lib-2464177</v>
          </cell>
          <cell r="F2434" t="str">
            <v>Pool 82</v>
          </cell>
          <cell r="G2434">
            <v>2</v>
          </cell>
          <cell r="H2434" t="str">
            <v>多重PCR产物文库</v>
          </cell>
          <cell r="I2434" t="str">
            <v>ZZ</v>
          </cell>
          <cell r="J2434">
            <v>3.4</v>
          </cell>
          <cell r="K2434">
            <v>368</v>
          </cell>
          <cell r="L2434" t="str">
            <v>WH</v>
          </cell>
          <cell r="N2434">
            <v>14.2140468227425</v>
          </cell>
        </row>
        <row r="2435">
          <cell r="E2435" t="str">
            <v>HGC-Lib-2464178</v>
          </cell>
          <cell r="F2435" t="str">
            <v>Pool 88</v>
          </cell>
          <cell r="G2435">
            <v>2</v>
          </cell>
          <cell r="H2435" t="str">
            <v>多重PCR产物文库</v>
          </cell>
          <cell r="I2435" t="str">
            <v>ZZ</v>
          </cell>
          <cell r="J2435">
            <v>2.6</v>
          </cell>
          <cell r="K2435">
            <v>364</v>
          </cell>
          <cell r="L2435" t="str">
            <v>WH</v>
          </cell>
          <cell r="N2435">
            <v>10.989010989011</v>
          </cell>
        </row>
        <row r="2436">
          <cell r="E2436" t="str">
            <v>HGC-POOL-2464257</v>
          </cell>
          <cell r="F2436" t="str">
            <v>H240808-1</v>
          </cell>
          <cell r="G2436">
            <v>370</v>
          </cell>
          <cell r="H2436" t="str">
            <v>Chip-Seq</v>
          </cell>
          <cell r="I2436" t="str">
            <v>ZZ</v>
          </cell>
          <cell r="J2436">
            <v>8.44</v>
          </cell>
          <cell r="K2436">
            <v>244</v>
          </cell>
          <cell r="L2436" t="str">
            <v>WH</v>
          </cell>
          <cell r="N2436">
            <v>53.215636822194199</v>
          </cell>
        </row>
        <row r="2437">
          <cell r="E2437" t="str">
            <v>HGC-Lib-2464309</v>
          </cell>
          <cell r="F2437" t="str">
            <v>NCF</v>
          </cell>
          <cell r="G2437">
            <v>5</v>
          </cell>
          <cell r="H2437" t="str">
            <v>PCR产物文库</v>
          </cell>
          <cell r="I2437" t="str">
            <v>ZZ</v>
          </cell>
          <cell r="J2437">
            <v>18.5</v>
          </cell>
          <cell r="K2437">
            <v>420</v>
          </cell>
          <cell r="L2437" t="str">
            <v>YHT</v>
          </cell>
          <cell r="N2437">
            <v>67.765567765567795</v>
          </cell>
        </row>
        <row r="2438">
          <cell r="E2438" t="str">
            <v>HGC-Lib-2464310</v>
          </cell>
          <cell r="F2438" t="str">
            <v>NCR</v>
          </cell>
          <cell r="G2438">
            <v>5</v>
          </cell>
          <cell r="H2438" t="str">
            <v>PCR产物文库</v>
          </cell>
          <cell r="I2438" t="str">
            <v>ZZ</v>
          </cell>
          <cell r="J2438">
            <v>17.600000000000001</v>
          </cell>
          <cell r="K2438">
            <v>412</v>
          </cell>
          <cell r="L2438" t="str">
            <v>YHT</v>
          </cell>
          <cell r="N2438">
            <v>65.720687079910405</v>
          </cell>
        </row>
        <row r="2439">
          <cell r="E2439" t="str">
            <v>HGC-Lib-2464311</v>
          </cell>
          <cell r="F2439" t="str">
            <v>KOF</v>
          </cell>
          <cell r="G2439">
            <v>5</v>
          </cell>
          <cell r="H2439" t="str">
            <v>PCR产物文库</v>
          </cell>
          <cell r="I2439" t="str">
            <v>ZZ</v>
          </cell>
          <cell r="J2439">
            <v>15.3</v>
          </cell>
          <cell r="K2439">
            <v>380</v>
          </cell>
          <cell r="L2439" t="str">
            <v>YHT</v>
          </cell>
          <cell r="N2439">
            <v>61.943319838056702</v>
          </cell>
        </row>
        <row r="2440">
          <cell r="E2440" t="str">
            <v>HGC-Lib-2464312</v>
          </cell>
          <cell r="F2440" t="str">
            <v>KOR</v>
          </cell>
          <cell r="G2440">
            <v>5</v>
          </cell>
          <cell r="H2440" t="str">
            <v>PCR产物文库</v>
          </cell>
          <cell r="I2440" t="str">
            <v>ZZ</v>
          </cell>
          <cell r="J2440">
            <v>13.2</v>
          </cell>
          <cell r="K2440">
            <v>387</v>
          </cell>
          <cell r="L2440" t="str">
            <v>YHT</v>
          </cell>
          <cell r="N2440">
            <v>52.474657125819903</v>
          </cell>
        </row>
        <row r="2441">
          <cell r="E2441" t="str">
            <v>HGC-Lib-2464313</v>
          </cell>
          <cell r="F2441" t="str">
            <v>KI2F</v>
          </cell>
          <cell r="G2441">
            <v>5</v>
          </cell>
          <cell r="H2441" t="str">
            <v>PCR产物文库</v>
          </cell>
          <cell r="I2441" t="str">
            <v>ZZ</v>
          </cell>
          <cell r="J2441">
            <v>14.4</v>
          </cell>
          <cell r="K2441">
            <v>413</v>
          </cell>
          <cell r="L2441" t="str">
            <v>YHT</v>
          </cell>
          <cell r="N2441">
            <v>53.641273980256997</v>
          </cell>
        </row>
        <row r="2442">
          <cell r="E2442" t="str">
            <v>HGC-Lib-2464314</v>
          </cell>
          <cell r="F2442" t="str">
            <v>KI2R</v>
          </cell>
          <cell r="G2442">
            <v>5</v>
          </cell>
          <cell r="H2442" t="str">
            <v>PCR产物文库</v>
          </cell>
          <cell r="I2442" t="str">
            <v>ZZ</v>
          </cell>
          <cell r="J2442">
            <v>8.9600000000000009</v>
          </cell>
          <cell r="K2442">
            <v>418</v>
          </cell>
          <cell r="L2442" t="str">
            <v>YHT</v>
          </cell>
          <cell r="N2442">
            <v>32.977548767022498</v>
          </cell>
        </row>
        <row r="2443">
          <cell r="E2443" t="str">
            <v>HGC-Lib-2464315</v>
          </cell>
          <cell r="F2443" t="str">
            <v>KI3F</v>
          </cell>
          <cell r="G2443">
            <v>5</v>
          </cell>
          <cell r="H2443" t="str">
            <v>PCR产物文库</v>
          </cell>
          <cell r="I2443" t="str">
            <v>ZZ</v>
          </cell>
          <cell r="J2443">
            <v>13.1</v>
          </cell>
          <cell r="K2443">
            <v>405</v>
          </cell>
          <cell r="L2443" t="str">
            <v>YHT</v>
          </cell>
          <cell r="N2443">
            <v>49.762583095916398</v>
          </cell>
        </row>
        <row r="2444">
          <cell r="E2444" t="str">
            <v>HGC-Lib-2464316</v>
          </cell>
          <cell r="F2444" t="str">
            <v>KI3R</v>
          </cell>
          <cell r="G2444">
            <v>5</v>
          </cell>
          <cell r="H2444" t="str">
            <v>PCR产物文库</v>
          </cell>
          <cell r="I2444" t="str">
            <v>ZZ</v>
          </cell>
          <cell r="J2444">
            <v>14.3</v>
          </cell>
          <cell r="K2444">
            <v>553</v>
          </cell>
          <cell r="L2444" t="str">
            <v>YHT</v>
          </cell>
          <cell r="N2444">
            <v>39.783001808318303</v>
          </cell>
        </row>
        <row r="2445">
          <cell r="E2445" t="str">
            <v>HGC-Lib-2464317</v>
          </cell>
          <cell r="F2445" t="str">
            <v>ZH-S-1</v>
          </cell>
          <cell r="G2445">
            <v>6</v>
          </cell>
          <cell r="H2445" t="str">
            <v>RNA-seq文库</v>
          </cell>
          <cell r="I2445" t="str">
            <v>ZZ</v>
          </cell>
          <cell r="J2445">
            <v>16.100000000000001</v>
          </cell>
          <cell r="K2445">
            <v>380</v>
          </cell>
          <cell r="L2445" t="str">
            <v>YHT</v>
          </cell>
          <cell r="N2445">
            <v>65.182186234817806</v>
          </cell>
        </row>
        <row r="2446">
          <cell r="E2446" t="str">
            <v>HGC-Lib-2464318</v>
          </cell>
          <cell r="F2446" t="str">
            <v>ZH-S-2</v>
          </cell>
          <cell r="G2446">
            <v>6</v>
          </cell>
          <cell r="H2446" t="str">
            <v>RNA-seq文库</v>
          </cell>
          <cell r="I2446" t="str">
            <v>ZZ</v>
          </cell>
          <cell r="J2446">
            <v>17.5</v>
          </cell>
          <cell r="K2446">
            <v>462</v>
          </cell>
          <cell r="L2446" t="str">
            <v>YHT</v>
          </cell>
          <cell r="N2446">
            <v>58.275058275058299</v>
          </cell>
        </row>
        <row r="2447">
          <cell r="E2447" t="str">
            <v>HGC-Lib-2464319</v>
          </cell>
          <cell r="F2447" t="str">
            <v>ZH-S-3</v>
          </cell>
          <cell r="G2447">
            <v>6</v>
          </cell>
          <cell r="H2447" t="str">
            <v>RNA-seq文库</v>
          </cell>
          <cell r="I2447" t="str">
            <v>ZZ</v>
          </cell>
          <cell r="J2447">
            <v>16.7</v>
          </cell>
          <cell r="K2447">
            <v>392</v>
          </cell>
          <cell r="L2447" t="str">
            <v>YHT</v>
          </cell>
          <cell r="N2447">
            <v>65.541601255887002</v>
          </cell>
        </row>
        <row r="2448">
          <cell r="E2448" t="str">
            <v>HGC-Lib-2464320</v>
          </cell>
          <cell r="F2448" t="str">
            <v>7014-S-1</v>
          </cell>
          <cell r="G2448">
            <v>6</v>
          </cell>
          <cell r="H2448" t="str">
            <v>RNA-seq文库</v>
          </cell>
          <cell r="I2448" t="str">
            <v>ZZ</v>
          </cell>
          <cell r="J2448">
            <v>26.4</v>
          </cell>
          <cell r="K2448">
            <v>343</v>
          </cell>
          <cell r="L2448" t="str">
            <v>YHT</v>
          </cell>
          <cell r="N2448">
            <v>118.41220004485299</v>
          </cell>
        </row>
        <row r="2449">
          <cell r="E2449" t="str">
            <v>HGC-Lib-2464321</v>
          </cell>
          <cell r="F2449" t="str">
            <v>7014-S-2</v>
          </cell>
          <cell r="G2449">
            <v>6</v>
          </cell>
          <cell r="H2449" t="str">
            <v>RNA-seq文库</v>
          </cell>
          <cell r="I2449" t="str">
            <v>ZZ</v>
          </cell>
          <cell r="J2449">
            <v>24.2</v>
          </cell>
          <cell r="K2449">
            <v>361</v>
          </cell>
          <cell r="L2449" t="str">
            <v>YHT</v>
          </cell>
          <cell r="N2449">
            <v>103.132324738973</v>
          </cell>
        </row>
        <row r="2450">
          <cell r="E2450" t="str">
            <v>HGC-Lib-2464322</v>
          </cell>
          <cell r="F2450" t="str">
            <v>7014-S-3</v>
          </cell>
          <cell r="G2450">
            <v>6</v>
          </cell>
          <cell r="H2450" t="str">
            <v>RNA-seq文库</v>
          </cell>
          <cell r="I2450" t="str">
            <v>ZZ</v>
          </cell>
          <cell r="J2450">
            <v>21</v>
          </cell>
          <cell r="K2450">
            <v>370</v>
          </cell>
          <cell r="L2450" t="str">
            <v>YHT</v>
          </cell>
          <cell r="N2450">
            <v>87.318087318087294</v>
          </cell>
        </row>
        <row r="2451">
          <cell r="E2451" t="str">
            <v>HGC-Lib-2464323</v>
          </cell>
          <cell r="F2451" t="str">
            <v>CMT2-S-1</v>
          </cell>
          <cell r="G2451">
            <v>6</v>
          </cell>
          <cell r="H2451" t="str">
            <v>RNA-seq文库</v>
          </cell>
          <cell r="I2451" t="str">
            <v>ZZ</v>
          </cell>
          <cell r="J2451">
            <v>20.399999999999999</v>
          </cell>
          <cell r="K2451">
            <v>393</v>
          </cell>
          <cell r="L2451" t="str">
            <v>YHT</v>
          </cell>
          <cell r="N2451">
            <v>79.859072225484397</v>
          </cell>
        </row>
        <row r="2452">
          <cell r="E2452" t="str">
            <v>HGC-Lib-2464324</v>
          </cell>
          <cell r="F2452" t="str">
            <v>CMT2-S-2</v>
          </cell>
          <cell r="G2452">
            <v>6</v>
          </cell>
          <cell r="H2452" t="str">
            <v>RNA-seq文库</v>
          </cell>
          <cell r="I2452" t="str">
            <v>ZZ</v>
          </cell>
          <cell r="J2452">
            <v>20</v>
          </cell>
          <cell r="K2452">
            <v>402</v>
          </cell>
          <cell r="L2452" t="str">
            <v>YHT</v>
          </cell>
          <cell r="N2452">
            <v>76.540375047837699</v>
          </cell>
        </row>
        <row r="2453">
          <cell r="E2453" t="str">
            <v>HGC-Lib-2464325</v>
          </cell>
          <cell r="F2453" t="str">
            <v>CMT2-S-3</v>
          </cell>
          <cell r="G2453">
            <v>6</v>
          </cell>
          <cell r="H2453" t="str">
            <v>RNA-seq文库</v>
          </cell>
          <cell r="I2453" t="str">
            <v>ZZ</v>
          </cell>
          <cell r="J2453">
            <v>20.399999999999999</v>
          </cell>
          <cell r="K2453">
            <v>380</v>
          </cell>
          <cell r="L2453" t="str">
            <v>YHT</v>
          </cell>
          <cell r="N2453">
            <v>82.591093117408903</v>
          </cell>
        </row>
        <row r="2454">
          <cell r="E2454" t="str">
            <v>HGC-Lib-2464326</v>
          </cell>
          <cell r="F2454" t="str">
            <v>ER6-1</v>
          </cell>
          <cell r="G2454">
            <v>2</v>
          </cell>
          <cell r="H2454" t="str">
            <v>RNA-seq文库</v>
          </cell>
          <cell r="I2454" t="str">
            <v>XCL</v>
          </cell>
          <cell r="J2454">
            <v>21</v>
          </cell>
          <cell r="K2454">
            <v>409</v>
          </cell>
          <cell r="L2454" t="str">
            <v>YHT</v>
          </cell>
          <cell r="N2454">
            <v>78.991912732743998</v>
          </cell>
        </row>
        <row r="2455">
          <cell r="E2455" t="str">
            <v>HGC-Lib-2464327</v>
          </cell>
          <cell r="F2455" t="str">
            <v>ER6-2</v>
          </cell>
          <cell r="G2455">
            <v>2</v>
          </cell>
          <cell r="H2455" t="str">
            <v>RNA-seq文库</v>
          </cell>
          <cell r="I2455" t="str">
            <v>XCL</v>
          </cell>
          <cell r="J2455">
            <v>24.4</v>
          </cell>
          <cell r="K2455">
            <v>391</v>
          </cell>
          <cell r="L2455" t="str">
            <v>YHT</v>
          </cell>
          <cell r="N2455">
            <v>96.006295494786499</v>
          </cell>
        </row>
        <row r="2456">
          <cell r="E2456" t="str">
            <v>HGC-Lib-2464328</v>
          </cell>
          <cell r="F2456" t="str">
            <v>ER6-3</v>
          </cell>
          <cell r="G2456">
            <v>2</v>
          </cell>
          <cell r="H2456" t="str">
            <v>RNA-seq文库</v>
          </cell>
          <cell r="I2456" t="str">
            <v>XCL</v>
          </cell>
          <cell r="J2456">
            <v>20.8</v>
          </cell>
          <cell r="K2456">
            <v>299</v>
          </cell>
          <cell r="L2456" t="str">
            <v>YHT</v>
          </cell>
          <cell r="N2456">
            <v>107.023411371237</v>
          </cell>
        </row>
        <row r="2457">
          <cell r="E2457" t="str">
            <v>HGC-Lib-2464329</v>
          </cell>
          <cell r="F2457" t="str">
            <v>ER7-1</v>
          </cell>
          <cell r="G2457">
            <v>2</v>
          </cell>
          <cell r="H2457" t="str">
            <v>RNA-seq文库</v>
          </cell>
          <cell r="I2457" t="str">
            <v>XCL</v>
          </cell>
          <cell r="J2457">
            <v>19.399999999999999</v>
          </cell>
          <cell r="K2457">
            <v>317</v>
          </cell>
          <cell r="L2457" t="str">
            <v>YHT</v>
          </cell>
          <cell r="N2457">
            <v>94.1519048774569</v>
          </cell>
        </row>
        <row r="2458">
          <cell r="E2458" t="str">
            <v>HGC-Lib-2464330</v>
          </cell>
          <cell r="F2458" t="str">
            <v>ER7-2</v>
          </cell>
          <cell r="G2458">
            <v>2</v>
          </cell>
          <cell r="H2458" t="str">
            <v>RNA-seq文库</v>
          </cell>
          <cell r="I2458" t="str">
            <v>XCL</v>
          </cell>
          <cell r="J2458">
            <v>13.2</v>
          </cell>
          <cell r="K2458">
            <v>346</v>
          </cell>
          <cell r="L2458" t="str">
            <v>YHT</v>
          </cell>
          <cell r="N2458">
            <v>58.692752334370802</v>
          </cell>
        </row>
        <row r="2459">
          <cell r="E2459" t="str">
            <v>HGC-Lib-2464331</v>
          </cell>
          <cell r="F2459" t="str">
            <v>ER7-3</v>
          </cell>
          <cell r="G2459">
            <v>2</v>
          </cell>
          <cell r="H2459" t="str">
            <v>RNA-seq文库</v>
          </cell>
          <cell r="I2459" t="str">
            <v>XCL</v>
          </cell>
          <cell r="J2459">
            <v>20.6</v>
          </cell>
          <cell r="K2459">
            <v>279</v>
          </cell>
          <cell r="L2459" t="str">
            <v>YHT</v>
          </cell>
          <cell r="N2459">
            <v>113.592500689275</v>
          </cell>
        </row>
        <row r="2460">
          <cell r="E2460" t="str">
            <v>HGC-Lib-2464332</v>
          </cell>
          <cell r="F2460" t="str">
            <v>EB6-1</v>
          </cell>
          <cell r="G2460">
            <v>2</v>
          </cell>
          <cell r="H2460" t="str">
            <v>scBS-seq文库</v>
          </cell>
          <cell r="I2460" t="str">
            <v>XCL</v>
          </cell>
          <cell r="J2460">
            <v>5.94</v>
          </cell>
          <cell r="K2460">
            <v>529</v>
          </cell>
          <cell r="L2460" t="str">
            <v>WH</v>
          </cell>
          <cell r="N2460">
            <v>17.274974552857401</v>
          </cell>
        </row>
        <row r="2461">
          <cell r="E2461" t="str">
            <v>HGC-Lib-2464333</v>
          </cell>
          <cell r="F2461" t="str">
            <v>EB6-2</v>
          </cell>
          <cell r="G2461">
            <v>2</v>
          </cell>
          <cell r="H2461" t="str">
            <v>scBS-seq文库</v>
          </cell>
          <cell r="I2461" t="str">
            <v>XCL</v>
          </cell>
          <cell r="J2461">
            <v>6.64</v>
          </cell>
          <cell r="K2461">
            <v>477</v>
          </cell>
          <cell r="L2461" t="str">
            <v>WH</v>
          </cell>
          <cell r="N2461">
            <v>21.415900661183699</v>
          </cell>
        </row>
        <row r="2462">
          <cell r="E2462" t="str">
            <v>HGC-Lib-2464334</v>
          </cell>
          <cell r="F2462" t="str">
            <v>EB7-1</v>
          </cell>
          <cell r="G2462">
            <v>2</v>
          </cell>
          <cell r="H2462" t="str">
            <v>scBS-seq文库</v>
          </cell>
          <cell r="I2462" t="str">
            <v>XCL</v>
          </cell>
          <cell r="J2462">
            <v>6.62</v>
          </cell>
          <cell r="K2462">
            <v>510</v>
          </cell>
          <cell r="L2462" t="str">
            <v>WH</v>
          </cell>
          <cell r="N2462">
            <v>19.9698340874811</v>
          </cell>
        </row>
        <row r="2463">
          <cell r="E2463" t="str">
            <v>HGC-Lib-2464335</v>
          </cell>
          <cell r="F2463" t="str">
            <v>EB7-2</v>
          </cell>
          <cell r="G2463">
            <v>2</v>
          </cell>
          <cell r="H2463" t="str">
            <v>scBS-seq文库</v>
          </cell>
          <cell r="I2463" t="str">
            <v>XCL</v>
          </cell>
          <cell r="J2463">
            <v>6.94</v>
          </cell>
          <cell r="K2463">
            <v>517</v>
          </cell>
          <cell r="L2463" t="str">
            <v>WH</v>
          </cell>
          <cell r="N2463">
            <v>20.651688736795101</v>
          </cell>
        </row>
        <row r="2464">
          <cell r="E2464" t="str">
            <v>HGC-Lib-2464336</v>
          </cell>
          <cell r="F2464" t="str">
            <v>EB10-1</v>
          </cell>
          <cell r="G2464">
            <v>2</v>
          </cell>
          <cell r="H2464" t="str">
            <v>scBS-seq文库</v>
          </cell>
          <cell r="I2464" t="str">
            <v>XCL</v>
          </cell>
          <cell r="J2464">
            <v>6.36</v>
          </cell>
          <cell r="K2464">
            <v>498</v>
          </cell>
          <cell r="L2464" t="str">
            <v>WH</v>
          </cell>
          <cell r="N2464">
            <v>19.647822057460601</v>
          </cell>
        </row>
        <row r="2465">
          <cell r="E2465" t="str">
            <v>HGC-Lib-2464337</v>
          </cell>
          <cell r="F2465" t="str">
            <v>EB10-2</v>
          </cell>
          <cell r="G2465">
            <v>2</v>
          </cell>
          <cell r="H2465" t="str">
            <v>scBS-seq文库</v>
          </cell>
          <cell r="I2465" t="str">
            <v>XCL</v>
          </cell>
          <cell r="J2465">
            <v>6.78</v>
          </cell>
          <cell r="K2465">
            <v>537</v>
          </cell>
          <cell r="L2465" t="str">
            <v>WH</v>
          </cell>
          <cell r="N2465">
            <v>19.4241512677267</v>
          </cell>
        </row>
        <row r="2466">
          <cell r="E2466" t="str">
            <v>HGC-Lib-2464338</v>
          </cell>
          <cell r="F2466" t="str">
            <v>aB-1</v>
          </cell>
          <cell r="G2466">
            <v>5</v>
          </cell>
          <cell r="H2466" t="str">
            <v>scBS-seq文库</v>
          </cell>
          <cell r="I2466" t="str">
            <v>XCL</v>
          </cell>
          <cell r="J2466">
            <v>3.4</v>
          </cell>
          <cell r="K2466">
            <v>523</v>
          </cell>
          <cell r="L2466" t="str">
            <v>WH</v>
          </cell>
          <cell r="N2466">
            <v>10.001470804530101</v>
          </cell>
        </row>
        <row r="2467">
          <cell r="E2467" t="str">
            <v>HGC-Lib-2464339</v>
          </cell>
          <cell r="F2467" t="str">
            <v>aB-2</v>
          </cell>
          <cell r="G2467">
            <v>5</v>
          </cell>
          <cell r="H2467" t="str">
            <v>scBS-seq文库</v>
          </cell>
          <cell r="I2467" t="str">
            <v>XCL</v>
          </cell>
          <cell r="J2467">
            <v>5.12</v>
          </cell>
          <cell r="K2467">
            <v>466</v>
          </cell>
          <cell r="L2467" t="str">
            <v>WH</v>
          </cell>
          <cell r="N2467">
            <v>16.903268405414298</v>
          </cell>
        </row>
        <row r="2468">
          <cell r="E2468" t="str">
            <v>HGC-Lib-2464340</v>
          </cell>
          <cell r="F2468" t="str">
            <v>bB-1</v>
          </cell>
          <cell r="G2468">
            <v>5</v>
          </cell>
          <cell r="H2468" t="str">
            <v>scBS-seq文库</v>
          </cell>
          <cell r="I2468" t="str">
            <v>XCL</v>
          </cell>
          <cell r="J2468">
            <v>6.86</v>
          </cell>
          <cell r="K2468">
            <v>447</v>
          </cell>
          <cell r="L2468" t="str">
            <v>WH</v>
          </cell>
          <cell r="N2468">
            <v>23.610394080192702</v>
          </cell>
        </row>
        <row r="2469">
          <cell r="E2469" t="str">
            <v>HGC-Lib-2464341</v>
          </cell>
          <cell r="F2469" t="str">
            <v>bB-2</v>
          </cell>
          <cell r="G2469">
            <v>5</v>
          </cell>
          <cell r="H2469" t="str">
            <v>scBS-seq文库</v>
          </cell>
          <cell r="I2469" t="str">
            <v>XCL</v>
          </cell>
          <cell r="J2469">
            <v>6.12</v>
          </cell>
          <cell r="K2469">
            <v>466</v>
          </cell>
          <cell r="L2469" t="str">
            <v>WH</v>
          </cell>
          <cell r="N2469">
            <v>20.204688015846799</v>
          </cell>
        </row>
        <row r="2470">
          <cell r="E2470" t="str">
            <v>HGC-Lib-2464371</v>
          </cell>
          <cell r="F2470" t="str">
            <v>L240712112</v>
          </cell>
          <cell r="G2470">
            <v>100</v>
          </cell>
          <cell r="H2470" t="str">
            <v>10X空转文库</v>
          </cell>
          <cell r="I2470" t="str">
            <v>XCL</v>
          </cell>
          <cell r="J2470">
            <v>45</v>
          </cell>
          <cell r="N2470" t="e">
            <v>#DIV/0!</v>
          </cell>
        </row>
        <row r="2471">
          <cell r="E2471" t="str">
            <v>HGC-Lib-2464372</v>
          </cell>
          <cell r="F2471" t="str">
            <v>L240702014</v>
          </cell>
          <cell r="G2471">
            <v>100</v>
          </cell>
          <cell r="H2471" t="str">
            <v>10X空转文库</v>
          </cell>
          <cell r="I2471" t="str">
            <v>XCL</v>
          </cell>
          <cell r="J2471">
            <v>47.2</v>
          </cell>
          <cell r="N2471" t="e">
            <v>#DIV/0!</v>
          </cell>
        </row>
        <row r="2472">
          <cell r="E2472" t="str">
            <v>HGC-Lib-2464373</v>
          </cell>
          <cell r="F2472" t="str">
            <v>L240712113</v>
          </cell>
          <cell r="G2472">
            <v>100</v>
          </cell>
          <cell r="H2472" t="str">
            <v>10X空转文库</v>
          </cell>
          <cell r="I2472" t="str">
            <v>XCL</v>
          </cell>
          <cell r="J2472">
            <v>30.6</v>
          </cell>
          <cell r="N2472" t="e">
            <v>#DIV/0!</v>
          </cell>
        </row>
        <row r="2473">
          <cell r="E2473" t="str">
            <v>HGC-Lib-2464374</v>
          </cell>
          <cell r="F2473" t="str">
            <v>L240702016</v>
          </cell>
          <cell r="G2473">
            <v>100</v>
          </cell>
          <cell r="H2473" t="str">
            <v>10X空转文库</v>
          </cell>
          <cell r="I2473" t="str">
            <v>XCL</v>
          </cell>
          <cell r="J2473">
            <v>36</v>
          </cell>
          <cell r="N2473" t="e">
            <v>#DIV/0!</v>
          </cell>
        </row>
        <row r="2474">
          <cell r="E2474" t="str">
            <v>HGC-Lib-2464375</v>
          </cell>
          <cell r="F2474" t="str">
            <v>HNT1</v>
          </cell>
          <cell r="G2474">
            <v>5</v>
          </cell>
          <cell r="H2474" t="str">
            <v>PCR产物文库</v>
          </cell>
          <cell r="I2474" t="str">
            <v>XCL</v>
          </cell>
          <cell r="J2474">
            <v>29</v>
          </cell>
          <cell r="K2474">
            <v>377</v>
          </cell>
          <cell r="L2474" t="str">
            <v>YHT</v>
          </cell>
          <cell r="M2474" t="str">
            <v>加水30ul</v>
          </cell>
          <cell r="N2474">
            <v>118.34319526627201</v>
          </cell>
        </row>
        <row r="2475">
          <cell r="E2475" t="str">
            <v>HGC-Lib-2464376</v>
          </cell>
          <cell r="F2475" t="str">
            <v>con1-Input</v>
          </cell>
          <cell r="G2475">
            <v>6</v>
          </cell>
          <cell r="H2475" t="str">
            <v>Chip-Seq</v>
          </cell>
          <cell r="I2475" t="str">
            <v>XCL</v>
          </cell>
          <cell r="J2475">
            <v>8.48</v>
          </cell>
          <cell r="K2475">
            <v>432</v>
          </cell>
          <cell r="L2475" t="str">
            <v>WH</v>
          </cell>
          <cell r="N2475">
            <v>30.1994301994302</v>
          </cell>
        </row>
        <row r="2476">
          <cell r="E2476" t="str">
            <v>HGC-Lib-2464377</v>
          </cell>
          <cell r="F2476" t="str">
            <v>con2-Input</v>
          </cell>
          <cell r="G2476">
            <v>6</v>
          </cell>
          <cell r="H2476" t="str">
            <v>Chip-Seq</v>
          </cell>
          <cell r="I2476" t="str">
            <v>XCL</v>
          </cell>
          <cell r="J2476">
            <v>7.74</v>
          </cell>
          <cell r="K2476">
            <v>402</v>
          </cell>
          <cell r="L2476" t="str">
            <v>WH</v>
          </cell>
          <cell r="N2476">
            <v>29.621125143513201</v>
          </cell>
        </row>
        <row r="2477">
          <cell r="E2477" t="str">
            <v>HGC-Lib-2464378</v>
          </cell>
          <cell r="F2477" t="str">
            <v>con3-Input</v>
          </cell>
          <cell r="G2477">
            <v>6</v>
          </cell>
          <cell r="H2477" t="str">
            <v>Chip-Seq</v>
          </cell>
          <cell r="I2477" t="str">
            <v>XCL</v>
          </cell>
          <cell r="J2477">
            <v>7.76</v>
          </cell>
          <cell r="K2477">
            <v>412</v>
          </cell>
          <cell r="L2477" t="str">
            <v>WH</v>
          </cell>
          <cell r="N2477">
            <v>28.976848394324101</v>
          </cell>
        </row>
        <row r="2478">
          <cell r="E2478" t="str">
            <v>HGC-Lib-2464379</v>
          </cell>
          <cell r="F2478" t="str">
            <v>cd1-Input</v>
          </cell>
          <cell r="G2478">
            <v>6</v>
          </cell>
          <cell r="H2478" t="str">
            <v>Chip-Seq</v>
          </cell>
          <cell r="I2478" t="str">
            <v>XCL</v>
          </cell>
          <cell r="J2478">
            <v>4.42</v>
          </cell>
          <cell r="K2478">
            <v>431</v>
          </cell>
          <cell r="L2478" t="str">
            <v>WH</v>
          </cell>
          <cell r="N2478">
            <v>15.7772621809745</v>
          </cell>
        </row>
        <row r="2479">
          <cell r="E2479" t="str">
            <v>HGC-Lib-2464380</v>
          </cell>
          <cell r="F2479" t="str">
            <v>cd2-Input</v>
          </cell>
          <cell r="G2479">
            <v>6</v>
          </cell>
          <cell r="H2479" t="str">
            <v>Chip-Seq</v>
          </cell>
          <cell r="I2479" t="str">
            <v>XCL</v>
          </cell>
          <cell r="J2479">
            <v>3.7</v>
          </cell>
          <cell r="K2479">
            <v>422</v>
          </cell>
          <cell r="L2479" t="str">
            <v>WH</v>
          </cell>
          <cell r="N2479">
            <v>13.488880787458999</v>
          </cell>
        </row>
        <row r="2480">
          <cell r="E2480" t="str">
            <v>HGC-Lib-2464381</v>
          </cell>
          <cell r="F2480" t="str">
            <v>cd3-Input</v>
          </cell>
          <cell r="G2480">
            <v>6</v>
          </cell>
          <cell r="H2480" t="str">
            <v>Chip-Seq</v>
          </cell>
          <cell r="I2480" t="str">
            <v>XCL</v>
          </cell>
          <cell r="J2480">
            <v>5.3</v>
          </cell>
          <cell r="K2480">
            <v>423</v>
          </cell>
          <cell r="L2480" t="str">
            <v>WH</v>
          </cell>
          <cell r="N2480">
            <v>19.276232042189498</v>
          </cell>
        </row>
        <row r="2481">
          <cell r="E2481" t="str">
            <v>HGC-Lib-2464382</v>
          </cell>
          <cell r="F2481" t="str">
            <v>m+cd1-Input</v>
          </cell>
          <cell r="G2481">
            <v>6</v>
          </cell>
          <cell r="H2481" t="str">
            <v>Chip-Seq</v>
          </cell>
          <cell r="I2481" t="str">
            <v>XCL</v>
          </cell>
          <cell r="J2481">
            <v>6.88</v>
          </cell>
          <cell r="K2481">
            <v>387</v>
          </cell>
          <cell r="L2481" t="str">
            <v>WH</v>
          </cell>
          <cell r="N2481">
            <v>27.350427350427399</v>
          </cell>
        </row>
        <row r="2482">
          <cell r="E2482" t="str">
            <v>HGC-Lib-2464383</v>
          </cell>
          <cell r="F2482" t="str">
            <v>m+cd2-Input</v>
          </cell>
          <cell r="G2482">
            <v>6</v>
          </cell>
          <cell r="H2482" t="str">
            <v>Chip-Seq</v>
          </cell>
          <cell r="I2482" t="str">
            <v>XCL</v>
          </cell>
          <cell r="J2482">
            <v>7.72</v>
          </cell>
          <cell r="K2482">
            <v>398</v>
          </cell>
          <cell r="L2482" t="str">
            <v>WH</v>
          </cell>
          <cell r="N2482">
            <v>29.841515268650902</v>
          </cell>
        </row>
        <row r="2483">
          <cell r="E2483" t="str">
            <v>HGC-Lib-2464384</v>
          </cell>
          <cell r="F2483" t="str">
            <v>m+cd3-Input</v>
          </cell>
          <cell r="G2483">
            <v>6</v>
          </cell>
          <cell r="H2483" t="str">
            <v>Chip-Seq</v>
          </cell>
          <cell r="I2483" t="str">
            <v>XCL</v>
          </cell>
          <cell r="J2483">
            <v>6.7</v>
          </cell>
          <cell r="K2483">
            <v>381</v>
          </cell>
          <cell r="L2483" t="str">
            <v>WH</v>
          </cell>
          <cell r="N2483">
            <v>27.0543105188775</v>
          </cell>
        </row>
        <row r="2484">
          <cell r="E2484" t="str">
            <v>HGC-Lib-2464385</v>
          </cell>
          <cell r="F2484" t="str">
            <v>con1-IP</v>
          </cell>
          <cell r="G2484">
            <v>6</v>
          </cell>
          <cell r="H2484" t="str">
            <v>Chip-Seq</v>
          </cell>
          <cell r="I2484" t="str">
            <v>XCL</v>
          </cell>
          <cell r="J2484">
            <v>2.02</v>
          </cell>
          <cell r="K2484">
            <v>430</v>
          </cell>
          <cell r="L2484" t="str">
            <v>WH</v>
          </cell>
          <cell r="N2484">
            <v>7.2271914132379296</v>
          </cell>
        </row>
        <row r="2485">
          <cell r="E2485" t="str">
            <v>HGC-Lib-2464386</v>
          </cell>
          <cell r="F2485" t="str">
            <v>con2-IP</v>
          </cell>
          <cell r="G2485">
            <v>6</v>
          </cell>
          <cell r="H2485" t="str">
            <v>Chip-Seq</v>
          </cell>
          <cell r="I2485" t="str">
            <v>XCL</v>
          </cell>
          <cell r="J2485">
            <v>2.96</v>
          </cell>
          <cell r="K2485">
            <v>404</v>
          </cell>
          <cell r="L2485" t="str">
            <v>WH</v>
          </cell>
          <cell r="N2485">
            <v>11.2718964204113</v>
          </cell>
        </row>
        <row r="2486">
          <cell r="E2486" t="str">
            <v>HGC-Lib-2464387</v>
          </cell>
          <cell r="F2486" t="str">
            <v>con3-IP</v>
          </cell>
          <cell r="G2486">
            <v>6</v>
          </cell>
          <cell r="H2486" t="str">
            <v>Chip-Seq</v>
          </cell>
          <cell r="I2486" t="str">
            <v>XCL</v>
          </cell>
          <cell r="J2486">
            <v>2.08</v>
          </cell>
          <cell r="K2486">
            <v>427</v>
          </cell>
          <cell r="L2486" t="str">
            <v>WH</v>
          </cell>
          <cell r="N2486">
            <v>7.4941451990632304</v>
          </cell>
        </row>
        <row r="2487">
          <cell r="E2487" t="str">
            <v>HGC-Lib-2464388</v>
          </cell>
          <cell r="F2487" t="str">
            <v>cd1-IP</v>
          </cell>
          <cell r="G2487">
            <v>6</v>
          </cell>
          <cell r="H2487" t="str">
            <v>Chip-Seq</v>
          </cell>
          <cell r="I2487" t="str">
            <v>XCL</v>
          </cell>
          <cell r="J2487">
            <v>1.31</v>
          </cell>
          <cell r="K2487">
            <v>439</v>
          </cell>
          <cell r="L2487" t="str">
            <v>WH</v>
          </cell>
          <cell r="N2487">
            <v>4.5908533380059602</v>
          </cell>
        </row>
        <row r="2488">
          <cell r="E2488" t="str">
            <v>HGC-Lib-2464389</v>
          </cell>
          <cell r="F2488" t="str">
            <v>cd2-IP</v>
          </cell>
          <cell r="G2488">
            <v>6</v>
          </cell>
          <cell r="H2488" t="str">
            <v>Chip-Seq</v>
          </cell>
          <cell r="I2488" t="str">
            <v>XCL</v>
          </cell>
          <cell r="J2488">
            <v>1.65</v>
          </cell>
          <cell r="K2488">
            <v>420</v>
          </cell>
          <cell r="L2488" t="str">
            <v>WH</v>
          </cell>
          <cell r="N2488">
            <v>6.0439560439560402</v>
          </cell>
        </row>
        <row r="2489">
          <cell r="E2489" t="str">
            <v>HGC-Lib-2464390</v>
          </cell>
          <cell r="F2489" t="str">
            <v>cd3-IP</v>
          </cell>
          <cell r="G2489">
            <v>6</v>
          </cell>
          <cell r="H2489" t="str">
            <v>Chip-Seq</v>
          </cell>
          <cell r="I2489" t="str">
            <v>XCL</v>
          </cell>
          <cell r="J2489">
            <v>2.1800000000000002</v>
          </cell>
          <cell r="K2489">
            <v>397</v>
          </cell>
          <cell r="L2489" t="str">
            <v>WH</v>
          </cell>
          <cell r="N2489">
            <v>8.4479751986049205</v>
          </cell>
        </row>
        <row r="2490">
          <cell r="E2490" t="str">
            <v>HGC-Lib-2464391</v>
          </cell>
          <cell r="F2490" t="str">
            <v>m+cd1-IP</v>
          </cell>
          <cell r="G2490">
            <v>6</v>
          </cell>
          <cell r="H2490" t="str">
            <v>Chip-Seq</v>
          </cell>
          <cell r="I2490" t="str">
            <v>XCL</v>
          </cell>
          <cell r="J2490">
            <v>1.92</v>
          </cell>
          <cell r="K2490">
            <v>391</v>
          </cell>
          <cell r="L2490" t="str">
            <v>WH</v>
          </cell>
          <cell r="N2490">
            <v>7.5545937438520596</v>
          </cell>
        </row>
        <row r="2491">
          <cell r="E2491" t="str">
            <v>HGC-Lib-2464392</v>
          </cell>
          <cell r="F2491" t="str">
            <v>m+cd2-IP</v>
          </cell>
          <cell r="G2491">
            <v>6</v>
          </cell>
          <cell r="H2491" t="str">
            <v>Chip-Seq</v>
          </cell>
          <cell r="I2491" t="str">
            <v>XCL</v>
          </cell>
          <cell r="J2491">
            <v>1.07</v>
          </cell>
          <cell r="K2491">
            <v>385</v>
          </cell>
          <cell r="L2491" t="str">
            <v>WH</v>
          </cell>
          <cell r="N2491">
            <v>4.2757242757242802</v>
          </cell>
        </row>
        <row r="2492">
          <cell r="E2492" t="str">
            <v>HGC-Lib-2464393</v>
          </cell>
          <cell r="F2492" t="str">
            <v>m+cd3-IP</v>
          </cell>
          <cell r="G2492">
            <v>6</v>
          </cell>
          <cell r="H2492" t="str">
            <v>Chip-Seq</v>
          </cell>
          <cell r="I2492" t="str">
            <v>XCL</v>
          </cell>
          <cell r="J2492">
            <v>2.44</v>
          </cell>
          <cell r="K2492">
            <v>412</v>
          </cell>
          <cell r="L2492" t="str">
            <v>WH</v>
          </cell>
          <cell r="N2492">
            <v>9.1112770724421193</v>
          </cell>
        </row>
        <row r="2493">
          <cell r="E2493" t="str">
            <v>HGC-Lib-2464394</v>
          </cell>
          <cell r="F2493" t="str">
            <v>Y1</v>
          </cell>
          <cell r="G2493">
            <v>6</v>
          </cell>
          <cell r="H2493" t="str">
            <v>ATAC-Seq文库</v>
          </cell>
          <cell r="I2493" t="str">
            <v>XCL</v>
          </cell>
          <cell r="J2493">
            <v>51.8</v>
          </cell>
          <cell r="K2493">
            <v>398</v>
          </cell>
          <cell r="L2493" t="str">
            <v>HZK</v>
          </cell>
          <cell r="N2493">
            <v>200.231928875145</v>
          </cell>
        </row>
        <row r="2494">
          <cell r="E2494" t="str">
            <v>HGC-Lib-2464395</v>
          </cell>
          <cell r="F2494" t="str">
            <v>Y2</v>
          </cell>
          <cell r="G2494">
            <v>6</v>
          </cell>
          <cell r="H2494" t="str">
            <v>ATAC-Seq文库</v>
          </cell>
          <cell r="I2494" t="str">
            <v>XCL</v>
          </cell>
          <cell r="J2494">
            <v>35.799999999999997</v>
          </cell>
          <cell r="K2494">
            <v>390</v>
          </cell>
          <cell r="L2494" t="str">
            <v>HZK</v>
          </cell>
          <cell r="N2494">
            <v>141.22287968441799</v>
          </cell>
        </row>
        <row r="2495">
          <cell r="E2495" t="str">
            <v>HGC-Lib-2464396</v>
          </cell>
          <cell r="F2495" t="str">
            <v>N1</v>
          </cell>
          <cell r="G2495">
            <v>6</v>
          </cell>
          <cell r="H2495" t="str">
            <v>ATAC-Seq文库</v>
          </cell>
          <cell r="I2495" t="str">
            <v>XCL</v>
          </cell>
          <cell r="J2495">
            <v>18.7</v>
          </cell>
          <cell r="K2495">
            <v>369</v>
          </cell>
          <cell r="L2495" t="str">
            <v>HZK</v>
          </cell>
          <cell r="N2495">
            <v>77.965395038565802</v>
          </cell>
        </row>
        <row r="2496">
          <cell r="E2496" t="str">
            <v>HGC-Lib-2464397</v>
          </cell>
          <cell r="F2496" t="str">
            <v>N2</v>
          </cell>
          <cell r="G2496">
            <v>6</v>
          </cell>
          <cell r="H2496" t="str">
            <v>ATAC-Seq文库</v>
          </cell>
          <cell r="I2496" t="str">
            <v>XCL</v>
          </cell>
          <cell r="J2496">
            <v>11.8</v>
          </cell>
          <cell r="K2496">
            <v>337</v>
          </cell>
          <cell r="L2496" t="str">
            <v>HZK</v>
          </cell>
          <cell r="N2496">
            <v>53.868979685003403</v>
          </cell>
        </row>
        <row r="2497">
          <cell r="E2497" t="str">
            <v>HGC-Lib-2464398</v>
          </cell>
          <cell r="F2497" t="str">
            <v>19-2R</v>
          </cell>
          <cell r="G2497">
            <v>6</v>
          </cell>
          <cell r="H2497" t="str">
            <v>mRNA文库</v>
          </cell>
          <cell r="I2497" t="str">
            <v>XCL</v>
          </cell>
          <cell r="J2497">
            <v>85.8</v>
          </cell>
          <cell r="K2497">
            <v>392</v>
          </cell>
          <cell r="L2497" t="str">
            <v>HZK</v>
          </cell>
          <cell r="N2497">
            <v>336.73469387755102</v>
          </cell>
        </row>
        <row r="2498">
          <cell r="E2498" t="str">
            <v>HGC-Lib-2464399</v>
          </cell>
          <cell r="F2498" t="str">
            <v>19-5R</v>
          </cell>
          <cell r="G2498">
            <v>6</v>
          </cell>
          <cell r="H2498" t="str">
            <v>mRNA文库</v>
          </cell>
          <cell r="I2498" t="str">
            <v>XCL</v>
          </cell>
          <cell r="J2498">
            <v>58.4</v>
          </cell>
          <cell r="K2498">
            <v>413</v>
          </cell>
          <cell r="L2498" t="str">
            <v>HZK</v>
          </cell>
          <cell r="M2498" t="str">
            <v>加水30ul</v>
          </cell>
          <cell r="N2498">
            <v>217.54516669770899</v>
          </cell>
        </row>
        <row r="2499">
          <cell r="E2499" t="str">
            <v>HGC-Lib-2464400</v>
          </cell>
          <cell r="F2499" t="str">
            <v>CD2-2R</v>
          </cell>
          <cell r="G2499">
            <v>6</v>
          </cell>
          <cell r="H2499" t="str">
            <v>mRNA文库</v>
          </cell>
          <cell r="I2499" t="str">
            <v>XCL</v>
          </cell>
          <cell r="J2499">
            <v>65.400000000000006</v>
          </cell>
          <cell r="K2499">
            <v>374</v>
          </cell>
          <cell r="L2499" t="str">
            <v>HZK</v>
          </cell>
          <cell r="N2499">
            <v>269.025092554504</v>
          </cell>
        </row>
        <row r="2500">
          <cell r="E2500" t="str">
            <v>HGC-Lib-2464401</v>
          </cell>
          <cell r="F2500" t="str">
            <v>CD2-5R</v>
          </cell>
          <cell r="G2500">
            <v>6</v>
          </cell>
          <cell r="H2500" t="str">
            <v>mRNA文库</v>
          </cell>
          <cell r="I2500" t="str">
            <v>XCL</v>
          </cell>
          <cell r="J2500">
            <v>66.599999999999994</v>
          </cell>
          <cell r="K2500">
            <v>406</v>
          </cell>
          <cell r="L2500" t="str">
            <v>HZK</v>
          </cell>
          <cell r="N2500">
            <v>252.36832133383899</v>
          </cell>
        </row>
        <row r="2501">
          <cell r="E2501" t="str">
            <v>HGC-Lib-2464402</v>
          </cell>
          <cell r="F2501" t="str">
            <v>AM3N706</v>
          </cell>
          <cell r="G2501">
            <v>100</v>
          </cell>
          <cell r="H2501" t="str">
            <v>10× 3'单细胞</v>
          </cell>
          <cell r="I2501" t="str">
            <v>XCL</v>
          </cell>
          <cell r="J2501">
            <v>41.8</v>
          </cell>
          <cell r="N2501" t="e">
            <v>#DIV/0!</v>
          </cell>
        </row>
        <row r="2502">
          <cell r="E2502" t="str">
            <v>HGC-Lib-2464403</v>
          </cell>
          <cell r="F2502" t="str">
            <v>AM3N707</v>
          </cell>
          <cell r="G2502">
            <v>100</v>
          </cell>
          <cell r="H2502" t="str">
            <v>10× 3'单细胞</v>
          </cell>
          <cell r="I2502" t="str">
            <v>HZK</v>
          </cell>
          <cell r="J2502">
            <v>58.2</v>
          </cell>
          <cell r="N2502" t="e">
            <v>#DIV/0!</v>
          </cell>
        </row>
        <row r="2503">
          <cell r="E2503" t="str">
            <v>HGC-Lib-2464404</v>
          </cell>
          <cell r="F2503" t="str">
            <v>AM3N708</v>
          </cell>
          <cell r="G2503">
            <v>100</v>
          </cell>
          <cell r="H2503" t="str">
            <v>10× 3'单细胞</v>
          </cell>
          <cell r="I2503" t="str">
            <v>HZK</v>
          </cell>
          <cell r="J2503">
            <v>43.2</v>
          </cell>
          <cell r="N2503" t="e">
            <v>#DIV/0!</v>
          </cell>
        </row>
        <row r="2504">
          <cell r="E2504" t="str">
            <v>HGC-Lib-2464405</v>
          </cell>
          <cell r="F2504" t="str">
            <v>AM3G86</v>
          </cell>
          <cell r="G2504">
            <v>100</v>
          </cell>
          <cell r="H2504" t="str">
            <v>10× 3'单细胞</v>
          </cell>
          <cell r="I2504" t="str">
            <v>HZK</v>
          </cell>
          <cell r="J2504">
            <v>60</v>
          </cell>
          <cell r="N2504" t="e">
            <v>#DIV/0!</v>
          </cell>
        </row>
        <row r="2505">
          <cell r="E2505" t="str">
            <v>HGC-Lib-2464406</v>
          </cell>
          <cell r="F2505" t="str">
            <v>AM3G87</v>
          </cell>
          <cell r="G2505">
            <v>100</v>
          </cell>
          <cell r="H2505" t="str">
            <v>10× 3'单细胞</v>
          </cell>
          <cell r="I2505" t="str">
            <v>HZK</v>
          </cell>
          <cell r="J2505">
            <v>27.8</v>
          </cell>
          <cell r="N2505" t="e">
            <v>#DIV/0!</v>
          </cell>
        </row>
        <row r="2506">
          <cell r="E2506" t="str">
            <v>HGC-Lib-2464407</v>
          </cell>
          <cell r="F2506" t="str">
            <v>AM3G88</v>
          </cell>
          <cell r="G2506">
            <v>100</v>
          </cell>
          <cell r="H2506" t="str">
            <v>10× 3'单细胞</v>
          </cell>
          <cell r="I2506" t="str">
            <v>HZK</v>
          </cell>
          <cell r="J2506">
            <v>60.2</v>
          </cell>
          <cell r="N2506" t="e">
            <v>#DIV/0!</v>
          </cell>
        </row>
        <row r="2507">
          <cell r="E2507" t="str">
            <v>HGC-Lib-2464408</v>
          </cell>
          <cell r="F2507" t="str">
            <v>AM3G712</v>
          </cell>
          <cell r="G2507">
            <v>100</v>
          </cell>
          <cell r="H2507" t="str">
            <v>10× 3'单细胞</v>
          </cell>
          <cell r="I2507" t="str">
            <v>HZK</v>
          </cell>
          <cell r="J2507">
            <v>53.4</v>
          </cell>
          <cell r="N2507" t="e">
            <v>#DIV/0!</v>
          </cell>
        </row>
        <row r="2508">
          <cell r="E2508" t="str">
            <v>HGC-Lib-2464409</v>
          </cell>
          <cell r="F2508" t="str">
            <v>AM3G713</v>
          </cell>
          <cell r="G2508">
            <v>100</v>
          </cell>
          <cell r="H2508" t="str">
            <v>10× 3'单细胞</v>
          </cell>
          <cell r="I2508" t="str">
            <v>HZK</v>
          </cell>
          <cell r="J2508">
            <v>58</v>
          </cell>
          <cell r="N2508" t="e">
            <v>#DIV/0!</v>
          </cell>
        </row>
        <row r="2509">
          <cell r="E2509" t="str">
            <v>HGC-Lib-2464410</v>
          </cell>
          <cell r="F2509" t="str">
            <v>AM3G714</v>
          </cell>
          <cell r="G2509">
            <v>100</v>
          </cell>
          <cell r="H2509" t="str">
            <v>10× 3'单细胞</v>
          </cell>
          <cell r="I2509" t="str">
            <v>HZK</v>
          </cell>
          <cell r="J2509">
            <v>58.2</v>
          </cell>
          <cell r="N2509" t="e">
            <v>#DIV/0!</v>
          </cell>
        </row>
        <row r="2510">
          <cell r="E2510" t="str">
            <v>HGC-Lib-2464411</v>
          </cell>
          <cell r="F2510" t="str">
            <v>AM3G815</v>
          </cell>
          <cell r="G2510">
            <v>100</v>
          </cell>
          <cell r="H2510" t="str">
            <v>10× 3'单细胞</v>
          </cell>
          <cell r="I2510" t="str">
            <v>HZK</v>
          </cell>
          <cell r="J2510">
            <v>19.7</v>
          </cell>
          <cell r="N2510" t="e">
            <v>#DIV/0!</v>
          </cell>
        </row>
        <row r="2511">
          <cell r="E2511" t="str">
            <v>HGC-Lib-2464412</v>
          </cell>
          <cell r="F2511" t="str">
            <v>AM3G816</v>
          </cell>
          <cell r="G2511">
            <v>100</v>
          </cell>
          <cell r="H2511" t="str">
            <v>10× 3'单细胞</v>
          </cell>
          <cell r="I2511" t="str">
            <v>HZK</v>
          </cell>
          <cell r="J2511">
            <v>21.2</v>
          </cell>
          <cell r="N2511" t="e">
            <v>#DIV/0!</v>
          </cell>
        </row>
        <row r="2512">
          <cell r="E2512" t="str">
            <v>HGC-Lib-2464413</v>
          </cell>
          <cell r="F2512" t="str">
            <v>AM3G821</v>
          </cell>
          <cell r="G2512">
            <v>100</v>
          </cell>
          <cell r="H2512" t="str">
            <v>10× 3'单细胞</v>
          </cell>
          <cell r="I2512" t="str">
            <v>HZK</v>
          </cell>
          <cell r="J2512">
            <v>40.6</v>
          </cell>
          <cell r="N2512" t="e">
            <v>#DIV/0!</v>
          </cell>
        </row>
        <row r="2513">
          <cell r="E2513" t="str">
            <v>HGC-Lib-2464414</v>
          </cell>
          <cell r="F2513" t="str">
            <v>AM3G852</v>
          </cell>
          <cell r="G2513">
            <v>100</v>
          </cell>
          <cell r="H2513" t="str">
            <v>10× 3'单细胞</v>
          </cell>
          <cell r="I2513" t="str">
            <v>HZK</v>
          </cell>
          <cell r="J2513">
            <v>35.799999999999997</v>
          </cell>
          <cell r="N2513" t="e">
            <v>#DIV/0!</v>
          </cell>
        </row>
        <row r="2514">
          <cell r="E2514" t="str">
            <v>HGC-Lib-2464415</v>
          </cell>
          <cell r="F2514" t="str">
            <v>AM3G853</v>
          </cell>
          <cell r="G2514">
            <v>100</v>
          </cell>
          <cell r="H2514" t="str">
            <v>10× 3'单细胞</v>
          </cell>
          <cell r="I2514" t="str">
            <v>HZK</v>
          </cell>
          <cell r="J2514">
            <v>37.6</v>
          </cell>
          <cell r="N2514" t="e">
            <v>#DIV/0!</v>
          </cell>
        </row>
        <row r="2515">
          <cell r="E2515" t="str">
            <v>HGC-Lib-2464416</v>
          </cell>
          <cell r="F2515" t="str">
            <v>AM3G855</v>
          </cell>
          <cell r="G2515">
            <v>100</v>
          </cell>
          <cell r="H2515" t="str">
            <v>10× 3'单细胞</v>
          </cell>
          <cell r="I2515" t="str">
            <v>HZK</v>
          </cell>
          <cell r="J2515">
            <v>22.4</v>
          </cell>
          <cell r="N2515" t="e">
            <v>#DIV/0!</v>
          </cell>
        </row>
        <row r="2516">
          <cell r="E2516" t="str">
            <v>HGC-Lib-2464417</v>
          </cell>
          <cell r="F2516" t="str">
            <v>AM3G856</v>
          </cell>
          <cell r="G2516">
            <v>100</v>
          </cell>
          <cell r="H2516" t="str">
            <v>10× 3'单细胞</v>
          </cell>
          <cell r="I2516" t="str">
            <v>HZK</v>
          </cell>
          <cell r="J2516">
            <v>25.6</v>
          </cell>
          <cell r="N2516" t="e">
            <v>#DIV/0!</v>
          </cell>
        </row>
        <row r="2517">
          <cell r="E2517" t="str">
            <v>HGC-Lib-2464418</v>
          </cell>
          <cell r="F2517" t="str">
            <v>AM3G857</v>
          </cell>
          <cell r="G2517">
            <v>100</v>
          </cell>
          <cell r="H2517" t="str">
            <v>10× 3'单细胞</v>
          </cell>
          <cell r="I2517" t="str">
            <v>HZK</v>
          </cell>
          <cell r="J2517">
            <v>36.4</v>
          </cell>
          <cell r="N2517" t="e">
            <v>#DIV/0!</v>
          </cell>
        </row>
        <row r="2518">
          <cell r="E2518" t="str">
            <v>HGC-Lib-2464419</v>
          </cell>
          <cell r="F2518" t="str">
            <v>AM3G858</v>
          </cell>
          <cell r="G2518">
            <v>100</v>
          </cell>
          <cell r="H2518" t="str">
            <v>10× 3'单细胞</v>
          </cell>
          <cell r="I2518" t="str">
            <v>HZK</v>
          </cell>
          <cell r="J2518">
            <v>29</v>
          </cell>
          <cell r="N2518" t="e">
            <v>#DIV/0!</v>
          </cell>
        </row>
        <row r="2519">
          <cell r="E2519" t="str">
            <v>HGC-Lib-2464420</v>
          </cell>
          <cell r="F2519" t="str">
            <v>AM3G861</v>
          </cell>
          <cell r="G2519">
            <v>100</v>
          </cell>
          <cell r="H2519" t="str">
            <v>10× 3'单细胞</v>
          </cell>
          <cell r="I2519" t="str">
            <v>HZK</v>
          </cell>
          <cell r="J2519">
            <v>29.6</v>
          </cell>
          <cell r="N2519" t="e">
            <v>#DIV/0!</v>
          </cell>
        </row>
        <row r="2520">
          <cell r="E2520" t="str">
            <v>HGC-Lib-2464421</v>
          </cell>
          <cell r="F2520" t="str">
            <v>AM3G862</v>
          </cell>
          <cell r="G2520">
            <v>100</v>
          </cell>
          <cell r="H2520" t="str">
            <v>10× 3'单细胞</v>
          </cell>
          <cell r="I2520" t="str">
            <v>HZK</v>
          </cell>
          <cell r="J2520">
            <v>33</v>
          </cell>
          <cell r="N2520" t="e">
            <v>#DIV/0!</v>
          </cell>
        </row>
        <row r="2521">
          <cell r="E2521" t="str">
            <v>HGC-Lib-2464422</v>
          </cell>
          <cell r="F2521" t="str">
            <v>LHB-240703P8L1</v>
          </cell>
          <cell r="G2521">
            <v>100</v>
          </cell>
          <cell r="H2521" t="str">
            <v>10× 3'单细胞</v>
          </cell>
          <cell r="I2521" t="str">
            <v>HZK</v>
          </cell>
          <cell r="J2521">
            <v>24</v>
          </cell>
          <cell r="K2521">
            <v>530</v>
          </cell>
          <cell r="L2521" t="str">
            <v>HZK</v>
          </cell>
          <cell r="N2521">
            <v>69.666182873729994</v>
          </cell>
        </row>
        <row r="2522">
          <cell r="E2522" t="str">
            <v>HGC-Lib-2464423</v>
          </cell>
          <cell r="F2522" t="str">
            <v>LHB-240703P8L2</v>
          </cell>
          <cell r="G2522">
            <v>100</v>
          </cell>
          <cell r="H2522" t="str">
            <v>10× 3'单细胞</v>
          </cell>
          <cell r="I2522" t="str">
            <v>HZK</v>
          </cell>
          <cell r="J2522">
            <v>44.4</v>
          </cell>
          <cell r="K2522">
            <v>532</v>
          </cell>
          <cell r="L2522" t="str">
            <v>HZK</v>
          </cell>
          <cell r="N2522">
            <v>128.397917871602</v>
          </cell>
        </row>
        <row r="2523">
          <cell r="E2523" t="str">
            <v>HGC-Lib-2464424</v>
          </cell>
          <cell r="F2523" t="str">
            <v>S24071101Ca</v>
          </cell>
          <cell r="G2523">
            <v>100</v>
          </cell>
          <cell r="H2523" t="str">
            <v>10× 3'单细胞</v>
          </cell>
          <cell r="I2523" t="str">
            <v>HZK</v>
          </cell>
          <cell r="J2523">
            <v>48.4</v>
          </cell>
          <cell r="K2523">
            <v>530</v>
          </cell>
          <cell r="L2523" t="str">
            <v>HZK</v>
          </cell>
          <cell r="N2523">
            <v>140.49346879535599</v>
          </cell>
        </row>
        <row r="2524">
          <cell r="E2524" t="str">
            <v>HGC-Lib-2464425</v>
          </cell>
          <cell r="F2524" t="str">
            <v>S24071101GZ</v>
          </cell>
          <cell r="G2524">
            <v>100</v>
          </cell>
          <cell r="H2524" t="str">
            <v>10× 3'单细胞</v>
          </cell>
          <cell r="I2524" t="str">
            <v>HZK</v>
          </cell>
          <cell r="J2524">
            <v>52.2</v>
          </cell>
          <cell r="K2524">
            <v>521</v>
          </cell>
          <cell r="L2524" t="str">
            <v>HZK</v>
          </cell>
          <cell r="N2524">
            <v>154.14144396869901</v>
          </cell>
        </row>
        <row r="2525">
          <cell r="E2525" t="str">
            <v>HGC-Lib-2464426</v>
          </cell>
          <cell r="F2525" t="str">
            <v>IR</v>
          </cell>
          <cell r="G2525">
            <v>100</v>
          </cell>
          <cell r="H2525" t="str">
            <v>10× 3'单细胞</v>
          </cell>
          <cell r="I2525" t="str">
            <v>HZK</v>
          </cell>
          <cell r="J2525">
            <v>41.4</v>
          </cell>
          <cell r="K2525">
            <v>545</v>
          </cell>
          <cell r="L2525" t="str">
            <v>HZK</v>
          </cell>
          <cell r="N2525">
            <v>116.86661961891301</v>
          </cell>
        </row>
        <row r="2526">
          <cell r="E2526" t="str">
            <v>HGC-Lib-2464427</v>
          </cell>
          <cell r="F2526" t="str">
            <v>IR+TPN</v>
          </cell>
          <cell r="G2526">
            <v>100</v>
          </cell>
          <cell r="H2526" t="str">
            <v>10× 3'单细胞</v>
          </cell>
          <cell r="I2526" t="str">
            <v>HZK</v>
          </cell>
          <cell r="J2526">
            <v>34.799999999999997</v>
          </cell>
          <cell r="K2526">
            <v>543</v>
          </cell>
          <cell r="L2526" t="str">
            <v>HZK</v>
          </cell>
          <cell r="N2526">
            <v>98.597535061623503</v>
          </cell>
        </row>
        <row r="2527">
          <cell r="E2527" t="str">
            <v>HGC-Lib-2464428</v>
          </cell>
          <cell r="F2527" t="str">
            <v>GFP</v>
          </cell>
          <cell r="G2527">
            <v>100</v>
          </cell>
          <cell r="H2527" t="str">
            <v>10× 3'单细胞</v>
          </cell>
          <cell r="I2527" t="str">
            <v>HZK</v>
          </cell>
          <cell r="J2527">
            <v>22.6</v>
          </cell>
          <cell r="K2527">
            <v>529</v>
          </cell>
          <cell r="L2527" t="str">
            <v>HZK</v>
          </cell>
          <cell r="N2527">
            <v>65.726334157336098</v>
          </cell>
        </row>
        <row r="2528">
          <cell r="E2528" t="str">
            <v>HGC-Lib-2464429</v>
          </cell>
          <cell r="F2528" t="str">
            <v>PV-WQY-C</v>
          </cell>
          <cell r="G2528">
            <v>100</v>
          </cell>
          <cell r="H2528" t="str">
            <v>10x 5'单细胞</v>
          </cell>
          <cell r="I2528" t="str">
            <v>HZK</v>
          </cell>
          <cell r="J2528">
            <v>73.8</v>
          </cell>
          <cell r="K2528">
            <v>485</v>
          </cell>
          <cell r="L2528" t="str">
            <v>HZK</v>
          </cell>
          <cell r="N2528">
            <v>234.09992069785901</v>
          </cell>
        </row>
        <row r="2529">
          <cell r="E2529" t="str">
            <v>HGC-Lib-2464430</v>
          </cell>
          <cell r="F2529" t="str">
            <v>PV-WQY-P</v>
          </cell>
          <cell r="G2529">
            <v>100</v>
          </cell>
          <cell r="H2529" t="str">
            <v>10x 5'单细胞</v>
          </cell>
          <cell r="I2529" t="str">
            <v>HZK</v>
          </cell>
          <cell r="J2529">
            <v>36.6</v>
          </cell>
          <cell r="K2529">
            <v>498</v>
          </cell>
          <cell r="L2529" t="str">
            <v>HZK</v>
          </cell>
          <cell r="N2529">
            <v>113.06765523633</v>
          </cell>
        </row>
        <row r="2530">
          <cell r="E2530" t="str">
            <v>HGC-Lib-2464431</v>
          </cell>
          <cell r="F2530" t="str">
            <v>LDY20240723</v>
          </cell>
          <cell r="G2530">
            <v>100</v>
          </cell>
          <cell r="H2530" t="str">
            <v>10x 5'单细胞</v>
          </cell>
          <cell r="I2530" t="str">
            <v>HZK</v>
          </cell>
          <cell r="J2530">
            <v>33</v>
          </cell>
          <cell r="K2530">
            <v>518</v>
          </cell>
          <cell r="L2530" t="str">
            <v>HZK</v>
          </cell>
          <cell r="N2530">
            <v>98.010098010098005</v>
          </cell>
        </row>
        <row r="2531">
          <cell r="E2531" t="str">
            <v>HGC-Lib-2464432</v>
          </cell>
          <cell r="F2531" t="str">
            <v>P6-Blood</v>
          </cell>
          <cell r="G2531">
            <v>65</v>
          </cell>
          <cell r="H2531" t="str">
            <v>10x 5'单细胞</v>
          </cell>
          <cell r="I2531" t="str">
            <v>HZK</v>
          </cell>
          <cell r="J2531">
            <v>44.6</v>
          </cell>
          <cell r="K2531">
            <v>537</v>
          </cell>
          <cell r="L2531" t="str">
            <v>HZK</v>
          </cell>
          <cell r="N2531">
            <v>127.775390345223</v>
          </cell>
        </row>
        <row r="2532">
          <cell r="E2532" t="str">
            <v>HGC-Lib-2464433</v>
          </cell>
          <cell r="F2532" t="str">
            <v>P6-T</v>
          </cell>
          <cell r="G2532">
            <v>65</v>
          </cell>
          <cell r="H2532" t="str">
            <v>10x 5'单细胞</v>
          </cell>
          <cell r="I2532" t="str">
            <v>HZK</v>
          </cell>
          <cell r="J2532">
            <v>49.4</v>
          </cell>
          <cell r="K2532">
            <v>514</v>
          </cell>
          <cell r="L2532" t="str">
            <v>HZK</v>
          </cell>
          <cell r="N2532">
            <v>147.859922178988</v>
          </cell>
        </row>
        <row r="2533">
          <cell r="E2533" t="str">
            <v>HGC-Lib-2464434</v>
          </cell>
          <cell r="F2533" t="str">
            <v>A-PBS</v>
          </cell>
          <cell r="G2533">
            <v>100</v>
          </cell>
          <cell r="H2533" t="str">
            <v>10x 5'单细胞</v>
          </cell>
          <cell r="I2533" t="str">
            <v>HZK</v>
          </cell>
          <cell r="J2533">
            <v>50.6</v>
          </cell>
          <cell r="K2533">
            <v>499</v>
          </cell>
          <cell r="L2533" t="str">
            <v>HZK</v>
          </cell>
          <cell r="N2533">
            <v>156.00431632495801</v>
          </cell>
        </row>
        <row r="2534">
          <cell r="E2534" t="str">
            <v>HGC-Lib-2464435</v>
          </cell>
          <cell r="F2534" t="str">
            <v>B-NC</v>
          </cell>
          <cell r="G2534">
            <v>100</v>
          </cell>
          <cell r="H2534" t="str">
            <v>10x 5'单细胞</v>
          </cell>
          <cell r="I2534" t="str">
            <v>HZK</v>
          </cell>
          <cell r="J2534">
            <v>76.400000000000006</v>
          </cell>
          <cell r="K2534">
            <v>484</v>
          </cell>
          <cell r="L2534" t="str">
            <v>HZK</v>
          </cell>
          <cell r="N2534">
            <v>242.84806102987901</v>
          </cell>
        </row>
        <row r="2535">
          <cell r="E2535" t="str">
            <v>HGC-Lib-2464436</v>
          </cell>
          <cell r="F2535" t="str">
            <v>C-HR-M</v>
          </cell>
          <cell r="G2535">
            <v>100</v>
          </cell>
          <cell r="H2535" t="str">
            <v>10x 5'单细胞</v>
          </cell>
          <cell r="I2535" t="str">
            <v>HZK</v>
          </cell>
          <cell r="J2535">
            <v>67.8</v>
          </cell>
          <cell r="K2535">
            <v>502</v>
          </cell>
          <cell r="L2535" t="str">
            <v>HZK</v>
          </cell>
          <cell r="N2535">
            <v>207.78424762488501</v>
          </cell>
        </row>
        <row r="2536">
          <cell r="E2536" t="str">
            <v>HGC-Lib-2464437</v>
          </cell>
          <cell r="F2536" t="str">
            <v>PV-WQY-C-TCR</v>
          </cell>
          <cell r="G2536">
            <v>10</v>
          </cell>
          <cell r="H2536" t="str">
            <v>10x 5'单细胞</v>
          </cell>
          <cell r="I2536" t="str">
            <v>HZK</v>
          </cell>
          <cell r="J2536">
            <v>55.2</v>
          </cell>
          <cell r="K2536">
            <v>633</v>
          </cell>
          <cell r="L2536" t="str">
            <v>HZK</v>
          </cell>
          <cell r="N2536">
            <v>134.159679183376</v>
          </cell>
        </row>
        <row r="2537">
          <cell r="E2537" t="str">
            <v>HGC-Lib-2464438</v>
          </cell>
          <cell r="F2537" t="str">
            <v>PV-WQY-P-TCR</v>
          </cell>
          <cell r="G2537">
            <v>10</v>
          </cell>
          <cell r="H2537" t="str">
            <v>10x 5'单细胞</v>
          </cell>
          <cell r="I2537" t="str">
            <v>HZK</v>
          </cell>
          <cell r="J2537">
            <v>57.4</v>
          </cell>
          <cell r="K2537">
            <v>594</v>
          </cell>
          <cell r="L2537" t="str">
            <v>HZK</v>
          </cell>
          <cell r="N2537">
            <v>148.66614866614901</v>
          </cell>
        </row>
        <row r="2538">
          <cell r="E2538" t="str">
            <v>HGC-Lib-2464439</v>
          </cell>
          <cell r="F2538" t="str">
            <v>PV-WQY-C-BCR</v>
          </cell>
          <cell r="G2538">
            <v>10</v>
          </cell>
          <cell r="H2538" t="str">
            <v>10x 5'单细胞</v>
          </cell>
          <cell r="I2538" t="str">
            <v>HZK</v>
          </cell>
          <cell r="J2538">
            <v>22.2</v>
          </cell>
          <cell r="K2538">
            <v>635</v>
          </cell>
          <cell r="L2538" t="str">
            <v>HZK</v>
          </cell>
          <cell r="N2538">
            <v>53.785584494245903</v>
          </cell>
        </row>
        <row r="2539">
          <cell r="E2539" t="str">
            <v>HGC-Lib-2464440</v>
          </cell>
          <cell r="F2539" t="str">
            <v>PV-WQY-P-BCR</v>
          </cell>
          <cell r="G2539">
            <v>10</v>
          </cell>
          <cell r="H2539" t="str">
            <v>10x 5'单细胞</v>
          </cell>
          <cell r="I2539" t="str">
            <v>HZK</v>
          </cell>
          <cell r="J2539">
            <v>39.200000000000003</v>
          </cell>
          <cell r="K2539">
            <v>612</v>
          </cell>
          <cell r="L2539" t="str">
            <v>HZK</v>
          </cell>
          <cell r="N2539">
            <v>98.541980894922105</v>
          </cell>
        </row>
        <row r="2540">
          <cell r="E2540" t="str">
            <v>HGC-Lib-2464441</v>
          </cell>
          <cell r="F2540" t="str">
            <v>A-PBS-TCR</v>
          </cell>
          <cell r="G2540">
            <v>10</v>
          </cell>
          <cell r="H2540" t="str">
            <v>10x 5'单细胞</v>
          </cell>
          <cell r="I2540" t="str">
            <v>HZK</v>
          </cell>
          <cell r="J2540">
            <v>46.2</v>
          </cell>
          <cell r="K2540">
            <v>630</v>
          </cell>
          <cell r="L2540" t="str">
            <v>HZK</v>
          </cell>
          <cell r="N2540">
            <v>112.820512820513</v>
          </cell>
        </row>
        <row r="2541">
          <cell r="E2541" t="str">
            <v>HGC-Lib-2464442</v>
          </cell>
          <cell r="F2541" t="str">
            <v>B-NC-TCR</v>
          </cell>
          <cell r="G2541">
            <v>10</v>
          </cell>
          <cell r="H2541" t="str">
            <v>10x 5'单细胞</v>
          </cell>
          <cell r="I2541" t="str">
            <v>HZK</v>
          </cell>
          <cell r="J2541">
            <v>42.2</v>
          </cell>
          <cell r="K2541">
            <v>627</v>
          </cell>
          <cell r="L2541" t="str">
            <v>HZK</v>
          </cell>
          <cell r="N2541">
            <v>103.54557722978799</v>
          </cell>
        </row>
        <row r="2542">
          <cell r="E2542" t="str">
            <v>HGC-Lib-2464443</v>
          </cell>
          <cell r="F2542" t="str">
            <v>C-HR-M-TCR</v>
          </cell>
          <cell r="G2542">
            <v>10</v>
          </cell>
          <cell r="H2542" t="str">
            <v>10x 5'单细胞</v>
          </cell>
          <cell r="I2542" t="str">
            <v>HZK</v>
          </cell>
          <cell r="J2542">
            <v>43.2</v>
          </cell>
          <cell r="K2542">
            <v>614</v>
          </cell>
          <cell r="L2542" t="str">
            <v>HZK</v>
          </cell>
          <cell r="N2542">
            <v>108.243547982962</v>
          </cell>
        </row>
        <row r="2543">
          <cell r="E2543" t="str">
            <v>HGC-Lib-2464444</v>
          </cell>
          <cell r="F2543" t="str">
            <v>A-PBS-BCR</v>
          </cell>
          <cell r="G2543">
            <v>10</v>
          </cell>
          <cell r="H2543" t="str">
            <v>10x 5'单细胞</v>
          </cell>
          <cell r="I2543" t="str">
            <v>HZK</v>
          </cell>
          <cell r="J2543">
            <v>14.5</v>
          </cell>
          <cell r="K2543">
            <v>631</v>
          </cell>
          <cell r="L2543" t="str">
            <v>HZK</v>
          </cell>
          <cell r="N2543">
            <v>35.352919663537698</v>
          </cell>
        </row>
        <row r="2544">
          <cell r="E2544" t="str">
            <v>HGC-Lib-2464445</v>
          </cell>
          <cell r="F2544" t="str">
            <v>B-NC-BCR</v>
          </cell>
          <cell r="G2544">
            <v>10</v>
          </cell>
          <cell r="H2544" t="str">
            <v>10x 5'单细胞</v>
          </cell>
          <cell r="I2544" t="str">
            <v>HZK</v>
          </cell>
          <cell r="J2544">
            <v>14.2</v>
          </cell>
          <cell r="K2544">
            <v>642</v>
          </cell>
          <cell r="L2544" t="str">
            <v>HZK</v>
          </cell>
          <cell r="N2544">
            <v>34.028277018931199</v>
          </cell>
        </row>
        <row r="2545">
          <cell r="E2545" t="str">
            <v>HGC-Lib-2464446</v>
          </cell>
          <cell r="F2545" t="str">
            <v>C-HR-M-BCR</v>
          </cell>
          <cell r="G2545">
            <v>10</v>
          </cell>
          <cell r="H2545" t="str">
            <v>10x 5'单细胞</v>
          </cell>
          <cell r="I2545" t="str">
            <v>HZK</v>
          </cell>
          <cell r="J2545">
            <v>22.8</v>
          </cell>
          <cell r="K2545">
            <v>636</v>
          </cell>
          <cell r="L2545" t="str">
            <v>HZK</v>
          </cell>
          <cell r="N2545">
            <v>55.152394775036299</v>
          </cell>
        </row>
        <row r="2546">
          <cell r="E2546" t="str">
            <v>HGC-Lib-2464447</v>
          </cell>
          <cell r="F2546" t="str">
            <v>P6-Blood-TCR</v>
          </cell>
          <cell r="G2546">
            <v>10</v>
          </cell>
          <cell r="H2546" t="str">
            <v>10x 5'单细胞</v>
          </cell>
          <cell r="I2546" t="str">
            <v>HZK</v>
          </cell>
          <cell r="J2546">
            <v>66.8</v>
          </cell>
          <cell r="K2546">
            <v>589</v>
          </cell>
          <cell r="L2546" t="str">
            <v>HZK</v>
          </cell>
          <cell r="N2546">
            <v>174.48086718035799</v>
          </cell>
        </row>
        <row r="2547">
          <cell r="E2547" t="str">
            <v>HGC-Lib-2464448</v>
          </cell>
          <cell r="F2547" t="str">
            <v>P6-T-TCR</v>
          </cell>
          <cell r="G2547">
            <v>10</v>
          </cell>
          <cell r="H2547" t="str">
            <v>10x 5'单细胞</v>
          </cell>
          <cell r="I2547" t="str">
            <v>HZK</v>
          </cell>
          <cell r="J2547">
            <v>41.8</v>
          </cell>
          <cell r="K2547">
            <v>624</v>
          </cell>
          <cell r="L2547" t="str">
            <v>HZK</v>
          </cell>
          <cell r="N2547">
            <v>103.057199211045</v>
          </cell>
        </row>
        <row r="2548">
          <cell r="E2548" t="str">
            <v>HGC-Lib-2464449</v>
          </cell>
          <cell r="F2548" t="str">
            <v>20240807_WTA_gs1234</v>
          </cell>
          <cell r="G2548">
            <v>255</v>
          </cell>
          <cell r="H2548" t="str">
            <v>BD-单细胞</v>
          </cell>
          <cell r="I2548" t="str">
            <v>HZK</v>
          </cell>
          <cell r="J2548">
            <v>16.399999999999999</v>
          </cell>
          <cell r="K2548">
            <v>556</v>
          </cell>
          <cell r="L2548" t="str">
            <v>YHT</v>
          </cell>
          <cell r="N2548">
            <v>45.379081350304403</v>
          </cell>
        </row>
        <row r="2549">
          <cell r="E2549" t="str">
            <v>HGC-Lib-2464450</v>
          </cell>
          <cell r="F2549" t="str">
            <v>20240807-ST-gs1234</v>
          </cell>
          <cell r="G2549">
            <v>45</v>
          </cell>
          <cell r="H2549" t="str">
            <v>BD-单细胞</v>
          </cell>
          <cell r="I2549" t="str">
            <v>HZK</v>
          </cell>
          <cell r="J2549">
            <v>8.66</v>
          </cell>
          <cell r="K2549">
            <v>315</v>
          </cell>
          <cell r="L2549" t="str">
            <v>YHT</v>
          </cell>
          <cell r="N2549">
            <v>42.295482295482302</v>
          </cell>
        </row>
        <row r="2550">
          <cell r="E2550" t="str">
            <v>HGC-Lib-2464451</v>
          </cell>
          <cell r="F2550" t="str">
            <v>Zhoulab_pool1</v>
          </cell>
          <cell r="G2550">
            <v>4</v>
          </cell>
          <cell r="H2550" t="str">
            <v>多重PCR产物文库</v>
          </cell>
          <cell r="I2550" t="str">
            <v>WH</v>
          </cell>
          <cell r="J2550">
            <v>2.02</v>
          </cell>
          <cell r="K2550">
            <v>537</v>
          </cell>
          <cell r="L2550" t="str">
            <v>WH</v>
          </cell>
          <cell r="N2550">
            <v>5.7871365133935004</v>
          </cell>
        </row>
        <row r="2551">
          <cell r="E2551" t="str">
            <v>HGC-Lib-2464452</v>
          </cell>
          <cell r="F2551" t="str">
            <v>Zhoulab_pool2</v>
          </cell>
          <cell r="G2551">
            <v>4</v>
          </cell>
          <cell r="H2551" t="str">
            <v>多重PCR产物文库</v>
          </cell>
          <cell r="I2551" t="str">
            <v>WH</v>
          </cell>
          <cell r="J2551">
            <v>2</v>
          </cell>
          <cell r="K2551">
            <v>544</v>
          </cell>
          <cell r="L2551" t="str">
            <v>WH</v>
          </cell>
          <cell r="N2551">
            <v>5.65610859728507</v>
          </cell>
        </row>
        <row r="2552">
          <cell r="E2552" t="str">
            <v>HGC-Lib-2464453</v>
          </cell>
          <cell r="F2552" t="str">
            <v>LA240801031</v>
          </cell>
          <cell r="G2552">
            <v>100</v>
          </cell>
          <cell r="H2552" t="str">
            <v>singleron-3'转录组文库</v>
          </cell>
          <cell r="I2552" t="str">
            <v>WH</v>
          </cell>
          <cell r="J2552">
            <v>42.6</v>
          </cell>
          <cell r="N2552" t="e">
            <v>#DIV/0!</v>
          </cell>
        </row>
        <row r="2553">
          <cell r="E2553" t="str">
            <v>HGC-Lib-2464454</v>
          </cell>
          <cell r="F2553" t="str">
            <v>LA240801032</v>
          </cell>
          <cell r="G2553">
            <v>100</v>
          </cell>
          <cell r="H2553" t="str">
            <v>singleron-3'转录组文库</v>
          </cell>
          <cell r="I2553" t="str">
            <v>WH</v>
          </cell>
          <cell r="J2553">
            <v>44.2</v>
          </cell>
          <cell r="N2553" t="e">
            <v>#DIV/0!</v>
          </cell>
        </row>
        <row r="2554">
          <cell r="E2554" t="str">
            <v>HGC-Lib-2464455</v>
          </cell>
          <cell r="F2554" t="str">
            <v>LA240801033</v>
          </cell>
          <cell r="G2554">
            <v>100</v>
          </cell>
          <cell r="H2554" t="str">
            <v>singleron-3'转录组文库</v>
          </cell>
          <cell r="I2554" t="str">
            <v>WH</v>
          </cell>
          <cell r="J2554">
            <v>46.8</v>
          </cell>
          <cell r="N2554" t="e">
            <v>#DIV/0!</v>
          </cell>
        </row>
        <row r="2555">
          <cell r="E2555" t="str">
            <v>HGC-Lib-2464456</v>
          </cell>
          <cell r="F2555" t="str">
            <v>LA240801034</v>
          </cell>
          <cell r="G2555">
            <v>100</v>
          </cell>
          <cell r="H2555" t="str">
            <v>singleron-3'转录组文库</v>
          </cell>
          <cell r="I2555" t="str">
            <v>WH</v>
          </cell>
          <cell r="J2555">
            <v>40.200000000000003</v>
          </cell>
          <cell r="N2555" t="e">
            <v>#DIV/0!</v>
          </cell>
        </row>
        <row r="2556">
          <cell r="E2556" t="str">
            <v>HGC-Lib-2464457</v>
          </cell>
          <cell r="F2556" t="str">
            <v>LA240801035</v>
          </cell>
          <cell r="G2556">
            <v>100</v>
          </cell>
          <cell r="H2556" t="str">
            <v>singleron-3'转录组文库</v>
          </cell>
          <cell r="I2556" t="str">
            <v>WH</v>
          </cell>
          <cell r="J2556">
            <v>40.200000000000003</v>
          </cell>
          <cell r="N2556" t="e">
            <v>#DIV/0!</v>
          </cell>
        </row>
        <row r="2557">
          <cell r="E2557" t="str">
            <v>HGC-Lib-2464458</v>
          </cell>
          <cell r="F2557" t="str">
            <v>LA240801036</v>
          </cell>
          <cell r="G2557">
            <v>100</v>
          </cell>
          <cell r="H2557" t="str">
            <v>singleron-3'转录组文库</v>
          </cell>
          <cell r="I2557" t="str">
            <v>WH</v>
          </cell>
          <cell r="J2557">
            <v>40.4</v>
          </cell>
          <cell r="N2557" t="e">
            <v>#DIV/0!</v>
          </cell>
        </row>
        <row r="2558">
          <cell r="E2558" t="str">
            <v>HGC-Lib-2464459</v>
          </cell>
          <cell r="F2558" t="str">
            <v>LA240801063X1</v>
          </cell>
          <cell r="G2558">
            <v>30</v>
          </cell>
          <cell r="H2558" t="str">
            <v>singleron-3'转录组文库</v>
          </cell>
          <cell r="I2558" t="str">
            <v>WH</v>
          </cell>
          <cell r="J2558">
            <v>3.62</v>
          </cell>
          <cell r="N2558" t="e">
            <v>#DIV/0!</v>
          </cell>
        </row>
        <row r="2559">
          <cell r="E2559" t="str">
            <v>HGC-Lib-2464460</v>
          </cell>
          <cell r="F2559" t="str">
            <v>LC240806098</v>
          </cell>
          <cell r="G2559">
            <v>20</v>
          </cell>
          <cell r="H2559" t="str">
            <v>singleron-3'转录组文库</v>
          </cell>
          <cell r="I2559" t="str">
            <v>WH</v>
          </cell>
          <cell r="J2559">
            <v>3.92</v>
          </cell>
          <cell r="N2559" t="e">
            <v>#DIV/0!</v>
          </cell>
        </row>
        <row r="2560">
          <cell r="E2560" t="str">
            <v>HGC-Lib-2464461</v>
          </cell>
          <cell r="F2560" t="str">
            <v>LC240806099</v>
          </cell>
          <cell r="G2560">
            <v>20</v>
          </cell>
          <cell r="H2560" t="str">
            <v>singleron-3'转录组文库</v>
          </cell>
          <cell r="I2560" t="str">
            <v>WH</v>
          </cell>
          <cell r="J2560">
            <v>2.62</v>
          </cell>
          <cell r="N2560" t="e">
            <v>#DIV/0!</v>
          </cell>
        </row>
        <row r="2561">
          <cell r="E2561" t="str">
            <v>HGC-Lib-2464462</v>
          </cell>
          <cell r="F2561" t="str">
            <v>LFTA240806126</v>
          </cell>
          <cell r="G2561">
            <v>120</v>
          </cell>
          <cell r="H2561" t="str">
            <v>singleron-3'全长转录组文库</v>
          </cell>
          <cell r="I2561" t="str">
            <v>WH</v>
          </cell>
          <cell r="J2561">
            <v>5.56</v>
          </cell>
          <cell r="N2561" t="e">
            <v>#DIV/0!</v>
          </cell>
        </row>
        <row r="2562">
          <cell r="E2562" t="str">
            <v>HGC-POOL-2464463</v>
          </cell>
          <cell r="F2562" t="str">
            <v>PCRD-240809-005</v>
          </cell>
          <cell r="G2562">
            <v>200</v>
          </cell>
          <cell r="H2562" t="str">
            <v>singleron-3'转录组文库</v>
          </cell>
          <cell r="I2562" t="str">
            <v>WH</v>
          </cell>
          <cell r="J2562">
            <v>17.600000000000001</v>
          </cell>
          <cell r="N2562" t="e">
            <v>#DIV/0!</v>
          </cell>
        </row>
        <row r="2563">
          <cell r="E2563" t="str">
            <v>HGC-POOL-2464464</v>
          </cell>
          <cell r="F2563" t="str">
            <v>PCRD-240809-006</v>
          </cell>
          <cell r="G2563">
            <v>40</v>
          </cell>
          <cell r="H2563" t="str">
            <v>singleron-3'转录组文库</v>
          </cell>
          <cell r="I2563" t="str">
            <v>WH</v>
          </cell>
          <cell r="J2563">
            <v>11.1</v>
          </cell>
          <cell r="N2563" t="e">
            <v>#DIV/0!</v>
          </cell>
        </row>
        <row r="2564">
          <cell r="E2564" t="str">
            <v>HGC-Lib-2464471</v>
          </cell>
          <cell r="F2564" t="str">
            <v>NR-TE-1</v>
          </cell>
          <cell r="G2564">
            <v>6</v>
          </cell>
          <cell r="H2564" t="str">
            <v>mRNA文库</v>
          </cell>
          <cell r="I2564" t="str">
            <v>WH</v>
          </cell>
          <cell r="J2564">
            <v>46.2</v>
          </cell>
          <cell r="K2564">
            <v>387</v>
          </cell>
          <cell r="L2564" t="str">
            <v>HZK</v>
          </cell>
          <cell r="N2564">
            <v>183.66129994036999</v>
          </cell>
        </row>
        <row r="2565">
          <cell r="E2565" t="str">
            <v>HGC-Lib-2464472</v>
          </cell>
          <cell r="F2565" t="str">
            <v>NR-TE-2</v>
          </cell>
          <cell r="G2565">
            <v>6</v>
          </cell>
          <cell r="H2565" t="str">
            <v>mRNA文库</v>
          </cell>
          <cell r="I2565" t="str">
            <v>WH</v>
          </cell>
          <cell r="J2565">
            <v>40.6</v>
          </cell>
          <cell r="K2565">
            <v>390</v>
          </cell>
          <cell r="L2565" t="str">
            <v>HZK</v>
          </cell>
          <cell r="N2565">
            <v>160.15779092702201</v>
          </cell>
        </row>
        <row r="2566">
          <cell r="E2566" t="str">
            <v>HGC-Lib-2464473</v>
          </cell>
          <cell r="F2566" t="str">
            <v>NR-TE-3</v>
          </cell>
          <cell r="G2566">
            <v>6</v>
          </cell>
          <cell r="H2566" t="str">
            <v>mRNA文库</v>
          </cell>
          <cell r="I2566" t="str">
            <v>WH</v>
          </cell>
          <cell r="J2566">
            <v>83.2</v>
          </cell>
          <cell r="K2566">
            <v>371</v>
          </cell>
          <cell r="L2566" t="str">
            <v>HZK</v>
          </cell>
          <cell r="N2566">
            <v>345.013477088949</v>
          </cell>
        </row>
        <row r="2567">
          <cell r="E2567" t="str">
            <v>HGC-Lib-2464474</v>
          </cell>
          <cell r="F2567" t="str">
            <v>R-TE-1</v>
          </cell>
          <cell r="G2567">
            <v>6</v>
          </cell>
          <cell r="H2567" t="str">
            <v>mRNA文库</v>
          </cell>
          <cell r="I2567" t="str">
            <v>WH</v>
          </cell>
          <cell r="J2567">
            <v>95.2</v>
          </cell>
          <cell r="K2567">
            <v>376</v>
          </cell>
          <cell r="L2567" t="str">
            <v>HZK</v>
          </cell>
          <cell r="N2567">
            <v>389.52536824877302</v>
          </cell>
        </row>
        <row r="2568">
          <cell r="E2568" t="str">
            <v>HGC-Lib-2464475</v>
          </cell>
          <cell r="F2568" t="str">
            <v>R-TE-2</v>
          </cell>
          <cell r="G2568">
            <v>6</v>
          </cell>
          <cell r="H2568" t="str">
            <v>mRNA文库</v>
          </cell>
          <cell r="I2568" t="str">
            <v>WH</v>
          </cell>
          <cell r="J2568">
            <v>102</v>
          </cell>
          <cell r="K2568">
            <v>373</v>
          </cell>
          <cell r="L2568" t="str">
            <v>HZK</v>
          </cell>
          <cell r="N2568">
            <v>420.705300061868</v>
          </cell>
        </row>
        <row r="2569">
          <cell r="E2569" t="str">
            <v>HGC-Lib-2464476</v>
          </cell>
          <cell r="F2569" t="str">
            <v>R-TE-3</v>
          </cell>
          <cell r="G2569">
            <v>6</v>
          </cell>
          <cell r="H2569" t="str">
            <v>mRNA文库</v>
          </cell>
          <cell r="I2569" t="str">
            <v>WH</v>
          </cell>
          <cell r="J2569">
            <v>96.6</v>
          </cell>
          <cell r="K2569">
            <v>385</v>
          </cell>
          <cell r="L2569" t="str">
            <v>HZK</v>
          </cell>
          <cell r="N2569">
            <v>386.01398601398603</v>
          </cell>
        </row>
        <row r="2570">
          <cell r="E2570" t="str">
            <v>HGC-Lib-2464477</v>
          </cell>
          <cell r="F2570" t="str">
            <v>NR-PUT-1</v>
          </cell>
          <cell r="G2570">
            <v>6</v>
          </cell>
          <cell r="H2570" t="str">
            <v>mRNA文库</v>
          </cell>
          <cell r="I2570" t="str">
            <v>WH</v>
          </cell>
          <cell r="J2570">
            <v>30.2</v>
          </cell>
          <cell r="K2570">
            <v>386</v>
          </cell>
          <cell r="L2570" t="str">
            <v>HZK</v>
          </cell>
          <cell r="N2570">
            <v>120.36667995217201</v>
          </cell>
        </row>
        <row r="2571">
          <cell r="E2571" t="str">
            <v>HGC-Lib-2464478</v>
          </cell>
          <cell r="F2571" t="str">
            <v>NR-PUT-2</v>
          </cell>
          <cell r="G2571">
            <v>6</v>
          </cell>
          <cell r="H2571" t="str">
            <v>mRNA文库</v>
          </cell>
          <cell r="I2571" t="str">
            <v>WH</v>
          </cell>
          <cell r="J2571">
            <v>23.6</v>
          </cell>
          <cell r="K2571">
            <v>372</v>
          </cell>
          <cell r="L2571" t="str">
            <v>HZK</v>
          </cell>
          <cell r="N2571">
            <v>97.601323407774998</v>
          </cell>
        </row>
        <row r="2572">
          <cell r="E2572" t="str">
            <v>HGC-Lib-2464479</v>
          </cell>
          <cell r="F2572" t="str">
            <v>NR-PUT-3</v>
          </cell>
          <cell r="G2572">
            <v>6</v>
          </cell>
          <cell r="H2572" t="str">
            <v>mRNA文库</v>
          </cell>
          <cell r="I2572" t="str">
            <v>WH</v>
          </cell>
          <cell r="J2572">
            <v>36.799999999999997</v>
          </cell>
          <cell r="K2572">
            <v>384</v>
          </cell>
          <cell r="L2572" t="str">
            <v>HZK</v>
          </cell>
          <cell r="N2572">
            <v>147.435897435897</v>
          </cell>
        </row>
        <row r="2573">
          <cell r="E2573" t="str">
            <v>HGC-Lib-2464480</v>
          </cell>
          <cell r="F2573" t="str">
            <v>R-PUT-1</v>
          </cell>
          <cell r="G2573">
            <v>6</v>
          </cell>
          <cell r="H2573" t="str">
            <v>mRNA文库</v>
          </cell>
          <cell r="I2573" t="str">
            <v>WH</v>
          </cell>
          <cell r="J2573">
            <v>61.8</v>
          </cell>
          <cell r="K2573">
            <v>394</v>
          </cell>
          <cell r="L2573" t="str">
            <v>HZK</v>
          </cell>
          <cell r="N2573">
            <v>241.31198750488099</v>
          </cell>
        </row>
        <row r="2574">
          <cell r="E2574" t="str">
            <v>HGC-Lib-2464481</v>
          </cell>
          <cell r="F2574" t="str">
            <v>R-PUT-2</v>
          </cell>
          <cell r="G2574">
            <v>6</v>
          </cell>
          <cell r="H2574" t="str">
            <v>mRNA文库</v>
          </cell>
          <cell r="I2574" t="str">
            <v>WH</v>
          </cell>
          <cell r="J2574">
            <v>47</v>
          </cell>
          <cell r="K2574">
            <v>366</v>
          </cell>
          <cell r="L2574" t="str">
            <v>HZK</v>
          </cell>
          <cell r="N2574">
            <v>197.562000840689</v>
          </cell>
        </row>
        <row r="2575">
          <cell r="E2575" t="str">
            <v>HGC-Lib-2464482</v>
          </cell>
          <cell r="F2575" t="str">
            <v>R-PUT-3</v>
          </cell>
          <cell r="G2575">
            <v>6</v>
          </cell>
          <cell r="H2575" t="str">
            <v>mRNA文库</v>
          </cell>
          <cell r="I2575" t="str">
            <v>WH</v>
          </cell>
          <cell r="J2575">
            <v>48.2</v>
          </cell>
          <cell r="K2575">
            <v>380</v>
          </cell>
          <cell r="L2575" t="str">
            <v>HZK</v>
          </cell>
          <cell r="N2575">
            <v>195.141700404858</v>
          </cell>
        </row>
        <row r="2576">
          <cell r="E2576" t="str">
            <v>HGC-Lib-2464483</v>
          </cell>
          <cell r="F2576" t="str">
            <v>NR-DU-1</v>
          </cell>
          <cell r="G2576">
            <v>6</v>
          </cell>
          <cell r="H2576" t="str">
            <v>mRNA文库</v>
          </cell>
          <cell r="I2576" t="str">
            <v>WH</v>
          </cell>
          <cell r="J2576">
            <v>22.2</v>
          </cell>
          <cell r="K2576">
            <v>376</v>
          </cell>
          <cell r="L2576" t="str">
            <v>HZK</v>
          </cell>
          <cell r="N2576">
            <v>90.834697217675895</v>
          </cell>
        </row>
        <row r="2577">
          <cell r="E2577" t="str">
            <v>HGC-Lib-2464484</v>
          </cell>
          <cell r="F2577" t="str">
            <v>NR-DU-2</v>
          </cell>
          <cell r="G2577">
            <v>6</v>
          </cell>
          <cell r="H2577" t="str">
            <v>mRNA文库</v>
          </cell>
          <cell r="I2577" t="str">
            <v>WH</v>
          </cell>
          <cell r="J2577">
            <v>19.2</v>
          </cell>
          <cell r="K2577">
            <v>389</v>
          </cell>
          <cell r="L2577" t="str">
            <v>HZK</v>
          </cell>
          <cell r="N2577">
            <v>75.934348427921705</v>
          </cell>
        </row>
        <row r="2578">
          <cell r="E2578" t="str">
            <v>HGC-Lib-2464485</v>
          </cell>
          <cell r="F2578" t="str">
            <v>NR-DU-3</v>
          </cell>
          <cell r="G2578">
            <v>6</v>
          </cell>
          <cell r="H2578" t="str">
            <v>mRNA文库</v>
          </cell>
          <cell r="I2578" t="str">
            <v>WH</v>
          </cell>
          <cell r="J2578">
            <v>30.6</v>
          </cell>
          <cell r="K2578">
            <v>385</v>
          </cell>
          <cell r="L2578" t="str">
            <v>HZK</v>
          </cell>
          <cell r="N2578">
            <v>122.27772227772201</v>
          </cell>
        </row>
        <row r="2579">
          <cell r="E2579" t="str">
            <v>HGC-Lib-2464486</v>
          </cell>
          <cell r="F2579" t="str">
            <v>R-DU-1</v>
          </cell>
          <cell r="G2579">
            <v>6</v>
          </cell>
          <cell r="H2579" t="str">
            <v>mRNA文库</v>
          </cell>
          <cell r="I2579" t="str">
            <v>WH</v>
          </cell>
          <cell r="J2579">
            <v>42.8</v>
          </cell>
          <cell r="K2579">
            <v>390</v>
          </cell>
          <cell r="L2579" t="str">
            <v>HZK</v>
          </cell>
          <cell r="N2579">
            <v>168.83629191321501</v>
          </cell>
        </row>
        <row r="2580">
          <cell r="E2580" t="str">
            <v>HGC-Lib-2464487</v>
          </cell>
          <cell r="F2580" t="str">
            <v>R-DU-2</v>
          </cell>
          <cell r="G2580">
            <v>6</v>
          </cell>
          <cell r="H2580" t="str">
            <v>mRNA文库</v>
          </cell>
          <cell r="I2580" t="str">
            <v>WH</v>
          </cell>
          <cell r="J2580">
            <v>28.6</v>
          </cell>
          <cell r="K2580">
            <v>387</v>
          </cell>
          <cell r="L2580" t="str">
            <v>HZK</v>
          </cell>
          <cell r="N2580">
            <v>113.695090439276</v>
          </cell>
        </row>
        <row r="2581">
          <cell r="E2581" t="str">
            <v>HGC-Lib-2464488</v>
          </cell>
          <cell r="F2581" t="str">
            <v>R-DU-3</v>
          </cell>
          <cell r="G2581">
            <v>6</v>
          </cell>
          <cell r="H2581" t="str">
            <v>mRNA文库</v>
          </cell>
          <cell r="I2581" t="str">
            <v>WH</v>
          </cell>
          <cell r="J2581">
            <v>33</v>
          </cell>
          <cell r="K2581">
            <v>377</v>
          </cell>
          <cell r="L2581" t="str">
            <v>HZK</v>
          </cell>
          <cell r="N2581">
            <v>134.66639461334401</v>
          </cell>
        </row>
        <row r="2582">
          <cell r="E2582" t="str">
            <v>HGC-Lib-2464489</v>
          </cell>
          <cell r="F2582" t="str">
            <v>IP-NR-m6A-TE</v>
          </cell>
          <cell r="G2582">
            <v>6</v>
          </cell>
          <cell r="H2582" t="str">
            <v>m6A甲基化文库</v>
          </cell>
          <cell r="I2582" t="str">
            <v>WH</v>
          </cell>
          <cell r="J2582">
            <v>54.8</v>
          </cell>
          <cell r="K2582">
            <v>324</v>
          </cell>
          <cell r="L2582" t="str">
            <v>HZK</v>
          </cell>
          <cell r="N2582">
            <v>260.20892687559399</v>
          </cell>
        </row>
        <row r="2583">
          <cell r="E2583" t="str">
            <v>HGC-Lib-2464490</v>
          </cell>
          <cell r="F2583" t="str">
            <v>IP-R-m6A-TE</v>
          </cell>
          <cell r="G2583">
            <v>6</v>
          </cell>
          <cell r="H2583" t="str">
            <v>m6A甲基化文库</v>
          </cell>
          <cell r="I2583" t="str">
            <v>WH</v>
          </cell>
          <cell r="J2583">
            <v>46.2</v>
          </cell>
          <cell r="K2583">
            <v>308</v>
          </cell>
          <cell r="L2583" t="str">
            <v>HZK</v>
          </cell>
          <cell r="N2583">
            <v>230.769230769231</v>
          </cell>
        </row>
        <row r="2584">
          <cell r="E2584" t="str">
            <v>HGC-Lib-2464491</v>
          </cell>
          <cell r="F2584" t="str">
            <v>Input-NR-m6A-TE</v>
          </cell>
          <cell r="G2584">
            <v>6</v>
          </cell>
          <cell r="H2584" t="str">
            <v>m6A甲基化文库</v>
          </cell>
          <cell r="I2584" t="str">
            <v>WH</v>
          </cell>
          <cell r="J2584">
            <v>48</v>
          </cell>
          <cell r="K2584">
            <v>314</v>
          </cell>
          <cell r="L2584" t="str">
            <v>HZK</v>
          </cell>
          <cell r="N2584">
            <v>235.17883390494899</v>
          </cell>
        </row>
        <row r="2585">
          <cell r="E2585" t="str">
            <v>HGC-Lib-2464492</v>
          </cell>
          <cell r="F2585" t="str">
            <v>Input-R-m6A-TE</v>
          </cell>
          <cell r="G2585">
            <v>6</v>
          </cell>
          <cell r="H2585" t="str">
            <v>m6A甲基化文库</v>
          </cell>
          <cell r="I2585" t="str">
            <v>WH</v>
          </cell>
          <cell r="J2585">
            <v>46.8</v>
          </cell>
          <cell r="K2585">
            <v>295</v>
          </cell>
          <cell r="L2585" t="str">
            <v>HZK</v>
          </cell>
          <cell r="N2585">
            <v>244.06779661016901</v>
          </cell>
        </row>
        <row r="2586">
          <cell r="E2586" t="str">
            <v>HGC-Lib-2464186</v>
          </cell>
          <cell r="F2586" t="str">
            <v>C1_1</v>
          </cell>
          <cell r="G2586">
            <v>10</v>
          </cell>
          <cell r="H2586" t="str">
            <v>cut&amp;tag文库</v>
          </cell>
          <cell r="I2586" t="str">
            <v>ZZ</v>
          </cell>
          <cell r="J2586">
            <v>4.1399999999999997</v>
          </cell>
          <cell r="K2586">
            <v>449</v>
          </cell>
          <cell r="L2586" t="str">
            <v>WH</v>
          </cell>
          <cell r="N2586">
            <v>14.1853691965051</v>
          </cell>
        </row>
        <row r="2587">
          <cell r="E2587" t="str">
            <v>HGC-Lib-2464187</v>
          </cell>
          <cell r="F2587" t="str">
            <v>C4_1</v>
          </cell>
          <cell r="G2587">
            <v>10</v>
          </cell>
          <cell r="H2587" t="str">
            <v>cut&amp;tag文库</v>
          </cell>
          <cell r="I2587" t="str">
            <v>ZZ</v>
          </cell>
          <cell r="J2587">
            <v>1.06</v>
          </cell>
          <cell r="K2587">
            <v>405</v>
          </cell>
          <cell r="L2587" t="str">
            <v>WH</v>
          </cell>
          <cell r="N2587">
            <v>4.0265906932573596</v>
          </cell>
        </row>
        <row r="2588">
          <cell r="E2588" t="str">
            <v>HGC-Lib-2464188</v>
          </cell>
          <cell r="F2588" t="str">
            <v>C7_2</v>
          </cell>
          <cell r="G2588">
            <v>10</v>
          </cell>
          <cell r="H2588" t="str">
            <v>cut&amp;tag文库</v>
          </cell>
          <cell r="I2588" t="str">
            <v>ZZ</v>
          </cell>
          <cell r="J2588">
            <v>5.14</v>
          </cell>
          <cell r="K2588">
            <v>446</v>
          </cell>
          <cell r="L2588" t="str">
            <v>WH</v>
          </cell>
          <cell r="N2588">
            <v>17.7302518109693</v>
          </cell>
        </row>
        <row r="2589">
          <cell r="E2589" t="str">
            <v>HGC-Lib-2464189</v>
          </cell>
          <cell r="F2589" t="str">
            <v>C10_2</v>
          </cell>
          <cell r="G2589">
            <v>10</v>
          </cell>
          <cell r="H2589" t="str">
            <v>cut&amp;tag文库</v>
          </cell>
          <cell r="I2589" t="str">
            <v>ZZ</v>
          </cell>
          <cell r="J2589">
            <v>0.85599999999999998</v>
          </cell>
          <cell r="K2589">
            <v>380</v>
          </cell>
          <cell r="L2589" t="str">
            <v>YHT</v>
          </cell>
          <cell r="N2589">
            <v>3.4655870445344101</v>
          </cell>
        </row>
        <row r="2590">
          <cell r="E2590" t="str">
            <v>HGC-Lib-2464559</v>
          </cell>
          <cell r="F2590" t="str">
            <v>C1_2</v>
          </cell>
          <cell r="G2590">
            <v>10</v>
          </cell>
          <cell r="H2590" t="str">
            <v>cut&amp;tag文库</v>
          </cell>
          <cell r="I2590" t="str">
            <v>YHT</v>
          </cell>
          <cell r="J2590">
            <v>2.82</v>
          </cell>
          <cell r="K2590">
            <v>426</v>
          </cell>
          <cell r="L2590" t="str">
            <v>YHT</v>
          </cell>
          <cell r="N2590">
            <v>10.184182015167901</v>
          </cell>
        </row>
        <row r="2591">
          <cell r="E2591" t="str">
            <v>HGC-Lib-2464560</v>
          </cell>
          <cell r="F2591" t="str">
            <v>C2_1</v>
          </cell>
          <cell r="G2591">
            <v>10</v>
          </cell>
          <cell r="H2591" t="str">
            <v>cut&amp;tag文库</v>
          </cell>
          <cell r="I2591" t="str">
            <v>YHT</v>
          </cell>
          <cell r="J2591">
            <v>1.34</v>
          </cell>
          <cell r="K2591">
            <v>451</v>
          </cell>
          <cell r="L2591" t="str">
            <v>YHT</v>
          </cell>
          <cell r="N2591">
            <v>4.5710387173801799</v>
          </cell>
        </row>
        <row r="2592">
          <cell r="E2592" t="str">
            <v>HGC-Lib-2464561</v>
          </cell>
          <cell r="F2592" t="str">
            <v>C2_2</v>
          </cell>
          <cell r="G2592">
            <v>10</v>
          </cell>
          <cell r="H2592" t="str">
            <v>cut&amp;tag文库</v>
          </cell>
          <cell r="I2592" t="str">
            <v>YHT</v>
          </cell>
          <cell r="J2592">
            <v>4.32</v>
          </cell>
          <cell r="K2592">
            <v>435</v>
          </cell>
          <cell r="L2592" t="str">
            <v>YHT</v>
          </cell>
          <cell r="N2592">
            <v>15.2785145888594</v>
          </cell>
        </row>
        <row r="2593">
          <cell r="E2593" t="str">
            <v>HGC-Lib-2464562</v>
          </cell>
          <cell r="F2593" t="str">
            <v>C3_1</v>
          </cell>
          <cell r="G2593">
            <v>10</v>
          </cell>
          <cell r="H2593" t="str">
            <v>cut&amp;tag文库</v>
          </cell>
          <cell r="I2593" t="str">
            <v>YHT</v>
          </cell>
          <cell r="J2593">
            <v>2.06</v>
          </cell>
          <cell r="K2593">
            <v>456</v>
          </cell>
          <cell r="L2593" t="str">
            <v>YHT</v>
          </cell>
          <cell r="N2593">
            <v>6.9500674763832704</v>
          </cell>
        </row>
        <row r="2594">
          <cell r="E2594" t="str">
            <v>HGC-Lib-2464563</v>
          </cell>
          <cell r="F2594" t="str">
            <v>C3_2</v>
          </cell>
          <cell r="G2594">
            <v>10</v>
          </cell>
          <cell r="H2594" t="str">
            <v>cut&amp;tag文库</v>
          </cell>
          <cell r="I2594" t="str">
            <v>YHT</v>
          </cell>
          <cell r="J2594">
            <v>2.98</v>
          </cell>
          <cell r="K2594">
            <v>431</v>
          </cell>
          <cell r="L2594" t="str">
            <v>YHT</v>
          </cell>
          <cell r="N2594">
            <v>10.6371586650009</v>
          </cell>
        </row>
        <row r="2595">
          <cell r="E2595" t="str">
            <v>HGC-Lib-2464564</v>
          </cell>
          <cell r="F2595" t="str">
            <v>C4_2</v>
          </cell>
          <cell r="G2595">
            <v>10</v>
          </cell>
          <cell r="H2595" t="str">
            <v>cut&amp;tag文库</v>
          </cell>
          <cell r="I2595" t="str">
            <v>YHT</v>
          </cell>
          <cell r="J2595">
            <v>1.7</v>
          </cell>
          <cell r="K2595">
            <v>384</v>
          </cell>
          <cell r="L2595" t="str">
            <v>YHT</v>
          </cell>
          <cell r="N2595">
            <v>6.8108974358974397</v>
          </cell>
        </row>
        <row r="2596">
          <cell r="E2596" t="str">
            <v>HGC-Lib-2464565</v>
          </cell>
          <cell r="F2596" t="str">
            <v>C5_1</v>
          </cell>
          <cell r="G2596">
            <v>10</v>
          </cell>
          <cell r="H2596" t="str">
            <v>cut&amp;tag文库</v>
          </cell>
          <cell r="I2596" t="str">
            <v>YHT</v>
          </cell>
          <cell r="J2596">
            <v>1.9</v>
          </cell>
          <cell r="K2596">
            <v>394</v>
          </cell>
          <cell r="L2596" t="str">
            <v>YHT</v>
          </cell>
          <cell r="N2596">
            <v>7.4189769621241703</v>
          </cell>
        </row>
        <row r="2597">
          <cell r="E2597" t="str">
            <v>HGC-Lib-2464566</v>
          </cell>
          <cell r="F2597" t="str">
            <v>C5_2</v>
          </cell>
          <cell r="G2597">
            <v>10</v>
          </cell>
          <cell r="H2597" t="str">
            <v>cut&amp;tag文库</v>
          </cell>
          <cell r="I2597" t="str">
            <v>YHT</v>
          </cell>
          <cell r="J2597">
            <v>1.89</v>
          </cell>
          <cell r="K2597">
            <v>413</v>
          </cell>
          <cell r="L2597" t="str">
            <v>YHT</v>
          </cell>
          <cell r="N2597">
            <v>7.0404172099087399</v>
          </cell>
        </row>
        <row r="2598">
          <cell r="E2598" t="str">
            <v>HGC-Lib-2464567</v>
          </cell>
          <cell r="F2598" t="str">
            <v>C6_1</v>
          </cell>
          <cell r="G2598">
            <v>10</v>
          </cell>
          <cell r="H2598" t="str">
            <v>cut&amp;tag文库</v>
          </cell>
          <cell r="I2598" t="str">
            <v>YHT</v>
          </cell>
          <cell r="J2598">
            <v>2.08</v>
          </cell>
          <cell r="K2598">
            <v>435</v>
          </cell>
          <cell r="L2598" t="str">
            <v>YHT</v>
          </cell>
          <cell r="N2598">
            <v>7.3563218390804597</v>
          </cell>
        </row>
        <row r="2599">
          <cell r="E2599" t="str">
            <v>HGC-Lib-2464568</v>
          </cell>
          <cell r="F2599" t="str">
            <v>C6_2</v>
          </cell>
          <cell r="G2599">
            <v>10</v>
          </cell>
          <cell r="H2599" t="str">
            <v>cut&amp;tag文库</v>
          </cell>
          <cell r="I2599" t="str">
            <v>YHT</v>
          </cell>
          <cell r="J2599">
            <v>2.06</v>
          </cell>
          <cell r="K2599">
            <v>410</v>
          </cell>
          <cell r="L2599" t="str">
            <v>YHT</v>
          </cell>
          <cell r="N2599">
            <v>7.7298311444652903</v>
          </cell>
        </row>
        <row r="2600">
          <cell r="E2600" t="str">
            <v>HGC-Lib-2464569</v>
          </cell>
          <cell r="F2600" t="str">
            <v>C7_1</v>
          </cell>
          <cell r="G2600">
            <v>10</v>
          </cell>
          <cell r="H2600" t="str">
            <v>cut&amp;tag文库</v>
          </cell>
          <cell r="I2600" t="str">
            <v>YHT</v>
          </cell>
          <cell r="J2600">
            <v>9.18</v>
          </cell>
          <cell r="K2600">
            <v>474</v>
          </cell>
          <cell r="L2600" t="str">
            <v>YHT</v>
          </cell>
          <cell r="N2600">
            <v>29.795520934761399</v>
          </cell>
        </row>
        <row r="2601">
          <cell r="E2601" t="str">
            <v>HGC-Lib-2464570</v>
          </cell>
          <cell r="F2601" t="str">
            <v>C8_1</v>
          </cell>
          <cell r="G2601">
            <v>10</v>
          </cell>
          <cell r="H2601" t="str">
            <v>cut&amp;tag文库</v>
          </cell>
          <cell r="I2601" t="str">
            <v>YHT</v>
          </cell>
          <cell r="J2601">
            <v>10.7</v>
          </cell>
          <cell r="K2601">
            <v>472</v>
          </cell>
          <cell r="L2601" t="str">
            <v>YHT</v>
          </cell>
          <cell r="N2601">
            <v>34.876140808344203</v>
          </cell>
        </row>
        <row r="2602">
          <cell r="E2602" t="str">
            <v>HGC-Lib-2464571</v>
          </cell>
          <cell r="F2602" t="str">
            <v>C8_2</v>
          </cell>
          <cell r="G2602">
            <v>10</v>
          </cell>
          <cell r="H2602" t="str">
            <v>cut&amp;tag文库</v>
          </cell>
          <cell r="I2602" t="str">
            <v>YHT</v>
          </cell>
          <cell r="J2602">
            <v>5.0199999999999996</v>
          </cell>
          <cell r="K2602">
            <v>439</v>
          </cell>
          <cell r="L2602" t="str">
            <v>YHT</v>
          </cell>
          <cell r="N2602">
            <v>17.592430348694599</v>
          </cell>
        </row>
        <row r="2603">
          <cell r="E2603" t="str">
            <v>HGC-Lib-2464572</v>
          </cell>
          <cell r="F2603" t="str">
            <v>C9_1</v>
          </cell>
          <cell r="G2603">
            <v>10</v>
          </cell>
          <cell r="H2603" t="str">
            <v>cut&amp;tag文库</v>
          </cell>
          <cell r="I2603" t="str">
            <v>YHT</v>
          </cell>
          <cell r="J2603">
            <v>14.1</v>
          </cell>
          <cell r="K2603">
            <v>474</v>
          </cell>
          <cell r="L2603" t="str">
            <v>YHT</v>
          </cell>
          <cell r="N2603">
            <v>45.764362220058402</v>
          </cell>
        </row>
        <row r="2604">
          <cell r="E2604" t="str">
            <v>HGC-Lib-2464573</v>
          </cell>
          <cell r="F2604" t="str">
            <v>C9_2</v>
          </cell>
          <cell r="G2604">
            <v>10</v>
          </cell>
          <cell r="H2604" t="str">
            <v>cut&amp;tag文库</v>
          </cell>
          <cell r="I2604" t="str">
            <v>YHT</v>
          </cell>
          <cell r="J2604">
            <v>4.84</v>
          </cell>
          <cell r="K2604">
            <v>424</v>
          </cell>
          <cell r="L2604" t="str">
            <v>YHT</v>
          </cell>
          <cell r="N2604">
            <v>17.5616835994194</v>
          </cell>
        </row>
        <row r="2605">
          <cell r="E2605" t="str">
            <v>HGC-Lib-2464574</v>
          </cell>
          <cell r="F2605" t="str">
            <v>C10_1</v>
          </cell>
          <cell r="G2605">
            <v>10</v>
          </cell>
          <cell r="H2605" t="str">
            <v>cut&amp;tag文库</v>
          </cell>
          <cell r="I2605" t="str">
            <v>YHT</v>
          </cell>
          <cell r="J2605">
            <v>2.06</v>
          </cell>
          <cell r="K2605">
            <v>427</v>
          </cell>
          <cell r="L2605" t="str">
            <v>YHT</v>
          </cell>
          <cell r="N2605">
            <v>7.4220861106107003</v>
          </cell>
        </row>
        <row r="2606">
          <cell r="E2606" t="str">
            <v>HGC-Lib-2464575</v>
          </cell>
          <cell r="F2606" t="str">
            <v>C11_1</v>
          </cell>
          <cell r="G2606">
            <v>10</v>
          </cell>
          <cell r="H2606" t="str">
            <v>cut&amp;tag文库</v>
          </cell>
          <cell r="I2606" t="str">
            <v>YHT</v>
          </cell>
          <cell r="J2606">
            <v>0.23200000000000001</v>
          </cell>
          <cell r="K2606">
            <v>412</v>
          </cell>
          <cell r="L2606" t="str">
            <v>YHT</v>
          </cell>
          <cell r="N2606">
            <v>0.86631814787154604</v>
          </cell>
        </row>
        <row r="2607">
          <cell r="E2607" t="str">
            <v>HGC-Lib-2464576</v>
          </cell>
          <cell r="F2607" t="str">
            <v>C11_2</v>
          </cell>
          <cell r="G2607">
            <v>10</v>
          </cell>
          <cell r="H2607" t="str">
            <v>cut&amp;tag文库</v>
          </cell>
          <cell r="I2607" t="str">
            <v>YHT</v>
          </cell>
          <cell r="J2607">
            <v>0.88600000000000001</v>
          </cell>
          <cell r="K2607">
            <v>402</v>
          </cell>
          <cell r="L2607" t="str">
            <v>YHT</v>
          </cell>
          <cell r="N2607">
            <v>3.39073861461921</v>
          </cell>
        </row>
        <row r="2608">
          <cell r="E2608" t="str">
            <v>HGC-Lib-2464577</v>
          </cell>
          <cell r="F2608" t="str">
            <v>C12_1</v>
          </cell>
          <cell r="G2608">
            <v>10</v>
          </cell>
          <cell r="H2608" t="str">
            <v>cut&amp;tag文库</v>
          </cell>
          <cell r="I2608" t="str">
            <v>YHT</v>
          </cell>
          <cell r="J2608">
            <v>2.2400000000000002</v>
          </cell>
          <cell r="K2608">
            <v>422</v>
          </cell>
          <cell r="L2608" t="str">
            <v>YHT</v>
          </cell>
          <cell r="N2608">
            <v>8.1662413415967894</v>
          </cell>
        </row>
        <row r="2609">
          <cell r="E2609" t="str">
            <v>HGC-Lib-2464578</v>
          </cell>
          <cell r="F2609" t="str">
            <v>C12_2</v>
          </cell>
          <cell r="G2609">
            <v>10</v>
          </cell>
          <cell r="H2609" t="str">
            <v>cut&amp;tag文库</v>
          </cell>
          <cell r="I2609" t="str">
            <v>YHT</v>
          </cell>
          <cell r="J2609">
            <v>2.2999999999999998</v>
          </cell>
          <cell r="K2609">
            <v>382</v>
          </cell>
          <cell r="L2609" t="str">
            <v>YHT</v>
          </cell>
          <cell r="N2609">
            <v>9.2629883205799395</v>
          </cell>
        </row>
        <row r="2610">
          <cell r="E2610" t="str">
            <v>HGC-Lib-2464520</v>
          </cell>
          <cell r="F2610" t="str">
            <v>240809-XBP1-NGS</v>
          </cell>
          <cell r="G2610">
            <v>2</v>
          </cell>
          <cell r="H2610" t="str">
            <v>PCR产物文库</v>
          </cell>
          <cell r="I2610" t="str">
            <v>XCL</v>
          </cell>
          <cell r="J2610">
            <v>20.2</v>
          </cell>
          <cell r="K2610">
            <v>847</v>
          </cell>
          <cell r="N2610">
            <v>36.6905821451276</v>
          </cell>
        </row>
        <row r="2611">
          <cell r="E2611" t="str">
            <v>HGC-Lib-2464521</v>
          </cell>
          <cell r="F2611" t="str">
            <v>B1</v>
          </cell>
          <cell r="G2611">
            <v>10</v>
          </cell>
          <cell r="H2611" t="str">
            <v>ATAC-Seq文库</v>
          </cell>
          <cell r="I2611" t="str">
            <v>XCL</v>
          </cell>
          <cell r="J2611">
            <v>12.2</v>
          </cell>
          <cell r="K2611">
            <v>465</v>
          </cell>
          <cell r="N2611">
            <v>40.363937138130701</v>
          </cell>
        </row>
        <row r="2612">
          <cell r="E2612" t="str">
            <v>HGC-Lib-2464522</v>
          </cell>
          <cell r="F2612" t="str">
            <v>B2</v>
          </cell>
          <cell r="G2612">
            <v>10</v>
          </cell>
          <cell r="H2612" t="str">
            <v>ATAC-Seq文库</v>
          </cell>
          <cell r="I2612" t="str">
            <v>XCL</v>
          </cell>
          <cell r="J2612">
            <v>8.8000000000000007</v>
          </cell>
          <cell r="K2612">
            <v>536</v>
          </cell>
          <cell r="N2612">
            <v>25.2583237657865</v>
          </cell>
        </row>
        <row r="2613">
          <cell r="E2613" t="str">
            <v>HGC-Lib-2464523</v>
          </cell>
          <cell r="F2613" t="str">
            <v>B3</v>
          </cell>
          <cell r="G2613">
            <v>10</v>
          </cell>
          <cell r="H2613" t="str">
            <v>ATAC-Seq文库</v>
          </cell>
          <cell r="I2613" t="str">
            <v>XCL</v>
          </cell>
          <cell r="J2613">
            <v>18.3</v>
          </cell>
          <cell r="K2613">
            <v>376</v>
          </cell>
          <cell r="N2613">
            <v>74.877250409165299</v>
          </cell>
        </row>
        <row r="2614">
          <cell r="E2614" t="str">
            <v>HGC-Lib-2464524</v>
          </cell>
          <cell r="F2614" t="str">
            <v>B4</v>
          </cell>
          <cell r="G2614">
            <v>10</v>
          </cell>
          <cell r="H2614" t="str">
            <v>ATAC-Seq文库</v>
          </cell>
          <cell r="I2614" t="str">
            <v>XCL</v>
          </cell>
          <cell r="J2614">
            <v>8.1999999999999993</v>
          </cell>
          <cell r="K2614">
            <v>478</v>
          </cell>
          <cell r="N2614">
            <v>26.392018023817201</v>
          </cell>
        </row>
        <row r="2615">
          <cell r="E2615" t="str">
            <v>HGC-Lib-2464525</v>
          </cell>
          <cell r="F2615" t="str">
            <v>P1</v>
          </cell>
          <cell r="G2615">
            <v>10</v>
          </cell>
          <cell r="H2615" t="str">
            <v>ATAC-Seq文库</v>
          </cell>
          <cell r="I2615" t="str">
            <v>XCL</v>
          </cell>
          <cell r="J2615">
            <v>8.02</v>
          </cell>
          <cell r="K2615">
            <v>473</v>
          </cell>
          <cell r="N2615">
            <v>26.085542364612099</v>
          </cell>
        </row>
        <row r="2616">
          <cell r="E2616" t="str">
            <v>HGC-Lib-2464526</v>
          </cell>
          <cell r="F2616" t="str">
            <v>P2</v>
          </cell>
          <cell r="G2616">
            <v>10</v>
          </cell>
          <cell r="H2616" t="str">
            <v>ATAC-Seq文库</v>
          </cell>
          <cell r="I2616" t="str">
            <v>XCL</v>
          </cell>
          <cell r="J2616">
            <v>11</v>
          </cell>
          <cell r="K2616">
            <v>411</v>
          </cell>
          <cell r="N2616">
            <v>41.175369642522902</v>
          </cell>
        </row>
        <row r="2617">
          <cell r="E2617" t="str">
            <v>HGC-2464527</v>
          </cell>
          <cell r="F2617" t="str">
            <v>CON</v>
          </cell>
          <cell r="G2617">
            <v>100</v>
          </cell>
          <cell r="H2617" t="str">
            <v>10× 3'单细胞</v>
          </cell>
          <cell r="I2617" t="str">
            <v>XCL</v>
          </cell>
          <cell r="J2617">
            <v>31</v>
          </cell>
          <cell r="K2617">
            <v>460</v>
          </cell>
          <cell r="N2617">
            <v>103.678929765886</v>
          </cell>
        </row>
        <row r="2618">
          <cell r="E2618" t="str">
            <v>HGC-2464528</v>
          </cell>
          <cell r="F2618" t="str">
            <v>MCAD 7d</v>
          </cell>
          <cell r="G2618">
            <v>100</v>
          </cell>
          <cell r="H2618" t="str">
            <v>10× 3'单细胞</v>
          </cell>
          <cell r="I2618" t="str">
            <v>XCL</v>
          </cell>
          <cell r="J2618">
            <v>33.6</v>
          </cell>
          <cell r="K2618">
            <v>473</v>
          </cell>
          <cell r="N2618">
            <v>109.286062774435</v>
          </cell>
        </row>
        <row r="2619">
          <cell r="E2619" t="str">
            <v>HGC-2464529</v>
          </cell>
          <cell r="F2619" t="str">
            <v>MSCS 7d</v>
          </cell>
          <cell r="G2619">
            <v>100</v>
          </cell>
          <cell r="H2619" t="str">
            <v>10× 3'单细胞</v>
          </cell>
          <cell r="I2619" t="str">
            <v>XCL</v>
          </cell>
          <cell r="J2619">
            <v>34.200000000000003</v>
          </cell>
          <cell r="K2619">
            <v>475</v>
          </cell>
          <cell r="N2619">
            <v>110.769230769231</v>
          </cell>
        </row>
        <row r="2620">
          <cell r="E2620" t="str">
            <v>HGC-2464530</v>
          </cell>
          <cell r="F2620" t="str">
            <v>MCAD 14d</v>
          </cell>
          <cell r="G2620">
            <v>100</v>
          </cell>
          <cell r="H2620" t="str">
            <v>10× 3'单细胞</v>
          </cell>
          <cell r="I2620" t="str">
            <v>XCL</v>
          </cell>
          <cell r="J2620">
            <v>37.799999999999997</v>
          </cell>
          <cell r="K2620">
            <v>482</v>
          </cell>
          <cell r="N2620">
            <v>120.651133099266</v>
          </cell>
        </row>
        <row r="2621">
          <cell r="E2621" t="str">
            <v>HGC-2464531</v>
          </cell>
          <cell r="F2621" t="str">
            <v>MSCS 14d</v>
          </cell>
          <cell r="G2621">
            <v>100</v>
          </cell>
          <cell r="H2621" t="str">
            <v>10× 3'单细胞</v>
          </cell>
          <cell r="I2621" t="str">
            <v>XCL</v>
          </cell>
          <cell r="J2621">
            <v>37.799999999999997</v>
          </cell>
          <cell r="K2621">
            <v>477</v>
          </cell>
          <cell r="N2621">
            <v>121.915820029028</v>
          </cell>
        </row>
        <row r="2622">
          <cell r="E2622" t="str">
            <v>HGC-2464532</v>
          </cell>
          <cell r="F2622" t="str">
            <v>MCAO 1d</v>
          </cell>
          <cell r="G2622">
            <v>100</v>
          </cell>
          <cell r="H2622" t="str">
            <v>10× 3'单细胞</v>
          </cell>
          <cell r="I2622" t="str">
            <v>XCL</v>
          </cell>
          <cell r="J2622">
            <v>42.8</v>
          </cell>
          <cell r="K2622">
            <v>467</v>
          </cell>
          <cell r="N2622">
            <v>140.998188107396</v>
          </cell>
        </row>
        <row r="2623">
          <cell r="E2623" t="str">
            <v>HGC-2464533</v>
          </cell>
          <cell r="F2623" t="str">
            <v>MSCS 1d</v>
          </cell>
          <cell r="G2623">
            <v>100</v>
          </cell>
          <cell r="H2623" t="str">
            <v>10× 3'单细胞</v>
          </cell>
          <cell r="I2623" t="str">
            <v>XCL</v>
          </cell>
          <cell r="J2623">
            <v>36.4</v>
          </cell>
          <cell r="K2623">
            <v>468</v>
          </cell>
          <cell r="N2623">
            <v>119.65811965812</v>
          </cell>
        </row>
        <row r="2624">
          <cell r="E2624" t="str">
            <v>HGC-Lib-2464555</v>
          </cell>
          <cell r="F2624" t="str">
            <v>1——2</v>
          </cell>
          <cell r="G2624">
            <v>6</v>
          </cell>
          <cell r="H2624" t="str">
            <v>mRNA文库</v>
          </cell>
          <cell r="I2624" t="str">
            <v>XCL</v>
          </cell>
          <cell r="J2624">
            <v>0.14000000000000001</v>
          </cell>
          <cell r="K2624">
            <v>374</v>
          </cell>
          <cell r="L2624" t="str">
            <v>HZK</v>
          </cell>
          <cell r="N2624">
            <v>0.57589469354175205</v>
          </cell>
        </row>
        <row r="2625">
          <cell r="E2625" t="str">
            <v>HGC-Lib-2464556</v>
          </cell>
          <cell r="F2625" t="str">
            <v>8——2</v>
          </cell>
          <cell r="G2625">
            <v>6</v>
          </cell>
          <cell r="H2625" t="str">
            <v>mRNA文库</v>
          </cell>
          <cell r="I2625" t="str">
            <v>XCL</v>
          </cell>
          <cell r="J2625">
            <v>4.88</v>
          </cell>
          <cell r="K2625">
            <v>400</v>
          </cell>
          <cell r="L2625" t="str">
            <v>HZK</v>
          </cell>
          <cell r="N2625">
            <v>18.769230769230798</v>
          </cell>
        </row>
        <row r="2626">
          <cell r="E2626" t="str">
            <v>HGC-Lib-2464557</v>
          </cell>
          <cell r="F2626" t="str">
            <v>13——2</v>
          </cell>
          <cell r="G2626">
            <v>6</v>
          </cell>
          <cell r="H2626" t="str">
            <v>mRNA文库</v>
          </cell>
          <cell r="I2626" t="str">
            <v>XCL</v>
          </cell>
          <cell r="J2626">
            <v>18.8</v>
          </cell>
          <cell r="K2626">
            <v>397</v>
          </cell>
          <cell r="N2626">
            <v>72.854098043014901</v>
          </cell>
        </row>
        <row r="2627">
          <cell r="E2627" t="str">
            <v>HGC-Lib-2464558</v>
          </cell>
          <cell r="F2627" t="str">
            <v>2——2</v>
          </cell>
          <cell r="G2627">
            <v>6</v>
          </cell>
          <cell r="H2627" t="str">
            <v>mRNA文库</v>
          </cell>
          <cell r="I2627" t="str">
            <v>XCL</v>
          </cell>
          <cell r="J2627">
            <v>27.8</v>
          </cell>
          <cell r="K2627">
            <v>355</v>
          </cell>
          <cell r="N2627">
            <v>120.47670639219901</v>
          </cell>
        </row>
        <row r="2628">
          <cell r="E2628" t="str">
            <v>HGC-Lib-2464579</v>
          </cell>
          <cell r="F2628" t="str">
            <v>YL24-8-R11</v>
          </cell>
          <cell r="G2628">
            <v>2</v>
          </cell>
          <cell r="H2628" t="str">
            <v>PCR产物文库</v>
          </cell>
          <cell r="I2628" t="str">
            <v>XCL</v>
          </cell>
          <cell r="J2628">
            <v>81.8</v>
          </cell>
          <cell r="K2628">
            <v>372</v>
          </cell>
          <cell r="N2628">
            <v>338.29611248966103</v>
          </cell>
        </row>
        <row r="2629">
          <cell r="E2629" t="str">
            <v>HGC-Lib-2464580</v>
          </cell>
          <cell r="F2629" t="str">
            <v>YL24-8-R12</v>
          </cell>
          <cell r="G2629">
            <v>2</v>
          </cell>
          <cell r="H2629" t="str">
            <v>PCR产物文库</v>
          </cell>
          <cell r="I2629" t="str">
            <v>XCL</v>
          </cell>
          <cell r="J2629">
            <v>80.2</v>
          </cell>
          <cell r="K2629">
            <v>389</v>
          </cell>
          <cell r="N2629">
            <v>317.18410124579799</v>
          </cell>
        </row>
        <row r="2630">
          <cell r="E2630" t="str">
            <v>HGC-Lib-2464581</v>
          </cell>
          <cell r="F2630" t="str">
            <v>YL24-8-R13</v>
          </cell>
          <cell r="G2630">
            <v>2</v>
          </cell>
          <cell r="H2630" t="str">
            <v>PCR产物文库</v>
          </cell>
          <cell r="I2630" t="str">
            <v>XCL</v>
          </cell>
          <cell r="J2630">
            <v>40.799999999999997</v>
          </cell>
          <cell r="K2630">
            <v>468</v>
          </cell>
          <cell r="N2630">
            <v>134.12228796844201</v>
          </cell>
        </row>
        <row r="2631">
          <cell r="E2631" t="str">
            <v>HGC-Lib-2464582</v>
          </cell>
          <cell r="F2631" t="str">
            <v>YL24-8-R14</v>
          </cell>
          <cell r="G2631">
            <v>2</v>
          </cell>
          <cell r="H2631" t="str">
            <v>PCR产物文库</v>
          </cell>
          <cell r="I2631" t="str">
            <v>XCL</v>
          </cell>
          <cell r="J2631">
            <v>42.4</v>
          </cell>
          <cell r="K2631">
            <v>444</v>
          </cell>
          <cell r="N2631">
            <v>146.916146916147</v>
          </cell>
        </row>
        <row r="2632">
          <cell r="E2632" t="str">
            <v>HGC-Lib-2464583</v>
          </cell>
          <cell r="F2632" t="str">
            <v>YL24-8-R15</v>
          </cell>
          <cell r="G2632">
            <v>2</v>
          </cell>
          <cell r="H2632" t="str">
            <v>PCR产物文库</v>
          </cell>
          <cell r="I2632" t="str">
            <v>XCL</v>
          </cell>
          <cell r="J2632">
            <v>33</v>
          </cell>
          <cell r="K2632">
            <v>429</v>
          </cell>
          <cell r="N2632">
            <v>118.34319526627201</v>
          </cell>
        </row>
        <row r="2633">
          <cell r="E2633" t="str">
            <v>HGC-Lib-2464584</v>
          </cell>
          <cell r="F2633" t="str">
            <v>YL24-8-R16</v>
          </cell>
          <cell r="G2633">
            <v>2</v>
          </cell>
          <cell r="H2633" t="str">
            <v>PCR产物文库</v>
          </cell>
          <cell r="I2633" t="str">
            <v>XCL</v>
          </cell>
          <cell r="J2633">
            <v>50.8</v>
          </cell>
          <cell r="K2633">
            <v>376</v>
          </cell>
          <cell r="N2633">
            <v>207.855973813421</v>
          </cell>
        </row>
        <row r="2634">
          <cell r="E2634" t="str">
            <v>HGC-Lib-2464585</v>
          </cell>
          <cell r="F2634" t="str">
            <v>YL24-8-R17</v>
          </cell>
          <cell r="G2634">
            <v>2</v>
          </cell>
          <cell r="H2634" t="str">
            <v>PCR产物文库</v>
          </cell>
          <cell r="I2634" t="str">
            <v>XCL</v>
          </cell>
          <cell r="J2634">
            <v>65.400000000000006</v>
          </cell>
          <cell r="K2634">
            <v>425</v>
          </cell>
          <cell r="N2634">
            <v>236.74208144796401</v>
          </cell>
        </row>
        <row r="2635">
          <cell r="E2635" t="str">
            <v>HGC-Lib-2464586</v>
          </cell>
          <cell r="F2635" t="str">
            <v>YL24-8-R18</v>
          </cell>
          <cell r="G2635">
            <v>2</v>
          </cell>
          <cell r="H2635" t="str">
            <v>PCR产物文库</v>
          </cell>
          <cell r="I2635" t="str">
            <v>XCL</v>
          </cell>
          <cell r="J2635">
            <v>57.4</v>
          </cell>
          <cell r="K2635">
            <v>404</v>
          </cell>
          <cell r="N2635">
            <v>218.58339680121901</v>
          </cell>
        </row>
        <row r="2636">
          <cell r="E2636" t="str">
            <v>HGC-Lib-2464587</v>
          </cell>
          <cell r="F2636" t="str">
            <v>hitomcll381</v>
          </cell>
          <cell r="G2636">
            <v>2</v>
          </cell>
          <cell r="H2636" t="str">
            <v>PCR片段文库</v>
          </cell>
          <cell r="I2636" t="str">
            <v>XCL</v>
          </cell>
          <cell r="J2636">
            <v>72.400000000000006</v>
          </cell>
          <cell r="K2636">
            <v>422</v>
          </cell>
          <cell r="N2636">
            <v>263.94458621946802</v>
          </cell>
        </row>
        <row r="2637">
          <cell r="E2637" t="str">
            <v>HGC-Lib-2464588</v>
          </cell>
          <cell r="F2637" t="str">
            <v>hitomcll382</v>
          </cell>
          <cell r="G2637">
            <v>2</v>
          </cell>
          <cell r="H2637" t="str">
            <v>PCR片段文库</v>
          </cell>
          <cell r="I2637" t="str">
            <v>XCL</v>
          </cell>
          <cell r="J2637">
            <v>66.8</v>
          </cell>
          <cell r="K2637">
            <v>430</v>
          </cell>
          <cell r="N2637">
            <v>238.998211091234</v>
          </cell>
        </row>
        <row r="2638">
          <cell r="E2638" t="str">
            <v>HGC-Lib-2464589</v>
          </cell>
          <cell r="F2638" t="str">
            <v>hitomcll383</v>
          </cell>
          <cell r="G2638">
            <v>2</v>
          </cell>
          <cell r="H2638" t="str">
            <v>PCR片段文库</v>
          </cell>
          <cell r="I2638" t="str">
            <v>XCL</v>
          </cell>
          <cell r="J2638">
            <v>85.8</v>
          </cell>
          <cell r="K2638">
            <v>417</v>
          </cell>
          <cell r="N2638">
            <v>316.54676258992799</v>
          </cell>
        </row>
        <row r="2639">
          <cell r="E2639" t="str">
            <v>HGC-Lib-2464590</v>
          </cell>
          <cell r="F2639" t="str">
            <v>hitomcll384</v>
          </cell>
          <cell r="G2639">
            <v>2</v>
          </cell>
          <cell r="H2639" t="str">
            <v>PCR片段文库</v>
          </cell>
          <cell r="I2639" t="str">
            <v>XCL</v>
          </cell>
          <cell r="J2639">
            <v>40.200000000000003</v>
          </cell>
          <cell r="K2639">
            <v>415</v>
          </cell>
          <cell r="N2639">
            <v>149.02687673771999</v>
          </cell>
        </row>
        <row r="2640">
          <cell r="E2640" t="str">
            <v>HGC-Lib-2464591</v>
          </cell>
          <cell r="F2640" t="str">
            <v>hitomcll385</v>
          </cell>
          <cell r="G2640">
            <v>2</v>
          </cell>
          <cell r="H2640" t="str">
            <v>PCR片段文库</v>
          </cell>
          <cell r="I2640" t="str">
            <v>XCL</v>
          </cell>
          <cell r="J2640">
            <v>49.8</v>
          </cell>
          <cell r="K2640">
            <v>421</v>
          </cell>
          <cell r="N2640">
            <v>181.98428649735101</v>
          </cell>
        </row>
        <row r="2641">
          <cell r="E2641" t="str">
            <v>HGC-Lib-2464592</v>
          </cell>
          <cell r="F2641" t="str">
            <v>hitomcll386</v>
          </cell>
          <cell r="G2641">
            <v>2</v>
          </cell>
          <cell r="H2641" t="str">
            <v>PCR片段文库</v>
          </cell>
          <cell r="I2641" t="str">
            <v>XCL</v>
          </cell>
          <cell r="J2641">
            <v>106</v>
          </cell>
          <cell r="K2641">
            <v>409</v>
          </cell>
          <cell r="N2641">
            <v>398.72108331765997</v>
          </cell>
        </row>
        <row r="2642">
          <cell r="E2642" t="str">
            <v>HGC-Lib-2464593</v>
          </cell>
          <cell r="F2642" t="str">
            <v>hitomcll387</v>
          </cell>
          <cell r="G2642">
            <v>2</v>
          </cell>
          <cell r="H2642" t="str">
            <v>PCR片段文库</v>
          </cell>
          <cell r="I2642" t="str">
            <v>XCL</v>
          </cell>
          <cell r="J2642">
            <v>36.4</v>
          </cell>
          <cell r="K2642">
            <v>416</v>
          </cell>
          <cell r="N2642">
            <v>134.61538461538501</v>
          </cell>
        </row>
        <row r="2643">
          <cell r="E2643" t="str">
            <v>HGC-Lib-2464594</v>
          </cell>
          <cell r="F2643" t="str">
            <v>hitomcll388</v>
          </cell>
          <cell r="G2643">
            <v>2</v>
          </cell>
          <cell r="H2643" t="str">
            <v>PCR片段文库</v>
          </cell>
          <cell r="I2643" t="str">
            <v>XCL</v>
          </cell>
          <cell r="J2643">
            <v>41.8</v>
          </cell>
          <cell r="K2643">
            <v>418</v>
          </cell>
          <cell r="N2643">
            <v>153.84615384615401</v>
          </cell>
        </row>
        <row r="2644">
          <cell r="E2644" t="str">
            <v>HGC-Lib-2464595</v>
          </cell>
          <cell r="F2644" t="str">
            <v>hitomcll389</v>
          </cell>
          <cell r="G2644">
            <v>2</v>
          </cell>
          <cell r="H2644" t="str">
            <v>PCR片段文库</v>
          </cell>
          <cell r="I2644" t="str">
            <v>XCL</v>
          </cell>
          <cell r="J2644">
            <v>95</v>
          </cell>
          <cell r="K2644">
            <v>427</v>
          </cell>
          <cell r="N2644">
            <v>342.28067014952302</v>
          </cell>
        </row>
        <row r="2645">
          <cell r="E2645" t="str">
            <v>HGC-Lib-2464596</v>
          </cell>
          <cell r="F2645" t="str">
            <v>hitomcll390</v>
          </cell>
          <cell r="G2645">
            <v>2</v>
          </cell>
          <cell r="H2645" t="str">
            <v>PCR片段文库</v>
          </cell>
          <cell r="I2645" t="str">
            <v>XCL</v>
          </cell>
          <cell r="J2645">
            <v>92.4</v>
          </cell>
          <cell r="K2645">
            <v>419</v>
          </cell>
          <cell r="N2645">
            <v>339.26932256287898</v>
          </cell>
        </row>
        <row r="2646">
          <cell r="E2646" t="str">
            <v>HGC-Lib-2464597</v>
          </cell>
          <cell r="F2646" t="str">
            <v>hitomcll391</v>
          </cell>
          <cell r="G2646">
            <v>2</v>
          </cell>
          <cell r="H2646" t="str">
            <v>PCR片段文库</v>
          </cell>
          <cell r="I2646" t="str">
            <v>XCL</v>
          </cell>
          <cell r="J2646">
            <v>114</v>
          </cell>
          <cell r="K2646">
            <v>429</v>
          </cell>
          <cell r="N2646">
            <v>408.821947283486</v>
          </cell>
        </row>
        <row r="2647">
          <cell r="E2647" t="str">
            <v>HGC-Lib-2464598</v>
          </cell>
          <cell r="F2647" t="str">
            <v>hitomcll392</v>
          </cell>
          <cell r="G2647">
            <v>2</v>
          </cell>
          <cell r="H2647" t="str">
            <v>PCR片段文库</v>
          </cell>
          <cell r="I2647" t="str">
            <v>XCL</v>
          </cell>
          <cell r="J2647">
            <v>87.2</v>
          </cell>
          <cell r="K2647">
            <v>425</v>
          </cell>
          <cell r="N2647">
            <v>315.65610859728503</v>
          </cell>
        </row>
        <row r="2648">
          <cell r="E2648" t="str">
            <v>HGC-Lib-2464599</v>
          </cell>
          <cell r="F2648" t="str">
            <v>hitomcll393</v>
          </cell>
          <cell r="G2648">
            <v>2</v>
          </cell>
          <cell r="H2648" t="str">
            <v>PCR片段文库</v>
          </cell>
          <cell r="I2648" t="str">
            <v>XCL</v>
          </cell>
          <cell r="J2648">
            <v>43.6</v>
          </cell>
          <cell r="K2648">
            <v>438</v>
          </cell>
          <cell r="N2648">
            <v>153.14365999297499</v>
          </cell>
        </row>
        <row r="2649">
          <cell r="E2649" t="str">
            <v>HGC-Lib-2464600</v>
          </cell>
          <cell r="F2649" t="str">
            <v>hitomcll394</v>
          </cell>
          <cell r="G2649">
            <v>2</v>
          </cell>
          <cell r="H2649" t="str">
            <v>PCR片段文库</v>
          </cell>
          <cell r="I2649" t="str">
            <v>XCL</v>
          </cell>
          <cell r="J2649">
            <v>90.2</v>
          </cell>
          <cell r="K2649">
            <v>452</v>
          </cell>
          <cell r="N2649">
            <v>307.01157249829799</v>
          </cell>
        </row>
        <row r="2650">
          <cell r="E2650" t="str">
            <v>HGC-Lib-2464601</v>
          </cell>
          <cell r="F2650" t="str">
            <v>hitomcll395</v>
          </cell>
          <cell r="G2650">
            <v>2</v>
          </cell>
          <cell r="H2650" t="str">
            <v>PCR片段文库</v>
          </cell>
          <cell r="I2650" t="str">
            <v>XCL</v>
          </cell>
          <cell r="J2650">
            <v>61.6</v>
          </cell>
          <cell r="K2650">
            <v>430</v>
          </cell>
          <cell r="N2650">
            <v>220.39355992844401</v>
          </cell>
        </row>
        <row r="2651">
          <cell r="E2651" t="str">
            <v>HGC-Lib-2464602</v>
          </cell>
          <cell r="F2651" t="str">
            <v>hitomcll396</v>
          </cell>
          <cell r="G2651">
            <v>2</v>
          </cell>
          <cell r="H2651" t="str">
            <v>PCR片段文库</v>
          </cell>
          <cell r="I2651" t="str">
            <v>XCL</v>
          </cell>
          <cell r="J2651">
            <v>80.8</v>
          </cell>
          <cell r="K2651">
            <v>429</v>
          </cell>
          <cell r="N2651">
            <v>289.761520530751</v>
          </cell>
        </row>
        <row r="2652">
          <cell r="E2652" t="str">
            <v>HGC-Lib-2464603</v>
          </cell>
          <cell r="F2652" t="str">
            <v>hitomcll397</v>
          </cell>
          <cell r="G2652">
            <v>2</v>
          </cell>
          <cell r="H2652" t="str">
            <v>PCR片段文库</v>
          </cell>
          <cell r="I2652" t="str">
            <v>XCL</v>
          </cell>
          <cell r="J2652">
            <v>29.8</v>
          </cell>
          <cell r="K2652">
            <v>438</v>
          </cell>
          <cell r="N2652">
            <v>104.67158412363899</v>
          </cell>
        </row>
        <row r="2653">
          <cell r="E2653" t="str">
            <v>HGC-Lib-2464604</v>
          </cell>
          <cell r="F2653" t="str">
            <v>hitomcll398</v>
          </cell>
          <cell r="G2653">
            <v>2</v>
          </cell>
          <cell r="H2653" t="str">
            <v>PCR片段文库</v>
          </cell>
          <cell r="I2653" t="str">
            <v>XCL</v>
          </cell>
          <cell r="J2653">
            <v>15.3</v>
          </cell>
          <cell r="K2653">
            <v>446</v>
          </cell>
          <cell r="N2653">
            <v>52.776819592963101</v>
          </cell>
        </row>
        <row r="2654">
          <cell r="E2654" t="str">
            <v>HGC-Lib-2464605</v>
          </cell>
          <cell r="F2654" t="str">
            <v>hitomcll399</v>
          </cell>
          <cell r="G2654">
            <v>2</v>
          </cell>
          <cell r="H2654" t="str">
            <v>PCR片段文库</v>
          </cell>
          <cell r="I2654" t="str">
            <v>XCL</v>
          </cell>
          <cell r="J2654">
            <v>38.200000000000003</v>
          </cell>
          <cell r="K2654">
            <v>460</v>
          </cell>
          <cell r="N2654">
            <v>127.759197324415</v>
          </cell>
        </row>
        <row r="2655">
          <cell r="E2655" t="str">
            <v>HGC-Lib-2464606</v>
          </cell>
          <cell r="F2655" t="str">
            <v>hitomcll400</v>
          </cell>
          <cell r="G2655">
            <v>2</v>
          </cell>
          <cell r="H2655" t="str">
            <v>PCR片段文库</v>
          </cell>
          <cell r="I2655" t="str">
            <v>XCL</v>
          </cell>
          <cell r="J2655">
            <v>36.6</v>
          </cell>
          <cell r="K2655">
            <v>474</v>
          </cell>
          <cell r="N2655">
            <v>118.79259980525801</v>
          </cell>
        </row>
        <row r="2656">
          <cell r="E2656" t="str">
            <v>HGC-Lib-2464607</v>
          </cell>
          <cell r="F2656" t="str">
            <v>hitomcll401</v>
          </cell>
          <cell r="G2656">
            <v>2</v>
          </cell>
          <cell r="H2656" t="str">
            <v>PCR片段文库</v>
          </cell>
          <cell r="I2656" t="str">
            <v>XCL</v>
          </cell>
          <cell r="J2656">
            <v>70.2</v>
          </cell>
          <cell r="K2656">
            <v>468</v>
          </cell>
          <cell r="N2656">
            <v>230.769230769231</v>
          </cell>
        </row>
        <row r="2657">
          <cell r="E2657" t="str">
            <v>HGC-Lib-2464608</v>
          </cell>
          <cell r="F2657" t="str">
            <v>hitomcll402</v>
          </cell>
          <cell r="G2657">
            <v>2</v>
          </cell>
          <cell r="H2657" t="str">
            <v>PCR片段文库</v>
          </cell>
          <cell r="I2657" t="str">
            <v>XCL</v>
          </cell>
          <cell r="J2657">
            <v>41.2</v>
          </cell>
          <cell r="K2657">
            <v>459</v>
          </cell>
          <cell r="N2657">
            <v>138.09284397519701</v>
          </cell>
        </row>
        <row r="2658">
          <cell r="E2658" t="str">
            <v>HGC-Lib-2464609</v>
          </cell>
          <cell r="F2658" t="str">
            <v>hitomcll403</v>
          </cell>
          <cell r="G2658">
            <v>2</v>
          </cell>
          <cell r="H2658" t="str">
            <v>PCR片段文库</v>
          </cell>
          <cell r="I2658" t="str">
            <v>GZQ</v>
          </cell>
          <cell r="J2658">
            <v>30</v>
          </cell>
          <cell r="K2658">
            <v>420</v>
          </cell>
          <cell r="N2658">
            <v>109.89010989011</v>
          </cell>
        </row>
        <row r="2659">
          <cell r="E2659" t="str">
            <v>HGC-Lib-2464610</v>
          </cell>
          <cell r="F2659" t="str">
            <v>hitomcll404</v>
          </cell>
          <cell r="G2659">
            <v>2</v>
          </cell>
          <cell r="H2659" t="str">
            <v>PCR片段文库</v>
          </cell>
          <cell r="I2659" t="str">
            <v>GZQ</v>
          </cell>
          <cell r="J2659">
            <v>65</v>
          </cell>
          <cell r="K2659">
            <v>442</v>
          </cell>
          <cell r="N2659">
            <v>226.24434389140299</v>
          </cell>
        </row>
        <row r="2660">
          <cell r="E2660" t="str">
            <v>HGC-Lib-2464611</v>
          </cell>
          <cell r="F2660" t="str">
            <v>hitomcll405</v>
          </cell>
          <cell r="G2660">
            <v>2</v>
          </cell>
          <cell r="H2660" t="str">
            <v>PCR片段文库</v>
          </cell>
          <cell r="I2660" t="str">
            <v>GZQ</v>
          </cell>
          <cell r="J2660">
            <v>89.2</v>
          </cell>
          <cell r="K2660">
            <v>422</v>
          </cell>
          <cell r="N2660">
            <v>325.19139628144399</v>
          </cell>
        </row>
        <row r="2661">
          <cell r="E2661" t="str">
            <v>HGC-Lib-2464612</v>
          </cell>
          <cell r="F2661" t="str">
            <v>hitomcll406</v>
          </cell>
          <cell r="G2661">
            <v>2</v>
          </cell>
          <cell r="H2661" t="str">
            <v>PCR片段文库</v>
          </cell>
          <cell r="I2661" t="str">
            <v>GZQ</v>
          </cell>
          <cell r="J2661">
            <v>74.400000000000006</v>
          </cell>
          <cell r="K2661">
            <v>427</v>
          </cell>
          <cell r="N2661">
            <v>268.05980904341601</v>
          </cell>
        </row>
        <row r="2662">
          <cell r="E2662" t="str">
            <v>HGC-Lib-2464613</v>
          </cell>
          <cell r="F2662" t="str">
            <v>hitomcll407</v>
          </cell>
          <cell r="G2662">
            <v>2</v>
          </cell>
          <cell r="H2662" t="str">
            <v>PCR片段文库</v>
          </cell>
          <cell r="I2662" t="str">
            <v>GZQ</v>
          </cell>
          <cell r="J2662">
            <v>54.4</v>
          </cell>
          <cell r="K2662">
            <v>426</v>
          </cell>
          <cell r="N2662">
            <v>196.460816179126</v>
          </cell>
        </row>
        <row r="2663">
          <cell r="E2663" t="str">
            <v>HGC-Lib-2464614</v>
          </cell>
          <cell r="F2663" t="str">
            <v>hitomcll408</v>
          </cell>
          <cell r="G2663">
            <v>2</v>
          </cell>
          <cell r="H2663" t="str">
            <v>PCR片段文库</v>
          </cell>
          <cell r="I2663" t="str">
            <v>GZQ</v>
          </cell>
          <cell r="J2663">
            <v>53.6</v>
          </cell>
          <cell r="K2663">
            <v>422</v>
          </cell>
          <cell r="N2663">
            <v>195.40648924535199</v>
          </cell>
        </row>
        <row r="2664">
          <cell r="E2664" t="str">
            <v>HGC-Lib-2464615</v>
          </cell>
          <cell r="F2664" t="str">
            <v>HYN-R1-240810</v>
          </cell>
          <cell r="G2664">
            <v>2</v>
          </cell>
          <cell r="H2664" t="str">
            <v>PCR片段文库</v>
          </cell>
          <cell r="I2664" t="str">
            <v>GZQ</v>
          </cell>
          <cell r="J2664">
            <v>48.2</v>
          </cell>
          <cell r="K2664">
            <v>663</v>
          </cell>
          <cell r="N2664">
            <v>111.845921800673</v>
          </cell>
        </row>
        <row r="2665">
          <cell r="E2665" t="str">
            <v>HGC-Lib-2464616</v>
          </cell>
          <cell r="F2665" t="str">
            <v>HYN-R2-240810</v>
          </cell>
          <cell r="G2665">
            <v>2</v>
          </cell>
          <cell r="H2665" t="str">
            <v>PCR片段文库</v>
          </cell>
          <cell r="I2665" t="str">
            <v>GZQ</v>
          </cell>
          <cell r="J2665">
            <v>80.8</v>
          </cell>
          <cell r="K2665">
            <v>440</v>
          </cell>
          <cell r="N2665">
            <v>282.51748251748302</v>
          </cell>
        </row>
        <row r="2666">
          <cell r="E2666" t="str">
            <v>HGC-Lib-2464617</v>
          </cell>
          <cell r="F2666" t="str">
            <v>HYN-R3-240810</v>
          </cell>
          <cell r="G2666">
            <v>2</v>
          </cell>
          <cell r="H2666" t="str">
            <v>PCR片段文库</v>
          </cell>
          <cell r="I2666" t="str">
            <v>GZQ</v>
          </cell>
          <cell r="J2666">
            <v>31.6</v>
          </cell>
          <cell r="K2666">
            <v>411</v>
          </cell>
          <cell r="N2666">
            <v>118.285607336702</v>
          </cell>
        </row>
        <row r="2667">
          <cell r="E2667" t="str">
            <v>HGC-Lib-2464618</v>
          </cell>
          <cell r="F2667" t="str">
            <v>HYN-R4-240810</v>
          </cell>
          <cell r="G2667">
            <v>2</v>
          </cell>
          <cell r="H2667" t="str">
            <v>PCR片段文库</v>
          </cell>
          <cell r="I2667" t="str">
            <v>GZQ</v>
          </cell>
          <cell r="J2667">
            <v>46.6</v>
          </cell>
          <cell r="K2667">
            <v>693</v>
          </cell>
          <cell r="N2667">
            <v>103.452103452103</v>
          </cell>
        </row>
        <row r="2668">
          <cell r="E2668" t="str">
            <v>HGC-Lib-2464619</v>
          </cell>
          <cell r="F2668" t="str">
            <v>HYN-R5-240810</v>
          </cell>
          <cell r="G2668">
            <v>2</v>
          </cell>
          <cell r="H2668" t="str">
            <v>PCR片段文库</v>
          </cell>
          <cell r="I2668" t="str">
            <v>GZQ</v>
          </cell>
          <cell r="J2668">
            <v>82.4</v>
          </cell>
          <cell r="K2668">
            <v>491</v>
          </cell>
          <cell r="N2668">
            <v>258.18580604731301</v>
          </cell>
        </row>
        <row r="2669">
          <cell r="E2669" t="str">
            <v>HGC-Lib-2464620</v>
          </cell>
          <cell r="F2669" t="str">
            <v>HYN-R6-240810</v>
          </cell>
          <cell r="G2669">
            <v>2</v>
          </cell>
          <cell r="H2669" t="str">
            <v>PCR片段文库</v>
          </cell>
          <cell r="I2669" t="str">
            <v>GZQ</v>
          </cell>
          <cell r="J2669">
            <v>16.5</v>
          </cell>
          <cell r="K2669">
            <v>599</v>
          </cell>
          <cell r="N2669">
            <v>42.378322845768601</v>
          </cell>
        </row>
        <row r="2670">
          <cell r="E2670" t="str">
            <v>HGC-Lib-2464621</v>
          </cell>
          <cell r="F2670" t="str">
            <v>HYN-R7-240810</v>
          </cell>
          <cell r="G2670">
            <v>2</v>
          </cell>
          <cell r="H2670" t="str">
            <v>PCR片段文库</v>
          </cell>
          <cell r="I2670" t="str">
            <v>GZQ</v>
          </cell>
          <cell r="J2670">
            <v>47.4</v>
          </cell>
          <cell r="K2670">
            <v>554</v>
          </cell>
          <cell r="N2670">
            <v>131.63010274923599</v>
          </cell>
        </row>
        <row r="2671">
          <cell r="E2671" t="str">
            <v>HGC-Lib-2464622</v>
          </cell>
          <cell r="F2671" t="str">
            <v>HYN-R8-240810</v>
          </cell>
          <cell r="G2671">
            <v>2</v>
          </cell>
          <cell r="H2671" t="str">
            <v>PCR片段文库</v>
          </cell>
          <cell r="I2671" t="str">
            <v>GZQ</v>
          </cell>
          <cell r="J2671">
            <v>55.6</v>
          </cell>
          <cell r="K2671">
            <v>417</v>
          </cell>
          <cell r="N2671">
            <v>205.128205128205</v>
          </cell>
        </row>
        <row r="2672">
          <cell r="E2672" t="str">
            <v>HGC-Lib-2464623</v>
          </cell>
          <cell r="F2672" t="str">
            <v>HYN-R9-240810</v>
          </cell>
          <cell r="G2672">
            <v>2</v>
          </cell>
          <cell r="H2672" t="str">
            <v>PCR片段文库</v>
          </cell>
          <cell r="I2672" t="str">
            <v>GZQ</v>
          </cell>
          <cell r="J2672">
            <v>98.4</v>
          </cell>
          <cell r="K2672">
            <v>398</v>
          </cell>
          <cell r="N2672">
            <v>380.36335523772698</v>
          </cell>
        </row>
        <row r="2673">
          <cell r="E2673" t="str">
            <v>HGC-Lib-2464624</v>
          </cell>
          <cell r="F2673" t="str">
            <v>HYN-R10-240810</v>
          </cell>
          <cell r="G2673">
            <v>2</v>
          </cell>
          <cell r="H2673" t="str">
            <v>PCR片段文库</v>
          </cell>
          <cell r="I2673" t="str">
            <v>GZQ</v>
          </cell>
          <cell r="J2673">
            <v>48</v>
          </cell>
          <cell r="K2673">
            <v>387</v>
          </cell>
          <cell r="N2673">
            <v>190.81693500298201</v>
          </cell>
        </row>
        <row r="2674">
          <cell r="E2674" t="str">
            <v>HGC-POOL-2464645</v>
          </cell>
          <cell r="F2674" t="str">
            <v>PLN238</v>
          </cell>
          <cell r="G2674">
            <v>70</v>
          </cell>
          <cell r="H2674" t="str">
            <v>DAP-Seq文库</v>
          </cell>
          <cell r="I2674" t="str">
            <v>GZQ</v>
          </cell>
          <cell r="J2674">
            <v>17.2</v>
          </cell>
          <cell r="K2674">
            <v>325</v>
          </cell>
          <cell r="N2674">
            <v>81.420118343195298</v>
          </cell>
        </row>
        <row r="2675">
          <cell r="E2675" t="str">
            <v>HGC-POOL-2464646</v>
          </cell>
          <cell r="F2675" t="str">
            <v>PLN239</v>
          </cell>
          <cell r="G2675">
            <v>50</v>
          </cell>
          <cell r="H2675" t="str">
            <v>mRNA文库</v>
          </cell>
          <cell r="I2675" t="str">
            <v>GZQ</v>
          </cell>
          <cell r="J2675">
            <v>0.67</v>
          </cell>
          <cell r="K2675">
            <v>310</v>
          </cell>
          <cell r="L2675" t="str">
            <v>HZK</v>
          </cell>
          <cell r="N2675">
            <v>3.3250620347394499</v>
          </cell>
        </row>
        <row r="2676">
          <cell r="E2676" t="str">
            <v>HGC-Lib-2464647</v>
          </cell>
          <cell r="F2676" t="str">
            <v>75-S-H3K27ac-1</v>
          </cell>
          <cell r="G2676">
            <v>6</v>
          </cell>
          <cell r="H2676" t="str">
            <v>CUT&amp;Tag文库</v>
          </cell>
          <cell r="I2676" t="str">
            <v>GZQ</v>
          </cell>
          <cell r="J2676">
            <v>2.68</v>
          </cell>
          <cell r="K2676">
            <v>498</v>
          </cell>
          <cell r="L2676" t="str">
            <v>HZK</v>
          </cell>
          <cell r="N2676">
            <v>8.2792709298733396</v>
          </cell>
        </row>
        <row r="2677">
          <cell r="E2677" t="str">
            <v>HGC-Lib-2464648</v>
          </cell>
          <cell r="F2677" t="str">
            <v>75-S-H3K27ac-2</v>
          </cell>
          <cell r="G2677">
            <v>6</v>
          </cell>
          <cell r="H2677" t="str">
            <v>CUT&amp;Tag文库</v>
          </cell>
          <cell r="I2677" t="str">
            <v>GZQ</v>
          </cell>
          <cell r="J2677">
            <v>1.7</v>
          </cell>
          <cell r="K2677">
            <v>489</v>
          </cell>
          <cell r="L2677" t="str">
            <v>HZK</v>
          </cell>
          <cell r="N2677">
            <v>5.3484347962875596</v>
          </cell>
        </row>
        <row r="2678">
          <cell r="E2678" t="str">
            <v>HGC-Lib-2464649</v>
          </cell>
          <cell r="F2678" t="str">
            <v>S703-S-H3K9me2-1</v>
          </cell>
          <cell r="G2678">
            <v>6</v>
          </cell>
          <cell r="H2678" t="str">
            <v>CUT&amp;Tag文库</v>
          </cell>
          <cell r="I2678" t="str">
            <v>GZQ</v>
          </cell>
          <cell r="J2678">
            <v>0.82599999999999996</v>
          </cell>
          <cell r="K2678">
            <v>460</v>
          </cell>
          <cell r="L2678" t="str">
            <v>HZK</v>
          </cell>
          <cell r="N2678">
            <v>2.7625418060200699</v>
          </cell>
        </row>
        <row r="2679">
          <cell r="E2679" t="str">
            <v>HGC-Lib-2464650</v>
          </cell>
          <cell r="F2679" t="str">
            <v>S703-S-H3K9me2-2</v>
          </cell>
          <cell r="G2679">
            <v>6</v>
          </cell>
          <cell r="H2679" t="str">
            <v>CUT&amp;Tag文库</v>
          </cell>
          <cell r="I2679" t="str">
            <v>GZQ</v>
          </cell>
          <cell r="J2679">
            <v>0.73399999999999999</v>
          </cell>
          <cell r="K2679">
            <v>431</v>
          </cell>
          <cell r="L2679" t="str">
            <v>HZK</v>
          </cell>
          <cell r="N2679">
            <v>2.6200249866143102</v>
          </cell>
        </row>
        <row r="2680">
          <cell r="E2680" t="str">
            <v>HGC-Lib-2464651</v>
          </cell>
          <cell r="F2680" t="str">
            <v>A1-S-H3K27me3-1</v>
          </cell>
          <cell r="G2680">
            <v>6</v>
          </cell>
          <cell r="H2680" t="str">
            <v>CUT&amp;Tag文库</v>
          </cell>
          <cell r="I2680" t="str">
            <v>GZQ</v>
          </cell>
          <cell r="J2680">
            <v>1.94</v>
          </cell>
          <cell r="K2680">
            <v>479</v>
          </cell>
          <cell r="L2680" t="str">
            <v>HZK</v>
          </cell>
          <cell r="N2680">
            <v>6.2309298217440201</v>
          </cell>
        </row>
        <row r="2681">
          <cell r="E2681" t="str">
            <v>HGC-Lib-2464652</v>
          </cell>
          <cell r="F2681" t="str">
            <v>A1-S-H3K27me3-2</v>
          </cell>
          <cell r="G2681">
            <v>6</v>
          </cell>
          <cell r="H2681" t="str">
            <v>CUT&amp;Tag文库</v>
          </cell>
          <cell r="I2681" t="str">
            <v>GZQ</v>
          </cell>
          <cell r="J2681">
            <v>2.5</v>
          </cell>
          <cell r="K2681">
            <v>507</v>
          </cell>
          <cell r="L2681" t="str">
            <v>HZK</v>
          </cell>
          <cell r="N2681">
            <v>7.5861022606584703</v>
          </cell>
        </row>
        <row r="2682">
          <cell r="E2682" t="str">
            <v>HGC-Lib-2464653</v>
          </cell>
          <cell r="F2682" t="str">
            <v>NIP-S-H3K27me3-1</v>
          </cell>
          <cell r="G2682">
            <v>6</v>
          </cell>
          <cell r="H2682" t="str">
            <v>CUT&amp;Tag文库</v>
          </cell>
          <cell r="I2682" t="str">
            <v>GZQ</v>
          </cell>
          <cell r="J2682" t="str">
            <v>/</v>
          </cell>
          <cell r="K2682" t="str">
            <v>/</v>
          </cell>
          <cell r="L2682" t="str">
            <v>HZK</v>
          </cell>
          <cell r="N2682" t="e">
            <v>#VALUE!</v>
          </cell>
        </row>
        <row r="2683">
          <cell r="E2683" t="str">
            <v>HGC-Lib-2464654</v>
          </cell>
          <cell r="F2683" t="str">
            <v>NIP-S-H3K27me3-2</v>
          </cell>
          <cell r="G2683">
            <v>6</v>
          </cell>
          <cell r="H2683" t="str">
            <v>CUT&amp;Tag文库</v>
          </cell>
          <cell r="I2683" t="str">
            <v>GZQ</v>
          </cell>
          <cell r="J2683">
            <v>2.02</v>
          </cell>
          <cell r="K2683">
            <v>454</v>
          </cell>
          <cell r="L2683" t="str">
            <v>HZK</v>
          </cell>
          <cell r="N2683">
            <v>6.8451372416130098</v>
          </cell>
        </row>
        <row r="2684">
          <cell r="E2684" t="str">
            <v>HGC-Lib-2464655</v>
          </cell>
          <cell r="F2684" t="str">
            <v>LK19</v>
          </cell>
          <cell r="G2684">
            <v>250</v>
          </cell>
          <cell r="H2684" t="str">
            <v>10x 5'单细胞</v>
          </cell>
          <cell r="I2684" t="str">
            <v>GZQ</v>
          </cell>
          <cell r="J2684">
            <v>61.6</v>
          </cell>
          <cell r="K2684">
            <v>511</v>
          </cell>
          <cell r="L2684" t="str">
            <v>WH</v>
          </cell>
          <cell r="N2684">
            <v>185.458377239199</v>
          </cell>
        </row>
        <row r="2685">
          <cell r="E2685" t="str">
            <v>HGC-Lib-2464656</v>
          </cell>
          <cell r="F2685" t="str">
            <v>LK20</v>
          </cell>
          <cell r="G2685">
            <v>250</v>
          </cell>
          <cell r="H2685" t="str">
            <v>10x 5'单细胞</v>
          </cell>
          <cell r="I2685" t="str">
            <v>GZQ</v>
          </cell>
          <cell r="J2685">
            <v>61.8</v>
          </cell>
          <cell r="K2685">
            <v>524</v>
          </cell>
          <cell r="L2685" t="str">
            <v>WH</v>
          </cell>
          <cell r="N2685">
            <v>181.444509688784</v>
          </cell>
        </row>
        <row r="2686">
          <cell r="E2686" t="str">
            <v>HGC-Lib-2464657</v>
          </cell>
          <cell r="F2686" t="str">
            <v>LK21</v>
          </cell>
          <cell r="G2686">
            <v>250</v>
          </cell>
          <cell r="H2686" t="str">
            <v>10x 5'单细胞</v>
          </cell>
          <cell r="I2686" t="str">
            <v>GZQ</v>
          </cell>
          <cell r="J2686">
            <v>49.6</v>
          </cell>
          <cell r="K2686">
            <v>512</v>
          </cell>
          <cell r="L2686" t="str">
            <v>WH</v>
          </cell>
          <cell r="N2686">
            <v>149.038461538462</v>
          </cell>
        </row>
        <row r="2687">
          <cell r="E2687" t="str">
            <v>HGC-Lib-2464658</v>
          </cell>
          <cell r="F2687" t="str">
            <v>PWJ27</v>
          </cell>
          <cell r="G2687">
            <v>250</v>
          </cell>
          <cell r="H2687" t="str">
            <v>10x 5'单细胞</v>
          </cell>
          <cell r="I2687" t="str">
            <v>GZQ</v>
          </cell>
          <cell r="J2687">
            <v>60.8</v>
          </cell>
          <cell r="K2687">
            <v>482</v>
          </cell>
          <cell r="L2687" t="str">
            <v>WH</v>
          </cell>
          <cell r="N2687">
            <v>194.063198212576</v>
          </cell>
        </row>
        <row r="2688">
          <cell r="E2688" t="str">
            <v>HGC-POOL-2464659</v>
          </cell>
          <cell r="F2688" t="str">
            <v>ZH-75</v>
          </cell>
          <cell r="I2688" t="str">
            <v>GZQ</v>
          </cell>
          <cell r="J2688">
            <v>52.4</v>
          </cell>
          <cell r="K2688">
            <v>469</v>
          </cell>
          <cell r="L2688" t="str">
            <v>WH</v>
          </cell>
          <cell r="N2688">
            <v>171.88781367885801</v>
          </cell>
        </row>
        <row r="2689">
          <cell r="E2689" t="str">
            <v>HGC-POOL-2464660</v>
          </cell>
          <cell r="F2689" t="str">
            <v>YWY_0809_elf6_K27</v>
          </cell>
          <cell r="G2689">
            <v>18</v>
          </cell>
          <cell r="H2689" t="str">
            <v>Chip-Seq</v>
          </cell>
          <cell r="I2689" t="str">
            <v>GZQ</v>
          </cell>
          <cell r="J2689">
            <v>2.74</v>
          </cell>
          <cell r="K2689">
            <v>427</v>
          </cell>
          <cell r="L2689" t="str">
            <v>HZK</v>
          </cell>
          <cell r="N2689">
            <v>9.8720951179967606</v>
          </cell>
        </row>
        <row r="2690">
          <cell r="E2690" t="str">
            <v>HGC-POOL-2464661</v>
          </cell>
          <cell r="F2690" t="str">
            <v>WT_Naive_IgG_CR_3</v>
          </cell>
          <cell r="G2690">
            <v>8</v>
          </cell>
          <cell r="H2690" t="str">
            <v>CUT&amp;RUN文库</v>
          </cell>
          <cell r="I2690" t="str">
            <v>GZQ</v>
          </cell>
          <cell r="J2690">
            <v>25</v>
          </cell>
          <cell r="K2690">
            <v>370</v>
          </cell>
          <cell r="L2690" t="str">
            <v>WH</v>
          </cell>
          <cell r="N2690">
            <v>103.95010395010399</v>
          </cell>
        </row>
        <row r="2691">
          <cell r="E2691" t="str">
            <v>HGC-POOL-2464662</v>
          </cell>
          <cell r="F2691" t="str">
            <v>WT_Naive_FOXP1_CR_3</v>
          </cell>
          <cell r="G2691">
            <v>8</v>
          </cell>
          <cell r="H2691" t="str">
            <v>CUT&amp;RUN文库</v>
          </cell>
          <cell r="I2691" t="str">
            <v>GZQ</v>
          </cell>
          <cell r="J2691">
            <v>34</v>
          </cell>
          <cell r="K2691">
            <v>380</v>
          </cell>
          <cell r="L2691" t="str">
            <v>WH</v>
          </cell>
          <cell r="N2691">
            <v>137.65182186234799</v>
          </cell>
        </row>
        <row r="2692">
          <cell r="E2692" t="str">
            <v>HGC-POOL-2464663</v>
          </cell>
          <cell r="F2692" t="str">
            <v>WT_Mem_FOXP1_CR_3</v>
          </cell>
          <cell r="G2692">
            <v>8</v>
          </cell>
          <cell r="H2692" t="str">
            <v>CUT&amp;RUN文库</v>
          </cell>
          <cell r="I2692" t="str">
            <v>GZQ</v>
          </cell>
          <cell r="J2692">
            <v>34.4</v>
          </cell>
          <cell r="K2692">
            <v>368</v>
          </cell>
          <cell r="L2692" t="str">
            <v>WH</v>
          </cell>
          <cell r="N2692">
            <v>143.8127090301</v>
          </cell>
        </row>
        <row r="2693">
          <cell r="E2693" t="str">
            <v>HGC-POOL-2464664</v>
          </cell>
          <cell r="F2693" t="str">
            <v>WT_D8_FOXP1_CR_3</v>
          </cell>
          <cell r="G2693">
            <v>8</v>
          </cell>
          <cell r="H2693" t="str">
            <v>CUT&amp;RUN文库</v>
          </cell>
          <cell r="I2693" t="str">
            <v>GZQ</v>
          </cell>
          <cell r="J2693">
            <v>34</v>
          </cell>
          <cell r="K2693">
            <v>353</v>
          </cell>
          <cell r="L2693" t="str">
            <v>WH</v>
          </cell>
          <cell r="N2693">
            <v>148.18043146655</v>
          </cell>
        </row>
        <row r="2694">
          <cell r="E2694" t="str">
            <v>HGC-POOL-2464665</v>
          </cell>
          <cell r="F2694" t="str">
            <v>A9-mLiver-5K-XDX-0808</v>
          </cell>
          <cell r="G2694">
            <v>20</v>
          </cell>
          <cell r="H2694" t="str">
            <v>10× 3'单细胞</v>
          </cell>
          <cell r="I2694" t="str">
            <v>GZQ</v>
          </cell>
          <cell r="J2694">
            <v>16.2</v>
          </cell>
          <cell r="K2694">
            <v>351</v>
          </cell>
          <cell r="L2694" t="str">
            <v>WH</v>
          </cell>
          <cell r="N2694">
            <v>71.0059171597633</v>
          </cell>
        </row>
        <row r="2695">
          <cell r="E2695" t="str">
            <v>HGC-POOL-2464666</v>
          </cell>
          <cell r="F2695" t="str">
            <v>A9-mLiver-5K-GP-0808</v>
          </cell>
          <cell r="G2695">
            <v>20</v>
          </cell>
          <cell r="H2695" t="str">
            <v>10× 3'单细胞</v>
          </cell>
          <cell r="I2695" t="str">
            <v>GZQ</v>
          </cell>
          <cell r="J2695">
            <v>12</v>
          </cell>
          <cell r="K2695">
            <v>345</v>
          </cell>
          <cell r="L2695" t="str">
            <v>WH</v>
          </cell>
          <cell r="N2695">
            <v>53.511705685618701</v>
          </cell>
        </row>
        <row r="2696">
          <cell r="E2696" t="str">
            <v>HGC-Lib-2464667</v>
          </cell>
          <cell r="F2696" t="str">
            <v>WT-1</v>
          </cell>
          <cell r="G2696">
            <v>6</v>
          </cell>
          <cell r="H2696" t="str">
            <v>mRNA文库</v>
          </cell>
          <cell r="I2696" t="str">
            <v>GZQ</v>
          </cell>
          <cell r="J2696">
            <v>99.8</v>
          </cell>
          <cell r="K2696">
            <v>325</v>
          </cell>
          <cell r="L2696" t="str">
            <v>WH</v>
          </cell>
          <cell r="N2696">
            <v>472.426035502959</v>
          </cell>
        </row>
        <row r="2697">
          <cell r="E2697" t="str">
            <v>HGC-Lib-2464668</v>
          </cell>
          <cell r="F2697" t="str">
            <v>WT-2</v>
          </cell>
          <cell r="G2697">
            <v>6</v>
          </cell>
          <cell r="H2697" t="str">
            <v>mRNA文库</v>
          </cell>
          <cell r="I2697" t="str">
            <v>GZQ</v>
          </cell>
          <cell r="J2697">
            <v>80</v>
          </cell>
          <cell r="K2697">
            <v>328</v>
          </cell>
          <cell r="L2697" t="str">
            <v>WH</v>
          </cell>
          <cell r="N2697">
            <v>375.23452157598501</v>
          </cell>
        </row>
        <row r="2698">
          <cell r="E2698" t="str">
            <v>HGC-Lib-2464669</v>
          </cell>
          <cell r="F2698" t="str">
            <v>WT-3</v>
          </cell>
          <cell r="G2698">
            <v>6</v>
          </cell>
          <cell r="H2698" t="str">
            <v>mRNA文库</v>
          </cell>
          <cell r="I2698" t="str">
            <v>GZQ</v>
          </cell>
          <cell r="J2698">
            <v>98.8</v>
          </cell>
          <cell r="K2698">
            <v>324</v>
          </cell>
          <cell r="L2698" t="str">
            <v>WH</v>
          </cell>
          <cell r="N2698">
            <v>469.13580246913602</v>
          </cell>
        </row>
        <row r="2699">
          <cell r="E2699" t="str">
            <v>HGC-Lib-2464670</v>
          </cell>
          <cell r="F2699" t="str">
            <v>1_2</v>
          </cell>
          <cell r="G2699">
            <v>6</v>
          </cell>
          <cell r="H2699" t="str">
            <v>mRNA文库</v>
          </cell>
          <cell r="I2699" t="str">
            <v>GZQ</v>
          </cell>
          <cell r="J2699">
            <v>16.100000000000001</v>
          </cell>
          <cell r="K2699">
            <v>328</v>
          </cell>
          <cell r="L2699" t="str">
            <v>WH</v>
          </cell>
          <cell r="N2699">
            <v>75.515947467166995</v>
          </cell>
        </row>
        <row r="2700">
          <cell r="E2700" t="str">
            <v>HGC-Lib-2464671</v>
          </cell>
          <cell r="F2700" t="str">
            <v>1_9</v>
          </cell>
          <cell r="G2700">
            <v>6</v>
          </cell>
          <cell r="H2700" t="str">
            <v>mRNA文库</v>
          </cell>
          <cell r="I2700" t="str">
            <v>GZQ</v>
          </cell>
          <cell r="J2700" t="str">
            <v>/</v>
          </cell>
          <cell r="K2700">
            <v>358</v>
          </cell>
          <cell r="L2700" t="str">
            <v>HZK</v>
          </cell>
          <cell r="N2700" t="e">
            <v>#VALUE!</v>
          </cell>
        </row>
        <row r="2701">
          <cell r="E2701" t="str">
            <v>HGC-Lib-2464672</v>
          </cell>
          <cell r="F2701" t="str">
            <v>1_11</v>
          </cell>
          <cell r="G2701">
            <v>6</v>
          </cell>
          <cell r="H2701" t="str">
            <v>mRNA文库</v>
          </cell>
          <cell r="I2701" t="str">
            <v>GZQ</v>
          </cell>
          <cell r="J2701">
            <v>48.2</v>
          </cell>
          <cell r="K2701">
            <v>321</v>
          </cell>
          <cell r="L2701" t="str">
            <v>WH</v>
          </cell>
          <cell r="N2701">
            <v>231.008866522885</v>
          </cell>
        </row>
        <row r="2702">
          <cell r="E2702" t="str">
            <v>HGC-Lib-2464673</v>
          </cell>
          <cell r="F2702" t="str">
            <v>2_3</v>
          </cell>
          <cell r="G2702">
            <v>6</v>
          </cell>
          <cell r="H2702" t="str">
            <v>mRNA文库</v>
          </cell>
          <cell r="I2702" t="str">
            <v>GZQ</v>
          </cell>
          <cell r="J2702">
            <v>82.8</v>
          </cell>
          <cell r="K2702">
            <v>313</v>
          </cell>
          <cell r="L2702" t="str">
            <v>WH</v>
          </cell>
          <cell r="N2702">
            <v>406.97960186778101</v>
          </cell>
        </row>
        <row r="2703">
          <cell r="E2703" t="str">
            <v>HGC-Lib-2464674</v>
          </cell>
          <cell r="F2703" t="str">
            <v>2_6</v>
          </cell>
          <cell r="G2703">
            <v>6</v>
          </cell>
          <cell r="H2703" t="str">
            <v>mRNA文库</v>
          </cell>
          <cell r="I2703" t="str">
            <v>GZQ</v>
          </cell>
          <cell r="J2703">
            <v>88.2</v>
          </cell>
          <cell r="K2703">
            <v>331</v>
          </cell>
          <cell r="L2703" t="str">
            <v>WH</v>
          </cell>
          <cell r="N2703">
            <v>409.94654891935897</v>
          </cell>
        </row>
        <row r="2704">
          <cell r="E2704" t="str">
            <v>HGC-Lib-2464706</v>
          </cell>
          <cell r="F2704" t="str">
            <v>Hu33</v>
          </cell>
          <cell r="G2704">
            <v>10</v>
          </cell>
          <cell r="H2704" t="str">
            <v>mRNA文库</v>
          </cell>
          <cell r="I2704" t="str">
            <v>YHT</v>
          </cell>
          <cell r="J2704">
            <v>2.76</v>
          </cell>
          <cell r="K2704">
            <v>373</v>
          </cell>
          <cell r="L2704" t="str">
            <v>HZK</v>
          </cell>
          <cell r="N2704">
            <v>11.3837904722623</v>
          </cell>
        </row>
        <row r="2705">
          <cell r="E2705" t="str">
            <v>HGC-Lib-2464707</v>
          </cell>
          <cell r="F2705" t="str">
            <v>Hu34</v>
          </cell>
          <cell r="G2705">
            <v>10</v>
          </cell>
          <cell r="H2705" t="str">
            <v>mRNA文库</v>
          </cell>
          <cell r="I2705" t="str">
            <v>YHT</v>
          </cell>
          <cell r="J2705">
            <v>2.7</v>
          </cell>
          <cell r="K2705">
            <v>344</v>
          </cell>
          <cell r="L2705" t="str">
            <v>HZK</v>
          </cell>
          <cell r="N2705">
            <v>12.075134168157399</v>
          </cell>
        </row>
        <row r="2706">
          <cell r="E2706" t="str">
            <v>HGC-Lib-2464708</v>
          </cell>
          <cell r="F2706" t="str">
            <v>Hu35</v>
          </cell>
          <cell r="G2706">
            <v>10</v>
          </cell>
          <cell r="H2706" t="str">
            <v>mRNA文库</v>
          </cell>
          <cell r="I2706" t="str">
            <v>YHT</v>
          </cell>
          <cell r="J2706">
            <v>3.5</v>
          </cell>
          <cell r="K2706">
            <v>352</v>
          </cell>
          <cell r="L2706" t="str">
            <v>HZK</v>
          </cell>
          <cell r="N2706">
            <v>15.2972027972028</v>
          </cell>
        </row>
        <row r="2707">
          <cell r="E2707" t="str">
            <v>HGC-Lib-2464709</v>
          </cell>
          <cell r="F2707" t="str">
            <v>Hu36</v>
          </cell>
          <cell r="G2707">
            <v>10</v>
          </cell>
          <cell r="H2707" t="str">
            <v>mRNA文库</v>
          </cell>
          <cell r="I2707" t="str">
            <v>YHT</v>
          </cell>
          <cell r="J2707">
            <v>2.2599999999999998</v>
          </cell>
          <cell r="K2707">
            <v>375</v>
          </cell>
          <cell r="L2707" t="str">
            <v>HZK</v>
          </cell>
          <cell r="N2707">
            <v>9.2717948717948708</v>
          </cell>
        </row>
        <row r="2708">
          <cell r="E2708" t="str">
            <v>HGC-Lib-2464710</v>
          </cell>
          <cell r="F2708" t="str">
            <v>Hu37</v>
          </cell>
          <cell r="G2708">
            <v>10</v>
          </cell>
          <cell r="H2708" t="str">
            <v>mRNA文库</v>
          </cell>
          <cell r="I2708" t="str">
            <v>YHT</v>
          </cell>
          <cell r="J2708">
            <v>2.86</v>
          </cell>
          <cell r="K2708">
            <v>384</v>
          </cell>
          <cell r="L2708" t="str">
            <v>HZK</v>
          </cell>
          <cell r="N2708">
            <v>11.4583333333333</v>
          </cell>
        </row>
        <row r="2709">
          <cell r="E2709" t="str">
            <v>HGC-Lib-2464711</v>
          </cell>
          <cell r="F2709" t="str">
            <v>Hu38</v>
          </cell>
          <cell r="G2709">
            <v>10</v>
          </cell>
          <cell r="H2709" t="str">
            <v>mRNA文库</v>
          </cell>
          <cell r="I2709" t="str">
            <v>YHT</v>
          </cell>
          <cell r="J2709">
            <v>2.5</v>
          </cell>
          <cell r="K2709">
            <v>379</v>
          </cell>
          <cell r="L2709" t="str">
            <v>HZK</v>
          </cell>
          <cell r="N2709">
            <v>10.148163182464</v>
          </cell>
        </row>
        <row r="2710">
          <cell r="E2710" t="str">
            <v>HGC-Lib-2464712</v>
          </cell>
          <cell r="F2710" t="str">
            <v>Hu39</v>
          </cell>
          <cell r="G2710">
            <v>10</v>
          </cell>
          <cell r="H2710" t="str">
            <v>mRNA文库</v>
          </cell>
          <cell r="I2710" t="str">
            <v>YHT</v>
          </cell>
          <cell r="J2710">
            <v>3.16</v>
          </cell>
          <cell r="K2710">
            <v>368</v>
          </cell>
          <cell r="L2710" t="str">
            <v>HZK</v>
          </cell>
          <cell r="N2710">
            <v>13.2107023411371</v>
          </cell>
        </row>
        <row r="2711">
          <cell r="E2711" t="str">
            <v>HGC-Lib-2464713</v>
          </cell>
          <cell r="F2711" t="str">
            <v>Hu40</v>
          </cell>
          <cell r="G2711">
            <v>10</v>
          </cell>
          <cell r="H2711" t="str">
            <v>mRNA文库</v>
          </cell>
          <cell r="I2711" t="str">
            <v>YHT</v>
          </cell>
          <cell r="J2711">
            <v>2.48</v>
          </cell>
          <cell r="K2711">
            <v>389</v>
          </cell>
          <cell r="L2711" t="str">
            <v>HZK</v>
          </cell>
          <cell r="N2711">
            <v>9.8081866719398896</v>
          </cell>
        </row>
        <row r="2712">
          <cell r="E2712" t="str">
            <v>HGC-Lib-2464714</v>
          </cell>
          <cell r="F2712" t="str">
            <v>Hu41</v>
          </cell>
          <cell r="G2712">
            <v>10</v>
          </cell>
          <cell r="H2712" t="str">
            <v>mRNA文库</v>
          </cell>
          <cell r="I2712" t="str">
            <v>YHT</v>
          </cell>
          <cell r="J2712">
            <v>1.93</v>
          </cell>
          <cell r="K2712">
            <v>361</v>
          </cell>
          <cell r="L2712" t="str">
            <v>HZK</v>
          </cell>
          <cell r="N2712">
            <v>8.2250159812486707</v>
          </cell>
        </row>
        <row r="2713">
          <cell r="E2713" t="str">
            <v>HGC-Lib-2464715</v>
          </cell>
          <cell r="F2713" t="str">
            <v>Hu42</v>
          </cell>
          <cell r="G2713">
            <v>10</v>
          </cell>
          <cell r="H2713" t="str">
            <v>mRNA文库</v>
          </cell>
          <cell r="I2713" t="str">
            <v>YHT</v>
          </cell>
          <cell r="J2713">
            <v>2.2799999999999998</v>
          </cell>
          <cell r="K2713">
            <v>339</v>
          </cell>
          <cell r="L2713" t="str">
            <v>HZK</v>
          </cell>
          <cell r="N2713">
            <v>10.3471749489449</v>
          </cell>
        </row>
        <row r="2714">
          <cell r="E2714" t="str">
            <v>HGC-Lib-2464716</v>
          </cell>
          <cell r="F2714" t="str">
            <v>Hu43</v>
          </cell>
          <cell r="G2714">
            <v>10</v>
          </cell>
          <cell r="H2714" t="str">
            <v>mRNA文库</v>
          </cell>
          <cell r="I2714" t="str">
            <v>YHT</v>
          </cell>
          <cell r="J2714">
            <v>2.16</v>
          </cell>
          <cell r="K2714">
            <v>350</v>
          </cell>
          <cell r="L2714" t="str">
            <v>HZK</v>
          </cell>
          <cell r="N2714">
            <v>9.4945054945054892</v>
          </cell>
        </row>
        <row r="2715">
          <cell r="E2715" t="str">
            <v>HGC-Lib-2464717</v>
          </cell>
          <cell r="F2715" t="str">
            <v>Hu44</v>
          </cell>
          <cell r="G2715">
            <v>10</v>
          </cell>
          <cell r="H2715" t="str">
            <v>mRNA文库</v>
          </cell>
          <cell r="I2715" t="str">
            <v>YHT</v>
          </cell>
          <cell r="J2715">
            <v>0.36399999999999999</v>
          </cell>
          <cell r="K2715">
            <v>324</v>
          </cell>
          <cell r="L2715" t="str">
            <v>HZK</v>
          </cell>
          <cell r="N2715">
            <v>1.7283950617283901</v>
          </cell>
        </row>
        <row r="2716">
          <cell r="E2716" t="str">
            <v>HGC-Lib-2464718</v>
          </cell>
          <cell r="F2716" t="str">
            <v>Hu45</v>
          </cell>
          <cell r="G2716">
            <v>10</v>
          </cell>
          <cell r="H2716" t="str">
            <v>mRNA文库</v>
          </cell>
          <cell r="I2716" t="str">
            <v>YHT</v>
          </cell>
          <cell r="J2716">
            <v>2.78</v>
          </cell>
          <cell r="K2716">
            <v>374</v>
          </cell>
          <cell r="L2716" t="str">
            <v>HZK</v>
          </cell>
          <cell r="N2716">
            <v>11.435623200329101</v>
          </cell>
        </row>
        <row r="2717">
          <cell r="E2717" t="str">
            <v>HGC-Lib-2464719</v>
          </cell>
          <cell r="F2717" t="str">
            <v>Hu46</v>
          </cell>
          <cell r="G2717">
            <v>10</v>
          </cell>
          <cell r="H2717" t="str">
            <v>mRNA文库</v>
          </cell>
          <cell r="I2717" t="str">
            <v>YHT</v>
          </cell>
          <cell r="J2717">
            <v>2.16</v>
          </cell>
          <cell r="K2717">
            <v>364</v>
          </cell>
          <cell r="L2717" t="str">
            <v>HZK</v>
          </cell>
          <cell r="N2717">
            <v>9.1293322062552793</v>
          </cell>
        </row>
        <row r="2718">
          <cell r="E2718" t="str">
            <v>HGC-Lib-2464720</v>
          </cell>
          <cell r="F2718" t="str">
            <v>Hu47</v>
          </cell>
          <cell r="G2718">
            <v>10</v>
          </cell>
          <cell r="H2718" t="str">
            <v>mRNA文库</v>
          </cell>
          <cell r="I2718" t="str">
            <v>YHT</v>
          </cell>
          <cell r="J2718">
            <v>2.96</v>
          </cell>
          <cell r="K2718">
            <v>370</v>
          </cell>
          <cell r="L2718" t="str">
            <v>HZK</v>
          </cell>
          <cell r="N2718">
            <v>12.307692307692299</v>
          </cell>
        </row>
        <row r="2719">
          <cell r="E2719" t="str">
            <v>HGC-Lib-2464721</v>
          </cell>
          <cell r="F2719" t="str">
            <v>Hu48</v>
          </cell>
          <cell r="G2719">
            <v>10</v>
          </cell>
          <cell r="H2719" t="str">
            <v>mRNA文库</v>
          </cell>
          <cell r="I2719" t="str">
            <v>YHT</v>
          </cell>
          <cell r="J2719">
            <v>2.1800000000000002</v>
          </cell>
          <cell r="K2719">
            <v>373</v>
          </cell>
          <cell r="L2719" t="str">
            <v>HZK</v>
          </cell>
          <cell r="N2719">
            <v>8.9915446483811099</v>
          </cell>
        </row>
        <row r="2720">
          <cell r="E2720" t="str">
            <v>HGC-Lib-2464722</v>
          </cell>
          <cell r="F2720" t="str">
            <v>Hu49</v>
          </cell>
          <cell r="G2720">
            <v>10</v>
          </cell>
          <cell r="H2720" t="str">
            <v>mRNA文库</v>
          </cell>
          <cell r="I2720" t="str">
            <v>YHT</v>
          </cell>
          <cell r="J2720">
            <v>1.56</v>
          </cell>
          <cell r="K2720">
            <v>373</v>
          </cell>
          <cell r="L2720" t="str">
            <v>HZK</v>
          </cell>
          <cell r="N2720">
            <v>6.4343163538874002</v>
          </cell>
        </row>
        <row r="2721">
          <cell r="E2721" t="str">
            <v>HGC-Lib-2464723</v>
          </cell>
          <cell r="F2721" t="str">
            <v>Hu50</v>
          </cell>
          <cell r="G2721">
            <v>10</v>
          </cell>
          <cell r="H2721" t="str">
            <v>mRNA文库</v>
          </cell>
          <cell r="I2721" t="str">
            <v>YHT</v>
          </cell>
          <cell r="J2721">
            <v>2.2400000000000002</v>
          </cell>
          <cell r="K2721">
            <v>368</v>
          </cell>
          <cell r="L2721" t="str">
            <v>HZK</v>
          </cell>
          <cell r="N2721">
            <v>9.3645484949832802</v>
          </cell>
        </row>
        <row r="2722">
          <cell r="E2722" t="str">
            <v>HGC-Lib-2464724</v>
          </cell>
          <cell r="F2722" t="str">
            <v>Hu51</v>
          </cell>
          <cell r="G2722">
            <v>10</v>
          </cell>
          <cell r="H2722" t="str">
            <v>mRNA文库</v>
          </cell>
          <cell r="I2722" t="str">
            <v>YHT</v>
          </cell>
          <cell r="J2722">
            <v>1.93</v>
          </cell>
          <cell r="K2722">
            <v>363</v>
          </cell>
          <cell r="L2722" t="str">
            <v>HZK</v>
          </cell>
          <cell r="N2722">
            <v>8.1796990887900005</v>
          </cell>
        </row>
        <row r="2723">
          <cell r="E2723" t="str">
            <v>HGC-Lib-2464725</v>
          </cell>
          <cell r="F2723" t="str">
            <v>Hu52</v>
          </cell>
          <cell r="G2723">
            <v>10</v>
          </cell>
          <cell r="H2723" t="str">
            <v>mRNA文库</v>
          </cell>
          <cell r="I2723" t="str">
            <v>YHT</v>
          </cell>
          <cell r="J2723">
            <v>1.8</v>
          </cell>
          <cell r="K2723">
            <v>382</v>
          </cell>
          <cell r="L2723" t="str">
            <v>HZK</v>
          </cell>
          <cell r="N2723">
            <v>7.2492952074103902</v>
          </cell>
        </row>
        <row r="2724">
          <cell r="E2724" t="str">
            <v>HGC-Lib-2464726</v>
          </cell>
          <cell r="F2724" t="str">
            <v>Hu53</v>
          </cell>
          <cell r="G2724">
            <v>10</v>
          </cell>
          <cell r="H2724" t="str">
            <v>mRNA文库</v>
          </cell>
          <cell r="I2724" t="str">
            <v>YHT</v>
          </cell>
          <cell r="J2724">
            <v>1.9</v>
          </cell>
          <cell r="K2724">
            <v>365</v>
          </cell>
          <cell r="L2724" t="str">
            <v>HZK</v>
          </cell>
          <cell r="N2724">
            <v>8.0084299262381506</v>
          </cell>
        </row>
        <row r="2725">
          <cell r="E2725" t="str">
            <v>HGC-Lib-2464727</v>
          </cell>
          <cell r="F2725" t="str">
            <v>Hu54</v>
          </cell>
          <cell r="G2725">
            <v>10</v>
          </cell>
          <cell r="H2725" t="str">
            <v>mRNA文库</v>
          </cell>
          <cell r="I2725" t="str">
            <v>YHT</v>
          </cell>
          <cell r="J2725">
            <v>2.5</v>
          </cell>
          <cell r="K2725">
            <v>372</v>
          </cell>
          <cell r="L2725" t="str">
            <v>HZK</v>
          </cell>
          <cell r="N2725">
            <v>10.339123242349</v>
          </cell>
        </row>
        <row r="2726">
          <cell r="E2726" t="str">
            <v>HGC-Lib-2464728</v>
          </cell>
          <cell r="F2726" t="str">
            <v>Hu55</v>
          </cell>
          <cell r="G2726">
            <v>10</v>
          </cell>
          <cell r="H2726" t="str">
            <v>mRNA文库</v>
          </cell>
          <cell r="I2726" t="str">
            <v>YHT</v>
          </cell>
          <cell r="J2726">
            <v>1.7</v>
          </cell>
          <cell r="K2726">
            <v>378</v>
          </cell>
          <cell r="L2726" t="str">
            <v>HZK</v>
          </cell>
          <cell r="N2726">
            <v>6.9190069190069199</v>
          </cell>
        </row>
        <row r="2727">
          <cell r="E2727" t="str">
            <v>HGC-Lib-2464729</v>
          </cell>
          <cell r="F2727" t="str">
            <v>Hu56</v>
          </cell>
          <cell r="G2727">
            <v>10</v>
          </cell>
          <cell r="H2727" t="str">
            <v>mRNA文库</v>
          </cell>
          <cell r="I2727" t="str">
            <v>YHT</v>
          </cell>
          <cell r="J2727">
            <v>1.69</v>
          </cell>
          <cell r="K2727">
            <v>365</v>
          </cell>
          <cell r="L2727" t="str">
            <v>HZK</v>
          </cell>
          <cell r="N2727">
            <v>7.1232876712328803</v>
          </cell>
        </row>
        <row r="2728">
          <cell r="E2728" t="str">
            <v>HGC-Lib-2464731</v>
          </cell>
          <cell r="F2728" t="str">
            <v>OE-NC</v>
          </cell>
          <cell r="G2728">
            <v>10</v>
          </cell>
          <cell r="H2728" t="str">
            <v>cut&amp;tag文库</v>
          </cell>
          <cell r="I2728" t="str">
            <v>GZQ</v>
          </cell>
          <cell r="J2728">
            <v>12.1</v>
          </cell>
          <cell r="K2728">
            <v>463</v>
          </cell>
          <cell r="L2728" t="str">
            <v>WH</v>
          </cell>
          <cell r="N2728">
            <v>40.206014288087701</v>
          </cell>
        </row>
        <row r="2729">
          <cell r="E2729" t="str">
            <v>HGC-Lib-2464732</v>
          </cell>
          <cell r="F2729" t="str">
            <v>OE-ESR1</v>
          </cell>
          <cell r="G2729">
            <v>10</v>
          </cell>
          <cell r="H2729" t="str">
            <v>cut&amp;tag文库</v>
          </cell>
          <cell r="I2729" t="str">
            <v>GZQ</v>
          </cell>
          <cell r="J2729">
            <v>41.6</v>
          </cell>
          <cell r="K2729">
            <v>458</v>
          </cell>
          <cell r="L2729" t="str">
            <v>WH</v>
          </cell>
          <cell r="N2729">
            <v>139.73799126637601</v>
          </cell>
        </row>
        <row r="2730">
          <cell r="E2730" t="str">
            <v>HGC-POOL-2464749</v>
          </cell>
          <cell r="F2730" t="str">
            <v>TYF0805</v>
          </cell>
          <cell r="G2730">
            <v>15</v>
          </cell>
          <cell r="H2730" t="str">
            <v>Chip-Seq</v>
          </cell>
          <cell r="I2730" t="str">
            <v>GZQ</v>
          </cell>
          <cell r="J2730">
            <v>2.42</v>
          </cell>
          <cell r="K2730">
            <v>421</v>
          </cell>
          <cell r="L2730" t="str">
            <v>HZK</v>
          </cell>
          <cell r="N2730">
            <v>8.8434131189475593</v>
          </cell>
        </row>
        <row r="2731">
          <cell r="E2731" t="str">
            <v>HGC-Lib-2464750</v>
          </cell>
          <cell r="F2731" t="str">
            <v>45NC</v>
          </cell>
          <cell r="G2731">
            <v>2</v>
          </cell>
          <cell r="H2731" t="str">
            <v>PCR产物文库</v>
          </cell>
          <cell r="I2731" t="str">
            <v>GZQ</v>
          </cell>
          <cell r="J2731">
            <v>13.5</v>
          </cell>
          <cell r="K2731">
            <v>437</v>
          </cell>
          <cell r="L2731" t="str">
            <v>WH</v>
          </cell>
          <cell r="N2731">
            <v>47.526843865516597</v>
          </cell>
        </row>
        <row r="2732">
          <cell r="E2732" t="str">
            <v>HGC-Lib-2464751</v>
          </cell>
          <cell r="F2732">
            <v>45</v>
          </cell>
          <cell r="G2732">
            <v>2</v>
          </cell>
          <cell r="H2732" t="str">
            <v>PCR产物文库</v>
          </cell>
          <cell r="I2732" t="str">
            <v>GZQ</v>
          </cell>
          <cell r="J2732">
            <v>11</v>
          </cell>
          <cell r="K2732">
            <v>432</v>
          </cell>
          <cell r="L2732" t="str">
            <v>WH</v>
          </cell>
          <cell r="N2732">
            <v>39.173789173789203</v>
          </cell>
        </row>
        <row r="2733">
          <cell r="E2733" t="str">
            <v>HGC-Lib-2464752</v>
          </cell>
          <cell r="F2733" t="str">
            <v>55NC</v>
          </cell>
          <cell r="G2733">
            <v>2</v>
          </cell>
          <cell r="H2733" t="str">
            <v>PCR产物文库</v>
          </cell>
          <cell r="I2733" t="str">
            <v>GZQ</v>
          </cell>
          <cell r="J2733">
            <v>17.100000000000001</v>
          </cell>
          <cell r="K2733">
            <v>427</v>
          </cell>
          <cell r="L2733" t="str">
            <v>WH</v>
          </cell>
          <cell r="N2733">
            <v>61.610520626914102</v>
          </cell>
        </row>
        <row r="2734">
          <cell r="E2734" t="str">
            <v>HGC-Lib-2464753</v>
          </cell>
          <cell r="F2734">
            <v>55</v>
          </cell>
          <cell r="G2734">
            <v>2</v>
          </cell>
          <cell r="H2734" t="str">
            <v>PCR产物文库</v>
          </cell>
          <cell r="I2734" t="str">
            <v>GZQ</v>
          </cell>
          <cell r="J2734">
            <v>14.2</v>
          </cell>
          <cell r="K2734">
            <v>429</v>
          </cell>
          <cell r="L2734" t="str">
            <v>WH</v>
          </cell>
          <cell r="N2734">
            <v>50.9234355388202</v>
          </cell>
        </row>
        <row r="2735">
          <cell r="E2735" t="str">
            <v>HGC-POOL-2464764</v>
          </cell>
          <cell r="F2735" t="str">
            <v>ZC-MIX</v>
          </cell>
          <cell r="G2735">
            <v>6</v>
          </cell>
          <cell r="H2735" t="str">
            <v>cut&amp;tag文库</v>
          </cell>
          <cell r="I2735" t="str">
            <v>WH</v>
          </cell>
          <cell r="J2735">
            <v>32.200000000000003</v>
          </cell>
          <cell r="K2735">
            <v>344</v>
          </cell>
          <cell r="L2735" t="str">
            <v>WH</v>
          </cell>
          <cell r="N2735">
            <v>144.00715563506299</v>
          </cell>
        </row>
        <row r="2736">
          <cell r="E2736" t="str">
            <v>HGC-POOL-2464765</v>
          </cell>
          <cell r="F2736">
            <v>6</v>
          </cell>
          <cell r="G2736">
            <v>6</v>
          </cell>
          <cell r="H2736" t="str">
            <v>mRNA文库</v>
          </cell>
          <cell r="I2736" t="str">
            <v>WH</v>
          </cell>
          <cell r="J2736">
            <v>69.2</v>
          </cell>
          <cell r="K2736">
            <v>343</v>
          </cell>
          <cell r="L2736" t="str">
            <v>WH</v>
          </cell>
          <cell r="N2736">
            <v>310.383494056963</v>
          </cell>
        </row>
        <row r="2737">
          <cell r="E2737" t="str">
            <v>HGC-Lib-2464766</v>
          </cell>
          <cell r="F2737" t="str">
            <v>YX-0812-KY</v>
          </cell>
          <cell r="G2737">
            <v>10</v>
          </cell>
          <cell r="H2737" t="str">
            <v>宏基因组文库</v>
          </cell>
          <cell r="I2737" t="str">
            <v>WH</v>
          </cell>
          <cell r="J2737">
            <v>28.9</v>
          </cell>
          <cell r="K2737">
            <v>464</v>
          </cell>
          <cell r="L2737" t="str">
            <v>WH</v>
          </cell>
          <cell r="M2737" t="str">
            <v>加20ul水</v>
          </cell>
          <cell r="N2737">
            <v>95.822281167108798</v>
          </cell>
        </row>
        <row r="2738">
          <cell r="E2738" t="str">
            <v>HGC-Lib-2464767</v>
          </cell>
          <cell r="F2738" t="str">
            <v>NGS-0812</v>
          </cell>
          <cell r="G2738">
            <v>5</v>
          </cell>
          <cell r="H2738" t="str">
            <v>PCR产物文库</v>
          </cell>
          <cell r="I2738" t="str">
            <v>WH</v>
          </cell>
          <cell r="J2738">
            <v>32.1</v>
          </cell>
          <cell r="K2738">
            <v>515</v>
          </cell>
          <cell r="L2738" t="str">
            <v>WH</v>
          </cell>
          <cell r="N2738">
            <v>95.892457057505595</v>
          </cell>
        </row>
        <row r="2739">
          <cell r="E2739" t="str">
            <v>HGC-POOL-2464785</v>
          </cell>
          <cell r="F2739" t="str">
            <v>2024080831A4mRNAlib</v>
          </cell>
          <cell r="G2739">
            <v>6</v>
          </cell>
          <cell r="H2739" t="str">
            <v>PCR产物文库</v>
          </cell>
          <cell r="I2739" t="str">
            <v>WH</v>
          </cell>
          <cell r="J2739" t="str">
            <v>/</v>
          </cell>
          <cell r="K2739" t="str">
            <v>/</v>
          </cell>
          <cell r="L2739" t="str">
            <v>WH</v>
          </cell>
          <cell r="N2739" t="e">
            <v>#VALUE!</v>
          </cell>
        </row>
        <row r="2740">
          <cell r="E2740" t="str">
            <v>HGC-POOL-2464786</v>
          </cell>
          <cell r="F2740" t="str">
            <v>CC-mir-lib</v>
          </cell>
          <cell r="G2740">
            <v>21</v>
          </cell>
          <cell r="H2740" t="str">
            <v>PCR产物文库</v>
          </cell>
          <cell r="I2740" t="str">
            <v>WH</v>
          </cell>
          <cell r="J2740">
            <v>3.52</v>
          </cell>
          <cell r="K2740">
            <v>185</v>
          </cell>
          <cell r="L2740" t="str">
            <v>WH</v>
          </cell>
          <cell r="N2740">
            <v>29.272349272349299</v>
          </cell>
        </row>
        <row r="2741">
          <cell r="E2741" t="str">
            <v>HGC-POOL-2464787</v>
          </cell>
          <cell r="F2741" t="str">
            <v>TLR-GYY-2reps</v>
          </cell>
          <cell r="G2741">
            <v>24</v>
          </cell>
          <cell r="H2741" t="str">
            <v>PCR产物文库</v>
          </cell>
          <cell r="I2741" t="str">
            <v>WH</v>
          </cell>
          <cell r="J2741">
            <v>3.26</v>
          </cell>
          <cell r="K2741">
            <v>242</v>
          </cell>
          <cell r="L2741" t="str">
            <v>WH</v>
          </cell>
          <cell r="N2741">
            <v>20.724729815638899</v>
          </cell>
        </row>
        <row r="2742">
          <cell r="E2742" t="str">
            <v>HGC-Lib-2464788</v>
          </cell>
          <cell r="F2742" t="str">
            <v>A1</v>
          </cell>
          <cell r="G2742">
            <v>6</v>
          </cell>
          <cell r="H2742" t="str">
            <v>mRNA文库</v>
          </cell>
          <cell r="I2742" t="str">
            <v>WH</v>
          </cell>
          <cell r="J2742">
            <v>36.200000000000003</v>
          </cell>
          <cell r="K2742">
            <v>276</v>
          </cell>
          <cell r="L2742" t="str">
            <v>HZK</v>
          </cell>
          <cell r="N2742">
            <v>201.78372352285399</v>
          </cell>
        </row>
        <row r="2743">
          <cell r="E2743" t="str">
            <v>HGC-Lib-2464789</v>
          </cell>
          <cell r="F2743" t="str">
            <v>A3</v>
          </cell>
          <cell r="G2743">
            <v>6</v>
          </cell>
          <cell r="H2743" t="str">
            <v>mRNA文库</v>
          </cell>
          <cell r="I2743" t="str">
            <v>WH</v>
          </cell>
          <cell r="J2743">
            <v>35.6</v>
          </cell>
          <cell r="K2743">
            <v>272</v>
          </cell>
          <cell r="L2743" t="str">
            <v>HZK</v>
          </cell>
          <cell r="N2743">
            <v>201.357466063348</v>
          </cell>
        </row>
        <row r="2744">
          <cell r="E2744" t="str">
            <v>HGC-Lib-2464790</v>
          </cell>
          <cell r="F2744" t="str">
            <v>AO5</v>
          </cell>
          <cell r="G2744">
            <v>6</v>
          </cell>
          <cell r="H2744" t="str">
            <v>mRNA文库</v>
          </cell>
          <cell r="I2744" t="str">
            <v>WH</v>
          </cell>
          <cell r="J2744">
            <v>71.2</v>
          </cell>
          <cell r="K2744">
            <v>264</v>
          </cell>
          <cell r="L2744" t="str">
            <v>HZK</v>
          </cell>
          <cell r="N2744">
            <v>414.91841491841501</v>
          </cell>
        </row>
        <row r="2745">
          <cell r="E2745" t="str">
            <v>HGC-Lib-2464791</v>
          </cell>
          <cell r="F2745" t="str">
            <v>AO7</v>
          </cell>
          <cell r="G2745">
            <v>6</v>
          </cell>
          <cell r="H2745" t="str">
            <v>mRNA文库</v>
          </cell>
          <cell r="I2745" t="str">
            <v>WH</v>
          </cell>
          <cell r="J2745">
            <v>69</v>
          </cell>
          <cell r="K2745">
            <v>270</v>
          </cell>
          <cell r="L2745" t="str">
            <v>HZK</v>
          </cell>
          <cell r="N2745">
            <v>393.16239316239302</v>
          </cell>
        </row>
        <row r="2746">
          <cell r="E2746" t="str">
            <v>HGC-Lib-2464792</v>
          </cell>
          <cell r="F2746" t="str">
            <v>LC240809080</v>
          </cell>
          <cell r="G2746">
            <v>90</v>
          </cell>
          <cell r="H2746" t="str">
            <v>singleron-3'转录组文库</v>
          </cell>
          <cell r="I2746" t="str">
            <v>WH</v>
          </cell>
          <cell r="J2746">
            <v>23.8</v>
          </cell>
          <cell r="N2746" t="e">
            <v>#DIV/0!</v>
          </cell>
        </row>
        <row r="2747">
          <cell r="E2747" t="str">
            <v>HGC-Lib-2464793</v>
          </cell>
          <cell r="F2747" t="str">
            <v>LHC240809013</v>
          </cell>
          <cell r="G2747">
            <v>200</v>
          </cell>
          <cell r="H2747" t="str">
            <v>singleron-3'转录组文库</v>
          </cell>
          <cell r="I2747" t="str">
            <v>WH</v>
          </cell>
          <cell r="J2747">
            <v>21.8</v>
          </cell>
          <cell r="N2747" t="e">
            <v>#DIV/0!</v>
          </cell>
        </row>
        <row r="2748">
          <cell r="E2748" t="str">
            <v>HGC-Lib-2464794</v>
          </cell>
          <cell r="F2748" t="str">
            <v>LA240809043</v>
          </cell>
          <cell r="G2748">
            <v>100</v>
          </cell>
          <cell r="H2748" t="str">
            <v>singleron-3'转录组文库</v>
          </cell>
          <cell r="I2748" t="str">
            <v>WH</v>
          </cell>
          <cell r="J2748">
            <v>25.4</v>
          </cell>
          <cell r="N2748" t="e">
            <v>#DIV/0!</v>
          </cell>
        </row>
        <row r="2749">
          <cell r="E2749" t="str">
            <v>HGC-Lib-2464795</v>
          </cell>
          <cell r="F2749" t="str">
            <v>LA240809044</v>
          </cell>
          <cell r="G2749">
            <v>100</v>
          </cell>
          <cell r="H2749" t="str">
            <v>singleron-3'转录组文库</v>
          </cell>
          <cell r="I2749" t="str">
            <v>WH</v>
          </cell>
          <cell r="J2749">
            <v>24.2</v>
          </cell>
          <cell r="N2749" t="e">
            <v>#DIV/0!</v>
          </cell>
        </row>
        <row r="2750">
          <cell r="E2750" t="str">
            <v>HGC-Lib-2464796</v>
          </cell>
          <cell r="F2750" t="str">
            <v>LA240809045</v>
          </cell>
          <cell r="G2750">
            <v>100</v>
          </cell>
          <cell r="H2750" t="str">
            <v>singleron-3'转录组文库</v>
          </cell>
          <cell r="I2750" t="str">
            <v>WH</v>
          </cell>
          <cell r="J2750">
            <v>28.6</v>
          </cell>
          <cell r="N2750" t="e">
            <v>#DIV/0!</v>
          </cell>
        </row>
        <row r="2751">
          <cell r="E2751" t="str">
            <v>HGC-Lib-2464797</v>
          </cell>
          <cell r="F2751" t="str">
            <v>LC240809046</v>
          </cell>
          <cell r="G2751">
            <v>100</v>
          </cell>
          <cell r="H2751" t="str">
            <v>singleron-3'转录组文库</v>
          </cell>
          <cell r="I2751" t="str">
            <v>WH</v>
          </cell>
          <cell r="J2751">
            <v>19.399999999999999</v>
          </cell>
          <cell r="N2751" t="e">
            <v>#DIV/0!</v>
          </cell>
        </row>
        <row r="2752">
          <cell r="E2752" t="str">
            <v>HGC-Lib-2464798</v>
          </cell>
          <cell r="F2752" t="str">
            <v>LC240809047</v>
          </cell>
          <cell r="G2752">
            <v>100</v>
          </cell>
          <cell r="H2752" t="str">
            <v>singleron-3'转录组文库</v>
          </cell>
          <cell r="I2752" t="str">
            <v>WH</v>
          </cell>
          <cell r="J2752">
            <v>19.399999999999999</v>
          </cell>
          <cell r="N2752" t="e">
            <v>#DIV/0!</v>
          </cell>
        </row>
        <row r="2753">
          <cell r="E2753" t="str">
            <v>HGC-Lib-2464799</v>
          </cell>
          <cell r="F2753" t="str">
            <v>LC240809049</v>
          </cell>
          <cell r="G2753">
            <v>100</v>
          </cell>
          <cell r="H2753" t="str">
            <v>singleron-3'转录组文库</v>
          </cell>
          <cell r="I2753" t="str">
            <v>WH</v>
          </cell>
          <cell r="J2753">
            <v>21.8</v>
          </cell>
          <cell r="N2753" t="e">
            <v>#DIV/0!</v>
          </cell>
        </row>
        <row r="2754">
          <cell r="E2754" t="str">
            <v>HGC-Lib-2464800</v>
          </cell>
          <cell r="F2754" t="str">
            <v>LC240809050</v>
          </cell>
          <cell r="G2754">
            <v>100</v>
          </cell>
          <cell r="H2754" t="str">
            <v>singleron-3'转录组文库</v>
          </cell>
          <cell r="I2754" t="str">
            <v>WH</v>
          </cell>
          <cell r="J2754">
            <v>24.8</v>
          </cell>
          <cell r="N2754" t="e">
            <v>#DIV/0!</v>
          </cell>
        </row>
        <row r="2755">
          <cell r="E2755" t="str">
            <v>HGC-Lib-2464801</v>
          </cell>
          <cell r="F2755" t="str">
            <v>LHC240808046</v>
          </cell>
          <cell r="G2755">
            <v>100</v>
          </cell>
          <cell r="H2755" t="str">
            <v>singleron-3'转录组文库</v>
          </cell>
          <cell r="I2755" t="str">
            <v>WH</v>
          </cell>
          <cell r="J2755">
            <v>19.3</v>
          </cell>
          <cell r="N2755" t="e">
            <v>#DIV/0!</v>
          </cell>
        </row>
        <row r="2756">
          <cell r="E2756" t="str">
            <v>HGC-Lib-2464802</v>
          </cell>
          <cell r="F2756" t="str">
            <v>LHC240808047</v>
          </cell>
          <cell r="G2756">
            <v>100</v>
          </cell>
          <cell r="H2756" t="str">
            <v>singleron-3'转录组文库</v>
          </cell>
          <cell r="I2756" t="str">
            <v>WH</v>
          </cell>
          <cell r="J2756">
            <v>21.8</v>
          </cell>
          <cell r="N2756" t="e">
            <v>#DIV/0!</v>
          </cell>
        </row>
        <row r="2757">
          <cell r="E2757" t="str">
            <v>HGC-Lib-2464803</v>
          </cell>
          <cell r="F2757" t="str">
            <v>PMLPMFTA240809092</v>
          </cell>
          <cell r="G2757">
            <v>12</v>
          </cell>
          <cell r="H2757" t="str">
            <v>其他碱基不平衡文库</v>
          </cell>
          <cell r="I2757" t="str">
            <v>WH</v>
          </cell>
          <cell r="J2757">
            <v>76.599999999999994</v>
          </cell>
          <cell r="N2757" t="e">
            <v>#DIV/0!</v>
          </cell>
        </row>
        <row r="2758">
          <cell r="E2758" t="str">
            <v>HGC-Lib-2464804</v>
          </cell>
          <cell r="F2758" t="str">
            <v>PMLPMFTA240809093</v>
          </cell>
          <cell r="G2758">
            <v>12</v>
          </cell>
          <cell r="H2758" t="str">
            <v>其他碱基不平衡文库</v>
          </cell>
          <cell r="I2758" t="str">
            <v>WH</v>
          </cell>
          <cell r="J2758">
            <v>29.6</v>
          </cell>
          <cell r="N2758" t="e">
            <v>#DIV/0!</v>
          </cell>
        </row>
        <row r="2759">
          <cell r="E2759" t="str">
            <v>HGC-Lib-2464805</v>
          </cell>
          <cell r="F2759" t="str">
            <v>PMLPMFTA240809094</v>
          </cell>
          <cell r="G2759">
            <v>12</v>
          </cell>
          <cell r="H2759" t="str">
            <v>其他碱基不平衡文库</v>
          </cell>
          <cell r="I2759" t="str">
            <v>WH</v>
          </cell>
          <cell r="J2759">
            <v>76.8</v>
          </cell>
          <cell r="N2759" t="e">
            <v>#DIV/0!</v>
          </cell>
        </row>
        <row r="2760">
          <cell r="E2760" t="str">
            <v>HGC-Lib-2464806</v>
          </cell>
          <cell r="F2760" t="str">
            <v>PMLPMFTA240809095</v>
          </cell>
          <cell r="G2760">
            <v>12</v>
          </cell>
          <cell r="H2760" t="str">
            <v>其他碱基不平衡文库</v>
          </cell>
          <cell r="I2760" t="str">
            <v>WH</v>
          </cell>
          <cell r="J2760">
            <v>59.2</v>
          </cell>
          <cell r="N2760" t="e">
            <v>#DIV/0!</v>
          </cell>
        </row>
        <row r="2761">
          <cell r="E2761" t="str">
            <v>HGC-Lib-2464807</v>
          </cell>
          <cell r="F2761" t="str">
            <v>LA240806106</v>
          </cell>
          <cell r="G2761">
            <v>90</v>
          </cell>
          <cell r="H2761" t="str">
            <v>singleron-3'转录组文库</v>
          </cell>
          <cell r="I2761" t="str">
            <v>WH</v>
          </cell>
          <cell r="J2761">
            <v>6.84</v>
          </cell>
          <cell r="N2761" t="e">
            <v>#DIV/0!</v>
          </cell>
        </row>
        <row r="2762">
          <cell r="E2762" t="str">
            <v>HGC-Lib-2464808</v>
          </cell>
          <cell r="F2762" t="str">
            <v>LC240807084</v>
          </cell>
          <cell r="G2762">
            <v>100</v>
          </cell>
          <cell r="H2762" t="str">
            <v>singleron-3'转录组文库</v>
          </cell>
          <cell r="I2762" t="str">
            <v>WH</v>
          </cell>
          <cell r="J2762">
            <v>5.7</v>
          </cell>
          <cell r="N2762" t="e">
            <v>#DIV/0!</v>
          </cell>
        </row>
        <row r="2763">
          <cell r="E2763" t="str">
            <v>HGC-Lib-2464809</v>
          </cell>
          <cell r="F2763" t="str">
            <v>LC240807101</v>
          </cell>
          <cell r="G2763">
            <v>100</v>
          </cell>
          <cell r="H2763" t="str">
            <v>singleron-3'转录组文库</v>
          </cell>
          <cell r="I2763" t="str">
            <v>WH</v>
          </cell>
          <cell r="J2763">
            <v>7.84</v>
          </cell>
          <cell r="N2763" t="e">
            <v>#DIV/0!</v>
          </cell>
        </row>
        <row r="2764">
          <cell r="E2764" t="str">
            <v>HGC-Lib-2464810</v>
          </cell>
          <cell r="F2764" t="str">
            <v>LA240802014X1</v>
          </cell>
          <cell r="G2764">
            <v>90</v>
          </cell>
          <cell r="H2764" t="str">
            <v>singleron-3'转录组文库</v>
          </cell>
          <cell r="I2764" t="str">
            <v>WH</v>
          </cell>
          <cell r="J2764">
            <v>6.32</v>
          </cell>
          <cell r="N2764" t="e">
            <v>#DIV/0!</v>
          </cell>
        </row>
        <row r="2765">
          <cell r="E2765" t="str">
            <v>HGC-Lib-2464811</v>
          </cell>
          <cell r="F2765" t="str">
            <v>LA240807025</v>
          </cell>
          <cell r="G2765">
            <v>100</v>
          </cell>
          <cell r="H2765" t="str">
            <v>singleron-3'转录组文库</v>
          </cell>
          <cell r="I2765" t="str">
            <v>WH</v>
          </cell>
          <cell r="J2765">
            <v>8.36</v>
          </cell>
          <cell r="N2765" t="e">
            <v>#DIV/0!</v>
          </cell>
        </row>
        <row r="2766">
          <cell r="E2766" t="str">
            <v>HGC-Lib-2464812</v>
          </cell>
          <cell r="F2766" t="str">
            <v>LA240807026X1</v>
          </cell>
          <cell r="G2766">
            <v>100</v>
          </cell>
          <cell r="H2766" t="str">
            <v>singleron-3'转录组文库</v>
          </cell>
          <cell r="I2766" t="str">
            <v>WH</v>
          </cell>
          <cell r="J2766">
            <v>6.48</v>
          </cell>
          <cell r="N2766" t="e">
            <v>#DIV/0!</v>
          </cell>
        </row>
        <row r="2767">
          <cell r="E2767" t="str">
            <v>HGC-Lib-2464813</v>
          </cell>
          <cell r="F2767" t="str">
            <v>LA240807026X2</v>
          </cell>
          <cell r="G2767">
            <v>100</v>
          </cell>
          <cell r="H2767" t="str">
            <v>singleron-3'转录组文库</v>
          </cell>
          <cell r="I2767" t="str">
            <v>WH</v>
          </cell>
          <cell r="J2767">
            <v>9.26</v>
          </cell>
          <cell r="N2767" t="e">
            <v>#DIV/0!</v>
          </cell>
        </row>
        <row r="2768">
          <cell r="E2768" t="str">
            <v>HGC-Lib-2464814</v>
          </cell>
          <cell r="F2768" t="str">
            <v>LA240807028X1</v>
          </cell>
          <cell r="G2768">
            <v>100</v>
          </cell>
          <cell r="H2768" t="str">
            <v>singleron-3'转录组文库</v>
          </cell>
          <cell r="I2768" t="str">
            <v>WH</v>
          </cell>
          <cell r="J2768">
            <v>8.26</v>
          </cell>
          <cell r="N2768" t="e">
            <v>#DIV/0!</v>
          </cell>
        </row>
        <row r="2769">
          <cell r="E2769" t="str">
            <v>HGC-Lib-2464815</v>
          </cell>
          <cell r="F2769" t="str">
            <v>LA240807028X2</v>
          </cell>
          <cell r="G2769">
            <v>100</v>
          </cell>
          <cell r="H2769" t="str">
            <v>singleron-3'转录组文库</v>
          </cell>
          <cell r="I2769" t="str">
            <v>WH</v>
          </cell>
          <cell r="J2769">
            <v>8.44</v>
          </cell>
          <cell r="N2769" t="e">
            <v>#DIV/0!</v>
          </cell>
        </row>
        <row r="2770">
          <cell r="E2770" t="str">
            <v>HGC-Lib-2464816</v>
          </cell>
          <cell r="F2770" t="str">
            <v>LPMFTBA240807014</v>
          </cell>
          <cell r="G2770">
            <v>160</v>
          </cell>
          <cell r="H2770" t="str">
            <v>singleron-3'转录组文库</v>
          </cell>
          <cell r="I2770" t="str">
            <v>WH</v>
          </cell>
          <cell r="J2770">
            <v>3.94</v>
          </cell>
          <cell r="N2770" t="e">
            <v>#DIV/0!</v>
          </cell>
        </row>
        <row r="2771">
          <cell r="E2771" t="str">
            <v>HGC-Lib-2464817</v>
          </cell>
          <cell r="F2771" t="str">
            <v>LA240807003</v>
          </cell>
          <cell r="G2771">
            <v>10</v>
          </cell>
          <cell r="H2771" t="str">
            <v>singleron-3'转录组文库</v>
          </cell>
          <cell r="I2771" t="str">
            <v>WH</v>
          </cell>
          <cell r="J2771">
            <v>6.02</v>
          </cell>
          <cell r="N2771" t="e">
            <v>#DIV/0!</v>
          </cell>
        </row>
        <row r="2772">
          <cell r="E2772" t="str">
            <v>HGC-Lib-2464818</v>
          </cell>
          <cell r="F2772" t="str">
            <v>LA240807017</v>
          </cell>
          <cell r="G2772">
            <v>100</v>
          </cell>
          <cell r="H2772" t="str">
            <v>singleron-3'转录组文库</v>
          </cell>
          <cell r="I2772" t="str">
            <v>WH</v>
          </cell>
          <cell r="J2772">
            <v>7.9</v>
          </cell>
          <cell r="N2772" t="e">
            <v>#DIV/0!</v>
          </cell>
        </row>
        <row r="2773">
          <cell r="E2773" t="str">
            <v>HGC-Lib-2464819</v>
          </cell>
          <cell r="F2773" t="str">
            <v>LA240807018</v>
          </cell>
          <cell r="G2773">
            <v>100</v>
          </cell>
          <cell r="H2773" t="str">
            <v>singleron-3'转录组文库</v>
          </cell>
          <cell r="I2773" t="str">
            <v>WH</v>
          </cell>
          <cell r="J2773">
            <v>9.42</v>
          </cell>
          <cell r="N2773" t="e">
            <v>#DIV/0!</v>
          </cell>
        </row>
        <row r="2774">
          <cell r="E2774" t="str">
            <v>HGC-Lib-2464820</v>
          </cell>
          <cell r="F2774" t="str">
            <v>LC240807094</v>
          </cell>
          <cell r="G2774">
            <v>100</v>
          </cell>
          <cell r="H2774" t="str">
            <v>singleron-3'转录组文库</v>
          </cell>
          <cell r="I2774" t="str">
            <v>WH</v>
          </cell>
          <cell r="J2774">
            <v>5.96</v>
          </cell>
          <cell r="N2774" t="e">
            <v>#DIV/0!</v>
          </cell>
        </row>
        <row r="2775">
          <cell r="E2775" t="str">
            <v>HGC-Lib-2464821</v>
          </cell>
          <cell r="F2775" t="str">
            <v>LFTC240805029X2</v>
          </cell>
          <cell r="G2775">
            <v>100</v>
          </cell>
          <cell r="H2775" t="str">
            <v>singleron-3'全长转录组文库</v>
          </cell>
          <cell r="I2775" t="str">
            <v>WH</v>
          </cell>
          <cell r="J2775">
            <v>28.4</v>
          </cell>
          <cell r="N2775" t="e">
            <v>#DIV/0!</v>
          </cell>
        </row>
        <row r="2776">
          <cell r="E2776" t="str">
            <v>HGC-Lib-2464822</v>
          </cell>
          <cell r="F2776" t="str">
            <v>LFTA240805030X2</v>
          </cell>
          <cell r="G2776">
            <v>100</v>
          </cell>
          <cell r="H2776" t="str">
            <v>singleron-3'全长转录组文库</v>
          </cell>
          <cell r="I2776" t="str">
            <v>WH</v>
          </cell>
          <cell r="J2776">
            <v>28.8</v>
          </cell>
          <cell r="N2776" t="e">
            <v>#DIV/0!</v>
          </cell>
        </row>
        <row r="2777">
          <cell r="E2777" t="str">
            <v>HGC-Lib-2464823</v>
          </cell>
          <cell r="F2777" t="str">
            <v>LFTC240805031</v>
          </cell>
          <cell r="G2777">
            <v>100</v>
          </cell>
          <cell r="H2777" t="str">
            <v>singleron-3'全长转录组文库</v>
          </cell>
          <cell r="I2777" t="str">
            <v>WH</v>
          </cell>
          <cell r="J2777">
            <v>25.4</v>
          </cell>
          <cell r="N2777" t="e">
            <v>#DIV/0!</v>
          </cell>
        </row>
        <row r="2778">
          <cell r="E2778" t="str">
            <v>HGC-Lib-2464824</v>
          </cell>
          <cell r="F2778" t="str">
            <v>LFTA240805028X2</v>
          </cell>
          <cell r="G2778">
            <v>100</v>
          </cell>
          <cell r="H2778" t="str">
            <v>singleron-3'全长转录组文库</v>
          </cell>
          <cell r="I2778" t="str">
            <v>WH</v>
          </cell>
          <cell r="J2778">
            <v>6.52</v>
          </cell>
          <cell r="N2778" t="e">
            <v>#DIV/0!</v>
          </cell>
        </row>
        <row r="2779">
          <cell r="E2779" t="str">
            <v>HGC-Lib-2464825</v>
          </cell>
          <cell r="F2779" t="str">
            <v>LA240807095</v>
          </cell>
          <cell r="G2779">
            <v>90</v>
          </cell>
          <cell r="H2779" t="str">
            <v>singleron-3'转录组文库</v>
          </cell>
          <cell r="I2779" t="str">
            <v>WH</v>
          </cell>
          <cell r="J2779">
            <v>8</v>
          </cell>
          <cell r="N2779" t="e">
            <v>#DIV/0!</v>
          </cell>
        </row>
        <row r="2780">
          <cell r="E2780" t="str">
            <v>HGC-Lib-2464826</v>
          </cell>
          <cell r="F2780" t="str">
            <v>LFTA240807097</v>
          </cell>
          <cell r="G2780">
            <v>100</v>
          </cell>
          <cell r="H2780" t="str">
            <v>singleron-3'全长转录组文库</v>
          </cell>
          <cell r="I2780" t="str">
            <v>WH</v>
          </cell>
          <cell r="J2780">
            <v>8.9600000000000009</v>
          </cell>
          <cell r="N2780" t="e">
            <v>#DIV/0!</v>
          </cell>
        </row>
        <row r="2781">
          <cell r="E2781" t="str">
            <v>HGC-Lib-2464827</v>
          </cell>
          <cell r="F2781" t="str">
            <v>PMLPMFTBA240807014</v>
          </cell>
          <cell r="G2781">
            <v>12</v>
          </cell>
          <cell r="H2781" t="str">
            <v>其他碱基不平衡文库</v>
          </cell>
          <cell r="I2781" t="str">
            <v>WH</v>
          </cell>
          <cell r="J2781">
            <v>29.2</v>
          </cell>
          <cell r="N2781" t="e">
            <v>#DIV/0!</v>
          </cell>
        </row>
        <row r="2782">
          <cell r="E2782" t="str">
            <v>HGC-Lib-2464828</v>
          </cell>
          <cell r="F2782" t="str">
            <v>EBLEBVC240808077</v>
          </cell>
          <cell r="G2782">
            <v>12</v>
          </cell>
          <cell r="H2782" t="str">
            <v>其他碱基不平衡文库</v>
          </cell>
          <cell r="I2782" t="str">
            <v>WH</v>
          </cell>
          <cell r="J2782">
            <v>12.4</v>
          </cell>
          <cell r="N2782" t="e">
            <v>#DIV/0!</v>
          </cell>
        </row>
        <row r="2783">
          <cell r="E2783" t="str">
            <v>HGC-Lib-2464829</v>
          </cell>
          <cell r="F2783" t="str">
            <v>LFTA240807096</v>
          </cell>
          <cell r="G2783">
            <v>100</v>
          </cell>
          <cell r="H2783" t="str">
            <v>singleron-3'全长转录组文库</v>
          </cell>
          <cell r="I2783" t="str">
            <v>WH</v>
          </cell>
          <cell r="J2783">
            <v>23.6</v>
          </cell>
          <cell r="N2783" t="e">
            <v>#DIV/0!</v>
          </cell>
        </row>
        <row r="2784">
          <cell r="E2784" t="str">
            <v>HGC-Lib-2464830</v>
          </cell>
          <cell r="F2784" t="str">
            <v>LC240808004</v>
          </cell>
          <cell r="G2784">
            <v>90</v>
          </cell>
          <cell r="H2784" t="str">
            <v>singleron-3'转录组文库</v>
          </cell>
          <cell r="I2784" t="str">
            <v>WH</v>
          </cell>
          <cell r="J2784">
            <v>6.6</v>
          </cell>
          <cell r="N2784" t="e">
            <v>#DIV/0!</v>
          </cell>
        </row>
        <row r="2785">
          <cell r="E2785" t="str">
            <v>HGC-Lib-2464831</v>
          </cell>
          <cell r="F2785" t="str">
            <v>LA240807040</v>
          </cell>
          <cell r="G2785">
            <v>90</v>
          </cell>
          <cell r="H2785" t="str">
            <v>singleron-3'转录组文库</v>
          </cell>
          <cell r="I2785" t="str">
            <v>WH</v>
          </cell>
          <cell r="J2785">
            <v>7.4</v>
          </cell>
          <cell r="N2785" t="e">
            <v>#DIV/0!</v>
          </cell>
        </row>
        <row r="2786">
          <cell r="E2786" t="str">
            <v>HGC-Lib-2464832</v>
          </cell>
          <cell r="F2786" t="str">
            <v>LA240807041</v>
          </cell>
          <cell r="G2786">
            <v>90</v>
          </cell>
          <cell r="H2786" t="str">
            <v>singleron-3'转录组文库</v>
          </cell>
          <cell r="I2786" t="str">
            <v>WH</v>
          </cell>
          <cell r="J2786">
            <v>5.84</v>
          </cell>
          <cell r="N2786" t="e">
            <v>#DIV/0!</v>
          </cell>
        </row>
        <row r="2787">
          <cell r="E2787" t="str">
            <v>HGC-Lib-2464833</v>
          </cell>
          <cell r="F2787" t="str">
            <v>LA240807042</v>
          </cell>
          <cell r="G2787">
            <v>90</v>
          </cell>
          <cell r="H2787" t="str">
            <v>singleron-3'转录组文库</v>
          </cell>
          <cell r="I2787" t="str">
            <v>WH</v>
          </cell>
          <cell r="J2787">
            <v>5.98</v>
          </cell>
          <cell r="N2787" t="e">
            <v>#DIV/0!</v>
          </cell>
        </row>
        <row r="2788">
          <cell r="E2788" t="str">
            <v>HGC-Lib-2464834</v>
          </cell>
          <cell r="F2788" t="str">
            <v>LA240807043</v>
          </cell>
          <cell r="G2788">
            <v>90</v>
          </cell>
          <cell r="H2788" t="str">
            <v>singleron-3'转录组文库</v>
          </cell>
          <cell r="I2788" t="str">
            <v>WH</v>
          </cell>
          <cell r="J2788">
            <v>6.08</v>
          </cell>
          <cell r="N2788" t="e">
            <v>#DIV/0!</v>
          </cell>
        </row>
        <row r="2789">
          <cell r="E2789" t="str">
            <v>HGC-Lib-2464835</v>
          </cell>
          <cell r="F2789" t="str">
            <v>LA240808044</v>
          </cell>
          <cell r="G2789">
            <v>100</v>
          </cell>
          <cell r="H2789" t="str">
            <v>singleron-3'转录组文库</v>
          </cell>
          <cell r="I2789" t="str">
            <v>WH</v>
          </cell>
          <cell r="J2789">
            <v>5.72</v>
          </cell>
          <cell r="N2789" t="e">
            <v>#DIV/0!</v>
          </cell>
        </row>
        <row r="2790">
          <cell r="E2790" t="str">
            <v>HGC-Lib-2464836</v>
          </cell>
          <cell r="F2790" t="str">
            <v>LA240808030</v>
          </cell>
          <cell r="G2790">
            <v>90</v>
          </cell>
          <cell r="H2790" t="str">
            <v>singleron-3'转录组文库</v>
          </cell>
          <cell r="I2790" t="str">
            <v>YHT</v>
          </cell>
          <cell r="J2790">
            <v>7.52</v>
          </cell>
          <cell r="N2790" t="e">
            <v>#DIV/0!</v>
          </cell>
        </row>
        <row r="2791">
          <cell r="E2791" t="str">
            <v>HGC-Lib-2464837</v>
          </cell>
          <cell r="F2791" t="str">
            <v>LA240808031</v>
          </cell>
          <cell r="G2791">
            <v>90</v>
          </cell>
          <cell r="H2791" t="str">
            <v>singleron-3'转录组文库</v>
          </cell>
          <cell r="I2791" t="str">
            <v>YHT</v>
          </cell>
          <cell r="J2791">
            <v>6.16</v>
          </cell>
          <cell r="N2791" t="e">
            <v>#DIV/0!</v>
          </cell>
        </row>
        <row r="2792">
          <cell r="E2792" t="str">
            <v>HGC-Lib-2464838</v>
          </cell>
          <cell r="F2792" t="str">
            <v>LA240808032</v>
          </cell>
          <cell r="G2792">
            <v>90</v>
          </cell>
          <cell r="H2792" t="str">
            <v>singleron-3'转录组文库</v>
          </cell>
          <cell r="I2792" t="str">
            <v>YHT</v>
          </cell>
          <cell r="J2792">
            <v>3.14</v>
          </cell>
          <cell r="N2792" t="e">
            <v>#DIV/0!</v>
          </cell>
        </row>
        <row r="2793">
          <cell r="E2793" t="str">
            <v>HGC-Lib-2464839</v>
          </cell>
          <cell r="F2793" t="str">
            <v>LA240808033</v>
          </cell>
          <cell r="G2793">
            <v>90</v>
          </cell>
          <cell r="H2793" t="str">
            <v>singleron-3'转录组文库</v>
          </cell>
          <cell r="I2793" t="str">
            <v>YHT</v>
          </cell>
          <cell r="J2793">
            <v>2.34</v>
          </cell>
          <cell r="N2793" t="e">
            <v>#DIV/0!</v>
          </cell>
        </row>
        <row r="2794">
          <cell r="E2794" t="str">
            <v>HGC-Lib-2464840</v>
          </cell>
          <cell r="F2794" t="str">
            <v>LA240808034</v>
          </cell>
          <cell r="G2794">
            <v>90</v>
          </cell>
          <cell r="H2794" t="str">
            <v>singleron-3'转录组文库</v>
          </cell>
          <cell r="I2794" t="str">
            <v>YHT</v>
          </cell>
          <cell r="J2794">
            <v>6.36</v>
          </cell>
          <cell r="N2794" t="e">
            <v>#DIV/0!</v>
          </cell>
        </row>
        <row r="2795">
          <cell r="E2795" t="str">
            <v>HGC-Lib-2464841</v>
          </cell>
          <cell r="F2795" t="str">
            <v>LA240808035</v>
          </cell>
          <cell r="G2795">
            <v>90</v>
          </cell>
          <cell r="H2795" t="str">
            <v>singleron-3'转录组文库</v>
          </cell>
          <cell r="I2795" t="str">
            <v>YHT</v>
          </cell>
          <cell r="J2795">
            <v>7.36</v>
          </cell>
          <cell r="N2795" t="e">
            <v>#DIV/0!</v>
          </cell>
        </row>
        <row r="2796">
          <cell r="E2796" t="str">
            <v>HGC-Lib-2464842</v>
          </cell>
          <cell r="F2796" t="str">
            <v>LA240808036</v>
          </cell>
          <cell r="G2796">
            <v>90</v>
          </cell>
          <cell r="H2796" t="str">
            <v>singleron-3'转录组文库</v>
          </cell>
          <cell r="I2796" t="str">
            <v>YHT</v>
          </cell>
          <cell r="J2796">
            <v>5.14</v>
          </cell>
          <cell r="N2796" t="e">
            <v>#DIV/0!</v>
          </cell>
        </row>
        <row r="2797">
          <cell r="E2797" t="str">
            <v>HGC-Lib-2464843</v>
          </cell>
          <cell r="F2797" t="str">
            <v>LA240808037</v>
          </cell>
          <cell r="G2797">
            <v>90</v>
          </cell>
          <cell r="H2797" t="str">
            <v>singleron-3'转录组文库</v>
          </cell>
          <cell r="I2797" t="str">
            <v>YHT</v>
          </cell>
          <cell r="J2797">
            <v>8.14</v>
          </cell>
          <cell r="N2797" t="e">
            <v>#DIV/0!</v>
          </cell>
        </row>
        <row r="2798">
          <cell r="E2798" t="str">
            <v>HGC-Lib-2464844</v>
          </cell>
          <cell r="F2798" t="str">
            <v>LA240808038</v>
          </cell>
          <cell r="G2798">
            <v>90</v>
          </cell>
          <cell r="H2798" t="str">
            <v>singleron-3'转录组文库</v>
          </cell>
          <cell r="I2798" t="str">
            <v>YHT</v>
          </cell>
          <cell r="J2798">
            <v>3.36</v>
          </cell>
          <cell r="N2798" t="e">
            <v>#DIV/0!</v>
          </cell>
        </row>
        <row r="2799">
          <cell r="E2799" t="str">
            <v>HGC-Lib-2464845</v>
          </cell>
          <cell r="F2799" t="str">
            <v>LA240808039</v>
          </cell>
          <cell r="G2799">
            <v>90</v>
          </cell>
          <cell r="H2799" t="str">
            <v>singleron-3'转录组文库</v>
          </cell>
          <cell r="I2799" t="str">
            <v>YHT</v>
          </cell>
          <cell r="J2799">
            <v>4.3</v>
          </cell>
          <cell r="N2799" t="e">
            <v>#DIV/0!</v>
          </cell>
        </row>
        <row r="2800">
          <cell r="E2800" t="str">
            <v>HGC-Lib-2464846</v>
          </cell>
          <cell r="F2800" t="str">
            <v>LA240808040</v>
          </cell>
          <cell r="G2800">
            <v>90</v>
          </cell>
          <cell r="H2800" t="str">
            <v>singleron-3'转录组文库</v>
          </cell>
          <cell r="I2800" t="str">
            <v>YHT</v>
          </cell>
          <cell r="J2800">
            <v>2.1800000000000002</v>
          </cell>
          <cell r="N2800" t="e">
            <v>#DIV/0!</v>
          </cell>
        </row>
        <row r="2801">
          <cell r="E2801" t="str">
            <v>HGC-Lib-2464847</v>
          </cell>
          <cell r="F2801" t="str">
            <v>LA240808041</v>
          </cell>
          <cell r="G2801">
            <v>90</v>
          </cell>
          <cell r="H2801" t="str">
            <v>singleron-3'转录组文库</v>
          </cell>
          <cell r="I2801" t="str">
            <v>YHT</v>
          </cell>
          <cell r="J2801">
            <v>3.58</v>
          </cell>
          <cell r="N2801" t="e">
            <v>#DIV/0!</v>
          </cell>
        </row>
        <row r="2802">
          <cell r="E2802" t="str">
            <v>HGC-Lib-2464848</v>
          </cell>
          <cell r="F2802" t="str">
            <v>LC240808012</v>
          </cell>
          <cell r="G2802">
            <v>90</v>
          </cell>
          <cell r="H2802" t="str">
            <v>singleron-3'转录组文库</v>
          </cell>
          <cell r="I2802" t="str">
            <v>YHT</v>
          </cell>
          <cell r="J2802">
            <v>4.68</v>
          </cell>
          <cell r="N2802" t="e">
            <v>#DIV/0!</v>
          </cell>
        </row>
        <row r="2803">
          <cell r="E2803" t="str">
            <v>HGC-Lib-2464849</v>
          </cell>
          <cell r="F2803" t="str">
            <v>LC240808015</v>
          </cell>
          <cell r="G2803">
            <v>100</v>
          </cell>
          <cell r="H2803" t="str">
            <v>singleron-3'转录组文库</v>
          </cell>
          <cell r="I2803" t="str">
            <v>YHT</v>
          </cell>
          <cell r="J2803">
            <v>7.9</v>
          </cell>
          <cell r="N2803" t="e">
            <v>#DIV/0!</v>
          </cell>
        </row>
        <row r="2804">
          <cell r="E2804" t="str">
            <v>HGC-Lib-2464850</v>
          </cell>
          <cell r="F2804" t="str">
            <v>LFTA240718050FSX2</v>
          </cell>
          <cell r="G2804">
            <v>90</v>
          </cell>
          <cell r="H2804" t="str">
            <v>singleron-3'全长转录组文库</v>
          </cell>
          <cell r="I2804" t="str">
            <v>YHT</v>
          </cell>
          <cell r="J2804">
            <v>22.2</v>
          </cell>
          <cell r="N2804" t="e">
            <v>#DIV/0!</v>
          </cell>
        </row>
        <row r="2805">
          <cell r="E2805" t="str">
            <v>HGC-POOL-2464851</v>
          </cell>
          <cell r="F2805" t="str">
            <v>PCRD-240812-001</v>
          </cell>
          <cell r="G2805">
            <v>35</v>
          </cell>
          <cell r="H2805" t="str">
            <v>mRNA文库</v>
          </cell>
          <cell r="I2805" t="str">
            <v>YHT</v>
          </cell>
          <cell r="J2805">
            <v>22</v>
          </cell>
          <cell r="N2805" t="e">
            <v>#DIV/0!</v>
          </cell>
        </row>
        <row r="2806">
          <cell r="E2806" t="str">
            <v>HGC-Lib-2464852</v>
          </cell>
          <cell r="F2806" t="str">
            <v>R240731008</v>
          </cell>
          <cell r="G2806">
            <v>40</v>
          </cell>
          <cell r="H2806" t="str">
            <v>singleron-3'转录组文库</v>
          </cell>
          <cell r="I2806" t="str">
            <v>YHT</v>
          </cell>
          <cell r="J2806">
            <v>11.3</v>
          </cell>
          <cell r="N2806" t="e">
            <v>#DIV/0!</v>
          </cell>
        </row>
        <row r="2807">
          <cell r="E2807" t="str">
            <v>HGC-Lib-2464853</v>
          </cell>
          <cell r="F2807" t="str">
            <v>R240731009</v>
          </cell>
          <cell r="G2807">
            <v>40</v>
          </cell>
          <cell r="H2807" t="str">
            <v>singleron-3'转录组文库</v>
          </cell>
          <cell r="I2807" t="str">
            <v>YHT</v>
          </cell>
          <cell r="J2807">
            <v>11</v>
          </cell>
          <cell r="N2807" t="e">
            <v>#DIV/0!</v>
          </cell>
        </row>
        <row r="2808">
          <cell r="E2808" t="str">
            <v>HGC-Lib-2464854</v>
          </cell>
          <cell r="F2808" t="str">
            <v>L1</v>
          </cell>
          <cell r="G2808">
            <v>9</v>
          </cell>
          <cell r="H2808" t="str">
            <v>lncRNA文库</v>
          </cell>
          <cell r="I2808" t="str">
            <v>YHT</v>
          </cell>
          <cell r="J2808">
            <v>8.6199999999999992</v>
          </cell>
          <cell r="N2808" t="e">
            <v>#DIV/0!</v>
          </cell>
        </row>
        <row r="2809">
          <cell r="E2809" t="str">
            <v>HGC-Lib-2464855</v>
          </cell>
          <cell r="F2809" t="str">
            <v>L2</v>
          </cell>
          <cell r="G2809">
            <v>9</v>
          </cell>
          <cell r="H2809" t="str">
            <v>lncRNA文库</v>
          </cell>
          <cell r="I2809" t="str">
            <v>YHT</v>
          </cell>
          <cell r="J2809">
            <v>6.6</v>
          </cell>
          <cell r="N2809" t="e">
            <v>#DIV/0!</v>
          </cell>
        </row>
        <row r="2810">
          <cell r="E2810" t="str">
            <v>HGC-Lib-2464856</v>
          </cell>
          <cell r="F2810" t="str">
            <v>L3</v>
          </cell>
          <cell r="G2810">
            <v>9</v>
          </cell>
          <cell r="H2810" t="str">
            <v>lncRNA文库</v>
          </cell>
          <cell r="I2810" t="str">
            <v>YHT</v>
          </cell>
          <cell r="J2810">
            <v>9.66</v>
          </cell>
          <cell r="N2810" t="e">
            <v>#DIV/0!</v>
          </cell>
        </row>
        <row r="2811">
          <cell r="E2811" t="str">
            <v>HGC-Lib-2464857</v>
          </cell>
          <cell r="F2811" t="str">
            <v>L4</v>
          </cell>
          <cell r="G2811">
            <v>9</v>
          </cell>
          <cell r="H2811" t="str">
            <v>lncRNA文库</v>
          </cell>
          <cell r="I2811" t="str">
            <v>YHT</v>
          </cell>
          <cell r="J2811">
            <v>6.12</v>
          </cell>
          <cell r="N2811" t="e">
            <v>#DIV/0!</v>
          </cell>
        </row>
        <row r="2812">
          <cell r="E2812" t="str">
            <v>HGC-Lib-2464858</v>
          </cell>
          <cell r="F2812" t="str">
            <v>L5</v>
          </cell>
          <cell r="G2812">
            <v>9</v>
          </cell>
          <cell r="H2812" t="str">
            <v>lncRNA文库</v>
          </cell>
          <cell r="I2812" t="str">
            <v>YHT</v>
          </cell>
          <cell r="J2812">
            <v>6.34</v>
          </cell>
          <cell r="N2812" t="e">
            <v>#DIV/0!</v>
          </cell>
        </row>
        <row r="2813">
          <cell r="E2813" t="str">
            <v>HGC-Lib-2464859</v>
          </cell>
          <cell r="F2813" t="str">
            <v>L6</v>
          </cell>
          <cell r="G2813">
            <v>9</v>
          </cell>
          <cell r="H2813" t="str">
            <v>lncRNA文库</v>
          </cell>
          <cell r="I2813" t="str">
            <v>YHT</v>
          </cell>
          <cell r="J2813">
            <v>5.7</v>
          </cell>
          <cell r="N2813" t="e">
            <v>#DIV/0!</v>
          </cell>
        </row>
        <row r="2814">
          <cell r="E2814" t="str">
            <v>HGC-Lib-2464860</v>
          </cell>
          <cell r="F2814" t="str">
            <v>L7</v>
          </cell>
          <cell r="G2814">
            <v>9</v>
          </cell>
          <cell r="H2814" t="str">
            <v>lncRNA文库</v>
          </cell>
          <cell r="I2814" t="str">
            <v>YHT</v>
          </cell>
          <cell r="J2814">
            <v>6.92</v>
          </cell>
          <cell r="N2814" t="e">
            <v>#DIV/0!</v>
          </cell>
        </row>
        <row r="2815">
          <cell r="E2815" t="str">
            <v>HGC-Lib-2464861</v>
          </cell>
          <cell r="F2815" t="str">
            <v>L8</v>
          </cell>
          <cell r="G2815">
            <v>9</v>
          </cell>
          <cell r="H2815" t="str">
            <v>lncRNA文库</v>
          </cell>
          <cell r="I2815" t="str">
            <v>YHT</v>
          </cell>
          <cell r="J2815">
            <v>4.7</v>
          </cell>
          <cell r="N2815" t="e">
            <v>#DIV/0!</v>
          </cell>
        </row>
        <row r="2816">
          <cell r="E2816" t="str">
            <v>HGC-Lib-2464891</v>
          </cell>
          <cell r="F2816" t="str">
            <v>2-omni</v>
          </cell>
          <cell r="G2816">
            <v>10</v>
          </cell>
          <cell r="H2816" t="str">
            <v>ATAC-Seq文库</v>
          </cell>
          <cell r="I2816" t="str">
            <v>YHT</v>
          </cell>
          <cell r="J2816">
            <v>11.3</v>
          </cell>
          <cell r="K2816">
            <v>647</v>
          </cell>
          <cell r="L2816" t="str">
            <v>HZK</v>
          </cell>
          <cell r="N2816">
            <v>26.8695755558198</v>
          </cell>
        </row>
        <row r="2817">
          <cell r="E2817" t="str">
            <v>HGC-Lib-2464892</v>
          </cell>
          <cell r="F2817" t="str">
            <v>2-NP40</v>
          </cell>
          <cell r="G2817">
            <v>10</v>
          </cell>
          <cell r="H2817" t="str">
            <v>ATAC-Seq文库</v>
          </cell>
          <cell r="I2817" t="str">
            <v>YHT</v>
          </cell>
          <cell r="J2817">
            <v>7.98</v>
          </cell>
          <cell r="K2817">
            <v>706</v>
          </cell>
          <cell r="L2817" t="str">
            <v>HZK</v>
          </cell>
          <cell r="N2817">
            <v>17.389409457398099</v>
          </cell>
        </row>
        <row r="2818">
          <cell r="E2818" t="str">
            <v>HGC-Lib-2464893</v>
          </cell>
          <cell r="F2818" t="str">
            <v>1 none 0-1</v>
          </cell>
          <cell r="G2818">
            <v>10</v>
          </cell>
          <cell r="H2818" t="str">
            <v>ATAC-Seq文库</v>
          </cell>
          <cell r="I2818" t="str">
            <v>YHT</v>
          </cell>
          <cell r="J2818">
            <v>26.8</v>
          </cell>
          <cell r="K2818">
            <v>278</v>
          </cell>
          <cell r="L2818" t="str">
            <v>HZK</v>
          </cell>
          <cell r="N2818">
            <v>148.31211953514099</v>
          </cell>
        </row>
        <row r="2819">
          <cell r="E2819" t="str">
            <v>HGC-Lib-2464894</v>
          </cell>
          <cell r="F2819" t="str">
            <v>1 none 0-2</v>
          </cell>
          <cell r="G2819">
            <v>10</v>
          </cell>
          <cell r="H2819" t="str">
            <v>ATAC-Seq文库</v>
          </cell>
          <cell r="I2819" t="str">
            <v>YHT</v>
          </cell>
          <cell r="J2819">
            <v>20.2</v>
          </cell>
          <cell r="K2819">
            <v>293</v>
          </cell>
          <cell r="L2819" t="str">
            <v>HZK</v>
          </cell>
          <cell r="N2819">
            <v>106.064583880284</v>
          </cell>
        </row>
        <row r="2820">
          <cell r="E2820" t="str">
            <v>HGC-Lib-2464895</v>
          </cell>
          <cell r="F2820" t="str">
            <v>1 none 20-1</v>
          </cell>
          <cell r="G2820">
            <v>10</v>
          </cell>
          <cell r="H2820" t="str">
            <v>ATAC-Seq文库</v>
          </cell>
          <cell r="I2820" t="str">
            <v>YHT</v>
          </cell>
          <cell r="J2820">
            <v>26</v>
          </cell>
          <cell r="K2820">
            <v>282</v>
          </cell>
          <cell r="L2820" t="str">
            <v>HZK</v>
          </cell>
          <cell r="N2820">
            <v>141.84397163120599</v>
          </cell>
        </row>
        <row r="2821">
          <cell r="E2821" t="str">
            <v>HGC-Lib-2464896</v>
          </cell>
          <cell r="F2821" t="str">
            <v>1 none 20-2</v>
          </cell>
          <cell r="G2821">
            <v>10</v>
          </cell>
          <cell r="H2821" t="str">
            <v>ATAC-Seq文库</v>
          </cell>
          <cell r="I2821" t="str">
            <v>YHT</v>
          </cell>
          <cell r="J2821">
            <v>24.4</v>
          </cell>
          <cell r="K2821">
            <v>271</v>
          </cell>
          <cell r="L2821" t="str">
            <v>HZK</v>
          </cell>
          <cell r="N2821">
            <v>138.51830826000599</v>
          </cell>
        </row>
        <row r="2822">
          <cell r="E2822" t="str">
            <v>HGC-Lib-2464897</v>
          </cell>
          <cell r="F2822" t="str">
            <v>1 none 200-1</v>
          </cell>
          <cell r="G2822">
            <v>10</v>
          </cell>
          <cell r="H2822" t="str">
            <v>ATAC-Seq文库</v>
          </cell>
          <cell r="I2822" t="str">
            <v>YHT</v>
          </cell>
          <cell r="J2822">
            <v>28</v>
          </cell>
          <cell r="K2822">
            <v>291</v>
          </cell>
          <cell r="L2822" t="str">
            <v>HZK</v>
          </cell>
          <cell r="N2822">
            <v>148.03066349458101</v>
          </cell>
        </row>
        <row r="2823">
          <cell r="E2823" t="str">
            <v>HGC-Lib-2464898</v>
          </cell>
          <cell r="F2823" t="str">
            <v>1 none 200-2</v>
          </cell>
          <cell r="G2823">
            <v>10</v>
          </cell>
          <cell r="H2823" t="str">
            <v>ATAC-Seq文库</v>
          </cell>
          <cell r="I2823" t="str">
            <v>YHT</v>
          </cell>
          <cell r="J2823">
            <v>25.8</v>
          </cell>
          <cell r="K2823">
            <v>322</v>
          </cell>
          <cell r="L2823" t="str">
            <v>HZK</v>
          </cell>
          <cell r="N2823">
            <v>123.268036311515</v>
          </cell>
        </row>
        <row r="2824">
          <cell r="E2824" t="str">
            <v>HGC-Lib-2464899</v>
          </cell>
          <cell r="F2824" t="str">
            <v>2- none 6k 0-1</v>
          </cell>
          <cell r="G2824">
            <v>10</v>
          </cell>
          <cell r="H2824" t="str">
            <v>ATAC-Seq文库</v>
          </cell>
          <cell r="I2824" t="str">
            <v>YHT</v>
          </cell>
          <cell r="J2824">
            <v>23.4</v>
          </cell>
          <cell r="K2824">
            <v>272</v>
          </cell>
          <cell r="L2824" t="str">
            <v>HZK</v>
          </cell>
          <cell r="N2824">
            <v>132.35294117647101</v>
          </cell>
        </row>
        <row r="2825">
          <cell r="E2825" t="str">
            <v>HGC-Lib-2464900</v>
          </cell>
          <cell r="F2825" t="str">
            <v>2- none 6k 0-2</v>
          </cell>
          <cell r="G2825">
            <v>10</v>
          </cell>
          <cell r="H2825" t="str">
            <v>ATAC-Seq文库</v>
          </cell>
          <cell r="I2825" t="str">
            <v>YHT</v>
          </cell>
          <cell r="J2825">
            <v>21.4</v>
          </cell>
          <cell r="K2825">
            <v>275</v>
          </cell>
          <cell r="L2825" t="str">
            <v>HZK</v>
          </cell>
          <cell r="N2825">
            <v>119.72027972028</v>
          </cell>
        </row>
        <row r="2826">
          <cell r="E2826" t="str">
            <v>HGC-Lib-2464901</v>
          </cell>
          <cell r="F2826" t="str">
            <v>2- none 6k 20-1</v>
          </cell>
          <cell r="G2826">
            <v>10</v>
          </cell>
          <cell r="H2826" t="str">
            <v>ATAC-Seq文库</v>
          </cell>
          <cell r="I2826" t="str">
            <v>YHT</v>
          </cell>
          <cell r="J2826">
            <v>24.2</v>
          </cell>
          <cell r="K2826">
            <v>287</v>
          </cell>
          <cell r="L2826" t="str">
            <v>HZK</v>
          </cell>
          <cell r="N2826">
            <v>129.72393460198299</v>
          </cell>
        </row>
        <row r="2827">
          <cell r="E2827" t="str">
            <v>HGC-Lib-2464902</v>
          </cell>
          <cell r="F2827" t="str">
            <v>2- none 6k 20-2</v>
          </cell>
          <cell r="G2827">
            <v>10</v>
          </cell>
          <cell r="H2827" t="str">
            <v>ATAC-Seq文库</v>
          </cell>
          <cell r="I2827" t="str">
            <v>YHT</v>
          </cell>
          <cell r="J2827">
            <v>29.6</v>
          </cell>
          <cell r="K2827">
            <v>277</v>
          </cell>
          <cell r="L2827" t="str">
            <v>HZK</v>
          </cell>
          <cell r="N2827">
            <v>164.39877811719001</v>
          </cell>
        </row>
        <row r="2828">
          <cell r="E2828" t="str">
            <v>HGC-Lib-2464903</v>
          </cell>
          <cell r="F2828" t="str">
            <v>2- none 6k 200-1</v>
          </cell>
          <cell r="G2828">
            <v>10</v>
          </cell>
          <cell r="H2828" t="str">
            <v>ATAC-Seq文库</v>
          </cell>
          <cell r="I2828" t="str">
            <v>YHT</v>
          </cell>
          <cell r="J2828">
            <v>14.2</v>
          </cell>
          <cell r="K2828">
            <v>365</v>
          </cell>
          <cell r="L2828" t="str">
            <v>HZK</v>
          </cell>
          <cell r="N2828">
            <v>59.852476290832499</v>
          </cell>
        </row>
        <row r="2829">
          <cell r="E2829" t="str">
            <v>HGC-Lib-2464904</v>
          </cell>
          <cell r="F2829" t="str">
            <v>2- none 6k 200-2</v>
          </cell>
          <cell r="G2829">
            <v>10</v>
          </cell>
          <cell r="H2829" t="str">
            <v>ATAC-Seq文库</v>
          </cell>
          <cell r="I2829" t="str">
            <v>YHT</v>
          </cell>
          <cell r="J2829">
            <v>12.3</v>
          </cell>
          <cell r="K2829">
            <v>347</v>
          </cell>
          <cell r="L2829" t="str">
            <v>HZK</v>
          </cell>
          <cell r="N2829">
            <v>54.533362890711601</v>
          </cell>
        </row>
        <row r="2830">
          <cell r="E2830" t="str">
            <v>HGC-Lib-2464905</v>
          </cell>
          <cell r="F2830" t="str">
            <v>3 Raw SA M1 STMm5 0-1</v>
          </cell>
          <cell r="G2830">
            <v>10</v>
          </cell>
          <cell r="H2830" t="str">
            <v>ATAC-Seq文库</v>
          </cell>
          <cell r="I2830" t="str">
            <v>YHT</v>
          </cell>
          <cell r="J2830">
            <v>17</v>
          </cell>
          <cell r="K2830">
            <v>273</v>
          </cell>
          <cell r="L2830" t="str">
            <v>HZK</v>
          </cell>
          <cell r="N2830">
            <v>95.801634263172701</v>
          </cell>
        </row>
        <row r="2831">
          <cell r="E2831" t="str">
            <v>HGC-Lib-2464906</v>
          </cell>
          <cell r="F2831" t="str">
            <v>3 Raw SA M1 STMm5 0-2</v>
          </cell>
          <cell r="G2831">
            <v>10</v>
          </cell>
          <cell r="H2831" t="str">
            <v>ATAC-Seq文库</v>
          </cell>
          <cell r="I2831" t="str">
            <v>YHT</v>
          </cell>
          <cell r="J2831">
            <v>13.5</v>
          </cell>
          <cell r="K2831">
            <v>294</v>
          </cell>
          <cell r="L2831" t="str">
            <v>HZK</v>
          </cell>
          <cell r="N2831">
            <v>70.643642072213495</v>
          </cell>
        </row>
        <row r="2832">
          <cell r="E2832" t="str">
            <v>HGC-Lib-2464907</v>
          </cell>
          <cell r="F2832" t="str">
            <v>3 Raw SA M1 STMm5 20-1</v>
          </cell>
          <cell r="G2832">
            <v>10</v>
          </cell>
          <cell r="H2832" t="str">
            <v>ATAC-Seq文库</v>
          </cell>
          <cell r="I2832" t="str">
            <v>YHT</v>
          </cell>
          <cell r="J2832">
            <v>14.7</v>
          </cell>
          <cell r="K2832">
            <v>266</v>
          </cell>
          <cell r="L2832" t="str">
            <v>HZK</v>
          </cell>
          <cell r="N2832">
            <v>85.020242914979704</v>
          </cell>
        </row>
        <row r="2833">
          <cell r="E2833" t="str">
            <v>HGC-Lib-2464908</v>
          </cell>
          <cell r="F2833" t="str">
            <v>3 Raw SA M1 STMm5 20-2</v>
          </cell>
          <cell r="G2833">
            <v>10</v>
          </cell>
          <cell r="H2833" t="str">
            <v>ATAC-Seq文库</v>
          </cell>
          <cell r="I2833" t="str">
            <v>YHT</v>
          </cell>
          <cell r="J2833">
            <v>17.7</v>
          </cell>
          <cell r="K2833">
            <v>287</v>
          </cell>
          <cell r="L2833" t="str">
            <v>HZK</v>
          </cell>
          <cell r="N2833">
            <v>94.880729027070501</v>
          </cell>
        </row>
        <row r="2834">
          <cell r="E2834" t="str">
            <v>HGC-Lib-2464909</v>
          </cell>
          <cell r="F2834" t="str">
            <v>3 Raw SA M1 STMm5 200-1</v>
          </cell>
          <cell r="G2834">
            <v>10</v>
          </cell>
          <cell r="H2834" t="str">
            <v>ATAC-Seq文库</v>
          </cell>
          <cell r="I2834" t="str">
            <v>YHT</v>
          </cell>
          <cell r="J2834">
            <v>13.8</v>
          </cell>
          <cell r="K2834">
            <v>364</v>
          </cell>
          <cell r="L2834" t="str">
            <v>HZK</v>
          </cell>
          <cell r="N2834">
            <v>58.326289095519897</v>
          </cell>
        </row>
        <row r="2835">
          <cell r="E2835" t="str">
            <v>HGC-Lib-2464910</v>
          </cell>
          <cell r="F2835" t="str">
            <v>3 Raw SA M1 STMm5 200-2</v>
          </cell>
          <cell r="G2835">
            <v>10</v>
          </cell>
          <cell r="H2835" t="str">
            <v>ATAC-Seq文库</v>
          </cell>
          <cell r="I2835" t="str">
            <v>YHT</v>
          </cell>
          <cell r="J2835">
            <v>17.600000000000001</v>
          </cell>
          <cell r="K2835">
            <v>334</v>
          </cell>
          <cell r="L2835" t="str">
            <v>HZK</v>
          </cell>
          <cell r="N2835">
            <v>81.068631966835596</v>
          </cell>
        </row>
        <row r="2836">
          <cell r="E2836" t="str">
            <v>HGC-Lib-2464911</v>
          </cell>
          <cell r="F2836" t="str">
            <v>A9-5K-240812</v>
          </cell>
          <cell r="G2836">
            <v>15</v>
          </cell>
          <cell r="H2836" t="str">
            <v>10× 3'单细胞</v>
          </cell>
          <cell r="I2836" t="str">
            <v>HZK</v>
          </cell>
          <cell r="J2836">
            <v>17</v>
          </cell>
          <cell r="K2836">
            <v>439</v>
          </cell>
          <cell r="L2836" t="str">
            <v>HZK</v>
          </cell>
          <cell r="N2836">
            <v>59.575959348168901</v>
          </cell>
        </row>
        <row r="2837">
          <cell r="E2837" t="str">
            <v>HGC-Lib-2464912</v>
          </cell>
          <cell r="F2837" t="str">
            <v>A10-5K-240812</v>
          </cell>
          <cell r="G2837">
            <v>15</v>
          </cell>
          <cell r="H2837" t="str">
            <v>10× 3'单细胞</v>
          </cell>
          <cell r="I2837" t="str">
            <v>HZK</v>
          </cell>
          <cell r="J2837">
            <v>7.24</v>
          </cell>
          <cell r="K2837">
            <v>454</v>
          </cell>
          <cell r="L2837" t="str">
            <v>HZK</v>
          </cell>
          <cell r="N2837">
            <v>24.5340562521179</v>
          </cell>
        </row>
        <row r="2838">
          <cell r="E2838" t="str">
            <v>HGC-POOL-2464913</v>
          </cell>
          <cell r="F2838" t="str">
            <v>SB97</v>
          </cell>
          <cell r="G2838">
            <v>48</v>
          </cell>
          <cell r="H2838" t="str">
            <v>10× 3'单细胞</v>
          </cell>
          <cell r="I2838" t="str">
            <v>HZK</v>
          </cell>
          <cell r="J2838">
            <v>1.9</v>
          </cell>
          <cell r="K2838">
            <v>422</v>
          </cell>
          <cell r="L2838" t="str">
            <v>WH</v>
          </cell>
          <cell r="N2838">
            <v>6.9267225665329901</v>
          </cell>
        </row>
        <row r="2839">
          <cell r="E2839" t="str">
            <v>HGC-Lib-2464914</v>
          </cell>
          <cell r="F2839" t="str">
            <v>B1</v>
          </cell>
          <cell r="G2839">
            <v>10</v>
          </cell>
          <cell r="H2839" t="str">
            <v>ATAC-Seq文库</v>
          </cell>
          <cell r="I2839" t="str">
            <v>HZK</v>
          </cell>
          <cell r="J2839">
            <v>16</v>
          </cell>
          <cell r="K2839">
            <v>403</v>
          </cell>
          <cell r="L2839" t="str">
            <v>HZK</v>
          </cell>
          <cell r="N2839">
            <v>61.080358847108201</v>
          </cell>
        </row>
        <row r="2840">
          <cell r="E2840" t="str">
            <v>HGC-Lib-2464915</v>
          </cell>
          <cell r="F2840" t="str">
            <v>B2</v>
          </cell>
          <cell r="G2840">
            <v>10</v>
          </cell>
          <cell r="H2840" t="str">
            <v>ATAC-Seq文库</v>
          </cell>
          <cell r="I2840" t="str">
            <v>HZK</v>
          </cell>
          <cell r="J2840">
            <v>30.6</v>
          </cell>
          <cell r="K2840">
            <v>394</v>
          </cell>
          <cell r="L2840" t="str">
            <v>HZK</v>
          </cell>
          <cell r="N2840">
            <v>119.484576337368</v>
          </cell>
        </row>
        <row r="2841">
          <cell r="E2841" t="str">
            <v>HGC-Lib-2464916</v>
          </cell>
          <cell r="F2841" t="str">
            <v>B3</v>
          </cell>
          <cell r="G2841">
            <v>10</v>
          </cell>
          <cell r="H2841" t="str">
            <v>ATAC-Seq文库</v>
          </cell>
          <cell r="I2841" t="str">
            <v>HZK</v>
          </cell>
          <cell r="J2841">
            <v>26.8</v>
          </cell>
          <cell r="K2841">
            <v>334</v>
          </cell>
          <cell r="L2841" t="str">
            <v>HZK</v>
          </cell>
          <cell r="N2841">
            <v>123.445416858591</v>
          </cell>
        </row>
        <row r="2842">
          <cell r="E2842" t="str">
            <v>HGC-Lib-2464917</v>
          </cell>
          <cell r="F2842" t="str">
            <v>B4</v>
          </cell>
          <cell r="G2842">
            <v>10</v>
          </cell>
          <cell r="H2842" t="str">
            <v>ATAC-Seq文库</v>
          </cell>
          <cell r="I2842" t="str">
            <v>HZK</v>
          </cell>
          <cell r="J2842">
            <v>24.6</v>
          </cell>
          <cell r="K2842">
            <v>329</v>
          </cell>
          <cell r="L2842" t="str">
            <v>HZK</v>
          </cell>
          <cell r="N2842">
            <v>115.033902267945</v>
          </cell>
        </row>
        <row r="2843">
          <cell r="E2843" t="str">
            <v>HGC-Lib-2464918</v>
          </cell>
          <cell r="F2843" t="str">
            <v>B5</v>
          </cell>
          <cell r="G2843">
            <v>10</v>
          </cell>
          <cell r="H2843" t="str">
            <v>ATAC-Seq文库</v>
          </cell>
          <cell r="I2843" t="str">
            <v>HZK</v>
          </cell>
          <cell r="J2843">
            <v>20</v>
          </cell>
          <cell r="K2843">
            <v>330</v>
          </cell>
          <cell r="L2843" t="str">
            <v>HZK</v>
          </cell>
          <cell r="N2843">
            <v>93.240093240093202</v>
          </cell>
        </row>
        <row r="2844">
          <cell r="E2844" t="str">
            <v>HGC-Lib-2464919</v>
          </cell>
          <cell r="F2844" t="str">
            <v>B6</v>
          </cell>
          <cell r="G2844">
            <v>10</v>
          </cell>
          <cell r="H2844" t="str">
            <v>ATAC-Seq文库</v>
          </cell>
          <cell r="I2844" t="str">
            <v>HZK</v>
          </cell>
          <cell r="J2844">
            <v>35.799999999999997</v>
          </cell>
          <cell r="K2844">
            <v>291</v>
          </cell>
          <cell r="L2844" t="str">
            <v>HZK</v>
          </cell>
          <cell r="N2844">
            <v>189.267776896643</v>
          </cell>
        </row>
        <row r="2845">
          <cell r="E2845" t="str">
            <v>HGC-Lib-2464920</v>
          </cell>
          <cell r="F2845" t="str">
            <v>P1</v>
          </cell>
          <cell r="G2845">
            <v>10</v>
          </cell>
          <cell r="H2845" t="str">
            <v>ATAC-Seq文库</v>
          </cell>
          <cell r="I2845" t="str">
            <v>HZK</v>
          </cell>
          <cell r="J2845">
            <v>35</v>
          </cell>
          <cell r="K2845">
            <v>306</v>
          </cell>
          <cell r="L2845" t="str">
            <v>HZK</v>
          </cell>
          <cell r="N2845">
            <v>175.96782302664701</v>
          </cell>
        </row>
        <row r="2846">
          <cell r="E2846" t="str">
            <v>HGC-Lib-2464921</v>
          </cell>
          <cell r="F2846" t="str">
            <v>P2</v>
          </cell>
          <cell r="G2846">
            <v>10</v>
          </cell>
          <cell r="H2846" t="str">
            <v>ATAC-Seq文库</v>
          </cell>
          <cell r="I2846" t="str">
            <v>HZK</v>
          </cell>
          <cell r="J2846">
            <v>38</v>
          </cell>
          <cell r="K2846">
            <v>294</v>
          </cell>
          <cell r="L2846" t="str">
            <v>HZK</v>
          </cell>
          <cell r="N2846">
            <v>198.848770277342</v>
          </cell>
        </row>
        <row r="2847">
          <cell r="E2847" t="str">
            <v>HGC-Lib-2464922</v>
          </cell>
          <cell r="F2847" t="str">
            <v>D1</v>
          </cell>
          <cell r="G2847">
            <v>10</v>
          </cell>
          <cell r="H2847" t="str">
            <v>ATAC-Seq文库</v>
          </cell>
          <cell r="I2847" t="str">
            <v>HZK</v>
          </cell>
          <cell r="J2847">
            <v>33.4</v>
          </cell>
          <cell r="K2847">
            <v>277</v>
          </cell>
          <cell r="L2847" t="str">
            <v>HZK</v>
          </cell>
          <cell r="N2847">
            <v>185.504026659261</v>
          </cell>
        </row>
        <row r="2848">
          <cell r="E2848" t="str">
            <v>HGC-Lib-2464923</v>
          </cell>
          <cell r="F2848" t="str">
            <v>D2</v>
          </cell>
          <cell r="G2848">
            <v>10</v>
          </cell>
          <cell r="H2848" t="str">
            <v>ATAC-Seq文库</v>
          </cell>
          <cell r="I2848" t="str">
            <v>HZK</v>
          </cell>
          <cell r="J2848">
            <v>34.200000000000003</v>
          </cell>
          <cell r="K2848">
            <v>287</v>
          </cell>
          <cell r="L2848" t="str">
            <v>HZK</v>
          </cell>
          <cell r="N2848">
            <v>183.328866255696</v>
          </cell>
        </row>
        <row r="2849">
          <cell r="E2849" t="str">
            <v>HGC-POOL-2465011</v>
          </cell>
          <cell r="F2849" t="str">
            <v>MEF-22-ribo</v>
          </cell>
          <cell r="G2849">
            <v>16</v>
          </cell>
          <cell r="H2849" t="str">
            <v>Ribo-Seq文库</v>
          </cell>
          <cell r="I2849" t="str">
            <v>HZK</v>
          </cell>
          <cell r="J2849">
            <v>4.3600000000000003</v>
          </cell>
          <cell r="K2849">
            <v>173</v>
          </cell>
          <cell r="L2849" t="str">
            <v>HZK</v>
          </cell>
          <cell r="N2849">
            <v>38.772787905735903</v>
          </cell>
        </row>
        <row r="2850">
          <cell r="E2850" t="str">
            <v>HGC-POOL-2465016</v>
          </cell>
          <cell r="F2850" t="str">
            <v>pool-4597-Xplus</v>
          </cell>
          <cell r="G2850">
            <v>1000</v>
          </cell>
          <cell r="H2850" t="str">
            <v>空间转录组测序54%，mRNA测序46%</v>
          </cell>
          <cell r="I2850" t="str">
            <v>HZK</v>
          </cell>
          <cell r="J2850">
            <v>12.7</v>
          </cell>
          <cell r="K2850">
            <v>422</v>
          </cell>
          <cell r="L2850" t="str">
            <v>WH</v>
          </cell>
          <cell r="N2850">
            <v>46.299671892089002</v>
          </cell>
        </row>
        <row r="2851">
          <cell r="E2851" t="str">
            <v>HGC-Lib-2465017</v>
          </cell>
          <cell r="F2851" t="str">
            <v>0813X1</v>
          </cell>
          <cell r="G2851">
            <v>1000</v>
          </cell>
          <cell r="H2851" t="str">
            <v>mRNA文库</v>
          </cell>
          <cell r="I2851" t="str">
            <v>HZK</v>
          </cell>
          <cell r="J2851">
            <v>18.3</v>
          </cell>
          <cell r="K2851">
            <v>456</v>
          </cell>
          <cell r="L2851" t="str">
            <v>WH</v>
          </cell>
          <cell r="N2851">
            <v>61.7408906882591</v>
          </cell>
        </row>
        <row r="2852">
          <cell r="E2852" t="str">
            <v>HGC-Lib-2465018</v>
          </cell>
          <cell r="F2852" t="str">
            <v>0813X2</v>
          </cell>
          <cell r="G2852">
            <v>1000</v>
          </cell>
          <cell r="H2852" t="str">
            <v>10x 5'单细胞</v>
          </cell>
          <cell r="I2852" t="str">
            <v>HZK</v>
          </cell>
          <cell r="J2852">
            <v>25.3</v>
          </cell>
          <cell r="K2852">
            <v>428</v>
          </cell>
          <cell r="L2852" t="str">
            <v>WH</v>
          </cell>
          <cell r="N2852">
            <v>90.941768511861994</v>
          </cell>
        </row>
        <row r="2853">
          <cell r="E2853" t="str">
            <v>HGC-Lib-2465019</v>
          </cell>
          <cell r="F2853" t="str">
            <v>0813X3</v>
          </cell>
          <cell r="G2853">
            <v>1000</v>
          </cell>
          <cell r="H2853" t="str">
            <v>10× 3'单细胞</v>
          </cell>
          <cell r="I2853" t="str">
            <v>HZK</v>
          </cell>
          <cell r="J2853">
            <v>10.3</v>
          </cell>
          <cell r="K2853">
            <v>450</v>
          </cell>
          <cell r="L2853" t="str">
            <v>WH</v>
          </cell>
          <cell r="N2853">
            <v>35.213675213675202</v>
          </cell>
        </row>
        <row r="2854">
          <cell r="E2854" t="str">
            <v>HGC-Lib-2465012</v>
          </cell>
          <cell r="F2854" t="str">
            <v>ER1-4</v>
          </cell>
          <cell r="G2854">
            <v>2</v>
          </cell>
          <cell r="H2854" t="str">
            <v>RNA-seq文库</v>
          </cell>
          <cell r="I2854" t="str">
            <v>HZK</v>
          </cell>
          <cell r="J2854">
            <v>23.2</v>
          </cell>
          <cell r="K2854">
            <v>332</v>
          </cell>
          <cell r="L2854" t="str">
            <v>GZQ</v>
          </cell>
          <cell r="N2854">
            <v>107.506950880445</v>
          </cell>
        </row>
        <row r="2855">
          <cell r="E2855" t="str">
            <v>HGC-Lib-2465013</v>
          </cell>
          <cell r="F2855" t="str">
            <v>ER2-4</v>
          </cell>
          <cell r="G2855">
            <v>2</v>
          </cell>
          <cell r="H2855" t="str">
            <v>RNA-seq文库</v>
          </cell>
          <cell r="I2855" t="str">
            <v>HZK</v>
          </cell>
          <cell r="J2855">
            <v>29.8</v>
          </cell>
          <cell r="K2855">
            <v>329</v>
          </cell>
          <cell r="L2855" t="str">
            <v>GZQ</v>
          </cell>
          <cell r="N2855">
            <v>139.35001169043699</v>
          </cell>
        </row>
        <row r="2856">
          <cell r="E2856" t="str">
            <v>HGC-Lib-2465014</v>
          </cell>
          <cell r="F2856" t="str">
            <v>ER3-4</v>
          </cell>
          <cell r="G2856">
            <v>2</v>
          </cell>
          <cell r="H2856" t="str">
            <v>RNA-seq文库</v>
          </cell>
          <cell r="I2856" t="str">
            <v>HZK</v>
          </cell>
          <cell r="J2856">
            <v>25.4</v>
          </cell>
          <cell r="K2856">
            <v>342</v>
          </cell>
          <cell r="L2856" t="str">
            <v>GZQ</v>
          </cell>
          <cell r="N2856">
            <v>114.260008996851</v>
          </cell>
        </row>
        <row r="2857">
          <cell r="E2857" t="str">
            <v>HGC-Lib-2465015</v>
          </cell>
          <cell r="F2857" t="str">
            <v>ER3-5</v>
          </cell>
          <cell r="G2857">
            <v>2</v>
          </cell>
          <cell r="H2857" t="str">
            <v>RNA-seq文库</v>
          </cell>
          <cell r="I2857" t="str">
            <v>HZK</v>
          </cell>
          <cell r="J2857">
            <v>9.68</v>
          </cell>
          <cell r="K2857">
            <v>265</v>
          </cell>
          <cell r="L2857" t="str">
            <v>GZQ</v>
          </cell>
          <cell r="N2857">
            <v>56.1973875181422</v>
          </cell>
        </row>
        <row r="2858">
          <cell r="E2858" t="str">
            <v>HGC-Lib-2465020</v>
          </cell>
          <cell r="F2858" t="str">
            <v>20240813-WTA-PLT2</v>
          </cell>
          <cell r="G2858">
            <v>100</v>
          </cell>
          <cell r="H2858" t="str">
            <v>BD-单细胞</v>
          </cell>
          <cell r="I2858" t="str">
            <v>HZK</v>
          </cell>
          <cell r="J2858">
            <v>11.9</v>
          </cell>
          <cell r="K2858">
            <v>497</v>
          </cell>
          <cell r="L2858" t="str">
            <v>GZQ</v>
          </cell>
          <cell r="N2858">
            <v>36.836403033586102</v>
          </cell>
        </row>
        <row r="2859">
          <cell r="E2859" t="str">
            <v>HGC-Lib-2465021</v>
          </cell>
          <cell r="F2859" t="str">
            <v>Y1</v>
          </cell>
          <cell r="G2859">
            <v>5</v>
          </cell>
          <cell r="H2859" t="str">
            <v>原核RNA文库</v>
          </cell>
          <cell r="I2859" t="str">
            <v>HZK</v>
          </cell>
          <cell r="J2859">
            <v>6.94</v>
          </cell>
          <cell r="K2859">
            <v>411</v>
          </cell>
          <cell r="L2859" t="str">
            <v>YHT</v>
          </cell>
          <cell r="N2859">
            <v>25.9779150290099</v>
          </cell>
        </row>
        <row r="2860">
          <cell r="E2860" t="str">
            <v>HGC-Lib-2465022</v>
          </cell>
          <cell r="F2860" t="str">
            <v>Y2</v>
          </cell>
          <cell r="G2860">
            <v>5</v>
          </cell>
          <cell r="H2860" t="str">
            <v>原核RNA文库</v>
          </cell>
          <cell r="I2860" t="str">
            <v>HZK</v>
          </cell>
          <cell r="J2860">
            <v>5.32</v>
          </cell>
          <cell r="K2860">
            <v>401</v>
          </cell>
          <cell r="L2860" t="str">
            <v>YHT</v>
          </cell>
          <cell r="N2860">
            <v>20.4105121810857</v>
          </cell>
        </row>
        <row r="2861">
          <cell r="E2861" t="str">
            <v>HGC-Lib-2465023</v>
          </cell>
          <cell r="F2861" t="str">
            <v>Y3</v>
          </cell>
          <cell r="G2861">
            <v>5</v>
          </cell>
          <cell r="H2861" t="str">
            <v>原核RNA文库</v>
          </cell>
          <cell r="I2861" t="str">
            <v>HZK</v>
          </cell>
          <cell r="J2861">
            <v>7.56</v>
          </cell>
          <cell r="K2861">
            <v>401</v>
          </cell>
          <cell r="L2861" t="str">
            <v>YHT</v>
          </cell>
          <cell r="N2861">
            <v>29.004412046806099</v>
          </cell>
        </row>
        <row r="2862">
          <cell r="E2862" t="str">
            <v>HGC-Lib-2465024</v>
          </cell>
          <cell r="F2862" t="str">
            <v>Y4</v>
          </cell>
          <cell r="G2862">
            <v>5</v>
          </cell>
          <cell r="H2862" t="str">
            <v>原核RNA文库</v>
          </cell>
          <cell r="I2862" t="str">
            <v>HZK</v>
          </cell>
          <cell r="J2862">
            <v>6.7</v>
          </cell>
          <cell r="K2862">
            <v>396</v>
          </cell>
          <cell r="L2862" t="str">
            <v>YHT</v>
          </cell>
          <cell r="N2862">
            <v>26.029526029526</v>
          </cell>
        </row>
        <row r="2863">
          <cell r="E2863" t="str">
            <v>HGC-Lib-2465025</v>
          </cell>
          <cell r="F2863" t="str">
            <v>Y5</v>
          </cell>
          <cell r="G2863">
            <v>5</v>
          </cell>
          <cell r="H2863" t="str">
            <v>原核RNA文库</v>
          </cell>
          <cell r="I2863" t="str">
            <v>HZK</v>
          </cell>
          <cell r="J2863">
            <v>4.26</v>
          </cell>
          <cell r="K2863">
            <v>384</v>
          </cell>
          <cell r="L2863" t="str">
            <v>YHT</v>
          </cell>
          <cell r="N2863">
            <v>17.067307692307701</v>
          </cell>
        </row>
        <row r="2864">
          <cell r="E2864" t="str">
            <v>HGC-Lib-2465026</v>
          </cell>
          <cell r="F2864" t="str">
            <v>Y6</v>
          </cell>
          <cell r="G2864">
            <v>5</v>
          </cell>
          <cell r="H2864" t="str">
            <v>原核RNA文库</v>
          </cell>
          <cell r="I2864" t="str">
            <v>HZK</v>
          </cell>
          <cell r="J2864">
            <v>6.88</v>
          </cell>
          <cell r="K2864">
            <v>392</v>
          </cell>
          <cell r="L2864" t="str">
            <v>YHT</v>
          </cell>
          <cell r="N2864">
            <v>27.001569858712699</v>
          </cell>
        </row>
        <row r="2865">
          <cell r="E2865" t="str">
            <v>HGC-POOL-2465027</v>
          </cell>
          <cell r="F2865" t="str">
            <v>YX20240813_1</v>
          </cell>
          <cell r="G2865">
            <v>16</v>
          </cell>
          <cell r="H2865" t="str">
            <v>mRNA文库</v>
          </cell>
          <cell r="I2865" t="str">
            <v>HZK</v>
          </cell>
          <cell r="J2865">
            <v>25.4</v>
          </cell>
          <cell r="K2865">
            <v>365</v>
          </cell>
          <cell r="L2865" t="str">
            <v>GZQ</v>
          </cell>
          <cell r="N2865">
            <v>107.06006322444701</v>
          </cell>
        </row>
        <row r="2866">
          <cell r="E2866" t="str">
            <v>HGC-POOL-2465028</v>
          </cell>
          <cell r="F2866" t="str">
            <v>YX20240813_2</v>
          </cell>
          <cell r="G2866">
            <v>51</v>
          </cell>
          <cell r="H2866" t="str">
            <v>mRNA文库</v>
          </cell>
          <cell r="I2866" t="str">
            <v>HZK</v>
          </cell>
          <cell r="J2866">
            <v>6.26</v>
          </cell>
          <cell r="K2866">
            <v>332</v>
          </cell>
          <cell r="L2866" t="str">
            <v>YHT</v>
          </cell>
          <cell r="N2866">
            <v>29.008341056533801</v>
          </cell>
        </row>
        <row r="2867">
          <cell r="E2867" t="str">
            <v>HGC-POOL-2465029</v>
          </cell>
          <cell r="F2867" t="str">
            <v>YX20240813_3</v>
          </cell>
          <cell r="G2867">
            <v>296</v>
          </cell>
          <cell r="H2867" t="str">
            <v>mRNA文库</v>
          </cell>
          <cell r="I2867" t="str">
            <v>HZK</v>
          </cell>
          <cell r="J2867">
            <v>24.2</v>
          </cell>
          <cell r="K2867">
            <v>341</v>
          </cell>
          <cell r="L2867" t="str">
            <v>GZQ</v>
          </cell>
          <cell r="N2867">
            <v>109.181141439206</v>
          </cell>
        </row>
        <row r="2868">
          <cell r="E2868" t="str">
            <v>HGC-POOL-2465030</v>
          </cell>
          <cell r="F2868" t="str">
            <v>YX20240813_4</v>
          </cell>
          <cell r="G2868">
            <v>84</v>
          </cell>
          <cell r="H2868" t="str">
            <v>全基因组文库</v>
          </cell>
          <cell r="I2868" t="str">
            <v>HZK</v>
          </cell>
          <cell r="J2868">
            <v>36.6</v>
          </cell>
          <cell r="K2868">
            <v>339</v>
          </cell>
          <cell r="L2868" t="str">
            <v>GZQ</v>
          </cell>
          <cell r="N2868">
            <v>166.09938733832499</v>
          </cell>
        </row>
        <row r="2869">
          <cell r="E2869" t="str">
            <v>HGC-POOL-2465031</v>
          </cell>
          <cell r="F2869" t="str">
            <v>YX20240813_6</v>
          </cell>
          <cell r="G2869">
            <v>22</v>
          </cell>
          <cell r="H2869" t="str">
            <v>mRNA文库</v>
          </cell>
          <cell r="I2869" t="str">
            <v>HZK</v>
          </cell>
          <cell r="J2869">
            <v>6.66</v>
          </cell>
          <cell r="K2869">
            <v>375</v>
          </cell>
          <cell r="L2869" t="str">
            <v>YHT</v>
          </cell>
          <cell r="N2869">
            <v>27.323076923076901</v>
          </cell>
        </row>
        <row r="2870">
          <cell r="E2870" t="str">
            <v>HGC-POOL-2465032</v>
          </cell>
          <cell r="F2870" t="str">
            <v>wk240813-1</v>
          </cell>
          <cell r="G2870">
            <v>15</v>
          </cell>
          <cell r="H2870" t="str">
            <v>WES/panel捕获文库</v>
          </cell>
          <cell r="I2870" t="str">
            <v>HZK</v>
          </cell>
          <cell r="J2870">
            <v>1.4</v>
          </cell>
          <cell r="K2870">
            <v>433</v>
          </cell>
          <cell r="L2870" t="str">
            <v>YHT</v>
          </cell>
          <cell r="N2870">
            <v>4.9742405400604</v>
          </cell>
        </row>
        <row r="2871">
          <cell r="E2871" t="str">
            <v>HGC-Lib-2465033</v>
          </cell>
          <cell r="F2871" t="str">
            <v>A CARDIO</v>
          </cell>
          <cell r="H2871" t="str">
            <v>PCR产物文库</v>
          </cell>
          <cell r="I2871" t="str">
            <v>HZK</v>
          </cell>
          <cell r="J2871">
            <v>6.5</v>
          </cell>
          <cell r="K2871">
            <v>337</v>
          </cell>
          <cell r="L2871" t="str">
            <v>YHT</v>
          </cell>
          <cell r="N2871">
            <v>29.673590504450999</v>
          </cell>
        </row>
        <row r="2872">
          <cell r="E2872" t="str">
            <v>HGC-Lib-2465034</v>
          </cell>
          <cell r="F2872" t="str">
            <v>A  INF</v>
          </cell>
          <cell r="H2872" t="str">
            <v>PCR产物文库</v>
          </cell>
          <cell r="I2872" t="str">
            <v>HZK</v>
          </cell>
          <cell r="J2872">
            <v>5.8</v>
          </cell>
          <cell r="K2872">
            <v>338</v>
          </cell>
          <cell r="L2872" t="str">
            <v>YHT</v>
          </cell>
          <cell r="N2872">
            <v>26.399635867091501</v>
          </cell>
        </row>
        <row r="2873">
          <cell r="E2873" t="str">
            <v>HGC-Lib-2465035</v>
          </cell>
          <cell r="F2873" t="str">
            <v>A NEU</v>
          </cell>
          <cell r="H2873" t="str">
            <v>PCR产物文库</v>
          </cell>
          <cell r="I2873" t="str">
            <v>HZK</v>
          </cell>
          <cell r="J2873">
            <v>4.9400000000000004</v>
          </cell>
          <cell r="K2873">
            <v>296</v>
          </cell>
          <cell r="L2873" t="str">
            <v>YHT</v>
          </cell>
          <cell r="N2873">
            <v>25.675675675675699</v>
          </cell>
        </row>
        <row r="2874">
          <cell r="E2874" t="str">
            <v>HGC-Lib-2465036</v>
          </cell>
          <cell r="F2874" t="str">
            <v>A ONC</v>
          </cell>
          <cell r="H2874" t="str">
            <v>PCR产物文库</v>
          </cell>
          <cell r="I2874" t="str">
            <v>HZK</v>
          </cell>
          <cell r="J2874">
            <v>6.12</v>
          </cell>
          <cell r="K2874">
            <v>291</v>
          </cell>
          <cell r="L2874" t="str">
            <v>YHT</v>
          </cell>
          <cell r="N2874">
            <v>32.355273592387</v>
          </cell>
        </row>
        <row r="2875">
          <cell r="E2875" t="str">
            <v>HGC-Lib-2465037</v>
          </cell>
          <cell r="F2875" t="str">
            <v>A CARDIO 2</v>
          </cell>
          <cell r="H2875" t="str">
            <v>PCR产物文库</v>
          </cell>
          <cell r="I2875" t="str">
            <v>HZK</v>
          </cell>
          <cell r="J2875">
            <v>5.3</v>
          </cell>
          <cell r="K2875">
            <v>298</v>
          </cell>
          <cell r="L2875" t="str">
            <v>YHT</v>
          </cell>
          <cell r="N2875">
            <v>27.3618998451213</v>
          </cell>
        </row>
        <row r="2876">
          <cell r="E2876" t="str">
            <v>HGC-Lib-2465038</v>
          </cell>
          <cell r="F2876" t="str">
            <v>A INF2</v>
          </cell>
          <cell r="H2876" t="str">
            <v>PCR产物文库</v>
          </cell>
          <cell r="I2876" t="str">
            <v>HZK</v>
          </cell>
          <cell r="J2876">
            <v>6.62</v>
          </cell>
          <cell r="K2876">
            <v>289</v>
          </cell>
          <cell r="L2876" t="str">
            <v>YHT</v>
          </cell>
          <cell r="N2876">
            <v>35.240883683790301</v>
          </cell>
        </row>
        <row r="2877">
          <cell r="E2877" t="str">
            <v>HGC-Lib-2465039</v>
          </cell>
          <cell r="F2877" t="str">
            <v>A NEU2</v>
          </cell>
          <cell r="H2877" t="str">
            <v>PCR产物文库</v>
          </cell>
          <cell r="I2877" t="str">
            <v>HZK</v>
          </cell>
          <cell r="J2877">
            <v>5.34</v>
          </cell>
          <cell r="K2877">
            <v>287</v>
          </cell>
          <cell r="L2877" t="str">
            <v>YHT</v>
          </cell>
          <cell r="N2877">
            <v>28.6250335030823</v>
          </cell>
        </row>
        <row r="2878">
          <cell r="E2878" t="str">
            <v>HGC-Lib-2465040</v>
          </cell>
          <cell r="F2878" t="str">
            <v>A ONC2</v>
          </cell>
          <cell r="H2878" t="str">
            <v>PCR产物文库</v>
          </cell>
          <cell r="I2878" t="str">
            <v>HZK</v>
          </cell>
          <cell r="J2878">
            <v>4.08</v>
          </cell>
          <cell r="K2878">
            <v>326</v>
          </cell>
          <cell r="L2878" t="str">
            <v>YHT</v>
          </cell>
          <cell r="N2878">
            <v>19.254365266635201</v>
          </cell>
        </row>
        <row r="2879">
          <cell r="E2879" t="str">
            <v>HGC-Lib-2465041</v>
          </cell>
          <cell r="F2879" t="str">
            <v>B CARDIO</v>
          </cell>
          <cell r="H2879" t="str">
            <v>PCR产物文库</v>
          </cell>
          <cell r="I2879" t="str">
            <v>HZK</v>
          </cell>
          <cell r="J2879">
            <v>6.78</v>
          </cell>
          <cell r="K2879">
            <v>304</v>
          </cell>
          <cell r="L2879" t="str">
            <v>YHT</v>
          </cell>
          <cell r="N2879">
            <v>34.311740890688299</v>
          </cell>
        </row>
        <row r="2880">
          <cell r="E2880" t="str">
            <v>HGC-Lib-2465042</v>
          </cell>
          <cell r="F2880" t="str">
            <v>B INF</v>
          </cell>
          <cell r="H2880" t="str">
            <v>PCR产物文库</v>
          </cell>
          <cell r="I2880" t="str">
            <v>HZK</v>
          </cell>
          <cell r="J2880">
            <v>5.26</v>
          </cell>
          <cell r="K2880">
            <v>341</v>
          </cell>
          <cell r="L2880" t="str">
            <v>YHT</v>
          </cell>
          <cell r="N2880">
            <v>23.731107602075301</v>
          </cell>
        </row>
        <row r="2881">
          <cell r="E2881" t="str">
            <v>HGC-Lib-2465043</v>
          </cell>
          <cell r="F2881" t="str">
            <v>B NEU</v>
          </cell>
          <cell r="H2881" t="str">
            <v>PCR产物文库</v>
          </cell>
          <cell r="I2881" t="str">
            <v>HZK</v>
          </cell>
          <cell r="J2881">
            <v>5.6</v>
          </cell>
          <cell r="K2881">
            <v>335</v>
          </cell>
          <cell r="L2881" t="str">
            <v>YHT</v>
          </cell>
          <cell r="N2881">
            <v>25.717566016073501</v>
          </cell>
        </row>
        <row r="2882">
          <cell r="E2882" t="str">
            <v>HGC-Lib-2465044</v>
          </cell>
          <cell r="F2882" t="str">
            <v>B ONC</v>
          </cell>
          <cell r="H2882" t="str">
            <v>PCR产物文库</v>
          </cell>
          <cell r="I2882" t="str">
            <v>HZK</v>
          </cell>
          <cell r="J2882">
            <v>5.5</v>
          </cell>
          <cell r="K2882">
            <v>306</v>
          </cell>
          <cell r="L2882" t="str">
            <v>YHT</v>
          </cell>
          <cell r="N2882">
            <v>27.652086475615899</v>
          </cell>
        </row>
        <row r="2883">
          <cell r="E2883" t="str">
            <v>HGC-Lib-2465045</v>
          </cell>
          <cell r="F2883" t="str">
            <v>B CARDIO 2</v>
          </cell>
          <cell r="H2883" t="str">
            <v>PCR产物文库</v>
          </cell>
          <cell r="I2883" t="str">
            <v>HZK</v>
          </cell>
          <cell r="J2883">
            <v>6.7</v>
          </cell>
          <cell r="K2883">
            <v>314</v>
          </cell>
          <cell r="L2883" t="str">
            <v>YHT</v>
          </cell>
          <cell r="N2883">
            <v>32.827045565899098</v>
          </cell>
        </row>
        <row r="2884">
          <cell r="E2884" t="str">
            <v>HGC-Lib-2465046</v>
          </cell>
          <cell r="F2884" t="str">
            <v>B INF2</v>
          </cell>
          <cell r="H2884" t="str">
            <v>PCR产物文库</v>
          </cell>
          <cell r="I2884" t="str">
            <v>HZK</v>
          </cell>
          <cell r="J2884">
            <v>4.12</v>
          </cell>
          <cell r="K2884">
            <v>341</v>
          </cell>
          <cell r="L2884" t="str">
            <v>YHT</v>
          </cell>
          <cell r="N2884">
            <v>18.587863749154099</v>
          </cell>
        </row>
        <row r="2885">
          <cell r="E2885" t="str">
            <v>HGC-Lib-2465047</v>
          </cell>
          <cell r="F2885" t="str">
            <v>B NEU2</v>
          </cell>
          <cell r="H2885" t="str">
            <v>PCR产物文库</v>
          </cell>
          <cell r="I2885" t="str">
            <v>HZK</v>
          </cell>
          <cell r="J2885">
            <v>3.82</v>
          </cell>
          <cell r="K2885">
            <v>355</v>
          </cell>
          <cell r="L2885" t="str">
            <v>YHT</v>
          </cell>
          <cell r="N2885">
            <v>16.554712892741101</v>
          </cell>
        </row>
        <row r="2886">
          <cell r="E2886" t="str">
            <v>HGC-Lib-2465048</v>
          </cell>
          <cell r="F2886" t="str">
            <v>B ONC2</v>
          </cell>
          <cell r="H2886" t="str">
            <v>PCR产物文库</v>
          </cell>
          <cell r="I2886" t="str">
            <v>HZK</v>
          </cell>
          <cell r="J2886">
            <v>3.72</v>
          </cell>
          <cell r="K2886">
            <v>371</v>
          </cell>
          <cell r="L2886" t="str">
            <v>YHT</v>
          </cell>
          <cell r="N2886">
            <v>15.4260833506117</v>
          </cell>
        </row>
        <row r="2887">
          <cell r="E2887" t="str">
            <v>HGC-Lib-2465067</v>
          </cell>
          <cell r="F2887">
            <v>1</v>
          </cell>
          <cell r="G2887">
            <v>10</v>
          </cell>
          <cell r="H2887" t="str">
            <v>ATAC-Seq文库</v>
          </cell>
          <cell r="I2887" t="str">
            <v>HZK</v>
          </cell>
          <cell r="J2887">
            <v>67.8</v>
          </cell>
          <cell r="K2887">
            <v>301</v>
          </cell>
          <cell r="L2887" t="str">
            <v>GZQ</v>
          </cell>
          <cell r="N2887">
            <v>346.53718374648599</v>
          </cell>
        </row>
        <row r="2888">
          <cell r="E2888" t="str">
            <v>HGC-Lib-2465068</v>
          </cell>
          <cell r="F2888">
            <v>2</v>
          </cell>
          <cell r="G2888">
            <v>10</v>
          </cell>
          <cell r="H2888" t="str">
            <v>ATAC-Seq文库</v>
          </cell>
          <cell r="I2888" t="str">
            <v>HZK</v>
          </cell>
          <cell r="J2888">
            <v>51.6</v>
          </cell>
          <cell r="K2888">
            <v>303</v>
          </cell>
          <cell r="L2888" t="str">
            <v>GZQ</v>
          </cell>
          <cell r="N2888">
            <v>261.99543031226199</v>
          </cell>
        </row>
        <row r="2889">
          <cell r="E2889" t="str">
            <v>HGC-Lib-2465069</v>
          </cell>
          <cell r="F2889">
            <v>3</v>
          </cell>
          <cell r="G2889">
            <v>10</v>
          </cell>
          <cell r="H2889" t="str">
            <v>ATAC-Seq文库</v>
          </cell>
          <cell r="I2889" t="str">
            <v>HZK</v>
          </cell>
          <cell r="J2889">
            <v>63.2</v>
          </cell>
          <cell r="K2889">
            <v>261</v>
          </cell>
          <cell r="L2889" t="str">
            <v>GZQ</v>
          </cell>
          <cell r="N2889">
            <v>372.53168287651101</v>
          </cell>
        </row>
        <row r="2890">
          <cell r="E2890" t="str">
            <v>HGC-Lib-2465070</v>
          </cell>
          <cell r="F2890">
            <v>4</v>
          </cell>
          <cell r="G2890">
            <v>10</v>
          </cell>
          <cell r="H2890" t="str">
            <v>ATAC-Seq文库</v>
          </cell>
          <cell r="I2890" t="str">
            <v>HZK</v>
          </cell>
          <cell r="J2890">
            <v>49.6</v>
          </cell>
          <cell r="K2890">
            <v>260</v>
          </cell>
          <cell r="L2890" t="str">
            <v>GZQ</v>
          </cell>
          <cell r="N2890">
            <v>293.49112426035498</v>
          </cell>
        </row>
        <row r="2891">
          <cell r="E2891" t="str">
            <v>HGC-Lib-2465071</v>
          </cell>
          <cell r="F2891" t="str">
            <v>N_B_N4708-08-10X5BCR-2TLN-ZSL_N_B</v>
          </cell>
          <cell r="G2891">
            <v>10</v>
          </cell>
          <cell r="H2891" t="str">
            <v>BCR文库</v>
          </cell>
          <cell r="I2891" t="str">
            <v>HZK</v>
          </cell>
          <cell r="J2891">
            <v>40.6</v>
          </cell>
          <cell r="N2891" t="e">
            <v>#DIV/0!</v>
          </cell>
        </row>
        <row r="2892">
          <cell r="E2892" t="str">
            <v>HGC-Lib-2465072</v>
          </cell>
          <cell r="F2892" t="str">
            <v>N_B_N4722-1X-10X5PI34_N_B</v>
          </cell>
          <cell r="G2892">
            <v>100</v>
          </cell>
          <cell r="H2892" t="str">
            <v>10x 5'单细胞</v>
          </cell>
          <cell r="I2892" t="str">
            <v>HZK</v>
          </cell>
          <cell r="J2892">
            <v>19.8</v>
          </cell>
          <cell r="N2892" t="e">
            <v>#DIV/0!</v>
          </cell>
        </row>
        <row r="2893">
          <cell r="E2893" t="str">
            <v>HGC-Lib-2465073</v>
          </cell>
          <cell r="F2893" t="str">
            <v>N_B_N4722-1X-10X5TCRPI34-2_N_B</v>
          </cell>
          <cell r="G2893">
            <v>10</v>
          </cell>
          <cell r="H2893" t="str">
            <v>TCR文库</v>
          </cell>
          <cell r="I2893" t="str">
            <v>HZK</v>
          </cell>
          <cell r="J2893">
            <v>53.2</v>
          </cell>
          <cell r="N2893" t="e">
            <v>#DIV/0!</v>
          </cell>
        </row>
        <row r="2894">
          <cell r="E2894" t="str">
            <v>HGC-Lib-2465074</v>
          </cell>
          <cell r="F2894" t="str">
            <v>N_B_N4722-1X-10X5BCRPI34-3_N_B</v>
          </cell>
          <cell r="G2894">
            <v>10</v>
          </cell>
          <cell r="H2894" t="str">
            <v>BCR文库</v>
          </cell>
          <cell r="I2894" t="str">
            <v>HZK</v>
          </cell>
          <cell r="J2894">
            <v>29.6</v>
          </cell>
          <cell r="N2894" t="e">
            <v>#DIV/0!</v>
          </cell>
        </row>
        <row r="2895">
          <cell r="E2895" t="str">
            <v>HGC-Lib-2465075</v>
          </cell>
          <cell r="F2895" t="str">
            <v>N_B_N4725-0B-10X5PI35_N_B</v>
          </cell>
          <cell r="G2895">
            <v>100</v>
          </cell>
          <cell r="H2895" t="str">
            <v>10x 5'单细胞</v>
          </cell>
          <cell r="I2895" t="str">
            <v>HZK</v>
          </cell>
          <cell r="J2895">
            <v>26</v>
          </cell>
          <cell r="N2895" t="e">
            <v>#DIV/0!</v>
          </cell>
        </row>
        <row r="2896">
          <cell r="E2896" t="str">
            <v>HGC-Lib-2465076</v>
          </cell>
          <cell r="F2896" t="str">
            <v>N_B_N4725-0B-10X5TCRPI35-2_N_B</v>
          </cell>
          <cell r="G2896">
            <v>10</v>
          </cell>
          <cell r="H2896" t="str">
            <v>TCR文库</v>
          </cell>
          <cell r="I2896" t="str">
            <v>HZK</v>
          </cell>
          <cell r="J2896">
            <v>76.400000000000006</v>
          </cell>
          <cell r="N2896" t="e">
            <v>#DIV/0!</v>
          </cell>
        </row>
        <row r="2897">
          <cell r="E2897" t="str">
            <v>HGC-Lib-2465077</v>
          </cell>
          <cell r="F2897" t="str">
            <v>N_B_N4725-0B-10X5BCRPI35-3_N_B</v>
          </cell>
          <cell r="G2897">
            <v>10</v>
          </cell>
          <cell r="H2897" t="str">
            <v>BCR文库</v>
          </cell>
          <cell r="I2897" t="str">
            <v>HZK</v>
          </cell>
          <cell r="J2897">
            <v>24.8</v>
          </cell>
          <cell r="N2897" t="e">
            <v>#DIV/0!</v>
          </cell>
        </row>
        <row r="2898">
          <cell r="E2898" t="str">
            <v>HGC-Lib-2465078</v>
          </cell>
          <cell r="F2898" t="str">
            <v>N_B_N4719-11-10X3YD62_N_B</v>
          </cell>
          <cell r="G2898">
            <v>100</v>
          </cell>
          <cell r="H2898" t="str">
            <v>10× 3'单细胞</v>
          </cell>
          <cell r="I2898" t="str">
            <v>HZK</v>
          </cell>
          <cell r="J2898">
            <v>22.2</v>
          </cell>
          <cell r="N2898" t="e">
            <v>#DIV/0!</v>
          </cell>
        </row>
        <row r="2899">
          <cell r="E2899" t="str">
            <v>HGC-Lib-2465079</v>
          </cell>
          <cell r="F2899" t="str">
            <v>N_B_N4719-12-10X3YD63_N_B</v>
          </cell>
          <cell r="G2899">
            <v>100</v>
          </cell>
          <cell r="H2899" t="str">
            <v>10× 3'单细胞</v>
          </cell>
          <cell r="I2899" t="str">
            <v>HZK</v>
          </cell>
          <cell r="J2899">
            <v>34.6</v>
          </cell>
          <cell r="N2899" t="e">
            <v>#DIV/0!</v>
          </cell>
        </row>
        <row r="2900">
          <cell r="E2900" t="str">
            <v>HGC-Lib-2465080</v>
          </cell>
          <cell r="F2900" t="str">
            <v>N_B_N4724-19-10X3A01Y_N_B</v>
          </cell>
          <cell r="G2900">
            <v>100</v>
          </cell>
          <cell r="H2900" t="str">
            <v>10× 3'单细胞</v>
          </cell>
          <cell r="I2900" t="str">
            <v>HZK</v>
          </cell>
          <cell r="J2900">
            <v>13.2</v>
          </cell>
          <cell r="N2900" t="e">
            <v>#DIV/0!</v>
          </cell>
        </row>
        <row r="2901">
          <cell r="E2901" t="str">
            <v>HGC-Lib-2465081</v>
          </cell>
          <cell r="F2901" t="str">
            <v>N_B_N4724-1B-10X3B01Y_N_B</v>
          </cell>
          <cell r="G2901">
            <v>100</v>
          </cell>
          <cell r="H2901" t="str">
            <v>10× 3'单细胞</v>
          </cell>
          <cell r="I2901" t="str">
            <v>HZK</v>
          </cell>
          <cell r="J2901">
            <v>9.26</v>
          </cell>
          <cell r="N2901" t="e">
            <v>#DIV/0!</v>
          </cell>
        </row>
        <row r="2902">
          <cell r="E2902" t="str">
            <v>HGC-Lib-2465082</v>
          </cell>
          <cell r="F2902" t="str">
            <v>N_B_N4724-1S-10X3npc-Ctrl_N_B</v>
          </cell>
          <cell r="G2902">
            <v>100</v>
          </cell>
          <cell r="H2902" t="str">
            <v>10× 3'单细胞</v>
          </cell>
          <cell r="I2902" t="str">
            <v>ZZ</v>
          </cell>
          <cell r="J2902">
            <v>13.5</v>
          </cell>
          <cell r="N2902" t="e">
            <v>#DIV/0!</v>
          </cell>
        </row>
        <row r="2903">
          <cell r="E2903" t="str">
            <v>HGC-Lib-2465083</v>
          </cell>
          <cell r="F2903" t="str">
            <v>N_B_N4724-1T-10X3npc-HFD_N_B</v>
          </cell>
          <cell r="G2903">
            <v>100</v>
          </cell>
          <cell r="H2903" t="str">
            <v>10× 3'单细胞</v>
          </cell>
          <cell r="I2903" t="str">
            <v>ZZ</v>
          </cell>
          <cell r="J2903">
            <v>12.3</v>
          </cell>
          <cell r="N2903" t="e">
            <v>#DIV/0!</v>
          </cell>
        </row>
        <row r="2904">
          <cell r="E2904" t="str">
            <v>HGC-Lib-2465084</v>
          </cell>
          <cell r="F2904" t="str">
            <v>N_B_N4724-1U-10X3Human_BoneFracture_3D_3_N_B</v>
          </cell>
          <cell r="G2904">
            <v>100</v>
          </cell>
          <cell r="H2904" t="str">
            <v>10× 3'单细胞</v>
          </cell>
          <cell r="I2904" t="str">
            <v>ZZ</v>
          </cell>
          <cell r="J2904">
            <v>11.6</v>
          </cell>
          <cell r="N2904" t="e">
            <v>#DIV/0!</v>
          </cell>
        </row>
        <row r="2905">
          <cell r="E2905" t="str">
            <v>HGC-Lib-2465085</v>
          </cell>
          <cell r="F2905" t="str">
            <v>N_B_N4724-25-10X3ZL_N_B</v>
          </cell>
          <cell r="G2905">
            <v>100</v>
          </cell>
          <cell r="H2905" t="str">
            <v>10× 3'单细胞</v>
          </cell>
          <cell r="I2905" t="str">
            <v>ZZ</v>
          </cell>
          <cell r="J2905">
            <v>11.8</v>
          </cell>
          <cell r="N2905" t="e">
            <v>#DIV/0!</v>
          </cell>
        </row>
        <row r="2906">
          <cell r="E2906" t="str">
            <v>HGC-Lib-2465086</v>
          </cell>
          <cell r="F2906" t="str">
            <v>N_B_N4724-26-10X3AP_N_B</v>
          </cell>
          <cell r="G2906">
            <v>100</v>
          </cell>
          <cell r="H2906" t="str">
            <v>10× 3'单细胞</v>
          </cell>
          <cell r="I2906" t="str">
            <v>ZZ</v>
          </cell>
          <cell r="J2906">
            <v>5.76</v>
          </cell>
          <cell r="N2906" t="e">
            <v>#DIV/0!</v>
          </cell>
        </row>
        <row r="2907">
          <cell r="E2907" t="str">
            <v>HGC-Lib-2465087</v>
          </cell>
          <cell r="F2907" t="str">
            <v>N_B_N4726-1V-10X3A02_N_B</v>
          </cell>
          <cell r="G2907">
            <v>100</v>
          </cell>
          <cell r="H2907" t="str">
            <v>10× 3'单细胞</v>
          </cell>
          <cell r="I2907" t="str">
            <v>ZZ</v>
          </cell>
          <cell r="J2907">
            <v>30.4</v>
          </cell>
          <cell r="N2907" t="e">
            <v>#DIV/0!</v>
          </cell>
        </row>
        <row r="2908">
          <cell r="E2908" t="str">
            <v>HGC-Lib-2465088</v>
          </cell>
          <cell r="F2908" t="str">
            <v>N_B_N4726-1W-10X3B02_N_B</v>
          </cell>
          <cell r="G2908">
            <v>100</v>
          </cell>
          <cell r="H2908" t="str">
            <v>10× 3'单细胞</v>
          </cell>
          <cell r="I2908" t="str">
            <v>ZZ</v>
          </cell>
          <cell r="J2908">
            <v>20.2</v>
          </cell>
          <cell r="N2908" t="e">
            <v>#DIV/0!</v>
          </cell>
        </row>
        <row r="2909">
          <cell r="E2909" t="str">
            <v>HGC-Lib-2465089</v>
          </cell>
          <cell r="F2909" t="str">
            <v>N_B_N4726-23-10X3YYDXB-04_N_B</v>
          </cell>
          <cell r="G2909">
            <v>100</v>
          </cell>
          <cell r="H2909" t="str">
            <v>10× 3'单细胞</v>
          </cell>
          <cell r="I2909" t="str">
            <v>ZZ</v>
          </cell>
          <cell r="J2909">
            <v>13.3</v>
          </cell>
          <cell r="N2909" t="e">
            <v>#DIV/0!</v>
          </cell>
        </row>
        <row r="2910">
          <cell r="E2910" t="str">
            <v>HGC-Lib-2465090</v>
          </cell>
          <cell r="F2910" t="str">
            <v>N_B_N4726-2B-10X3B39_N_B</v>
          </cell>
          <cell r="G2910">
            <v>100</v>
          </cell>
          <cell r="H2910" t="str">
            <v>10× 3'单细胞</v>
          </cell>
          <cell r="I2910" t="str">
            <v>ZZ</v>
          </cell>
          <cell r="J2910">
            <v>33.4</v>
          </cell>
          <cell r="N2910" t="e">
            <v>#DIV/0!</v>
          </cell>
        </row>
        <row r="2911">
          <cell r="E2911" t="str">
            <v>HGC-Lib-2465091</v>
          </cell>
          <cell r="F2911" t="str">
            <v>N_B_N4726-2C-10X3B49_N_B</v>
          </cell>
          <cell r="G2911">
            <v>100</v>
          </cell>
          <cell r="H2911" t="str">
            <v>10× 3'单细胞</v>
          </cell>
          <cell r="I2911" t="str">
            <v>ZZ</v>
          </cell>
          <cell r="J2911">
            <v>29.2</v>
          </cell>
          <cell r="N2911" t="e">
            <v>#DIV/0!</v>
          </cell>
        </row>
        <row r="2912">
          <cell r="E2912" t="str">
            <v>HGC-Lib-2465092</v>
          </cell>
          <cell r="F2912" t="str">
            <v>N_B_N4726-2D-10X3B51_N_B</v>
          </cell>
          <cell r="G2912">
            <v>100</v>
          </cell>
          <cell r="H2912" t="str">
            <v>10× 3'单细胞</v>
          </cell>
          <cell r="I2912" t="str">
            <v>ZZ</v>
          </cell>
          <cell r="J2912">
            <v>25.2</v>
          </cell>
          <cell r="N2912" t="e">
            <v>#DIV/0!</v>
          </cell>
        </row>
        <row r="2913">
          <cell r="E2913" t="str">
            <v>HGC-Lib-2465093</v>
          </cell>
          <cell r="F2913" t="str">
            <v>N_B_N4726-3C-10X3D5_N_B</v>
          </cell>
          <cell r="G2913">
            <v>100</v>
          </cell>
          <cell r="H2913" t="str">
            <v>10× 3'单细胞</v>
          </cell>
          <cell r="I2913" t="str">
            <v>ZZ</v>
          </cell>
          <cell r="J2913">
            <v>12.9</v>
          </cell>
          <cell r="N2913" t="e">
            <v>#DIV/0!</v>
          </cell>
        </row>
        <row r="2914">
          <cell r="E2914" t="str">
            <v>HGC-Lib-2465094</v>
          </cell>
          <cell r="F2914" t="str">
            <v>N_B_N4725-08-BDv2liruitaoliaohouxue2_N_B</v>
          </cell>
          <cell r="G2914">
            <v>100</v>
          </cell>
          <cell r="H2914" t="str">
            <v>BD-单细胞</v>
          </cell>
          <cell r="I2914" t="str">
            <v>ZZ</v>
          </cell>
          <cell r="J2914">
            <v>18.2</v>
          </cell>
          <cell r="N2914" t="e">
            <v>#DIV/0!</v>
          </cell>
        </row>
        <row r="2915">
          <cell r="E2915" t="str">
            <v>HGC-Lib-2465095</v>
          </cell>
          <cell r="F2915" t="str">
            <v>N_B_N4726-11-BDv21939817_N_B</v>
          </cell>
          <cell r="G2915">
            <v>100</v>
          </cell>
          <cell r="H2915" t="str">
            <v>BD-单细胞</v>
          </cell>
          <cell r="I2915" t="str">
            <v>ZZ</v>
          </cell>
          <cell r="J2915">
            <v>20.399999999999999</v>
          </cell>
          <cell r="N2915" t="e">
            <v>#DIV/0!</v>
          </cell>
        </row>
        <row r="2916">
          <cell r="E2916" t="str">
            <v>HGC-Lib-2465097</v>
          </cell>
          <cell r="F2916" t="str">
            <v>A16R</v>
          </cell>
          <cell r="G2916">
            <v>100</v>
          </cell>
          <cell r="H2916" t="str">
            <v>10× 3'单细胞</v>
          </cell>
          <cell r="I2916" t="str">
            <v>ZZ</v>
          </cell>
          <cell r="J2916">
            <v>11.9</v>
          </cell>
          <cell r="K2916">
            <v>434</v>
          </cell>
          <cell r="L2916" t="str">
            <v>GZQ</v>
          </cell>
          <cell r="N2916">
            <v>42.183622828784102</v>
          </cell>
        </row>
        <row r="2917">
          <cell r="E2917" t="str">
            <v>HGC-Lib-2465098</v>
          </cell>
          <cell r="F2917" t="str">
            <v>A16W1</v>
          </cell>
          <cell r="G2917">
            <v>180</v>
          </cell>
          <cell r="H2917" t="str">
            <v>10× 3'单细胞</v>
          </cell>
          <cell r="I2917" t="str">
            <v>ZZ</v>
          </cell>
          <cell r="J2917">
            <v>13.5</v>
          </cell>
          <cell r="K2917">
            <v>442</v>
          </cell>
          <cell r="L2917" t="str">
            <v>GZQ</v>
          </cell>
          <cell r="N2917">
            <v>46.989209885137498</v>
          </cell>
        </row>
        <row r="2918">
          <cell r="E2918" t="str">
            <v>HGC-Lib-2465099</v>
          </cell>
          <cell r="F2918" t="str">
            <v>A16W2</v>
          </cell>
          <cell r="G2918">
            <v>180</v>
          </cell>
          <cell r="H2918" t="str">
            <v>10× 3'单细胞</v>
          </cell>
          <cell r="I2918" t="str">
            <v>ZZ</v>
          </cell>
          <cell r="J2918">
            <v>24.6</v>
          </cell>
          <cell r="K2918">
            <v>411</v>
          </cell>
          <cell r="L2918" t="str">
            <v>GZQ</v>
          </cell>
          <cell r="N2918">
            <v>92.083099382369497</v>
          </cell>
        </row>
        <row r="2919">
          <cell r="E2919" t="str">
            <v>HGC-Lib-2465100</v>
          </cell>
          <cell r="F2919" t="str">
            <v>Anc2</v>
          </cell>
          <cell r="G2919">
            <v>2</v>
          </cell>
          <cell r="H2919" t="str">
            <v>PCR产物文库</v>
          </cell>
          <cell r="I2919" t="str">
            <v>ZZ</v>
          </cell>
          <cell r="J2919">
            <v>23.6</v>
          </cell>
          <cell r="K2919">
            <v>403</v>
          </cell>
          <cell r="L2919" t="str">
            <v>GZQ</v>
          </cell>
          <cell r="N2919">
            <v>90.093529299484601</v>
          </cell>
        </row>
        <row r="2920">
          <cell r="E2920" t="str">
            <v>HGC-POOL-2465101</v>
          </cell>
          <cell r="F2920" t="str">
            <v>HHC2libs2</v>
          </cell>
          <cell r="G2920">
            <v>200</v>
          </cell>
          <cell r="H2920" t="str">
            <v>ATAC-Seq文库</v>
          </cell>
          <cell r="I2920" t="str">
            <v>ZZ</v>
          </cell>
          <cell r="J2920">
            <v>1.45</v>
          </cell>
          <cell r="K2920">
            <v>397</v>
          </cell>
          <cell r="L2920" t="str">
            <v>YHT</v>
          </cell>
          <cell r="N2920">
            <v>5.6190660724665804</v>
          </cell>
        </row>
        <row r="2921">
          <cell r="E2921" t="str">
            <v>HGC-POOL-2465102</v>
          </cell>
          <cell r="F2921" t="str">
            <v>HMB6libs</v>
          </cell>
          <cell r="G2921">
            <v>600</v>
          </cell>
          <cell r="H2921" t="str">
            <v>ATAC-Seq文库</v>
          </cell>
          <cell r="I2921" t="str">
            <v>ZZ</v>
          </cell>
          <cell r="J2921">
            <v>1.1599999999999999</v>
          </cell>
          <cell r="K2921">
            <v>421</v>
          </cell>
          <cell r="L2921" t="str">
            <v>YHT</v>
          </cell>
          <cell r="N2921">
            <v>4.2389914123880903</v>
          </cell>
        </row>
        <row r="2922">
          <cell r="E2922" t="str">
            <v>HGC-POOL-2465103</v>
          </cell>
          <cell r="F2922" t="str">
            <v>SAR4Alibs6</v>
          </cell>
          <cell r="G2922">
            <v>200</v>
          </cell>
          <cell r="H2922" t="str">
            <v>10XATAC测序</v>
          </cell>
          <cell r="I2922" t="str">
            <v>ZZ</v>
          </cell>
          <cell r="J2922">
            <v>2.04</v>
          </cell>
          <cell r="K2922">
            <v>575</v>
          </cell>
          <cell r="L2922" t="str">
            <v>YHT</v>
          </cell>
          <cell r="N2922">
            <v>5.4581939799331103</v>
          </cell>
        </row>
        <row r="2923">
          <cell r="E2923" t="str">
            <v>HGC-POOL-2465104</v>
          </cell>
          <cell r="F2923" t="str">
            <v>SAR4Llibs</v>
          </cell>
          <cell r="G2923">
            <v>400</v>
          </cell>
          <cell r="H2923" t="str">
            <v>10XATAC测序</v>
          </cell>
          <cell r="I2923" t="str">
            <v>ZZ</v>
          </cell>
          <cell r="J2923">
            <v>0.99</v>
          </cell>
          <cell r="K2923">
            <v>502</v>
          </cell>
          <cell r="L2923" t="str">
            <v>YHT</v>
          </cell>
          <cell r="N2923">
            <v>3.0340177750536301</v>
          </cell>
        </row>
        <row r="2924">
          <cell r="E2924" t="str">
            <v>HGC-POOL-2465105</v>
          </cell>
          <cell r="F2924" t="str">
            <v>SAR4Rlibs7</v>
          </cell>
          <cell r="G2924">
            <v>200</v>
          </cell>
          <cell r="H2924" t="str">
            <v>10× 3'单细胞</v>
          </cell>
          <cell r="I2924" t="str">
            <v>ZZ</v>
          </cell>
          <cell r="J2924">
            <v>0.82</v>
          </cell>
          <cell r="K2924">
            <v>532</v>
          </cell>
          <cell r="L2924" t="str">
            <v>YHT</v>
          </cell>
          <cell r="N2924">
            <v>2.3713128976286901</v>
          </cell>
        </row>
        <row r="2925">
          <cell r="E2925" t="str">
            <v>HGC-Lib-2465106</v>
          </cell>
          <cell r="F2925" t="str">
            <v>LPROFTBC240809003</v>
          </cell>
          <cell r="G2925">
            <v>90</v>
          </cell>
          <cell r="H2925" t="str">
            <v>singleron-3'全长转录组文库</v>
          </cell>
          <cell r="I2925" t="str">
            <v>ZZ</v>
          </cell>
          <cell r="J2925">
            <v>22.8</v>
          </cell>
          <cell r="N2925" t="e">
            <v>#DIV/0!</v>
          </cell>
        </row>
        <row r="2926">
          <cell r="E2926" t="str">
            <v>HGC-Lib-2465107</v>
          </cell>
          <cell r="F2926" t="str">
            <v>LPMFTA240809092</v>
          </cell>
          <cell r="G2926">
            <v>90</v>
          </cell>
          <cell r="H2926" t="str">
            <v>singleron-3'全长转录组文库</v>
          </cell>
          <cell r="I2926" t="str">
            <v>ZZ</v>
          </cell>
          <cell r="J2926">
            <v>23.6</v>
          </cell>
          <cell r="N2926" t="e">
            <v>#DIV/0!</v>
          </cell>
        </row>
        <row r="2927">
          <cell r="E2927" t="str">
            <v>HGC-Lib-2465108</v>
          </cell>
          <cell r="F2927" t="str">
            <v>LPMFTA240809093</v>
          </cell>
          <cell r="G2927">
            <v>90</v>
          </cell>
          <cell r="H2927" t="str">
            <v>singleron-3'全长转录组文库</v>
          </cell>
          <cell r="I2927" t="str">
            <v>ZZ</v>
          </cell>
          <cell r="J2927">
            <v>26.4</v>
          </cell>
          <cell r="N2927" t="e">
            <v>#DIV/0!</v>
          </cell>
        </row>
        <row r="2928">
          <cell r="E2928" t="str">
            <v>HGC-Lib-2465109</v>
          </cell>
          <cell r="F2928" t="str">
            <v>LPMFTA240809094</v>
          </cell>
          <cell r="G2928">
            <v>90</v>
          </cell>
          <cell r="H2928" t="str">
            <v>singleron-3'全长转录组文库</v>
          </cell>
          <cell r="I2928" t="str">
            <v>ZZ</v>
          </cell>
          <cell r="J2928">
            <v>25.8</v>
          </cell>
          <cell r="N2928" t="e">
            <v>#DIV/0!</v>
          </cell>
        </row>
        <row r="2929">
          <cell r="E2929" t="str">
            <v>HGC-Lib-2465110</v>
          </cell>
          <cell r="F2929" t="str">
            <v>LPMFTA240809095</v>
          </cell>
          <cell r="G2929">
            <v>90</v>
          </cell>
          <cell r="H2929" t="str">
            <v>singleron-3'全长转录组文库</v>
          </cell>
          <cell r="I2929" t="str">
            <v>ZZ</v>
          </cell>
          <cell r="J2929">
            <v>28.2</v>
          </cell>
          <cell r="N2929" t="e">
            <v>#DIV/0!</v>
          </cell>
        </row>
        <row r="2930">
          <cell r="E2930" t="str">
            <v>HGC-Lib-2465111</v>
          </cell>
          <cell r="F2930" t="str">
            <v>LFTA240808088X1</v>
          </cell>
          <cell r="G2930">
            <v>100</v>
          </cell>
          <cell r="H2930" t="str">
            <v>singleron-3'全长转录组文库</v>
          </cell>
          <cell r="I2930" t="str">
            <v>ZZ</v>
          </cell>
          <cell r="J2930">
            <v>23.6</v>
          </cell>
          <cell r="N2930" t="e">
            <v>#DIV/0!</v>
          </cell>
        </row>
        <row r="2931">
          <cell r="E2931" t="str">
            <v>HGC-Lib-2465112</v>
          </cell>
          <cell r="F2931" t="str">
            <v>LFTA240808087</v>
          </cell>
          <cell r="G2931">
            <v>100</v>
          </cell>
          <cell r="H2931" t="str">
            <v>singleron-3'全长转录组文库</v>
          </cell>
          <cell r="I2931" t="str">
            <v>ZZ</v>
          </cell>
          <cell r="J2931">
            <v>22.2</v>
          </cell>
          <cell r="N2931" t="e">
            <v>#DIV/0!</v>
          </cell>
        </row>
        <row r="2932">
          <cell r="E2932" t="str">
            <v>HGC-Lib-2465113</v>
          </cell>
          <cell r="F2932" t="str">
            <v>LPMA240807011</v>
          </cell>
          <cell r="G2932">
            <v>80</v>
          </cell>
          <cell r="H2932" t="str">
            <v>singleron-3'转录组文库</v>
          </cell>
          <cell r="I2932" t="str">
            <v>ZZ</v>
          </cell>
          <cell r="J2932">
            <v>7.8</v>
          </cell>
          <cell r="N2932" t="e">
            <v>#DIV/0!</v>
          </cell>
        </row>
        <row r="2933">
          <cell r="E2933" t="str">
            <v>HGC-Lib-2465114</v>
          </cell>
          <cell r="F2933" t="str">
            <v>PMLPMA240807011</v>
          </cell>
          <cell r="G2933">
            <v>12</v>
          </cell>
          <cell r="H2933" t="str">
            <v>其他碱基不平衡文库</v>
          </cell>
          <cell r="I2933" t="str">
            <v>ZZ</v>
          </cell>
          <cell r="J2933">
            <v>54.8</v>
          </cell>
          <cell r="N2933" t="e">
            <v>#DIV/0!</v>
          </cell>
        </row>
        <row r="2934">
          <cell r="E2934" t="str">
            <v>HGC-Lib-2465115</v>
          </cell>
          <cell r="F2934" t="str">
            <v>PMLPMA240808011</v>
          </cell>
          <cell r="G2934">
            <v>12</v>
          </cell>
          <cell r="H2934" t="str">
            <v>其他碱基不平衡文库</v>
          </cell>
          <cell r="I2934" t="str">
            <v>ZZ</v>
          </cell>
          <cell r="J2934">
            <v>11.9</v>
          </cell>
          <cell r="N2934" t="e">
            <v>#DIV/0!</v>
          </cell>
        </row>
        <row r="2935">
          <cell r="E2935" t="str">
            <v>HGC-Lib-2465116</v>
          </cell>
          <cell r="F2935" t="str">
            <v>LPMA240808011</v>
          </cell>
          <cell r="G2935">
            <v>80</v>
          </cell>
          <cell r="H2935" t="str">
            <v>singleron-3'转录组文库</v>
          </cell>
          <cell r="I2935" t="str">
            <v>ZZ</v>
          </cell>
          <cell r="J2935">
            <v>5.42</v>
          </cell>
          <cell r="N2935" t="e">
            <v>#DIV/0!</v>
          </cell>
        </row>
        <row r="2936">
          <cell r="E2936" t="str">
            <v>HGC-Lib-2465117</v>
          </cell>
          <cell r="F2936" t="str">
            <v>LC240807087</v>
          </cell>
          <cell r="G2936">
            <v>384</v>
          </cell>
          <cell r="H2936" t="str">
            <v>singleron-3'转录组文库</v>
          </cell>
          <cell r="I2936" t="str">
            <v>ZZ</v>
          </cell>
          <cell r="J2936">
            <v>42.4</v>
          </cell>
          <cell r="N2936" t="e">
            <v>#DIV/0!</v>
          </cell>
        </row>
        <row r="2937">
          <cell r="E2937" t="str">
            <v>HGC-Lib-2465118</v>
          </cell>
          <cell r="F2937" t="str">
            <v>LFTBC240807019</v>
          </cell>
          <cell r="G2937">
            <v>70</v>
          </cell>
          <cell r="H2937" t="str">
            <v>singleron-3'全长转录组文库</v>
          </cell>
          <cell r="I2937" t="str">
            <v>ZZ</v>
          </cell>
          <cell r="J2937">
            <v>4.38</v>
          </cell>
          <cell r="N2937" t="e">
            <v>#DIV/0!</v>
          </cell>
        </row>
        <row r="2938">
          <cell r="E2938" t="str">
            <v>HGC-Lib-2465119</v>
          </cell>
          <cell r="F2938" t="str">
            <v>LFTBHC240809035</v>
          </cell>
          <cell r="G2938">
            <v>200</v>
          </cell>
          <cell r="H2938" t="str">
            <v>singleron-3'全长转录组文库</v>
          </cell>
          <cell r="I2938" t="str">
            <v>ZZ</v>
          </cell>
          <cell r="J2938">
            <v>24.8</v>
          </cell>
          <cell r="N2938" t="e">
            <v>#DIV/0!</v>
          </cell>
        </row>
        <row r="2939">
          <cell r="E2939" t="str">
            <v>HGC-Lib-2465120</v>
          </cell>
          <cell r="F2939" t="str">
            <v>LFTBHC240809036</v>
          </cell>
          <cell r="G2939">
            <v>200</v>
          </cell>
          <cell r="H2939" t="str">
            <v>singleron-3'全长转录组文库</v>
          </cell>
          <cell r="I2939" t="str">
            <v>ZZ</v>
          </cell>
          <cell r="J2939">
            <v>25.6</v>
          </cell>
          <cell r="N2939" t="e">
            <v>#DIV/0!</v>
          </cell>
        </row>
        <row r="2940">
          <cell r="E2940" t="str">
            <v>HGC-Lib-2465121</v>
          </cell>
          <cell r="F2940" t="str">
            <v>LFTA240807022</v>
          </cell>
          <cell r="G2940">
            <v>100</v>
          </cell>
          <cell r="H2940" t="str">
            <v>singleron-3'全长转录组文库</v>
          </cell>
          <cell r="I2940" t="str">
            <v>ZZ</v>
          </cell>
          <cell r="J2940">
            <v>8.86</v>
          </cell>
          <cell r="N2940" t="e">
            <v>#DIV/0!</v>
          </cell>
        </row>
        <row r="2941">
          <cell r="E2941" t="str">
            <v>HGC-Lib-2465122</v>
          </cell>
          <cell r="F2941" t="str">
            <v>LFTA240807024</v>
          </cell>
          <cell r="G2941">
            <v>100</v>
          </cell>
          <cell r="H2941" t="str">
            <v>singleron-3'全长转录组文库</v>
          </cell>
          <cell r="I2941" t="str">
            <v>ZZ</v>
          </cell>
          <cell r="J2941">
            <v>5.0199999999999996</v>
          </cell>
          <cell r="N2941" t="e">
            <v>#DIV/0!</v>
          </cell>
        </row>
        <row r="2942">
          <cell r="E2942" t="str">
            <v>HGC-Lib-2465123</v>
          </cell>
          <cell r="F2942" t="str">
            <v>LEBVC240807021</v>
          </cell>
          <cell r="G2942">
            <v>80</v>
          </cell>
          <cell r="H2942" t="str">
            <v>singleron-3'转录组文库</v>
          </cell>
          <cell r="I2942" t="str">
            <v>ZZ</v>
          </cell>
          <cell r="J2942">
            <v>8.52</v>
          </cell>
          <cell r="N2942" t="e">
            <v>#DIV/0!</v>
          </cell>
        </row>
        <row r="2943">
          <cell r="E2943" t="str">
            <v>HGC-Lib-2465124</v>
          </cell>
          <cell r="F2943" t="str">
            <v>EBLEBVC240807021</v>
          </cell>
          <cell r="G2943">
            <v>12</v>
          </cell>
          <cell r="H2943" t="str">
            <v>其他碱基不平衡文库</v>
          </cell>
          <cell r="I2943" t="str">
            <v>ZZ</v>
          </cell>
          <cell r="J2943">
            <v>18.2</v>
          </cell>
          <cell r="N2943" t="e">
            <v>#DIV/0!</v>
          </cell>
        </row>
        <row r="2944">
          <cell r="E2944" t="str">
            <v>HGC-Lib-2465125</v>
          </cell>
          <cell r="F2944" t="str">
            <v>LC240808079</v>
          </cell>
          <cell r="G2944">
            <v>100</v>
          </cell>
          <cell r="H2944" t="str">
            <v>singleron-3'转录组文库</v>
          </cell>
          <cell r="I2944" t="str">
            <v>ZZ</v>
          </cell>
          <cell r="J2944">
            <v>2.7</v>
          </cell>
          <cell r="N2944" t="e">
            <v>#DIV/0!</v>
          </cell>
        </row>
        <row r="2945">
          <cell r="E2945" t="str">
            <v>HGC-Lib-2465126</v>
          </cell>
          <cell r="F2945" t="str">
            <v>LA240807031</v>
          </cell>
          <cell r="G2945">
            <v>100</v>
          </cell>
          <cell r="H2945" t="str">
            <v>singleron-3'转录组文库</v>
          </cell>
          <cell r="I2945" t="str">
            <v>ZZ</v>
          </cell>
          <cell r="J2945">
            <v>4.0199999999999996</v>
          </cell>
          <cell r="N2945" t="e">
            <v>#DIV/0!</v>
          </cell>
        </row>
        <row r="2946">
          <cell r="E2946" t="str">
            <v>HGC-Lib-2465127</v>
          </cell>
          <cell r="F2946" t="str">
            <v>LFTBA240807089</v>
          </cell>
          <cell r="G2946">
            <v>120</v>
          </cell>
          <cell r="H2946" t="str">
            <v>singleron-3'全长转录组文库</v>
          </cell>
          <cell r="I2946" t="str">
            <v>ZZ</v>
          </cell>
          <cell r="J2946">
            <v>9.06</v>
          </cell>
          <cell r="N2946" t="e">
            <v>#DIV/0!</v>
          </cell>
        </row>
        <row r="2947">
          <cell r="E2947" t="str">
            <v>HGC-Lib-2465128</v>
          </cell>
          <cell r="F2947" t="str">
            <v>LFTBA240807090</v>
          </cell>
          <cell r="G2947">
            <v>120</v>
          </cell>
          <cell r="H2947" t="str">
            <v>singleron-3'全长转录组文库</v>
          </cell>
          <cell r="I2947" t="str">
            <v>ZZ</v>
          </cell>
          <cell r="J2947">
            <v>5.42</v>
          </cell>
          <cell r="N2947" t="e">
            <v>#DIV/0!</v>
          </cell>
        </row>
        <row r="2948">
          <cell r="E2948" t="str">
            <v>HGC-Lib-2465129</v>
          </cell>
          <cell r="F2948" t="str">
            <v>LC240809086</v>
          </cell>
          <cell r="G2948">
            <v>100</v>
          </cell>
          <cell r="H2948" t="str">
            <v>singleron-3'转录组文库</v>
          </cell>
          <cell r="I2948" t="str">
            <v>ZZ</v>
          </cell>
          <cell r="J2948">
            <v>21.8</v>
          </cell>
          <cell r="N2948" t="e">
            <v>#DIV/0!</v>
          </cell>
        </row>
        <row r="2949">
          <cell r="E2949" t="str">
            <v>HGC-Lib-2465130</v>
          </cell>
          <cell r="F2949" t="str">
            <v>LC240809087</v>
          </cell>
          <cell r="G2949">
            <v>100</v>
          </cell>
          <cell r="H2949" t="str">
            <v>singleron-3'转录组文库</v>
          </cell>
          <cell r="I2949" t="str">
            <v>ZZ</v>
          </cell>
          <cell r="J2949">
            <v>24</v>
          </cell>
          <cell r="N2949" t="e">
            <v>#DIV/0!</v>
          </cell>
        </row>
        <row r="2950">
          <cell r="E2950" t="str">
            <v>HGC-Lib-2465131</v>
          </cell>
          <cell r="F2950" t="str">
            <v>LFTBA240807091</v>
          </cell>
          <cell r="G2950">
            <v>120</v>
          </cell>
          <cell r="H2950" t="str">
            <v>singleron-3'全长转录组文库</v>
          </cell>
          <cell r="I2950" t="str">
            <v>YHT</v>
          </cell>
          <cell r="J2950">
            <v>6.76</v>
          </cell>
          <cell r="N2950" t="e">
            <v>#DIV/0!</v>
          </cell>
        </row>
        <row r="2951">
          <cell r="E2951" t="str">
            <v>HGC-Lib-2465132</v>
          </cell>
          <cell r="F2951" t="str">
            <v>EBLEBVC240807102</v>
          </cell>
          <cell r="G2951">
            <v>12</v>
          </cell>
          <cell r="H2951" t="str">
            <v>其他碱基不平衡文库</v>
          </cell>
          <cell r="I2951" t="str">
            <v>YHT</v>
          </cell>
          <cell r="J2951">
            <v>24.6</v>
          </cell>
          <cell r="N2951" t="e">
            <v>#DIV/0!</v>
          </cell>
        </row>
        <row r="2952">
          <cell r="E2952" t="str">
            <v>HGC-Lib-2465133</v>
          </cell>
          <cell r="F2952" t="str">
            <v>LFTBA240807103</v>
          </cell>
          <cell r="G2952">
            <v>70</v>
          </cell>
          <cell r="H2952" t="str">
            <v>singleron-3'全长转录组文库</v>
          </cell>
          <cell r="I2952" t="str">
            <v>YHT</v>
          </cell>
          <cell r="J2952">
            <v>6.74</v>
          </cell>
          <cell r="N2952" t="e">
            <v>#DIV/0!</v>
          </cell>
        </row>
        <row r="2953">
          <cell r="E2953" t="str">
            <v>HGC-Lib-2465134</v>
          </cell>
          <cell r="F2953" t="str">
            <v>LEBVC240807102</v>
          </cell>
          <cell r="G2953">
            <v>80</v>
          </cell>
          <cell r="H2953" t="str">
            <v>singleron-3'转录组文库</v>
          </cell>
          <cell r="I2953" t="str">
            <v>YHT</v>
          </cell>
          <cell r="J2953">
            <v>4.28</v>
          </cell>
          <cell r="N2953" t="e">
            <v>#DIV/0!</v>
          </cell>
        </row>
        <row r="2954">
          <cell r="E2954" t="str">
            <v>HGC-Lib-2465135</v>
          </cell>
          <cell r="F2954" t="str">
            <v>LC240809041</v>
          </cell>
          <cell r="G2954">
            <v>120</v>
          </cell>
          <cell r="H2954" t="str">
            <v>singleron-3'转录组文库</v>
          </cell>
          <cell r="I2954" t="str">
            <v>YHT</v>
          </cell>
          <cell r="J2954">
            <v>22.8</v>
          </cell>
          <cell r="N2954" t="e">
            <v>#DIV/0!</v>
          </cell>
        </row>
        <row r="2955">
          <cell r="E2955" t="str">
            <v>HGC-Lib-2465136</v>
          </cell>
          <cell r="F2955" t="str">
            <v>LC240809040</v>
          </cell>
          <cell r="G2955">
            <v>120</v>
          </cell>
          <cell r="H2955" t="str">
            <v>singleron-3'转录组文库</v>
          </cell>
          <cell r="I2955" t="str">
            <v>YHT</v>
          </cell>
          <cell r="J2955">
            <v>22.6</v>
          </cell>
          <cell r="N2955" t="e">
            <v>#DIV/0!</v>
          </cell>
        </row>
        <row r="2956">
          <cell r="E2956" t="str">
            <v>HGC-Lib-2465137</v>
          </cell>
          <cell r="F2956" t="str">
            <v>LA240809053</v>
          </cell>
          <cell r="G2956">
            <v>100</v>
          </cell>
          <cell r="H2956" t="str">
            <v>singleron-3'转录组文库</v>
          </cell>
          <cell r="I2956" t="str">
            <v>YHT</v>
          </cell>
          <cell r="J2956">
            <v>24.4</v>
          </cell>
          <cell r="N2956" t="e">
            <v>#DIV/0!</v>
          </cell>
        </row>
        <row r="2957">
          <cell r="E2957" t="str">
            <v>HGC-Lib-2465138</v>
          </cell>
          <cell r="F2957" t="str">
            <v>LFTHC240807088</v>
          </cell>
          <cell r="G2957">
            <v>100</v>
          </cell>
          <cell r="H2957" t="str">
            <v>singleron-3'全长转录组文库</v>
          </cell>
          <cell r="I2957" t="str">
            <v>YHT</v>
          </cell>
          <cell r="J2957">
            <v>5.72</v>
          </cell>
          <cell r="N2957" t="e">
            <v>#DIV/0!</v>
          </cell>
        </row>
        <row r="2958">
          <cell r="E2958" t="str">
            <v>HGC-Lib-2465139</v>
          </cell>
          <cell r="F2958" t="str">
            <v>LFTC240807007</v>
          </cell>
          <cell r="G2958">
            <v>100</v>
          </cell>
          <cell r="H2958" t="str">
            <v>singleron-3'全长转录组文库</v>
          </cell>
          <cell r="I2958" t="str">
            <v>YHT</v>
          </cell>
          <cell r="J2958">
            <v>6.36</v>
          </cell>
          <cell r="N2958" t="e">
            <v>#DIV/0!</v>
          </cell>
        </row>
        <row r="2959">
          <cell r="E2959" t="str">
            <v>HGC-Lib-2465140</v>
          </cell>
          <cell r="F2959" t="str">
            <v>LA240807048</v>
          </cell>
          <cell r="G2959">
            <v>30</v>
          </cell>
          <cell r="H2959" t="str">
            <v>singleron-3'转录组文库</v>
          </cell>
          <cell r="I2959" t="str">
            <v>YHT</v>
          </cell>
          <cell r="J2959">
            <v>19.2</v>
          </cell>
          <cell r="N2959" t="e">
            <v>#DIV/0!</v>
          </cell>
        </row>
        <row r="2960">
          <cell r="E2960" t="str">
            <v>HGC-Lib-2465141</v>
          </cell>
          <cell r="F2960" t="str">
            <v>LA240807063</v>
          </cell>
          <cell r="G2960">
            <v>30</v>
          </cell>
          <cell r="H2960" t="str">
            <v>singleron-3'转录组文库</v>
          </cell>
          <cell r="I2960" t="str">
            <v>YHT</v>
          </cell>
          <cell r="J2960">
            <v>21</v>
          </cell>
          <cell r="N2960" t="e">
            <v>#DIV/0!</v>
          </cell>
        </row>
        <row r="2961">
          <cell r="E2961" t="str">
            <v>HGC-Lib-2465142</v>
          </cell>
          <cell r="F2961" t="str">
            <v>LA240807074</v>
          </cell>
          <cell r="G2961">
            <v>30</v>
          </cell>
          <cell r="H2961" t="str">
            <v>singleron-3'转录组文库</v>
          </cell>
          <cell r="I2961" t="str">
            <v>YHT</v>
          </cell>
          <cell r="J2961">
            <v>23</v>
          </cell>
          <cell r="N2961" t="e">
            <v>#DIV/0!</v>
          </cell>
        </row>
        <row r="2962">
          <cell r="E2962" t="str">
            <v>HGC-Lib-2465143</v>
          </cell>
          <cell r="F2962" t="str">
            <v>LA240807056</v>
          </cell>
          <cell r="G2962">
            <v>30</v>
          </cell>
          <cell r="H2962" t="str">
            <v>singleron-3'转录组文库</v>
          </cell>
          <cell r="I2962" t="str">
            <v>YHT</v>
          </cell>
          <cell r="J2962">
            <v>19</v>
          </cell>
          <cell r="N2962" t="e">
            <v>#DIV/0!</v>
          </cell>
        </row>
        <row r="2963">
          <cell r="E2963" t="str">
            <v>HGC-Lib-2465144</v>
          </cell>
          <cell r="F2963" t="str">
            <v>LA240806108</v>
          </cell>
          <cell r="G2963">
            <v>10</v>
          </cell>
          <cell r="H2963" t="str">
            <v>singleron-3'转录组文库</v>
          </cell>
          <cell r="I2963" t="str">
            <v>YHT</v>
          </cell>
          <cell r="J2963">
            <v>3.88</v>
          </cell>
          <cell r="N2963" t="e">
            <v>#DIV/0!</v>
          </cell>
        </row>
        <row r="2964">
          <cell r="E2964" t="str">
            <v>HGC-Lib-2465145</v>
          </cell>
          <cell r="F2964" t="str">
            <v>LA240808050</v>
          </cell>
          <cell r="G2964">
            <v>100</v>
          </cell>
          <cell r="H2964" t="str">
            <v>singleron-3'转录组文库</v>
          </cell>
          <cell r="I2964" t="str">
            <v>YHT</v>
          </cell>
          <cell r="J2964">
            <v>24.8</v>
          </cell>
          <cell r="N2964" t="e">
            <v>#DIV/0!</v>
          </cell>
        </row>
        <row r="2965">
          <cell r="E2965" t="str">
            <v>HGC-Lib-2465146</v>
          </cell>
          <cell r="F2965" t="str">
            <v>LA240808051</v>
          </cell>
          <cell r="G2965">
            <v>100</v>
          </cell>
          <cell r="H2965" t="str">
            <v>singleron-3'转录组文库</v>
          </cell>
          <cell r="I2965" t="str">
            <v>YHT</v>
          </cell>
          <cell r="J2965">
            <v>20.399999999999999</v>
          </cell>
          <cell r="N2965" t="e">
            <v>#DIV/0!</v>
          </cell>
        </row>
        <row r="2966">
          <cell r="E2966" t="str">
            <v>HGC-Lib-2465147</v>
          </cell>
          <cell r="F2966" t="str">
            <v>LA240806123</v>
          </cell>
          <cell r="G2966">
            <v>100</v>
          </cell>
          <cell r="H2966" t="str">
            <v>singleron-3'转录组文库</v>
          </cell>
          <cell r="I2966" t="str">
            <v>YHT</v>
          </cell>
          <cell r="J2966">
            <v>64</v>
          </cell>
          <cell r="N2966" t="e">
            <v>#DIV/0!</v>
          </cell>
        </row>
        <row r="2967">
          <cell r="E2967" t="str">
            <v>HGC-Lib-2465148</v>
          </cell>
          <cell r="F2967" t="str">
            <v>LA240806125</v>
          </cell>
          <cell r="G2967">
            <v>100</v>
          </cell>
          <cell r="H2967" t="str">
            <v>singleron-3'转录组文库</v>
          </cell>
          <cell r="I2967" t="str">
            <v>YHT</v>
          </cell>
          <cell r="J2967">
            <v>9.24</v>
          </cell>
          <cell r="N2967" t="e">
            <v>#DIV/0!</v>
          </cell>
        </row>
        <row r="2968">
          <cell r="E2968" t="str">
            <v>HGC-Lib-2465149</v>
          </cell>
          <cell r="F2968" t="str">
            <v>LA240806124</v>
          </cell>
          <cell r="G2968">
            <v>100</v>
          </cell>
          <cell r="H2968" t="str">
            <v>singleron-3'转录组文库</v>
          </cell>
          <cell r="I2968" t="str">
            <v>YHT</v>
          </cell>
          <cell r="J2968">
            <v>3.62</v>
          </cell>
          <cell r="N2968" t="e">
            <v>#DIV/0!</v>
          </cell>
        </row>
        <row r="2969">
          <cell r="E2969" t="str">
            <v>HGC-Lib-2465150</v>
          </cell>
          <cell r="F2969" t="str">
            <v>LA240807008</v>
          </cell>
          <cell r="G2969">
            <v>100</v>
          </cell>
          <cell r="H2969" t="str">
            <v>singleron-3'转录组文库</v>
          </cell>
          <cell r="I2969" t="str">
            <v>YHT</v>
          </cell>
          <cell r="J2969">
            <v>2.06</v>
          </cell>
          <cell r="N2969" t="e">
            <v>#DIV/0!</v>
          </cell>
        </row>
        <row r="2970">
          <cell r="E2970" t="str">
            <v>HGC-Lib-2465151</v>
          </cell>
          <cell r="F2970" t="str">
            <v>LC240808003</v>
          </cell>
          <cell r="G2970">
            <v>100</v>
          </cell>
          <cell r="H2970" t="str">
            <v>singleron-3'转录组文库</v>
          </cell>
          <cell r="I2970" t="str">
            <v>YHT</v>
          </cell>
          <cell r="J2970">
            <v>5.96</v>
          </cell>
          <cell r="N2970" t="e">
            <v>#DIV/0!</v>
          </cell>
        </row>
        <row r="2971">
          <cell r="E2971" t="str">
            <v>HGC-Lib-2465152</v>
          </cell>
          <cell r="F2971" t="str">
            <v>LC240808002</v>
          </cell>
          <cell r="G2971">
            <v>100</v>
          </cell>
          <cell r="H2971" t="str">
            <v>singleron-3'转录组文库</v>
          </cell>
          <cell r="I2971" t="str">
            <v>YHT</v>
          </cell>
          <cell r="J2971">
            <v>5.32</v>
          </cell>
          <cell r="N2971" t="e">
            <v>#DIV/0!</v>
          </cell>
        </row>
        <row r="2972">
          <cell r="E2972" t="str">
            <v>HGC-Lib-2465153</v>
          </cell>
          <cell r="F2972" t="str">
            <v>LC240808054</v>
          </cell>
          <cell r="G2972">
            <v>100</v>
          </cell>
          <cell r="H2972" t="str">
            <v>singleron-3'转录组文库</v>
          </cell>
          <cell r="I2972" t="str">
            <v>YHT</v>
          </cell>
          <cell r="J2972">
            <v>3.36</v>
          </cell>
          <cell r="N2972" t="e">
            <v>#DIV/0!</v>
          </cell>
        </row>
        <row r="2973">
          <cell r="E2973" t="str">
            <v>HGC-Lib-2465154</v>
          </cell>
          <cell r="F2973" t="str">
            <v>LA240801063X2</v>
          </cell>
          <cell r="G2973">
            <v>30</v>
          </cell>
          <cell r="H2973" t="str">
            <v>singleron-3'转录组文库</v>
          </cell>
          <cell r="I2973" t="str">
            <v>YHT</v>
          </cell>
          <cell r="J2973">
            <v>3.4</v>
          </cell>
          <cell r="N2973" t="e">
            <v>#DIV/0!</v>
          </cell>
        </row>
        <row r="2974">
          <cell r="E2974" t="str">
            <v>HGC-Lib-2465155</v>
          </cell>
          <cell r="F2974" t="str">
            <v>LHC240808009</v>
          </cell>
          <cell r="G2974">
            <v>200</v>
          </cell>
          <cell r="H2974" t="str">
            <v>singleron-3'转录组文库</v>
          </cell>
          <cell r="I2974" t="str">
            <v>YHT</v>
          </cell>
          <cell r="J2974">
            <v>5.84</v>
          </cell>
          <cell r="N2974" t="e">
            <v>#DIV/0!</v>
          </cell>
        </row>
        <row r="2975">
          <cell r="E2975" t="str">
            <v>HGC-Lib-2465156</v>
          </cell>
          <cell r="F2975" t="str">
            <v>LHC240808010</v>
          </cell>
          <cell r="G2975">
            <v>200</v>
          </cell>
          <cell r="H2975" t="str">
            <v>singleron-3'转录组文库</v>
          </cell>
          <cell r="I2975" t="str">
            <v>YHT</v>
          </cell>
          <cell r="J2975">
            <v>7.02</v>
          </cell>
          <cell r="N2975" t="e">
            <v>#DIV/0!</v>
          </cell>
        </row>
        <row r="2976">
          <cell r="E2976" t="str">
            <v>HGC-Lib-2465157</v>
          </cell>
          <cell r="F2976" t="str">
            <v>LHC240808008</v>
          </cell>
          <cell r="G2976">
            <v>200</v>
          </cell>
          <cell r="H2976" t="str">
            <v>singleron-3'转录组文库</v>
          </cell>
          <cell r="I2976" t="str">
            <v>YHT</v>
          </cell>
          <cell r="J2976">
            <v>8.02</v>
          </cell>
          <cell r="N2976" t="e">
            <v>#DIV/0!</v>
          </cell>
        </row>
        <row r="2977">
          <cell r="E2977" t="str">
            <v>HGC-Lib-2465158</v>
          </cell>
          <cell r="F2977" t="str">
            <v>LHC240808006</v>
          </cell>
          <cell r="G2977">
            <v>200</v>
          </cell>
          <cell r="H2977" t="str">
            <v>singleron-3'转录组文库</v>
          </cell>
          <cell r="I2977" t="str">
            <v>YHT</v>
          </cell>
          <cell r="J2977">
            <v>5.66</v>
          </cell>
          <cell r="N2977" t="e">
            <v>#DIV/0!</v>
          </cell>
        </row>
        <row r="2978">
          <cell r="E2978" t="str">
            <v>HGC-Lib-2465159</v>
          </cell>
          <cell r="F2978" t="str">
            <v>LHC240808007</v>
          </cell>
          <cell r="G2978">
            <v>200</v>
          </cell>
          <cell r="H2978" t="str">
            <v>singleron-3'转录组文库</v>
          </cell>
          <cell r="I2978" t="str">
            <v>YHT</v>
          </cell>
          <cell r="J2978">
            <v>2.4</v>
          </cell>
          <cell r="N2978" t="e">
            <v>#DIV/0!</v>
          </cell>
        </row>
        <row r="2979">
          <cell r="E2979" t="str">
            <v>HGC-Lib-2465160</v>
          </cell>
          <cell r="F2979" t="str">
            <v>LHC240808005</v>
          </cell>
          <cell r="G2979">
            <v>200</v>
          </cell>
          <cell r="H2979" t="str">
            <v>singleron-3'转录组文库</v>
          </cell>
          <cell r="I2979" t="str">
            <v>YHT</v>
          </cell>
          <cell r="J2979">
            <v>6.04</v>
          </cell>
          <cell r="N2979" t="e">
            <v>#DIV/0!</v>
          </cell>
        </row>
        <row r="2980">
          <cell r="E2980" t="str">
            <v>HGC-Lib-2465161</v>
          </cell>
          <cell r="F2980" t="str">
            <v>LFTA240807004</v>
          </cell>
          <cell r="G2980">
            <v>100</v>
          </cell>
          <cell r="H2980" t="str">
            <v>singleron-3'全长转录组文库</v>
          </cell>
          <cell r="I2980" t="str">
            <v>YHT</v>
          </cell>
          <cell r="J2980">
            <v>4.58</v>
          </cell>
          <cell r="N2980" t="e">
            <v>#DIV/0!</v>
          </cell>
        </row>
        <row r="2981">
          <cell r="E2981" t="str">
            <v>HGC-Lib-2465162</v>
          </cell>
          <cell r="F2981" t="str">
            <v>LA240807035</v>
          </cell>
          <cell r="G2981">
            <v>90</v>
          </cell>
          <cell r="H2981" t="str">
            <v>singleron-3'转录组文库</v>
          </cell>
          <cell r="I2981" t="str">
            <v>YHT</v>
          </cell>
          <cell r="J2981">
            <v>5.62</v>
          </cell>
          <cell r="N2981" t="e">
            <v>#DIV/0!</v>
          </cell>
        </row>
        <row r="2982">
          <cell r="E2982" t="str">
            <v>HGC-Lib-2465163</v>
          </cell>
          <cell r="F2982" t="str">
            <v>LA240807036</v>
          </cell>
          <cell r="G2982">
            <v>90</v>
          </cell>
          <cell r="H2982" t="str">
            <v>singleron-3'转录组文库</v>
          </cell>
          <cell r="I2982" t="str">
            <v>YHT</v>
          </cell>
          <cell r="J2982">
            <v>5.32</v>
          </cell>
          <cell r="N2982" t="e">
            <v>#DIV/0!</v>
          </cell>
        </row>
        <row r="2983">
          <cell r="E2983" t="str">
            <v>HGC-Lib-2465164</v>
          </cell>
          <cell r="F2983" t="str">
            <v>LA240807038</v>
          </cell>
          <cell r="G2983">
            <v>30</v>
          </cell>
          <cell r="H2983" t="str">
            <v>singleron-3'转录组文库</v>
          </cell>
          <cell r="I2983" t="str">
            <v>YHT</v>
          </cell>
          <cell r="J2983">
            <v>16.100000000000001</v>
          </cell>
          <cell r="N2983" t="e">
            <v>#DIV/0!</v>
          </cell>
        </row>
        <row r="2984">
          <cell r="E2984" t="str">
            <v>HGC-Lib-2465165</v>
          </cell>
          <cell r="F2984" t="str">
            <v>LA240807039</v>
          </cell>
          <cell r="G2984">
            <v>30</v>
          </cell>
          <cell r="H2984" t="str">
            <v>singleron-3'转录组文库</v>
          </cell>
          <cell r="I2984" t="str">
            <v>YHT</v>
          </cell>
          <cell r="J2984">
            <v>19.5</v>
          </cell>
          <cell r="N2984" t="e">
            <v>#DIV/0!</v>
          </cell>
        </row>
        <row r="2985">
          <cell r="E2985" t="str">
            <v>HGC-Lib-2465166</v>
          </cell>
          <cell r="F2985" t="str">
            <v>LA240809052</v>
          </cell>
          <cell r="G2985">
            <v>100</v>
          </cell>
          <cell r="H2985" t="str">
            <v>singleron-3'转录组文库</v>
          </cell>
          <cell r="I2985" t="str">
            <v>YHT</v>
          </cell>
          <cell r="J2985">
            <v>25.2</v>
          </cell>
          <cell r="N2985" t="e">
            <v>#DIV/0!</v>
          </cell>
        </row>
        <row r="2986">
          <cell r="E2986" t="str">
            <v>HGC-Lib-2465167</v>
          </cell>
          <cell r="F2986" t="str">
            <v>LPROFTBC240809001</v>
          </cell>
          <cell r="G2986">
            <v>90</v>
          </cell>
          <cell r="H2986" t="str">
            <v>singleron-3'全长转录组文库</v>
          </cell>
          <cell r="I2986" t="str">
            <v>YHT</v>
          </cell>
          <cell r="J2986">
            <v>17.7</v>
          </cell>
          <cell r="N2986" t="e">
            <v>#DIV/0!</v>
          </cell>
        </row>
        <row r="2987">
          <cell r="E2987" t="str">
            <v>HGC-Lib-2465168</v>
          </cell>
          <cell r="F2987" t="str">
            <v>PROLPROFTBC240809001</v>
          </cell>
          <cell r="G2987">
            <v>12</v>
          </cell>
          <cell r="H2987" t="str">
            <v>其他碱基不平衡文库</v>
          </cell>
          <cell r="I2987" t="str">
            <v>YHT</v>
          </cell>
          <cell r="J2987">
            <v>63.8</v>
          </cell>
          <cell r="N2987" t="e">
            <v>#DIV/0!</v>
          </cell>
        </row>
        <row r="2988">
          <cell r="E2988" t="str">
            <v>HGC-Lib-2465169</v>
          </cell>
          <cell r="F2988" t="str">
            <v>PROLPROFTBC240809003</v>
          </cell>
          <cell r="G2988">
            <v>12</v>
          </cell>
          <cell r="H2988" t="str">
            <v>其他碱基不平衡文库</v>
          </cell>
          <cell r="I2988" t="str">
            <v>YHT</v>
          </cell>
          <cell r="J2988">
            <v>67.2</v>
          </cell>
          <cell r="N2988" t="e">
            <v>#DIV/0!</v>
          </cell>
        </row>
        <row r="2989">
          <cell r="E2989" t="str">
            <v>HGC-Lib-2465170</v>
          </cell>
          <cell r="F2989" t="str">
            <v>LPROFTBC240809002</v>
          </cell>
          <cell r="G2989">
            <v>90</v>
          </cell>
          <cell r="H2989" t="str">
            <v>singleron-3'全长转录组文库</v>
          </cell>
          <cell r="I2989" t="str">
            <v>YHT</v>
          </cell>
          <cell r="J2989">
            <v>19</v>
          </cell>
          <cell r="N2989" t="e">
            <v>#DIV/0!</v>
          </cell>
        </row>
        <row r="2990">
          <cell r="E2990" t="str">
            <v>HGC-Lib-2465171</v>
          </cell>
          <cell r="F2990" t="str">
            <v>PROLPROFTBC240809002</v>
          </cell>
          <cell r="G2990">
            <v>12</v>
          </cell>
          <cell r="H2990" t="str">
            <v>其他碱基不平衡文库</v>
          </cell>
          <cell r="I2990" t="str">
            <v>YHT</v>
          </cell>
          <cell r="J2990">
            <v>63.2</v>
          </cell>
          <cell r="N2990" t="e">
            <v>#DIV/0!</v>
          </cell>
        </row>
        <row r="2991">
          <cell r="E2991" t="str">
            <v>HGC-Lib-2465172</v>
          </cell>
          <cell r="F2991" t="str">
            <v>LC240802049CT2</v>
          </cell>
          <cell r="G2991">
            <v>200</v>
          </cell>
          <cell r="H2991" t="str">
            <v>singleron-3'转录组文库</v>
          </cell>
          <cell r="I2991" t="str">
            <v>YHT</v>
          </cell>
          <cell r="J2991">
            <v>5.22</v>
          </cell>
          <cell r="N2991" t="e">
            <v>#DIV/0!</v>
          </cell>
        </row>
        <row r="2992">
          <cell r="E2992" t="str">
            <v>HGC-Lib-2465173</v>
          </cell>
          <cell r="F2992" t="str">
            <v>R240725024</v>
          </cell>
          <cell r="G2992">
            <v>30</v>
          </cell>
          <cell r="H2992" t="str">
            <v>singleron-3'转录组文库</v>
          </cell>
          <cell r="I2992" t="str">
            <v>YHT</v>
          </cell>
          <cell r="J2992">
            <v>5.8</v>
          </cell>
          <cell r="N2992" t="e">
            <v>#DIV/0!</v>
          </cell>
        </row>
        <row r="2993">
          <cell r="E2993" t="str">
            <v>HGC-Lib-2465174</v>
          </cell>
          <cell r="F2993" t="str">
            <v>R240725027</v>
          </cell>
          <cell r="G2993">
            <v>30</v>
          </cell>
          <cell r="H2993" t="str">
            <v>singleron-3'转录组文库</v>
          </cell>
          <cell r="I2993" t="str">
            <v>YHT</v>
          </cell>
          <cell r="J2993">
            <v>9.3000000000000007</v>
          </cell>
          <cell r="N2993" t="e">
            <v>#DIV/0!</v>
          </cell>
        </row>
        <row r="2994">
          <cell r="E2994" t="str">
            <v>HGC-Lib-2465175</v>
          </cell>
          <cell r="F2994" t="str">
            <v>R240725028</v>
          </cell>
          <cell r="G2994">
            <v>30</v>
          </cell>
          <cell r="H2994" t="str">
            <v>singleron-3'转录组文库</v>
          </cell>
          <cell r="I2994" t="str">
            <v>YHT</v>
          </cell>
          <cell r="J2994">
            <v>7.22</v>
          </cell>
          <cell r="N2994" t="e">
            <v>#DIV/0!</v>
          </cell>
        </row>
        <row r="2995">
          <cell r="E2995" t="str">
            <v>HGC-Lib-2465176</v>
          </cell>
          <cell r="F2995" t="str">
            <v>R240725032</v>
          </cell>
          <cell r="G2995">
            <v>30</v>
          </cell>
          <cell r="H2995" t="str">
            <v>singleron-3'转录组文库</v>
          </cell>
          <cell r="I2995" t="str">
            <v>YHT</v>
          </cell>
          <cell r="J2995">
            <v>5.7</v>
          </cell>
          <cell r="N2995" t="e">
            <v>#DIV/0!</v>
          </cell>
        </row>
        <row r="2996">
          <cell r="E2996" t="str">
            <v>HGC-Lib-2465177</v>
          </cell>
          <cell r="F2996" t="str">
            <v>R240725034</v>
          </cell>
          <cell r="G2996">
            <v>30</v>
          </cell>
          <cell r="H2996" t="str">
            <v>singleron-3'转录组文库</v>
          </cell>
          <cell r="I2996" t="str">
            <v>YHT</v>
          </cell>
          <cell r="J2996">
            <v>1.76</v>
          </cell>
          <cell r="N2996" t="e">
            <v>#DIV/0!</v>
          </cell>
        </row>
        <row r="2997">
          <cell r="E2997" t="str">
            <v>HGC-Lib-2465178</v>
          </cell>
          <cell r="F2997" t="str">
            <v>R240725041</v>
          </cell>
          <cell r="G2997">
            <v>30</v>
          </cell>
          <cell r="H2997" t="str">
            <v>singleron-3'转录组文库</v>
          </cell>
          <cell r="I2997" t="str">
            <v>YHT</v>
          </cell>
          <cell r="J2997">
            <v>9.26</v>
          </cell>
          <cell r="N2997" t="e">
            <v>#DIV/0!</v>
          </cell>
        </row>
        <row r="2998">
          <cell r="E2998" t="str">
            <v>HGC-Lib-2465179</v>
          </cell>
          <cell r="F2998" t="str">
            <v>R240725044</v>
          </cell>
          <cell r="G2998">
            <v>30</v>
          </cell>
          <cell r="H2998" t="str">
            <v>singleron-3'转录组文库</v>
          </cell>
          <cell r="I2998" t="str">
            <v>XCL</v>
          </cell>
          <cell r="J2998">
            <v>8.86</v>
          </cell>
          <cell r="N2998" t="e">
            <v>#DIV/0!</v>
          </cell>
        </row>
        <row r="2999">
          <cell r="E2999" t="str">
            <v>HGC-Lib-2465180</v>
          </cell>
          <cell r="F2999" t="str">
            <v>R240725045</v>
          </cell>
          <cell r="G2999">
            <v>30</v>
          </cell>
          <cell r="H2999" t="str">
            <v>singleron-3'转录组文库</v>
          </cell>
          <cell r="I2999" t="str">
            <v>XCL</v>
          </cell>
          <cell r="J2999">
            <v>6.58</v>
          </cell>
          <cell r="N2999" t="e">
            <v>#DIV/0!</v>
          </cell>
        </row>
        <row r="3000">
          <cell r="E3000" t="str">
            <v>HGC-Lib-2465181</v>
          </cell>
          <cell r="F3000" t="str">
            <v>R240725049</v>
          </cell>
          <cell r="G3000">
            <v>30</v>
          </cell>
          <cell r="H3000" t="str">
            <v>singleron-3'转录组文库</v>
          </cell>
          <cell r="I3000" t="str">
            <v>XCL</v>
          </cell>
          <cell r="J3000">
            <v>9.42</v>
          </cell>
          <cell r="N3000" t="e">
            <v>#DIV/0!</v>
          </cell>
        </row>
        <row r="3001">
          <cell r="E3001" t="str">
            <v>HGC-Lib-2465182</v>
          </cell>
          <cell r="F3001" t="str">
            <v>R240725051</v>
          </cell>
          <cell r="G3001">
            <v>30</v>
          </cell>
          <cell r="H3001" t="str">
            <v>singleron-3'转录组文库</v>
          </cell>
          <cell r="I3001" t="str">
            <v>XCL</v>
          </cell>
          <cell r="J3001">
            <v>8.4600000000000009</v>
          </cell>
          <cell r="N3001" t="e">
            <v>#DIV/0!</v>
          </cell>
        </row>
        <row r="3002">
          <cell r="E3002" t="str">
            <v>HGC-Lib-2465183</v>
          </cell>
          <cell r="F3002" t="str">
            <v>R240716023</v>
          </cell>
          <cell r="G3002">
            <v>30</v>
          </cell>
          <cell r="H3002" t="str">
            <v>singleron-3'转录组文库</v>
          </cell>
          <cell r="I3002" t="str">
            <v>XCL</v>
          </cell>
          <cell r="J3002">
            <v>24.8</v>
          </cell>
          <cell r="N3002" t="e">
            <v>#DIV/0!</v>
          </cell>
        </row>
        <row r="3003">
          <cell r="E3003" t="str">
            <v>HGC-Lib-2465184</v>
          </cell>
          <cell r="F3003" t="str">
            <v>R240716024</v>
          </cell>
          <cell r="G3003">
            <v>30</v>
          </cell>
          <cell r="H3003" t="str">
            <v>singleron-3'转录组文库</v>
          </cell>
          <cell r="I3003" t="str">
            <v>XCL</v>
          </cell>
          <cell r="J3003">
            <v>24.2</v>
          </cell>
          <cell r="N3003" t="e">
            <v>#DIV/0!</v>
          </cell>
        </row>
        <row r="3004">
          <cell r="E3004" t="str">
            <v>HGC-Lib-2465185</v>
          </cell>
          <cell r="F3004" t="str">
            <v>R240723022</v>
          </cell>
          <cell r="G3004">
            <v>30</v>
          </cell>
          <cell r="H3004" t="str">
            <v>singleron-3'转录组文库</v>
          </cell>
          <cell r="I3004" t="str">
            <v>XCL</v>
          </cell>
          <cell r="J3004">
            <v>12.3</v>
          </cell>
          <cell r="N3004" t="e">
            <v>#DIV/0!</v>
          </cell>
        </row>
        <row r="3005">
          <cell r="E3005" t="str">
            <v>HGC-Lib-2465186</v>
          </cell>
          <cell r="F3005" t="str">
            <v>R240723023</v>
          </cell>
          <cell r="G3005">
            <v>30</v>
          </cell>
          <cell r="H3005" t="str">
            <v>singleron-3'转录组文库</v>
          </cell>
          <cell r="I3005" t="str">
            <v>XCL</v>
          </cell>
          <cell r="J3005">
            <v>1.52</v>
          </cell>
          <cell r="N3005" t="e">
            <v>#DIV/0!</v>
          </cell>
        </row>
        <row r="3006">
          <cell r="E3006" t="str">
            <v>HGC-Lib-2465187</v>
          </cell>
          <cell r="F3006" t="str">
            <v>R240723024</v>
          </cell>
          <cell r="G3006">
            <v>30</v>
          </cell>
          <cell r="H3006" t="str">
            <v>singleron-3'转录组文库</v>
          </cell>
          <cell r="I3006" t="str">
            <v>XCL</v>
          </cell>
          <cell r="J3006">
            <v>2.98</v>
          </cell>
          <cell r="N3006" t="e">
            <v>#DIV/0!</v>
          </cell>
        </row>
        <row r="3007">
          <cell r="E3007" t="str">
            <v>HGC-Lib-2465188</v>
          </cell>
          <cell r="F3007" t="str">
            <v>R240813017</v>
          </cell>
          <cell r="G3007">
            <v>5</v>
          </cell>
          <cell r="H3007" t="str">
            <v>singleron-3'转录组文库</v>
          </cell>
          <cell r="I3007" t="str">
            <v>XCL</v>
          </cell>
          <cell r="J3007">
            <v>22</v>
          </cell>
          <cell r="N3007" t="e">
            <v>#DIV/0!</v>
          </cell>
        </row>
        <row r="3008">
          <cell r="E3008" t="str">
            <v>HGC-Lib-2465189</v>
          </cell>
          <cell r="F3008" t="str">
            <v>R240813018</v>
          </cell>
          <cell r="G3008">
            <v>5</v>
          </cell>
          <cell r="H3008" t="str">
            <v>singleron-3'转录组文库</v>
          </cell>
          <cell r="I3008" t="str">
            <v>XCL</v>
          </cell>
          <cell r="J3008">
            <v>19.7</v>
          </cell>
          <cell r="N3008" t="e">
            <v>#DIV/0!</v>
          </cell>
        </row>
        <row r="3009">
          <cell r="E3009" t="str">
            <v>HGC-Lib-2465190</v>
          </cell>
          <cell r="F3009" t="str">
            <v>R240813019</v>
          </cell>
          <cell r="G3009">
            <v>5</v>
          </cell>
          <cell r="H3009" t="str">
            <v>singleron-3'转录组文库</v>
          </cell>
          <cell r="I3009" t="str">
            <v>XCL</v>
          </cell>
          <cell r="J3009">
            <v>21.6</v>
          </cell>
          <cell r="N3009" t="e">
            <v>#DIV/0!</v>
          </cell>
        </row>
        <row r="3010">
          <cell r="E3010" t="str">
            <v>HGC-Lib-2465191</v>
          </cell>
          <cell r="F3010" t="str">
            <v>R240813020</v>
          </cell>
          <cell r="G3010">
            <v>5</v>
          </cell>
          <cell r="H3010" t="str">
            <v>singleron-单细胞TCR文库</v>
          </cell>
          <cell r="I3010" t="str">
            <v>XCL</v>
          </cell>
          <cell r="J3010">
            <v>8.1</v>
          </cell>
          <cell r="N3010" t="e">
            <v>#DIV/0!</v>
          </cell>
        </row>
        <row r="3011">
          <cell r="E3011" t="str">
            <v>HGC-Lib-2465192</v>
          </cell>
          <cell r="F3011" t="str">
            <v>Hu57-SC1</v>
          </cell>
          <cell r="G3011">
            <v>100</v>
          </cell>
          <cell r="H3011" t="str">
            <v>10× 3'单细胞</v>
          </cell>
          <cell r="I3011" t="str">
            <v>XCL</v>
          </cell>
          <cell r="J3011">
            <v>2.2799999999999998</v>
          </cell>
          <cell r="K3011">
            <v>472</v>
          </cell>
          <cell r="L3011" t="str">
            <v>YHT</v>
          </cell>
          <cell r="N3011">
            <v>7.4315514993481102</v>
          </cell>
        </row>
        <row r="3012">
          <cell r="E3012" t="str">
            <v>HGC-Lib-2465193</v>
          </cell>
          <cell r="F3012" t="str">
            <v>Hu58-SC2</v>
          </cell>
          <cell r="G3012">
            <v>100</v>
          </cell>
          <cell r="H3012" t="str">
            <v>10× 3'单细胞</v>
          </cell>
          <cell r="I3012" t="str">
            <v>XCL</v>
          </cell>
          <cell r="J3012">
            <v>4.24</v>
          </cell>
          <cell r="K3012">
            <v>471</v>
          </cell>
          <cell r="L3012" t="str">
            <v>YHT</v>
          </cell>
          <cell r="N3012">
            <v>13.849420218846999</v>
          </cell>
        </row>
        <row r="3013">
          <cell r="E3013" t="str">
            <v>HGC-Lib-2465197</v>
          </cell>
          <cell r="F3013" t="str">
            <v>B1</v>
          </cell>
          <cell r="G3013">
            <v>10</v>
          </cell>
          <cell r="H3013" t="str">
            <v>cut&amp;tag文库</v>
          </cell>
          <cell r="I3013" t="str">
            <v>WH</v>
          </cell>
          <cell r="J3013">
            <v>72.599999999999994</v>
          </cell>
          <cell r="K3013">
            <v>447</v>
          </cell>
          <cell r="L3013" t="str">
            <v>XCL</v>
          </cell>
          <cell r="N3013">
            <v>249.870934434693</v>
          </cell>
        </row>
        <row r="3014">
          <cell r="E3014" t="str">
            <v>HGC-Lib-2465198</v>
          </cell>
          <cell r="F3014" t="str">
            <v>B2</v>
          </cell>
          <cell r="G3014">
            <v>10</v>
          </cell>
          <cell r="H3014" t="str">
            <v>cut&amp;tag文库</v>
          </cell>
          <cell r="I3014" t="str">
            <v>WH</v>
          </cell>
          <cell r="J3014">
            <v>40.799999999999997</v>
          </cell>
          <cell r="K3014">
            <v>473</v>
          </cell>
          <cell r="L3014" t="str">
            <v>XCL</v>
          </cell>
          <cell r="N3014">
            <v>132.70450479752799</v>
          </cell>
        </row>
        <row r="3015">
          <cell r="E3015" t="str">
            <v>HGC-Lib-2465199</v>
          </cell>
          <cell r="F3015" t="str">
            <v>P1</v>
          </cell>
          <cell r="G3015">
            <v>10</v>
          </cell>
          <cell r="H3015" t="str">
            <v>cut&amp;tag文库</v>
          </cell>
          <cell r="I3015" t="str">
            <v>WH</v>
          </cell>
          <cell r="J3015">
            <v>47.8</v>
          </cell>
          <cell r="K3015">
            <v>459</v>
          </cell>
          <cell r="L3015" t="str">
            <v>XCL</v>
          </cell>
          <cell r="N3015">
            <v>160.21451315569001</v>
          </cell>
        </row>
        <row r="3016">
          <cell r="E3016" t="str">
            <v>HGC-Lib-2465200</v>
          </cell>
          <cell r="F3016" t="str">
            <v>D1</v>
          </cell>
          <cell r="G3016">
            <v>10</v>
          </cell>
          <cell r="H3016" t="str">
            <v>cut&amp;tag文库</v>
          </cell>
          <cell r="I3016" t="str">
            <v>WH</v>
          </cell>
          <cell r="J3016">
            <v>81.400000000000006</v>
          </cell>
          <cell r="K3016">
            <v>423</v>
          </cell>
          <cell r="L3016" t="str">
            <v>XCL</v>
          </cell>
          <cell r="N3016">
            <v>296.05382796872198</v>
          </cell>
        </row>
        <row r="3017">
          <cell r="E3017" t="str">
            <v>HGC-Lib-2465201</v>
          </cell>
          <cell r="F3017" t="str">
            <v>B3</v>
          </cell>
          <cell r="G3017">
            <v>10</v>
          </cell>
          <cell r="H3017" t="str">
            <v>cut&amp;tag文库</v>
          </cell>
          <cell r="I3017" t="str">
            <v>WH</v>
          </cell>
          <cell r="J3017">
            <v>27.2</v>
          </cell>
          <cell r="K3017">
            <v>431</v>
          </cell>
          <cell r="L3017" t="str">
            <v>XCL</v>
          </cell>
          <cell r="N3017">
            <v>97.090844190612202</v>
          </cell>
        </row>
        <row r="3018">
          <cell r="E3018" t="str">
            <v>HGC-Lib-2465202</v>
          </cell>
          <cell r="F3018" t="str">
            <v>B4</v>
          </cell>
          <cell r="G3018">
            <v>10</v>
          </cell>
          <cell r="H3018" t="str">
            <v>cut&amp;tag文库</v>
          </cell>
          <cell r="I3018" t="str">
            <v>WH</v>
          </cell>
          <cell r="J3018">
            <v>24.4</v>
          </cell>
          <cell r="K3018">
            <v>437</v>
          </cell>
          <cell r="L3018" t="str">
            <v>XCL</v>
          </cell>
          <cell r="N3018">
            <v>85.900369653230101</v>
          </cell>
        </row>
        <row r="3019">
          <cell r="E3019" t="str">
            <v>HGC-Lib-2465203</v>
          </cell>
          <cell r="F3019" t="str">
            <v>P2</v>
          </cell>
          <cell r="G3019">
            <v>10</v>
          </cell>
          <cell r="H3019" t="str">
            <v>cut&amp;tag文库</v>
          </cell>
          <cell r="I3019" t="str">
            <v>WH</v>
          </cell>
          <cell r="J3019">
            <v>20.2</v>
          </cell>
          <cell r="K3019">
            <v>445</v>
          </cell>
          <cell r="L3019" t="str">
            <v>XCL</v>
          </cell>
          <cell r="N3019">
            <v>69.835782195332797</v>
          </cell>
        </row>
        <row r="3020">
          <cell r="E3020" t="str">
            <v>HGC-Lib-2465204</v>
          </cell>
          <cell r="F3020" t="str">
            <v>D2</v>
          </cell>
          <cell r="G3020">
            <v>10</v>
          </cell>
          <cell r="H3020" t="str">
            <v>cut&amp;tag文库</v>
          </cell>
          <cell r="I3020" t="str">
            <v>WH</v>
          </cell>
          <cell r="J3020">
            <v>30.4</v>
          </cell>
          <cell r="K3020">
            <v>430</v>
          </cell>
          <cell r="L3020" t="str">
            <v>XCL</v>
          </cell>
          <cell r="N3020">
            <v>108.765652951699</v>
          </cell>
        </row>
        <row r="3021">
          <cell r="E3021" t="str">
            <v>HGC-Lib-2465205</v>
          </cell>
          <cell r="F3021" t="str">
            <v>B5</v>
          </cell>
          <cell r="G3021">
            <v>10</v>
          </cell>
          <cell r="H3021" t="str">
            <v>cut&amp;tag文库</v>
          </cell>
          <cell r="I3021" t="str">
            <v>WH</v>
          </cell>
          <cell r="J3021">
            <v>3.1</v>
          </cell>
          <cell r="K3021">
            <v>418</v>
          </cell>
          <cell r="L3021" t="str">
            <v>GZQ</v>
          </cell>
          <cell r="N3021">
            <v>11.4096429885904</v>
          </cell>
        </row>
        <row r="3022">
          <cell r="E3022" t="str">
            <v>HGC-Lib-2465206</v>
          </cell>
          <cell r="F3022" t="str">
            <v>B6</v>
          </cell>
          <cell r="G3022">
            <v>10</v>
          </cell>
          <cell r="H3022" t="str">
            <v>cut&amp;tag文库</v>
          </cell>
          <cell r="I3022" t="str">
            <v>WH</v>
          </cell>
          <cell r="J3022"/>
          <cell r="K3022" t="str">
            <v>/</v>
          </cell>
          <cell r="L3022" t="str">
            <v>GZQ</v>
          </cell>
          <cell r="N3022" t="e">
            <v>#VALUE!</v>
          </cell>
        </row>
        <row r="3023">
          <cell r="E3023" t="str">
            <v>HGC-Lib-2465207</v>
          </cell>
          <cell r="F3023" t="str">
            <v>P3</v>
          </cell>
          <cell r="G3023">
            <v>10</v>
          </cell>
          <cell r="H3023" t="str">
            <v>cut&amp;tag文库</v>
          </cell>
          <cell r="I3023" t="str">
            <v>WH</v>
          </cell>
          <cell r="J3023" t="str">
            <v>/</v>
          </cell>
          <cell r="K3023" t="str">
            <v>/</v>
          </cell>
          <cell r="L3023" t="str">
            <v>GZQ</v>
          </cell>
          <cell r="N3023" t="e">
            <v>#VALUE!</v>
          </cell>
        </row>
        <row r="3024">
          <cell r="E3024" t="str">
            <v>HGC-Lib-2465208</v>
          </cell>
          <cell r="F3024" t="str">
            <v>D3</v>
          </cell>
          <cell r="G3024">
            <v>10</v>
          </cell>
          <cell r="H3024" t="str">
            <v>cut&amp;tag文库</v>
          </cell>
          <cell r="I3024" t="str">
            <v>WH</v>
          </cell>
          <cell r="J3024">
            <v>10.1</v>
          </cell>
          <cell r="K3024">
            <v>411</v>
          </cell>
          <cell r="L3024" t="str">
            <v>XCL</v>
          </cell>
          <cell r="N3024">
            <v>37.806475762680101</v>
          </cell>
        </row>
        <row r="3025">
          <cell r="E3025" t="str">
            <v>HGC-Lib-2465209</v>
          </cell>
          <cell r="F3025" t="str">
            <v>B7</v>
          </cell>
          <cell r="G3025">
            <v>10</v>
          </cell>
          <cell r="H3025" t="str">
            <v>cut&amp;tag文库</v>
          </cell>
          <cell r="I3025" t="str">
            <v>WH</v>
          </cell>
          <cell r="J3025">
            <v>1.66</v>
          </cell>
          <cell r="K3025">
            <v>439</v>
          </cell>
          <cell r="L3025" t="str">
            <v>GZQ</v>
          </cell>
          <cell r="N3025">
            <v>5.8174172069388499</v>
          </cell>
        </row>
        <row r="3026">
          <cell r="E3026" t="str">
            <v>HGC-Lib-2465210</v>
          </cell>
          <cell r="F3026" t="str">
            <v>B8</v>
          </cell>
          <cell r="G3026">
            <v>10</v>
          </cell>
          <cell r="H3026" t="str">
            <v>cut&amp;tag文库</v>
          </cell>
          <cell r="I3026" t="str">
            <v>WH</v>
          </cell>
          <cell r="J3026">
            <v>0.184</v>
          </cell>
          <cell r="K3026">
            <v>414</v>
          </cell>
          <cell r="L3026" t="str">
            <v>GZQ</v>
          </cell>
          <cell r="N3026">
            <v>0.683760683760684</v>
          </cell>
        </row>
        <row r="3027">
          <cell r="E3027" t="str">
            <v>HGC-Lib-2465211</v>
          </cell>
          <cell r="F3027" t="str">
            <v>P4</v>
          </cell>
          <cell r="G3027">
            <v>10</v>
          </cell>
          <cell r="H3027" t="str">
            <v>cut&amp;tag文库</v>
          </cell>
          <cell r="I3027" t="str">
            <v>WH</v>
          </cell>
          <cell r="J3027" t="str">
            <v>/</v>
          </cell>
          <cell r="K3027" t="str">
            <v>/</v>
          </cell>
          <cell r="L3027" t="str">
            <v>GZQ</v>
          </cell>
          <cell r="N3027" t="e">
            <v>#VALUE!</v>
          </cell>
        </row>
        <row r="3028">
          <cell r="E3028" t="str">
            <v>HGC-Lib-2465212</v>
          </cell>
          <cell r="F3028" t="str">
            <v>D4</v>
          </cell>
          <cell r="G3028">
            <v>10</v>
          </cell>
          <cell r="H3028" t="str">
            <v>cut&amp;tag文库</v>
          </cell>
          <cell r="I3028" t="str">
            <v>WH</v>
          </cell>
          <cell r="J3028">
            <v>4.12</v>
          </cell>
          <cell r="K3028">
            <v>419</v>
          </cell>
          <cell r="L3028" t="str">
            <v>GZQ</v>
          </cell>
          <cell r="N3028">
            <v>15.127593170552601</v>
          </cell>
        </row>
        <row r="3029">
          <cell r="E3029" t="str">
            <v>HGC-Lib-2465213</v>
          </cell>
          <cell r="F3029" t="str">
            <v>2B1</v>
          </cell>
          <cell r="G3029">
            <v>10</v>
          </cell>
          <cell r="H3029" t="str">
            <v>cut&amp;tag文库</v>
          </cell>
          <cell r="I3029" t="str">
            <v>WH</v>
          </cell>
          <cell r="J3029">
            <v>38</v>
          </cell>
          <cell r="K3029">
            <v>439</v>
          </cell>
          <cell r="L3029" t="str">
            <v>XCL</v>
          </cell>
          <cell r="N3029">
            <v>133.169791484142</v>
          </cell>
        </row>
        <row r="3030">
          <cell r="E3030" t="str">
            <v>HGC-Lib-2465214</v>
          </cell>
          <cell r="F3030" t="str">
            <v>2B2</v>
          </cell>
          <cell r="G3030">
            <v>10</v>
          </cell>
          <cell r="H3030" t="str">
            <v>cut&amp;tag文库</v>
          </cell>
          <cell r="I3030" t="str">
            <v>WH</v>
          </cell>
          <cell r="J3030">
            <v>10.7</v>
          </cell>
          <cell r="K3030">
            <v>467</v>
          </cell>
          <cell r="L3030" t="str">
            <v>XCL</v>
          </cell>
          <cell r="N3030">
            <v>35.249547026849001</v>
          </cell>
        </row>
        <row r="3031">
          <cell r="E3031" t="str">
            <v>HGC-Lib-2465215</v>
          </cell>
          <cell r="F3031" t="str">
            <v>2P1</v>
          </cell>
          <cell r="G3031">
            <v>10</v>
          </cell>
          <cell r="H3031" t="str">
            <v>cut&amp;tag文库</v>
          </cell>
          <cell r="I3031" t="str">
            <v>WH</v>
          </cell>
          <cell r="J3031">
            <v>17.5</v>
          </cell>
          <cell r="K3031">
            <v>448</v>
          </cell>
          <cell r="L3031" t="str">
            <v>XCL</v>
          </cell>
          <cell r="N3031">
            <v>60.096153846153797</v>
          </cell>
        </row>
        <row r="3032">
          <cell r="E3032" t="str">
            <v>HGC-Lib-2465216</v>
          </cell>
          <cell r="F3032" t="str">
            <v>2D1</v>
          </cell>
          <cell r="G3032">
            <v>10</v>
          </cell>
          <cell r="H3032" t="str">
            <v>cut&amp;tag文库</v>
          </cell>
          <cell r="I3032" t="str">
            <v>WH</v>
          </cell>
          <cell r="J3032">
            <v>48.2</v>
          </cell>
          <cell r="K3032">
            <v>428</v>
          </cell>
          <cell r="L3032" t="str">
            <v>XCL</v>
          </cell>
          <cell r="N3032">
            <v>173.25664989216401</v>
          </cell>
        </row>
        <row r="3033">
          <cell r="E3033" t="str">
            <v>HGC-Lib-2465217</v>
          </cell>
          <cell r="F3033" t="str">
            <v>2B3</v>
          </cell>
          <cell r="G3033">
            <v>10</v>
          </cell>
          <cell r="H3033" t="str">
            <v>cut&amp;tag文库</v>
          </cell>
          <cell r="I3033" t="str">
            <v>WH</v>
          </cell>
          <cell r="J3033">
            <v>16</v>
          </cell>
          <cell r="K3033">
            <v>444</v>
          </cell>
          <cell r="L3033" t="str">
            <v>XCL</v>
          </cell>
          <cell r="N3033">
            <v>55.440055440055403</v>
          </cell>
        </row>
        <row r="3034">
          <cell r="E3034" t="str">
            <v>HGC-Lib-2465218</v>
          </cell>
          <cell r="F3034" t="str">
            <v>2B4</v>
          </cell>
          <cell r="G3034">
            <v>10</v>
          </cell>
          <cell r="H3034" t="str">
            <v>cut&amp;tag文库</v>
          </cell>
          <cell r="I3034" t="str">
            <v>WH</v>
          </cell>
          <cell r="J3034" t="str">
            <v>/</v>
          </cell>
          <cell r="K3034">
            <v>423</v>
          </cell>
          <cell r="L3034" t="str">
            <v>GZQ</v>
          </cell>
          <cell r="N3034" t="e">
            <v>#VALUE!</v>
          </cell>
        </row>
        <row r="3035">
          <cell r="E3035" t="str">
            <v>HGC-Lib-2465219</v>
          </cell>
          <cell r="F3035" t="str">
            <v>2P2</v>
          </cell>
          <cell r="G3035">
            <v>10</v>
          </cell>
          <cell r="H3035" t="str">
            <v>cut&amp;tag文库</v>
          </cell>
          <cell r="I3035" t="str">
            <v>WH</v>
          </cell>
          <cell r="J3035" t="str">
            <v>/</v>
          </cell>
          <cell r="K3035" t="str">
            <v>/</v>
          </cell>
          <cell r="L3035" t="str">
            <v>GZQ</v>
          </cell>
          <cell r="N3035" t="e">
            <v>#VALUE!</v>
          </cell>
        </row>
        <row r="3036">
          <cell r="E3036" t="str">
            <v>HGC-Lib-2465220</v>
          </cell>
          <cell r="F3036" t="str">
            <v>2D2</v>
          </cell>
          <cell r="G3036">
            <v>10</v>
          </cell>
          <cell r="H3036" t="str">
            <v>cut&amp;tag文库</v>
          </cell>
          <cell r="I3036" t="str">
            <v>WH</v>
          </cell>
          <cell r="J3036">
            <v>16.3</v>
          </cell>
          <cell r="K3036">
            <v>432</v>
          </cell>
          <cell r="L3036" t="str">
            <v>XCL</v>
          </cell>
          <cell r="N3036">
            <v>58.048433048433097</v>
          </cell>
        </row>
        <row r="3037">
          <cell r="E3037" t="str">
            <v>HGC-Lib-2465221</v>
          </cell>
          <cell r="F3037" t="str">
            <v>2B5</v>
          </cell>
          <cell r="G3037">
            <v>10</v>
          </cell>
          <cell r="H3037" t="str">
            <v>cut&amp;tag文库</v>
          </cell>
          <cell r="I3037" t="str">
            <v>WH</v>
          </cell>
          <cell r="J3037" t="str">
            <v>/</v>
          </cell>
          <cell r="K3037" t="str">
            <v>/</v>
          </cell>
          <cell r="L3037" t="str">
            <v>GZQ</v>
          </cell>
          <cell r="N3037" t="e">
            <v>#VALUE!</v>
          </cell>
        </row>
        <row r="3038">
          <cell r="E3038" t="str">
            <v>HGC-Lib-2465222</v>
          </cell>
          <cell r="F3038" t="str">
            <v>2B6</v>
          </cell>
          <cell r="G3038">
            <v>10</v>
          </cell>
          <cell r="H3038" t="str">
            <v>cut&amp;tag文库</v>
          </cell>
          <cell r="I3038" t="str">
            <v>WH</v>
          </cell>
          <cell r="J3038" t="str">
            <v>/</v>
          </cell>
          <cell r="K3038">
            <v>399</v>
          </cell>
          <cell r="L3038" t="str">
            <v>GZQ</v>
          </cell>
          <cell r="N3038" t="e">
            <v>#VALUE!</v>
          </cell>
        </row>
        <row r="3039">
          <cell r="E3039" t="str">
            <v>HGC-Lib-2465223</v>
          </cell>
          <cell r="F3039" t="str">
            <v>2P3</v>
          </cell>
          <cell r="G3039">
            <v>10</v>
          </cell>
          <cell r="H3039" t="str">
            <v>cut&amp;tag文库</v>
          </cell>
          <cell r="I3039" t="str">
            <v>WH</v>
          </cell>
          <cell r="J3039">
            <v>0.17799999999999999</v>
          </cell>
          <cell r="K3039">
            <v>377</v>
          </cell>
          <cell r="L3039" t="str">
            <v>GZQ</v>
          </cell>
          <cell r="N3039">
            <v>0.72638237094470504</v>
          </cell>
        </row>
        <row r="3040">
          <cell r="E3040" t="str">
            <v>HGC-Lib-2465224</v>
          </cell>
          <cell r="F3040" t="str">
            <v>2D3</v>
          </cell>
          <cell r="G3040">
            <v>10</v>
          </cell>
          <cell r="H3040" t="str">
            <v>cut&amp;tag文库</v>
          </cell>
          <cell r="I3040" t="str">
            <v>WH</v>
          </cell>
          <cell r="J3040">
            <v>10.1</v>
          </cell>
          <cell r="K3040">
            <v>384</v>
          </cell>
          <cell r="L3040" t="str">
            <v>XCL</v>
          </cell>
          <cell r="N3040">
            <v>40.464743589743598</v>
          </cell>
        </row>
        <row r="3041">
          <cell r="E3041" t="str">
            <v>HGC-Lib-2465225</v>
          </cell>
          <cell r="F3041" t="str">
            <v>2B7</v>
          </cell>
          <cell r="G3041">
            <v>10</v>
          </cell>
          <cell r="H3041" t="str">
            <v>cut&amp;tag文库</v>
          </cell>
          <cell r="I3041" t="str">
            <v>WH</v>
          </cell>
          <cell r="J3041">
            <v>5.32</v>
          </cell>
          <cell r="K3041">
            <v>404</v>
          </cell>
          <cell r="L3041" t="str">
            <v>GZQ</v>
          </cell>
          <cell r="N3041">
            <v>20.258948971820299</v>
          </cell>
        </row>
        <row r="3042">
          <cell r="E3042" t="str">
            <v>HGC-Lib-2465226</v>
          </cell>
          <cell r="F3042" t="str">
            <v>2B8</v>
          </cell>
          <cell r="G3042">
            <v>10</v>
          </cell>
          <cell r="H3042" t="str">
            <v>cut&amp;tag文库</v>
          </cell>
          <cell r="I3042" t="str">
            <v>WH</v>
          </cell>
          <cell r="J3042">
            <v>2.86</v>
          </cell>
          <cell r="K3042">
            <v>413</v>
          </cell>
          <cell r="L3042" t="str">
            <v>GZQ</v>
          </cell>
          <cell r="N3042">
            <v>10.6537530266344</v>
          </cell>
        </row>
        <row r="3043">
          <cell r="E3043" t="str">
            <v>HGC-Lib-2465227</v>
          </cell>
          <cell r="F3043" t="str">
            <v>2P4</v>
          </cell>
          <cell r="G3043">
            <v>10</v>
          </cell>
          <cell r="H3043" t="str">
            <v>cut&amp;tag文库</v>
          </cell>
          <cell r="I3043" t="str">
            <v>WH</v>
          </cell>
          <cell r="J3043">
            <v>1.63</v>
          </cell>
          <cell r="K3043">
            <v>408</v>
          </cell>
          <cell r="L3043" t="str">
            <v>GZQ</v>
          </cell>
          <cell r="N3043">
            <v>6.1463046757164399</v>
          </cell>
        </row>
        <row r="3044">
          <cell r="E3044" t="str">
            <v>HGC-Lib-2465228</v>
          </cell>
          <cell r="F3044" t="str">
            <v>2D4</v>
          </cell>
          <cell r="G3044">
            <v>10</v>
          </cell>
          <cell r="H3044" t="str">
            <v>cut&amp;tag文库</v>
          </cell>
          <cell r="I3044" t="str">
            <v>WH</v>
          </cell>
          <cell r="J3044">
            <v>13.7</v>
          </cell>
          <cell r="K3044">
            <v>389</v>
          </cell>
          <cell r="L3044" t="str">
            <v>XCL</v>
          </cell>
          <cell r="N3044">
            <v>54.182321534506599</v>
          </cell>
        </row>
        <row r="3045">
          <cell r="E3045" t="str">
            <v>HGC-Lib-2465239</v>
          </cell>
          <cell r="F3045" t="str">
            <v>WT_1</v>
          </cell>
          <cell r="G3045">
            <v>8</v>
          </cell>
          <cell r="H3045" t="str">
            <v>ATAC-Seq文库</v>
          </cell>
          <cell r="I3045" t="str">
            <v>WH</v>
          </cell>
          <cell r="J3045">
            <v>23.4</v>
          </cell>
          <cell r="K3045">
            <v>399</v>
          </cell>
          <cell r="L3045" t="str">
            <v>WH</v>
          </cell>
          <cell r="N3045">
            <v>90.225563909774394</v>
          </cell>
        </row>
        <row r="3046">
          <cell r="E3046" t="str">
            <v>HGC-Lib-2465240</v>
          </cell>
          <cell r="F3046" t="str">
            <v>WT_2</v>
          </cell>
          <cell r="G3046">
            <v>8</v>
          </cell>
          <cell r="H3046" t="str">
            <v>ATAC-Seq文库</v>
          </cell>
          <cell r="I3046" t="str">
            <v>WH</v>
          </cell>
          <cell r="J3046">
            <v>54.6</v>
          </cell>
          <cell r="K3046">
            <v>390</v>
          </cell>
          <cell r="L3046" t="str">
            <v>WH</v>
          </cell>
          <cell r="N3046">
            <v>215.38461538461499</v>
          </cell>
        </row>
        <row r="3047">
          <cell r="E3047" t="str">
            <v>HGC-Lib-2465241</v>
          </cell>
          <cell r="F3047" t="str">
            <v>WT_3</v>
          </cell>
          <cell r="G3047">
            <v>8</v>
          </cell>
          <cell r="H3047" t="str">
            <v>ATAC-Seq文库</v>
          </cell>
          <cell r="I3047" t="str">
            <v>WH</v>
          </cell>
          <cell r="J3047">
            <v>27</v>
          </cell>
          <cell r="K3047">
            <v>382</v>
          </cell>
          <cell r="L3047" t="str">
            <v>WH</v>
          </cell>
          <cell r="N3047">
            <v>108.739428111156</v>
          </cell>
        </row>
        <row r="3048">
          <cell r="E3048" t="str">
            <v>HGC-Lib-2465242</v>
          </cell>
          <cell r="F3048" t="str">
            <v>KO_1</v>
          </cell>
          <cell r="G3048">
            <v>8</v>
          </cell>
          <cell r="H3048" t="str">
            <v>ATAC-Seq文库</v>
          </cell>
          <cell r="I3048" t="str">
            <v>WH</v>
          </cell>
          <cell r="J3048">
            <v>19.899999999999999</v>
          </cell>
          <cell r="K3048">
            <v>357</v>
          </cell>
          <cell r="L3048" t="str">
            <v>WH</v>
          </cell>
          <cell r="N3048">
            <v>85.757379875026899</v>
          </cell>
        </row>
        <row r="3049">
          <cell r="E3049" t="str">
            <v>HGC-Lib-2465243</v>
          </cell>
          <cell r="F3049" t="str">
            <v>KO_2</v>
          </cell>
          <cell r="G3049">
            <v>8</v>
          </cell>
          <cell r="H3049" t="str">
            <v>ATAC-Seq文库</v>
          </cell>
          <cell r="I3049" t="str">
            <v>WH</v>
          </cell>
          <cell r="J3049">
            <v>23.6</v>
          </cell>
          <cell r="K3049">
            <v>356</v>
          </cell>
          <cell r="L3049" t="str">
            <v>WH</v>
          </cell>
          <cell r="N3049">
            <v>101.987899740709</v>
          </cell>
        </row>
        <row r="3050">
          <cell r="E3050" t="str">
            <v>HGC-Lib-2465244</v>
          </cell>
          <cell r="F3050" t="str">
            <v>KO_3</v>
          </cell>
          <cell r="G3050">
            <v>8</v>
          </cell>
          <cell r="H3050" t="str">
            <v>ATAC-Seq文库</v>
          </cell>
          <cell r="I3050" t="str">
            <v>WH</v>
          </cell>
          <cell r="J3050">
            <v>25.4</v>
          </cell>
          <cell r="K3050">
            <v>343</v>
          </cell>
          <cell r="L3050" t="str">
            <v>WH</v>
          </cell>
          <cell r="N3050">
            <v>113.926889437094</v>
          </cell>
        </row>
        <row r="3051">
          <cell r="E3051" t="str">
            <v>HGC-Lib-2465266</v>
          </cell>
          <cell r="F3051" t="str">
            <v>0814X1</v>
          </cell>
          <cell r="G3051">
            <v>1000</v>
          </cell>
          <cell r="H3051" t="str">
            <v>WES/panel捕获文库mRNA文库small RNA文库</v>
          </cell>
          <cell r="I3051" t="str">
            <v>XCL</v>
          </cell>
          <cell r="J3051">
            <v>9.4</v>
          </cell>
          <cell r="K3051">
            <v>415</v>
          </cell>
          <cell r="L3051" t="str">
            <v>GZQ</v>
          </cell>
          <cell r="N3051">
            <v>34.847080630213199</v>
          </cell>
        </row>
        <row r="3052">
          <cell r="E3052" t="str">
            <v>HGC-Lib-2465275</v>
          </cell>
          <cell r="F3052" t="str">
            <v>1_9</v>
          </cell>
          <cell r="G3052">
            <v>6</v>
          </cell>
          <cell r="H3052" t="str">
            <v>mRNA文库</v>
          </cell>
          <cell r="I3052" t="str">
            <v>XCL</v>
          </cell>
          <cell r="J3052">
            <v>3.36</v>
          </cell>
          <cell r="K3052">
            <v>331</v>
          </cell>
          <cell r="L3052" t="str">
            <v>GZQ</v>
          </cell>
          <cell r="N3052">
            <v>15.6170113874041</v>
          </cell>
        </row>
        <row r="3053">
          <cell r="E3053" t="str">
            <v>HGC-Lib-2465276</v>
          </cell>
          <cell r="F3053" t="str">
            <v>BS-NIP-S-1</v>
          </cell>
          <cell r="G3053">
            <v>20</v>
          </cell>
          <cell r="H3053" t="str">
            <v>scBS-seq文库</v>
          </cell>
          <cell r="I3053" t="str">
            <v>XCL</v>
          </cell>
          <cell r="J3053">
            <v>34.799999999999997</v>
          </cell>
          <cell r="K3053">
            <v>416</v>
          </cell>
          <cell r="L3053" t="str">
            <v>XCL</v>
          </cell>
          <cell r="N3053">
            <v>128.69822485207101</v>
          </cell>
        </row>
        <row r="3054">
          <cell r="E3054" t="str">
            <v>HGC-Lib-2465277</v>
          </cell>
          <cell r="F3054" t="str">
            <v>BS-NIP-S-2</v>
          </cell>
          <cell r="G3054">
            <v>20</v>
          </cell>
          <cell r="H3054" t="str">
            <v>scBS-seq文库</v>
          </cell>
          <cell r="I3054" t="str">
            <v>XCL</v>
          </cell>
          <cell r="J3054">
            <v>44.4</v>
          </cell>
          <cell r="K3054">
            <v>411</v>
          </cell>
          <cell r="L3054" t="str">
            <v>XCL</v>
          </cell>
          <cell r="N3054">
            <v>166.198764738911</v>
          </cell>
        </row>
        <row r="3055">
          <cell r="E3055" t="str">
            <v>HGC-Lib-2465278</v>
          </cell>
          <cell r="F3055" t="str">
            <v>BS-A1-S-1</v>
          </cell>
          <cell r="G3055">
            <v>20</v>
          </cell>
          <cell r="H3055" t="str">
            <v>scBS-seq文库</v>
          </cell>
          <cell r="I3055" t="str">
            <v>XCL</v>
          </cell>
          <cell r="J3055">
            <v>52.2</v>
          </cell>
          <cell r="K3055">
            <v>419</v>
          </cell>
          <cell r="L3055" t="str">
            <v>XCL</v>
          </cell>
          <cell r="N3055">
            <v>191.66513677253499</v>
          </cell>
        </row>
        <row r="3056">
          <cell r="E3056" t="str">
            <v>HGC-Lib-2465279</v>
          </cell>
          <cell r="F3056" t="str">
            <v>BS-A1-S-2</v>
          </cell>
          <cell r="G3056">
            <v>20</v>
          </cell>
          <cell r="H3056" t="str">
            <v>scBS-seq文库</v>
          </cell>
          <cell r="I3056" t="str">
            <v>XCL</v>
          </cell>
          <cell r="J3056">
            <v>45.2</v>
          </cell>
          <cell r="K3056">
            <v>390</v>
          </cell>
          <cell r="L3056" t="str">
            <v>XCL</v>
          </cell>
          <cell r="N3056">
            <v>178.30374753451699</v>
          </cell>
        </row>
        <row r="3057">
          <cell r="E3057" t="str">
            <v>HGC-Lib-2465280</v>
          </cell>
          <cell r="F3057" t="str">
            <v>BS-3M-S-1</v>
          </cell>
          <cell r="G3057">
            <v>20</v>
          </cell>
          <cell r="H3057" t="str">
            <v>scBS-seq文库</v>
          </cell>
          <cell r="I3057" t="str">
            <v>XCL</v>
          </cell>
          <cell r="J3057">
            <v>13.3</v>
          </cell>
          <cell r="K3057">
            <v>411</v>
          </cell>
          <cell r="L3057" t="str">
            <v>XCL</v>
          </cell>
          <cell r="N3057">
            <v>49.784765113232297</v>
          </cell>
        </row>
        <row r="3058">
          <cell r="E3058" t="str">
            <v>HGC-Lib-2465281</v>
          </cell>
          <cell r="F3058" t="str">
            <v>BS-3M-S-2</v>
          </cell>
          <cell r="G3058">
            <v>20</v>
          </cell>
          <cell r="H3058" t="str">
            <v>scBS-seq文库</v>
          </cell>
          <cell r="I3058" t="str">
            <v>XCL</v>
          </cell>
          <cell r="J3058">
            <v>15.8</v>
          </cell>
          <cell r="K3058">
            <v>395</v>
          </cell>
          <cell r="L3058" t="str">
            <v>XCL</v>
          </cell>
          <cell r="N3058">
            <v>61.538461538461497</v>
          </cell>
        </row>
        <row r="3059">
          <cell r="E3059" t="str">
            <v>HGC-Lib-2465282</v>
          </cell>
          <cell r="F3059" t="str">
            <v>BS-CrZH-S-1</v>
          </cell>
          <cell r="G3059">
            <v>20</v>
          </cell>
          <cell r="H3059" t="str">
            <v>scBS-seq文库</v>
          </cell>
          <cell r="I3059" t="str">
            <v>XCL</v>
          </cell>
          <cell r="J3059">
            <v>30.4</v>
          </cell>
          <cell r="K3059">
            <v>408</v>
          </cell>
          <cell r="L3059" t="str">
            <v>XCL</v>
          </cell>
          <cell r="N3059">
            <v>114.630467571644</v>
          </cell>
        </row>
        <row r="3060">
          <cell r="E3060" t="str">
            <v>HGC-Lib-2465283</v>
          </cell>
          <cell r="F3060" t="str">
            <v>BS-CrZH-S-2</v>
          </cell>
          <cell r="G3060">
            <v>20</v>
          </cell>
          <cell r="H3060" t="str">
            <v>scBS-seq文库</v>
          </cell>
          <cell r="I3060" t="str">
            <v>XCL</v>
          </cell>
          <cell r="J3060">
            <v>31.4</v>
          </cell>
          <cell r="K3060">
            <v>415</v>
          </cell>
          <cell r="L3060" t="str">
            <v>XCL</v>
          </cell>
          <cell r="N3060">
            <v>116.404077849861</v>
          </cell>
        </row>
        <row r="3061">
          <cell r="E3061" t="str">
            <v>HGC-Lib-2465284</v>
          </cell>
          <cell r="F3061" t="str">
            <v>S1-S-H3K27ac-3</v>
          </cell>
          <cell r="G3061">
            <v>6</v>
          </cell>
          <cell r="H3061" t="str">
            <v>Cut&amp;Tag文库</v>
          </cell>
          <cell r="I3061" t="str">
            <v>XCL</v>
          </cell>
          <cell r="J3061">
            <v>2.2000000000000002</v>
          </cell>
          <cell r="K3061">
            <v>486</v>
          </cell>
          <cell r="L3061" t="str">
            <v>GZQ</v>
          </cell>
          <cell r="N3061">
            <v>6.9642291864514103</v>
          </cell>
        </row>
        <row r="3062">
          <cell r="E3062" t="str">
            <v>HGC-Lib-2465285</v>
          </cell>
          <cell r="F3062" t="str">
            <v>S1-S-H3K27ac-4</v>
          </cell>
          <cell r="G3062">
            <v>6</v>
          </cell>
          <cell r="H3062" t="str">
            <v>Cut&amp;Tag文库</v>
          </cell>
          <cell r="I3062" t="str">
            <v>XCL</v>
          </cell>
          <cell r="J3062">
            <v>2.2400000000000002</v>
          </cell>
          <cell r="K3062">
            <v>488</v>
          </cell>
          <cell r="L3062" t="str">
            <v>GZQ</v>
          </cell>
          <cell r="N3062">
            <v>7.06179066834805</v>
          </cell>
        </row>
        <row r="3063">
          <cell r="E3063" t="str">
            <v>HGC-Lib-2465286</v>
          </cell>
          <cell r="F3063" t="str">
            <v>N_B_N4613-4T-10X-FFPE23-61159-1_N_B</v>
          </cell>
          <cell r="G3063">
            <v>30</v>
          </cell>
          <cell r="H3063" t="str">
            <v>10X-FFPE</v>
          </cell>
          <cell r="I3063" t="str">
            <v>XCL</v>
          </cell>
          <cell r="J3063">
            <v>4.38</v>
          </cell>
          <cell r="N3063" t="e">
            <v>#DIV/0!</v>
          </cell>
        </row>
        <row r="3064">
          <cell r="E3064" t="str">
            <v>HGC-Lib-2465287</v>
          </cell>
          <cell r="F3064" t="str">
            <v>N_B_N4729-2Q-10X3LJM-4-Duizhao_N_B</v>
          </cell>
          <cell r="G3064">
            <v>100</v>
          </cell>
          <cell r="H3064" t="str">
            <v>10× 3'单细胞</v>
          </cell>
          <cell r="I3064" t="str">
            <v>XCL</v>
          </cell>
          <cell r="J3064">
            <v>14.4</v>
          </cell>
          <cell r="N3064" t="e">
            <v>#DIV/0!</v>
          </cell>
        </row>
        <row r="3065">
          <cell r="E3065" t="str">
            <v>HGC-Lib-2465288</v>
          </cell>
          <cell r="F3065" t="str">
            <v>N_B_N4801-4G-10X3Human_BoneFracture_1M_3_N_B</v>
          </cell>
          <cell r="G3065">
            <v>100</v>
          </cell>
          <cell r="H3065" t="str">
            <v>10× 3'单细胞</v>
          </cell>
          <cell r="I3065" t="str">
            <v>XCL</v>
          </cell>
          <cell r="J3065">
            <v>12.4</v>
          </cell>
          <cell r="N3065" t="e">
            <v>#DIV/0!</v>
          </cell>
        </row>
        <row r="3066">
          <cell r="E3066" t="str">
            <v>HGC-Lib-2465289</v>
          </cell>
          <cell r="F3066" t="str">
            <v>N_B_N4801-58-10X3ZXH-1_N_B</v>
          </cell>
          <cell r="G3066">
            <v>100</v>
          </cell>
          <cell r="H3066" t="str">
            <v>10× 3'单细胞</v>
          </cell>
          <cell r="I3066" t="str">
            <v>XCL</v>
          </cell>
          <cell r="J3066">
            <v>35.4</v>
          </cell>
          <cell r="N3066" t="e">
            <v>#DIV/0!</v>
          </cell>
        </row>
        <row r="3067">
          <cell r="E3067" t="str">
            <v>HGC-Lib-2465290</v>
          </cell>
          <cell r="F3067" t="str">
            <v>N_B_N4802-02-10X3Bliu01_N_B</v>
          </cell>
          <cell r="G3067">
            <v>100</v>
          </cell>
          <cell r="H3067" t="str">
            <v>10× 3'单细胞</v>
          </cell>
          <cell r="I3067" t="str">
            <v>XCL</v>
          </cell>
          <cell r="J3067">
            <v>18.7</v>
          </cell>
          <cell r="N3067" t="e">
            <v>#DIV/0!</v>
          </cell>
        </row>
        <row r="3068">
          <cell r="E3068" t="str">
            <v>HGC-Lib-2465291</v>
          </cell>
          <cell r="F3068" t="str">
            <v>N_B_N4729-2N-10X3B56_N_B</v>
          </cell>
          <cell r="G3068">
            <v>100</v>
          </cell>
          <cell r="H3068" t="str">
            <v>10× 3'单细胞</v>
          </cell>
          <cell r="I3068" t="str">
            <v>XCL</v>
          </cell>
          <cell r="J3068">
            <v>14.5</v>
          </cell>
          <cell r="N3068" t="e">
            <v>#DIV/0!</v>
          </cell>
        </row>
        <row r="3069">
          <cell r="E3069" t="str">
            <v>HGC-Lib-2465292</v>
          </cell>
          <cell r="F3069" t="str">
            <v>N_B_N4805-4V-BDv2linshoujun0806naojiyeyangben_N_B</v>
          </cell>
          <cell r="G3069">
            <v>100</v>
          </cell>
          <cell r="H3069" t="str">
            <v>BD-单细胞</v>
          </cell>
          <cell r="I3069" t="str">
            <v>XCL</v>
          </cell>
          <cell r="J3069">
            <v>16.100000000000001</v>
          </cell>
          <cell r="N3069" t="e">
            <v>#DIV/0!</v>
          </cell>
        </row>
        <row r="3070">
          <cell r="E3070" t="str">
            <v>HGC-Lib-2465293</v>
          </cell>
          <cell r="F3070" t="str">
            <v>N_B_N4806-0J-BDv2xuebaibao-PBMC-1ci_N_B</v>
          </cell>
          <cell r="G3070">
            <v>100</v>
          </cell>
          <cell r="H3070" t="str">
            <v>BD-单细胞</v>
          </cell>
          <cell r="I3070" t="str">
            <v>XCL</v>
          </cell>
          <cell r="J3070">
            <v>16</v>
          </cell>
          <cell r="N3070" t="e">
            <v>#DIV/0!</v>
          </cell>
        </row>
        <row r="3071">
          <cell r="E3071" t="str">
            <v>HGC-Lib-2465294</v>
          </cell>
          <cell r="F3071" t="str">
            <v>N_B_N4806-0K-BDv2xuebaibao-PBMC-2ci_N_B</v>
          </cell>
          <cell r="G3071">
            <v>100</v>
          </cell>
          <cell r="H3071" t="str">
            <v>BD-单细胞</v>
          </cell>
          <cell r="I3071" t="str">
            <v>XCL</v>
          </cell>
          <cell r="J3071">
            <v>13.5</v>
          </cell>
          <cell r="N3071" t="e">
            <v>#DIV/0!</v>
          </cell>
        </row>
        <row r="3072">
          <cell r="E3072" t="str">
            <v>HGC-POOL-2465295</v>
          </cell>
          <cell r="F3072" t="str">
            <v>pool-4599-Xplus</v>
          </cell>
          <cell r="G3072">
            <v>1000</v>
          </cell>
          <cell r="H3072" t="str">
            <v>免疫组库</v>
          </cell>
          <cell r="I3072" t="str">
            <v>XCL</v>
          </cell>
          <cell r="J3072">
            <v>19.399999999999999</v>
          </cell>
          <cell r="K3072">
            <v>322</v>
          </cell>
          <cell r="L3072" t="str">
            <v>XCL</v>
          </cell>
          <cell r="N3072">
            <v>92.689918776875302</v>
          </cell>
        </row>
        <row r="3073">
          <cell r="E3073" t="str">
            <v>HGC-Lib-2465302</v>
          </cell>
          <cell r="F3073" t="str">
            <v>502+701_HEK11_20k</v>
          </cell>
          <cell r="G3073">
            <v>40</v>
          </cell>
          <cell r="H3073" t="str">
            <v>RIP-seq文库</v>
          </cell>
          <cell r="I3073" t="str">
            <v>XCL</v>
          </cell>
          <cell r="J3073">
            <v>13.5</v>
          </cell>
          <cell r="K3073">
            <v>573</v>
          </cell>
          <cell r="L3073" t="str">
            <v>XCL</v>
          </cell>
          <cell r="N3073">
            <v>36.246476037051998</v>
          </cell>
        </row>
        <row r="3074">
          <cell r="E3074" t="str">
            <v>HGC-Lib-2465315</v>
          </cell>
          <cell r="F3074" t="str">
            <v>LD240719O-1184A</v>
          </cell>
          <cell r="G3074">
            <v>10</v>
          </cell>
          <cell r="H3074" t="str">
            <v>DNA宏基因组文库</v>
          </cell>
          <cell r="I3074" t="str">
            <v>WH</v>
          </cell>
          <cell r="J3074">
            <v>51.2</v>
          </cell>
          <cell r="N3074" t="e">
            <v>#DIV/0!</v>
          </cell>
        </row>
        <row r="3075">
          <cell r="E3075" t="str">
            <v>HGC-Lib-2465316</v>
          </cell>
          <cell r="F3075" t="str">
            <v>LD240719O-1185A</v>
          </cell>
          <cell r="G3075">
            <v>10</v>
          </cell>
          <cell r="H3075" t="str">
            <v>DNA宏基因组文库</v>
          </cell>
          <cell r="I3075" t="str">
            <v>WH</v>
          </cell>
          <cell r="J3075">
            <v>22</v>
          </cell>
          <cell r="N3075" t="e">
            <v>#DIV/0!</v>
          </cell>
        </row>
        <row r="3076">
          <cell r="E3076" t="str">
            <v>HGC-Lib-2465317</v>
          </cell>
          <cell r="F3076" t="str">
            <v>LD240719O-1186A</v>
          </cell>
          <cell r="G3076">
            <v>10</v>
          </cell>
          <cell r="H3076" t="str">
            <v>DNA宏基因组文库</v>
          </cell>
          <cell r="I3076" t="str">
            <v>WH</v>
          </cell>
          <cell r="J3076">
            <v>44.8</v>
          </cell>
          <cell r="N3076" t="e">
            <v>#DIV/0!</v>
          </cell>
        </row>
        <row r="3077">
          <cell r="E3077" t="str">
            <v>HGC-Lib-2465318</v>
          </cell>
          <cell r="F3077" t="str">
            <v>LD240719O-1187A</v>
          </cell>
          <cell r="G3077">
            <v>10</v>
          </cell>
          <cell r="H3077" t="str">
            <v>DNA宏基因组文库</v>
          </cell>
          <cell r="I3077" t="str">
            <v>WH</v>
          </cell>
          <cell r="J3077">
            <v>45.2</v>
          </cell>
          <cell r="N3077" t="e">
            <v>#DIV/0!</v>
          </cell>
        </row>
        <row r="3078">
          <cell r="E3078" t="str">
            <v>HGC-Lib-2465319</v>
          </cell>
          <cell r="F3078" t="str">
            <v>LD240719O-1827A</v>
          </cell>
          <cell r="G3078">
            <v>10</v>
          </cell>
          <cell r="H3078" t="str">
            <v>DNA宏基因组文库</v>
          </cell>
          <cell r="I3078" t="str">
            <v>WH</v>
          </cell>
          <cell r="J3078">
            <v>100</v>
          </cell>
          <cell r="N3078" t="e">
            <v>#DIV/0!</v>
          </cell>
        </row>
        <row r="3079">
          <cell r="E3079" t="str">
            <v>HGC-Lib-2465320</v>
          </cell>
          <cell r="F3079" t="str">
            <v>LD240719O-1828A</v>
          </cell>
          <cell r="G3079">
            <v>10</v>
          </cell>
          <cell r="H3079" t="str">
            <v>DNA宏基因组文库</v>
          </cell>
          <cell r="I3079" t="str">
            <v>WH</v>
          </cell>
          <cell r="J3079">
            <v>53.8</v>
          </cell>
          <cell r="N3079" t="e">
            <v>#DIV/0!</v>
          </cell>
        </row>
        <row r="3080">
          <cell r="E3080" t="str">
            <v>HGC-Lib-2465321</v>
          </cell>
          <cell r="F3080" t="str">
            <v>LD240719O-1829A</v>
          </cell>
          <cell r="G3080">
            <v>10</v>
          </cell>
          <cell r="H3080" t="str">
            <v>DNA宏基因组文库</v>
          </cell>
          <cell r="I3080" t="str">
            <v>WH</v>
          </cell>
          <cell r="J3080">
            <v>48.4</v>
          </cell>
          <cell r="N3080" t="e">
            <v>#DIV/0!</v>
          </cell>
        </row>
        <row r="3081">
          <cell r="E3081" t="str">
            <v>HGC-Lib-2465322</v>
          </cell>
          <cell r="F3081" t="str">
            <v>LD240719O-1830A</v>
          </cell>
          <cell r="G3081">
            <v>10</v>
          </cell>
          <cell r="H3081" t="str">
            <v>DNA宏基因组文库</v>
          </cell>
          <cell r="I3081" t="str">
            <v>WH</v>
          </cell>
          <cell r="J3081">
            <v>69.400000000000006</v>
          </cell>
          <cell r="N3081" t="e">
            <v>#DIV/0!</v>
          </cell>
        </row>
        <row r="3082">
          <cell r="E3082" t="str">
            <v>HGC-Lib-2465323</v>
          </cell>
          <cell r="F3082" t="str">
            <v>LD240719O-1831A</v>
          </cell>
          <cell r="G3082">
            <v>10</v>
          </cell>
          <cell r="H3082" t="str">
            <v>DNA宏基因组文库</v>
          </cell>
          <cell r="I3082" t="str">
            <v>WH</v>
          </cell>
          <cell r="J3082">
            <v>77.2</v>
          </cell>
          <cell r="N3082" t="e">
            <v>#DIV/0!</v>
          </cell>
        </row>
        <row r="3083">
          <cell r="E3083" t="str">
            <v>HGC-Lib-2465324</v>
          </cell>
          <cell r="F3083" t="str">
            <v>LD240719O-1832A</v>
          </cell>
          <cell r="G3083">
            <v>10</v>
          </cell>
          <cell r="H3083" t="str">
            <v>DNA宏基因组文库</v>
          </cell>
          <cell r="I3083" t="str">
            <v>WH</v>
          </cell>
          <cell r="J3083">
            <v>21.4</v>
          </cell>
          <cell r="N3083" t="e">
            <v>#DIV/0!</v>
          </cell>
        </row>
        <row r="3084">
          <cell r="E3084" t="str">
            <v>HGC-Lib-2465325</v>
          </cell>
          <cell r="F3084" t="str">
            <v>LD240719O-1833A</v>
          </cell>
          <cell r="G3084">
            <v>10</v>
          </cell>
          <cell r="H3084" t="str">
            <v>DNA宏基因组文库</v>
          </cell>
          <cell r="I3084" t="str">
            <v>WH</v>
          </cell>
          <cell r="J3084">
            <v>69</v>
          </cell>
          <cell r="N3084" t="e">
            <v>#DIV/0!</v>
          </cell>
        </row>
        <row r="3085">
          <cell r="E3085" t="str">
            <v>HGC-Lib-2465326</v>
          </cell>
          <cell r="F3085" t="str">
            <v>LD240719O-1834A</v>
          </cell>
          <cell r="G3085">
            <v>10</v>
          </cell>
          <cell r="H3085" t="str">
            <v>DNA宏基因组文库</v>
          </cell>
          <cell r="I3085" t="str">
            <v>WH</v>
          </cell>
          <cell r="J3085">
            <v>70.599999999999994</v>
          </cell>
          <cell r="N3085" t="e">
            <v>#DIV/0!</v>
          </cell>
        </row>
        <row r="3086">
          <cell r="E3086" t="str">
            <v>HGC-Lib-2465327</v>
          </cell>
          <cell r="F3086" t="str">
            <v>LD240719O-1835A</v>
          </cell>
          <cell r="G3086">
            <v>10</v>
          </cell>
          <cell r="H3086" t="str">
            <v>DNA宏基因组文库</v>
          </cell>
          <cell r="I3086" t="str">
            <v>WH</v>
          </cell>
          <cell r="J3086">
            <v>99.6</v>
          </cell>
          <cell r="N3086" t="e">
            <v>#DIV/0!</v>
          </cell>
        </row>
        <row r="3087">
          <cell r="E3087" t="str">
            <v>HGC-Lib-2465328</v>
          </cell>
          <cell r="F3087" t="str">
            <v>LD240719O-1836A</v>
          </cell>
          <cell r="G3087">
            <v>10</v>
          </cell>
          <cell r="H3087" t="str">
            <v>DNA宏基因组文库</v>
          </cell>
          <cell r="I3087" t="str">
            <v>WH</v>
          </cell>
          <cell r="J3087">
            <v>14.1</v>
          </cell>
          <cell r="N3087" t="e">
            <v>#DIV/0!</v>
          </cell>
        </row>
        <row r="3088">
          <cell r="E3088" t="str">
            <v>HGC-Lib-2465329</v>
          </cell>
          <cell r="F3088" t="str">
            <v>LD240719O-1837A</v>
          </cell>
          <cell r="G3088">
            <v>10</v>
          </cell>
          <cell r="H3088" t="str">
            <v>DNA宏基因组文库</v>
          </cell>
          <cell r="I3088" t="str">
            <v>WH</v>
          </cell>
          <cell r="J3088">
            <v>102</v>
          </cell>
          <cell r="N3088" t="e">
            <v>#DIV/0!</v>
          </cell>
        </row>
        <row r="3089">
          <cell r="E3089" t="str">
            <v>HGC-Lib-2465330</v>
          </cell>
          <cell r="F3089" t="str">
            <v>LD240719O-1838A</v>
          </cell>
          <cell r="G3089">
            <v>10</v>
          </cell>
          <cell r="H3089" t="str">
            <v>DNA宏基因组文库</v>
          </cell>
          <cell r="I3089" t="str">
            <v>WH</v>
          </cell>
          <cell r="J3089">
            <v>62</v>
          </cell>
          <cell r="N3089" t="e">
            <v>#DIV/0!</v>
          </cell>
        </row>
        <row r="3090">
          <cell r="E3090" t="str">
            <v>HGC-Lib-2465331</v>
          </cell>
          <cell r="F3090" t="str">
            <v>LD240719O-1839A</v>
          </cell>
          <cell r="G3090">
            <v>10</v>
          </cell>
          <cell r="H3090" t="str">
            <v>DNA宏基因组文库</v>
          </cell>
          <cell r="I3090" t="str">
            <v>WH</v>
          </cell>
          <cell r="J3090">
            <v>69.8</v>
          </cell>
          <cell r="N3090" t="e">
            <v>#DIV/0!</v>
          </cell>
        </row>
        <row r="3091">
          <cell r="E3091" t="str">
            <v>HGC-Lib-2465332</v>
          </cell>
          <cell r="F3091" t="str">
            <v>LD240719O-1840A</v>
          </cell>
          <cell r="G3091">
            <v>10</v>
          </cell>
          <cell r="H3091" t="str">
            <v>DNA宏基因组文库</v>
          </cell>
          <cell r="I3091" t="str">
            <v>WH</v>
          </cell>
          <cell r="J3091">
            <v>67.400000000000006</v>
          </cell>
          <cell r="N3091" t="e">
            <v>#DIV/0!</v>
          </cell>
        </row>
        <row r="3092">
          <cell r="E3092" t="str">
            <v>HGC-Lib-2465333</v>
          </cell>
          <cell r="F3092" t="str">
            <v>LD240719O-1841A</v>
          </cell>
          <cell r="G3092">
            <v>10</v>
          </cell>
          <cell r="H3092" t="str">
            <v>DNA宏基因组文库</v>
          </cell>
          <cell r="I3092" t="str">
            <v>WH</v>
          </cell>
          <cell r="J3092">
            <v>51</v>
          </cell>
          <cell r="N3092" t="e">
            <v>#DIV/0!</v>
          </cell>
        </row>
        <row r="3093">
          <cell r="E3093" t="str">
            <v>HGC-Lib-2465334</v>
          </cell>
          <cell r="F3093" t="str">
            <v>LD240719O-1842A</v>
          </cell>
          <cell r="G3093">
            <v>10</v>
          </cell>
          <cell r="H3093" t="str">
            <v>DNA宏基因组文库</v>
          </cell>
          <cell r="I3093" t="str">
            <v>WH</v>
          </cell>
          <cell r="J3093">
            <v>67.2</v>
          </cell>
          <cell r="N3093" t="e">
            <v>#DIV/0!</v>
          </cell>
        </row>
        <row r="3094">
          <cell r="E3094" t="str">
            <v>HGC-Lib-2465335</v>
          </cell>
          <cell r="F3094" t="str">
            <v>LD240719O-1843A</v>
          </cell>
          <cell r="G3094">
            <v>10</v>
          </cell>
          <cell r="H3094" t="str">
            <v>DNA宏基因组文库</v>
          </cell>
          <cell r="I3094" t="str">
            <v>WH</v>
          </cell>
          <cell r="J3094">
            <v>62</v>
          </cell>
          <cell r="N3094" t="e">
            <v>#DIV/0!</v>
          </cell>
        </row>
        <row r="3095">
          <cell r="E3095" t="str">
            <v>HGC-Lib-2465336</v>
          </cell>
          <cell r="F3095" t="str">
            <v>LD240719O-1844A</v>
          </cell>
          <cell r="G3095">
            <v>10</v>
          </cell>
          <cell r="H3095" t="str">
            <v>DNA宏基因组文库</v>
          </cell>
          <cell r="I3095" t="str">
            <v>WH</v>
          </cell>
          <cell r="J3095">
            <v>78.599999999999994</v>
          </cell>
          <cell r="N3095" t="e">
            <v>#DIV/0!</v>
          </cell>
        </row>
        <row r="3096">
          <cell r="E3096" t="str">
            <v>HGC-Lib-2465337</v>
          </cell>
          <cell r="F3096" t="str">
            <v>LD240719O-1845A</v>
          </cell>
          <cell r="G3096">
            <v>10</v>
          </cell>
          <cell r="H3096" t="str">
            <v>DNA宏基因组文库</v>
          </cell>
          <cell r="I3096" t="str">
            <v>WH</v>
          </cell>
          <cell r="J3096">
            <v>82</v>
          </cell>
          <cell r="N3096" t="e">
            <v>#DIV/0!</v>
          </cell>
        </row>
        <row r="3097">
          <cell r="E3097" t="str">
            <v>HGC-Lib-2465338</v>
          </cell>
          <cell r="F3097" t="str">
            <v>LD240719O-1846A</v>
          </cell>
          <cell r="G3097">
            <v>10</v>
          </cell>
          <cell r="H3097" t="str">
            <v>DNA宏基因组文库</v>
          </cell>
          <cell r="I3097" t="str">
            <v>WH</v>
          </cell>
          <cell r="J3097">
            <v>61.8</v>
          </cell>
          <cell r="N3097" t="e">
            <v>#DIV/0!</v>
          </cell>
        </row>
        <row r="3098">
          <cell r="E3098" t="str">
            <v>HGC-Lib-2465339</v>
          </cell>
          <cell r="F3098" t="str">
            <v>LD240719O-1847A</v>
          </cell>
          <cell r="G3098">
            <v>10</v>
          </cell>
          <cell r="H3098" t="str">
            <v>DNA宏基因组文库</v>
          </cell>
          <cell r="I3098" t="str">
            <v>WH</v>
          </cell>
          <cell r="J3098">
            <v>68.2</v>
          </cell>
          <cell r="N3098" t="e">
            <v>#DIV/0!</v>
          </cell>
        </row>
        <row r="3099">
          <cell r="E3099" t="str">
            <v>HGC-Lib-2465340</v>
          </cell>
          <cell r="F3099" t="str">
            <v>LD240719O-1848A</v>
          </cell>
          <cell r="G3099">
            <v>10</v>
          </cell>
          <cell r="H3099" t="str">
            <v>DNA宏基因组文库</v>
          </cell>
          <cell r="I3099" t="str">
            <v>WH</v>
          </cell>
          <cell r="J3099">
            <v>43.2</v>
          </cell>
          <cell r="N3099" t="e">
            <v>#DIV/0!</v>
          </cell>
        </row>
        <row r="3100">
          <cell r="E3100" t="str">
            <v>HGC-Lib-2465341</v>
          </cell>
          <cell r="F3100" t="str">
            <v>LD240719O-1849A</v>
          </cell>
          <cell r="G3100">
            <v>10</v>
          </cell>
          <cell r="H3100" t="str">
            <v>DNA宏基因组文库</v>
          </cell>
          <cell r="I3100" t="str">
            <v>WH</v>
          </cell>
          <cell r="J3100">
            <v>76.599999999999994</v>
          </cell>
          <cell r="N3100" t="e">
            <v>#DIV/0!</v>
          </cell>
        </row>
        <row r="3101">
          <cell r="E3101" t="str">
            <v>HGC-Lib-2465342</v>
          </cell>
          <cell r="F3101" t="str">
            <v>LD240719O-1850A</v>
          </cell>
          <cell r="G3101">
            <v>10</v>
          </cell>
          <cell r="H3101" t="str">
            <v>DNA宏基因组文库</v>
          </cell>
          <cell r="I3101" t="str">
            <v>WH</v>
          </cell>
          <cell r="J3101">
            <v>72.2</v>
          </cell>
          <cell r="N3101" t="e">
            <v>#DIV/0!</v>
          </cell>
        </row>
        <row r="3102">
          <cell r="E3102" t="str">
            <v>HGC-Lib-2465343</v>
          </cell>
          <cell r="F3102" t="str">
            <v>LD240719O-1851A</v>
          </cell>
          <cell r="G3102">
            <v>10</v>
          </cell>
          <cell r="H3102" t="str">
            <v>DNA宏基因组文库</v>
          </cell>
          <cell r="I3102" t="str">
            <v>WH</v>
          </cell>
          <cell r="J3102">
            <v>73</v>
          </cell>
          <cell r="N3102" t="e">
            <v>#DIV/0!</v>
          </cell>
        </row>
        <row r="3103">
          <cell r="E3103" t="str">
            <v>HGC-Lib-2465344</v>
          </cell>
          <cell r="F3103" t="str">
            <v>LD240719O-1852A</v>
          </cell>
          <cell r="G3103">
            <v>10</v>
          </cell>
          <cell r="H3103" t="str">
            <v>DNA宏基因组文库</v>
          </cell>
          <cell r="I3103" t="str">
            <v>WH</v>
          </cell>
          <cell r="J3103">
            <v>52.2</v>
          </cell>
          <cell r="N3103" t="e">
            <v>#DIV/0!</v>
          </cell>
        </row>
        <row r="3104">
          <cell r="E3104" t="str">
            <v>HGC-Lib-2465345</v>
          </cell>
          <cell r="F3104" t="str">
            <v>LD240719O-1853A</v>
          </cell>
          <cell r="G3104">
            <v>10</v>
          </cell>
          <cell r="H3104" t="str">
            <v>DNA宏基因组文库</v>
          </cell>
          <cell r="I3104" t="str">
            <v>WH</v>
          </cell>
          <cell r="J3104">
            <v>70.599999999999994</v>
          </cell>
          <cell r="N3104" t="e">
            <v>#DIV/0!</v>
          </cell>
        </row>
        <row r="3105">
          <cell r="E3105" t="str">
            <v>HGC-Lib-2465346</v>
          </cell>
          <cell r="F3105" t="str">
            <v>LD240719O-1854A</v>
          </cell>
          <cell r="G3105">
            <v>10</v>
          </cell>
          <cell r="H3105" t="str">
            <v>DNA宏基因组文库</v>
          </cell>
          <cell r="I3105" t="str">
            <v>WH</v>
          </cell>
          <cell r="J3105">
            <v>35.6</v>
          </cell>
          <cell r="N3105" t="e">
            <v>#DIV/0!</v>
          </cell>
        </row>
        <row r="3106">
          <cell r="E3106" t="str">
            <v>HGC-Lib-2465347</v>
          </cell>
          <cell r="F3106" t="str">
            <v>LD240719O-1855A</v>
          </cell>
          <cell r="G3106">
            <v>10</v>
          </cell>
          <cell r="H3106" t="str">
            <v>DNA宏基因组文库</v>
          </cell>
          <cell r="I3106" t="str">
            <v>WH</v>
          </cell>
          <cell r="J3106">
            <v>43.2</v>
          </cell>
          <cell r="N3106" t="e">
            <v>#DIV/0!</v>
          </cell>
        </row>
        <row r="3107">
          <cell r="E3107" t="str">
            <v>HGC-Lib-2465348</v>
          </cell>
          <cell r="F3107" t="str">
            <v>LD240719O-1856A</v>
          </cell>
          <cell r="G3107">
            <v>10</v>
          </cell>
          <cell r="H3107" t="str">
            <v>DNA宏基因组文库</v>
          </cell>
          <cell r="I3107" t="str">
            <v>WH</v>
          </cell>
          <cell r="J3107">
            <v>42.4</v>
          </cell>
          <cell r="N3107" t="e">
            <v>#DIV/0!</v>
          </cell>
        </row>
        <row r="3108">
          <cell r="E3108" t="str">
            <v>HGC-Lib-2465349</v>
          </cell>
          <cell r="F3108" t="str">
            <v>LD240719O-1857A</v>
          </cell>
          <cell r="G3108">
            <v>10</v>
          </cell>
          <cell r="H3108" t="str">
            <v>DNA宏基因组文库</v>
          </cell>
          <cell r="I3108" t="str">
            <v>WH</v>
          </cell>
          <cell r="J3108">
            <v>77.599999999999994</v>
          </cell>
          <cell r="N3108" t="e">
            <v>#DIV/0!</v>
          </cell>
        </row>
        <row r="3109">
          <cell r="E3109" t="str">
            <v>HGC-Lib-2465350</v>
          </cell>
          <cell r="F3109" t="str">
            <v>LD240719O-1858A</v>
          </cell>
          <cell r="G3109">
            <v>10</v>
          </cell>
          <cell r="H3109" t="str">
            <v>DNA宏基因组文库</v>
          </cell>
          <cell r="I3109" t="str">
            <v>WH</v>
          </cell>
          <cell r="J3109">
            <v>85</v>
          </cell>
          <cell r="N3109" t="e">
            <v>#DIV/0!</v>
          </cell>
        </row>
        <row r="3110">
          <cell r="E3110" t="str">
            <v>HGC-Lib-2465351</v>
          </cell>
          <cell r="F3110" t="str">
            <v>LD240719O-1859A</v>
          </cell>
          <cell r="G3110">
            <v>10</v>
          </cell>
          <cell r="H3110" t="str">
            <v>DNA宏基因组文库</v>
          </cell>
          <cell r="I3110" t="str">
            <v>WH</v>
          </cell>
          <cell r="J3110">
            <v>79.400000000000006</v>
          </cell>
          <cell r="N3110" t="e">
            <v>#DIV/0!</v>
          </cell>
        </row>
        <row r="3111">
          <cell r="E3111" t="str">
            <v>HGC-Lib-2465352</v>
          </cell>
          <cell r="F3111" t="str">
            <v>LD240719O-1860A</v>
          </cell>
          <cell r="G3111">
            <v>10</v>
          </cell>
          <cell r="H3111" t="str">
            <v>DNA宏基因组文库</v>
          </cell>
          <cell r="I3111" t="str">
            <v>WH</v>
          </cell>
          <cell r="J3111">
            <v>80.400000000000006</v>
          </cell>
          <cell r="N3111" t="e">
            <v>#DIV/0!</v>
          </cell>
        </row>
        <row r="3112">
          <cell r="E3112" t="str">
            <v>HGC-Lib-2465353</v>
          </cell>
          <cell r="F3112" t="str">
            <v>LD240719O-1861A</v>
          </cell>
          <cell r="G3112">
            <v>10</v>
          </cell>
          <cell r="H3112" t="str">
            <v>DNA宏基因组文库</v>
          </cell>
          <cell r="I3112" t="str">
            <v>WH</v>
          </cell>
          <cell r="J3112">
            <v>5.54</v>
          </cell>
          <cell r="N3112" t="e">
            <v>#DIV/0!</v>
          </cell>
        </row>
        <row r="3113">
          <cell r="E3113" t="str">
            <v>HGC-Lib-2465354</v>
          </cell>
          <cell r="F3113" t="str">
            <v>LD240719O-1862A</v>
          </cell>
          <cell r="G3113">
            <v>10</v>
          </cell>
          <cell r="H3113" t="str">
            <v>DNA宏基因组文库</v>
          </cell>
          <cell r="I3113" t="str">
            <v>WH</v>
          </cell>
          <cell r="J3113">
            <v>72</v>
          </cell>
          <cell r="N3113" t="e">
            <v>#DIV/0!</v>
          </cell>
        </row>
        <row r="3114">
          <cell r="E3114" t="str">
            <v>HGC-Lib-2465355</v>
          </cell>
          <cell r="F3114" t="str">
            <v>LD240719O-1863A</v>
          </cell>
          <cell r="G3114">
            <v>10</v>
          </cell>
          <cell r="H3114" t="str">
            <v>DNA宏基因组文库</v>
          </cell>
          <cell r="I3114" t="str">
            <v>WH</v>
          </cell>
          <cell r="J3114">
            <v>34.799999999999997</v>
          </cell>
          <cell r="N3114" t="e">
            <v>#DIV/0!</v>
          </cell>
        </row>
        <row r="3115">
          <cell r="E3115" t="str">
            <v>HGC-Lib-2465356</v>
          </cell>
          <cell r="F3115" t="str">
            <v>LD240719O-1864A</v>
          </cell>
          <cell r="G3115">
            <v>10</v>
          </cell>
          <cell r="H3115" t="str">
            <v>DNA宏基因组文库</v>
          </cell>
          <cell r="I3115" t="str">
            <v>WH</v>
          </cell>
          <cell r="J3115">
            <v>64.599999999999994</v>
          </cell>
          <cell r="N3115" t="e">
            <v>#DIV/0!</v>
          </cell>
        </row>
        <row r="3116">
          <cell r="E3116" t="str">
            <v>HGC-Lib-2465357</v>
          </cell>
          <cell r="F3116" t="str">
            <v>LD240719O-1865A</v>
          </cell>
          <cell r="G3116">
            <v>10</v>
          </cell>
          <cell r="H3116" t="str">
            <v>DNA宏基因组文库</v>
          </cell>
          <cell r="I3116" t="str">
            <v>WH</v>
          </cell>
          <cell r="J3116">
            <v>73</v>
          </cell>
          <cell r="N3116" t="e">
            <v>#DIV/0!</v>
          </cell>
        </row>
        <row r="3117">
          <cell r="E3117" t="str">
            <v>HGC-Lib-2465358</v>
          </cell>
          <cell r="F3117" t="str">
            <v>LD240719O-1866A</v>
          </cell>
          <cell r="G3117">
            <v>10</v>
          </cell>
          <cell r="H3117" t="str">
            <v>DNA宏基因组文库</v>
          </cell>
          <cell r="I3117" t="str">
            <v>WH</v>
          </cell>
          <cell r="J3117">
            <v>57.8</v>
          </cell>
          <cell r="N3117" t="e">
            <v>#DIV/0!</v>
          </cell>
        </row>
        <row r="3118">
          <cell r="E3118" t="str">
            <v>HGC-Lib-2465359</v>
          </cell>
          <cell r="F3118" t="str">
            <v>LD240719O-1867A</v>
          </cell>
          <cell r="G3118">
            <v>10</v>
          </cell>
          <cell r="H3118" t="str">
            <v>DNA宏基因组文库</v>
          </cell>
          <cell r="I3118" t="str">
            <v>WH</v>
          </cell>
          <cell r="J3118">
            <v>59.8</v>
          </cell>
          <cell r="N3118" t="e">
            <v>#DIV/0!</v>
          </cell>
        </row>
        <row r="3119">
          <cell r="E3119" t="str">
            <v>HGC-Lib-2465360</v>
          </cell>
          <cell r="F3119" t="str">
            <v>LD240719O-1868A</v>
          </cell>
          <cell r="G3119">
            <v>10</v>
          </cell>
          <cell r="H3119" t="str">
            <v>DNA宏基因组文库</v>
          </cell>
          <cell r="I3119" t="str">
            <v>WH</v>
          </cell>
          <cell r="J3119">
            <v>70.8</v>
          </cell>
          <cell r="N3119" t="e">
            <v>#DIV/0!</v>
          </cell>
        </row>
        <row r="3120">
          <cell r="E3120" t="str">
            <v>HGC-Lib-2465361</v>
          </cell>
          <cell r="F3120" t="str">
            <v>LD240719O-1870A</v>
          </cell>
          <cell r="G3120">
            <v>10</v>
          </cell>
          <cell r="H3120" t="str">
            <v>DNA宏基因组文库</v>
          </cell>
          <cell r="I3120" t="str">
            <v>WH</v>
          </cell>
          <cell r="J3120">
            <v>40</v>
          </cell>
          <cell r="N3120" t="e">
            <v>#DIV/0!</v>
          </cell>
        </row>
        <row r="3121">
          <cell r="E3121" t="str">
            <v>HGC-Lib-2465362</v>
          </cell>
          <cell r="F3121" t="str">
            <v>LD240719O-1871A</v>
          </cell>
          <cell r="G3121">
            <v>10</v>
          </cell>
          <cell r="H3121" t="str">
            <v>DNA宏基因组文库</v>
          </cell>
          <cell r="I3121" t="str">
            <v>WH</v>
          </cell>
          <cell r="J3121">
            <v>59.8</v>
          </cell>
          <cell r="N3121" t="e">
            <v>#DIV/0!</v>
          </cell>
        </row>
        <row r="3122">
          <cell r="E3122" t="str">
            <v>HGC-Lib-2465363</v>
          </cell>
          <cell r="F3122" t="str">
            <v>LD240719O-1872A</v>
          </cell>
          <cell r="G3122">
            <v>10</v>
          </cell>
          <cell r="H3122" t="str">
            <v>DNA宏基因组文库</v>
          </cell>
          <cell r="I3122" t="str">
            <v>XCL</v>
          </cell>
          <cell r="J3122">
            <v>68</v>
          </cell>
          <cell r="N3122" t="e">
            <v>#DIV/0!</v>
          </cell>
        </row>
        <row r="3123">
          <cell r="E3123" t="str">
            <v>HGC-Lib-2465364</v>
          </cell>
          <cell r="F3123" t="str">
            <v>LD240719O-1873A</v>
          </cell>
          <cell r="G3123">
            <v>10</v>
          </cell>
          <cell r="H3123" t="str">
            <v>DNA宏基因组文库</v>
          </cell>
          <cell r="I3123" t="str">
            <v>XCL</v>
          </cell>
          <cell r="J3123">
            <v>54.2</v>
          </cell>
          <cell r="N3123" t="e">
            <v>#DIV/0!</v>
          </cell>
        </row>
        <row r="3124">
          <cell r="E3124" t="str">
            <v>HGC-Lib-2465365</v>
          </cell>
          <cell r="F3124" t="str">
            <v>LD240719O-1874A</v>
          </cell>
          <cell r="G3124">
            <v>10</v>
          </cell>
          <cell r="H3124" t="str">
            <v>DNA宏基因组文库</v>
          </cell>
          <cell r="I3124" t="str">
            <v>XCL</v>
          </cell>
          <cell r="J3124">
            <v>100</v>
          </cell>
          <cell r="N3124" t="e">
            <v>#DIV/0!</v>
          </cell>
        </row>
        <row r="3125">
          <cell r="E3125" t="str">
            <v>HGC-Lib-2465366</v>
          </cell>
          <cell r="F3125" t="str">
            <v>LD240719O-1875A</v>
          </cell>
          <cell r="G3125">
            <v>10</v>
          </cell>
          <cell r="H3125" t="str">
            <v>DNA宏基因组文库</v>
          </cell>
          <cell r="I3125" t="str">
            <v>XCL</v>
          </cell>
          <cell r="J3125">
            <v>81.400000000000006</v>
          </cell>
          <cell r="N3125" t="e">
            <v>#DIV/0!</v>
          </cell>
        </row>
        <row r="3126">
          <cell r="E3126" t="str">
            <v>HGC-Lib-2465367</v>
          </cell>
          <cell r="F3126" t="str">
            <v>LD240719O-1876A</v>
          </cell>
          <cell r="G3126">
            <v>10</v>
          </cell>
          <cell r="H3126" t="str">
            <v>DNA宏基因组文库</v>
          </cell>
          <cell r="I3126" t="str">
            <v>XCL</v>
          </cell>
          <cell r="J3126">
            <v>53.4</v>
          </cell>
          <cell r="N3126" t="e">
            <v>#DIV/0!</v>
          </cell>
        </row>
        <row r="3127">
          <cell r="E3127" t="str">
            <v>HGC-Lib-2465368</v>
          </cell>
          <cell r="F3127" t="str">
            <v>LD240719O-1877A</v>
          </cell>
          <cell r="G3127">
            <v>10</v>
          </cell>
          <cell r="H3127" t="str">
            <v>DNA宏基因组文库</v>
          </cell>
          <cell r="I3127" t="str">
            <v>XCL</v>
          </cell>
          <cell r="J3127">
            <v>58</v>
          </cell>
          <cell r="N3127" t="e">
            <v>#DIV/0!</v>
          </cell>
        </row>
        <row r="3128">
          <cell r="E3128" t="str">
            <v>HGC-Lib-2465369</v>
          </cell>
          <cell r="F3128" t="str">
            <v>LD240719O-1878A</v>
          </cell>
          <cell r="G3128">
            <v>10</v>
          </cell>
          <cell r="H3128" t="str">
            <v>DNA宏基因组文库</v>
          </cell>
          <cell r="I3128" t="str">
            <v>XCL</v>
          </cell>
          <cell r="J3128">
            <v>66.400000000000006</v>
          </cell>
          <cell r="N3128" t="e">
            <v>#DIV/0!</v>
          </cell>
        </row>
        <row r="3129">
          <cell r="E3129" t="str">
            <v>HGC-Lib-2465370</v>
          </cell>
          <cell r="F3129" t="str">
            <v>LD240719O-1879A</v>
          </cell>
          <cell r="G3129">
            <v>10</v>
          </cell>
          <cell r="H3129" t="str">
            <v>DNA宏基因组文库</v>
          </cell>
          <cell r="I3129" t="str">
            <v>XCL</v>
          </cell>
          <cell r="J3129">
            <v>70.599999999999994</v>
          </cell>
          <cell r="N3129" t="e">
            <v>#DIV/0!</v>
          </cell>
        </row>
        <row r="3130">
          <cell r="E3130" t="str">
            <v>HGC-Lib-2465371</v>
          </cell>
          <cell r="F3130" t="str">
            <v>LD240719O-1880A</v>
          </cell>
          <cell r="G3130">
            <v>10</v>
          </cell>
          <cell r="H3130" t="str">
            <v>DNA宏基因组文库</v>
          </cell>
          <cell r="I3130" t="str">
            <v>XCL</v>
          </cell>
          <cell r="J3130">
            <v>59.8</v>
          </cell>
          <cell r="N3130" t="e">
            <v>#DIV/0!</v>
          </cell>
        </row>
        <row r="3131">
          <cell r="E3131" t="str">
            <v>HGC-Lib-2465372</v>
          </cell>
          <cell r="F3131" t="str">
            <v>LD240719O-1881A</v>
          </cell>
          <cell r="G3131">
            <v>10</v>
          </cell>
          <cell r="H3131" t="str">
            <v>DNA宏基因组文库</v>
          </cell>
          <cell r="I3131" t="str">
            <v>XCL</v>
          </cell>
          <cell r="J3131">
            <v>74.599999999999994</v>
          </cell>
          <cell r="N3131" t="e">
            <v>#DIV/0!</v>
          </cell>
        </row>
        <row r="3132">
          <cell r="E3132" t="str">
            <v>HGC-Lib-2465373</v>
          </cell>
          <cell r="F3132" t="str">
            <v>LD240719O-1882A</v>
          </cell>
          <cell r="G3132">
            <v>10</v>
          </cell>
          <cell r="H3132" t="str">
            <v>DNA宏基因组文库</v>
          </cell>
          <cell r="I3132" t="str">
            <v>XCL</v>
          </cell>
          <cell r="J3132">
            <v>88.6</v>
          </cell>
          <cell r="N3132" t="e">
            <v>#DIV/0!</v>
          </cell>
        </row>
        <row r="3133">
          <cell r="E3133" t="str">
            <v>HGC-Lib-2465374</v>
          </cell>
          <cell r="F3133" t="str">
            <v>LD240719O-1883A</v>
          </cell>
          <cell r="G3133">
            <v>10</v>
          </cell>
          <cell r="H3133" t="str">
            <v>DNA宏基因组文库</v>
          </cell>
          <cell r="I3133" t="str">
            <v>XCL</v>
          </cell>
          <cell r="J3133">
            <v>75.400000000000006</v>
          </cell>
          <cell r="N3133" t="e">
            <v>#DIV/0!</v>
          </cell>
        </row>
        <row r="3134">
          <cell r="E3134" t="str">
            <v>HGC-Lib-2465375</v>
          </cell>
          <cell r="F3134" t="str">
            <v>LD240719O-1884A</v>
          </cell>
          <cell r="G3134">
            <v>10</v>
          </cell>
          <cell r="H3134" t="str">
            <v>DNA宏基因组文库</v>
          </cell>
          <cell r="I3134" t="str">
            <v>XCL</v>
          </cell>
          <cell r="J3134">
            <v>63.6</v>
          </cell>
          <cell r="N3134" t="e">
            <v>#DIV/0!</v>
          </cell>
        </row>
        <row r="3135">
          <cell r="E3135" t="str">
            <v>HGC-Lib-2465376</v>
          </cell>
          <cell r="F3135" t="str">
            <v>LD240719O-1885A</v>
          </cell>
          <cell r="G3135">
            <v>10</v>
          </cell>
          <cell r="H3135" t="str">
            <v>DNA宏基因组文库</v>
          </cell>
          <cell r="I3135" t="str">
            <v>XCL</v>
          </cell>
          <cell r="J3135">
            <v>32.200000000000003</v>
          </cell>
          <cell r="N3135" t="e">
            <v>#DIV/0!</v>
          </cell>
        </row>
        <row r="3136">
          <cell r="E3136" t="str">
            <v>HGC-Lib-2465377</v>
          </cell>
          <cell r="F3136" t="str">
            <v>LD240719O-1886A</v>
          </cell>
          <cell r="G3136">
            <v>10</v>
          </cell>
          <cell r="H3136" t="str">
            <v>DNA宏基因组文库</v>
          </cell>
          <cell r="I3136" t="str">
            <v>XCL</v>
          </cell>
          <cell r="J3136">
            <v>48.8</v>
          </cell>
          <cell r="N3136" t="e">
            <v>#DIV/0!</v>
          </cell>
        </row>
        <row r="3137">
          <cell r="E3137" t="str">
            <v>HGC-Lib-2465378</v>
          </cell>
          <cell r="F3137" t="str">
            <v>LD240719O-1887A</v>
          </cell>
          <cell r="G3137">
            <v>10</v>
          </cell>
          <cell r="H3137" t="str">
            <v>DNA宏基因组文库</v>
          </cell>
          <cell r="I3137" t="str">
            <v>XCL</v>
          </cell>
          <cell r="J3137">
            <v>74.2</v>
          </cell>
          <cell r="N3137" t="e">
            <v>#DIV/0!</v>
          </cell>
        </row>
        <row r="3138">
          <cell r="E3138" t="str">
            <v>HGC-Lib-2465379</v>
          </cell>
          <cell r="F3138" t="str">
            <v>LD240719O-1888A</v>
          </cell>
          <cell r="G3138">
            <v>10</v>
          </cell>
          <cell r="H3138" t="str">
            <v>DNA宏基因组文库</v>
          </cell>
          <cell r="I3138" t="str">
            <v>XCL</v>
          </cell>
          <cell r="J3138">
            <v>69.8</v>
          </cell>
          <cell r="N3138" t="e">
            <v>#DIV/0!</v>
          </cell>
        </row>
        <row r="3139">
          <cell r="E3139" t="str">
            <v>HGC-Lib-2465380</v>
          </cell>
          <cell r="F3139" t="str">
            <v>LD240719O-1889A</v>
          </cell>
          <cell r="G3139">
            <v>10</v>
          </cell>
          <cell r="H3139" t="str">
            <v>DNA宏基因组文库</v>
          </cell>
          <cell r="I3139" t="str">
            <v>XCL</v>
          </cell>
          <cell r="J3139">
            <v>65.2</v>
          </cell>
          <cell r="N3139" t="e">
            <v>#DIV/0!</v>
          </cell>
        </row>
        <row r="3140">
          <cell r="E3140" t="str">
            <v>HGC-Lib-2465381</v>
          </cell>
          <cell r="F3140" t="str">
            <v>LD240719O-1890A</v>
          </cell>
          <cell r="G3140">
            <v>10</v>
          </cell>
          <cell r="H3140" t="str">
            <v>DNA宏基因组文库</v>
          </cell>
          <cell r="I3140" t="str">
            <v>XCL</v>
          </cell>
          <cell r="J3140">
            <v>72</v>
          </cell>
          <cell r="N3140" t="e">
            <v>#DIV/0!</v>
          </cell>
        </row>
        <row r="3141">
          <cell r="E3141" t="str">
            <v>HGC-Lib-2465382</v>
          </cell>
          <cell r="F3141" t="str">
            <v>LD240719O-1891A</v>
          </cell>
          <cell r="G3141">
            <v>10</v>
          </cell>
          <cell r="H3141" t="str">
            <v>DNA宏基因组文库</v>
          </cell>
          <cell r="I3141" t="str">
            <v>XCL</v>
          </cell>
          <cell r="J3141">
            <v>62.2</v>
          </cell>
          <cell r="N3141" t="e">
            <v>#DIV/0!</v>
          </cell>
        </row>
        <row r="3142">
          <cell r="E3142" t="str">
            <v>HGC-Lib-2465383</v>
          </cell>
          <cell r="F3142" t="str">
            <v>LD240719O-1892A</v>
          </cell>
          <cell r="G3142">
            <v>10</v>
          </cell>
          <cell r="H3142" t="str">
            <v>DNA宏基因组文库</v>
          </cell>
          <cell r="I3142" t="str">
            <v>XCL</v>
          </cell>
          <cell r="J3142">
            <v>54.4</v>
          </cell>
          <cell r="N3142" t="e">
            <v>#DIV/0!</v>
          </cell>
        </row>
        <row r="3143">
          <cell r="E3143" t="str">
            <v>HGC-Lib-2465384</v>
          </cell>
          <cell r="F3143" t="str">
            <v>LD240719O-1893A</v>
          </cell>
          <cell r="G3143">
            <v>10</v>
          </cell>
          <cell r="H3143" t="str">
            <v>DNA宏基因组文库</v>
          </cell>
          <cell r="I3143" t="str">
            <v>XCL</v>
          </cell>
          <cell r="J3143">
            <v>58.8</v>
          </cell>
          <cell r="N3143" t="e">
            <v>#DIV/0!</v>
          </cell>
        </row>
        <row r="3144">
          <cell r="E3144" t="str">
            <v>HGC-Lib-2465385</v>
          </cell>
          <cell r="F3144" t="str">
            <v>LD240719O-1894A</v>
          </cell>
          <cell r="G3144">
            <v>10</v>
          </cell>
          <cell r="H3144" t="str">
            <v>DNA宏基因组文库</v>
          </cell>
          <cell r="I3144" t="str">
            <v>XCL</v>
          </cell>
          <cell r="J3144">
            <v>43</v>
          </cell>
          <cell r="N3144" t="e">
            <v>#DIV/0!</v>
          </cell>
        </row>
        <row r="3145">
          <cell r="E3145" t="str">
            <v>HGC-Lib-2465386</v>
          </cell>
          <cell r="F3145" t="str">
            <v>LD240719O-1895A</v>
          </cell>
          <cell r="G3145">
            <v>10</v>
          </cell>
          <cell r="H3145" t="str">
            <v>DNA宏基因组文库</v>
          </cell>
          <cell r="I3145" t="str">
            <v>XCL</v>
          </cell>
          <cell r="J3145">
            <v>69.400000000000006</v>
          </cell>
          <cell r="N3145" t="e">
            <v>#DIV/0!</v>
          </cell>
        </row>
        <row r="3146">
          <cell r="E3146" t="str">
            <v>HGC-Lib-2465387</v>
          </cell>
          <cell r="F3146" t="str">
            <v>LD240719O-1896A</v>
          </cell>
          <cell r="G3146">
            <v>10</v>
          </cell>
          <cell r="H3146" t="str">
            <v>DNA宏基因组文库</v>
          </cell>
          <cell r="I3146" t="str">
            <v>XCL</v>
          </cell>
          <cell r="J3146">
            <v>69.599999999999994</v>
          </cell>
          <cell r="N3146" t="e">
            <v>#DIV/0!</v>
          </cell>
        </row>
        <row r="3147">
          <cell r="E3147" t="str">
            <v>HGC-Lib-2465388</v>
          </cell>
          <cell r="F3147" t="str">
            <v>LD240719O-1897A</v>
          </cell>
          <cell r="G3147">
            <v>10</v>
          </cell>
          <cell r="H3147" t="str">
            <v>DNA宏基因组文库</v>
          </cell>
          <cell r="I3147" t="str">
            <v>XCL</v>
          </cell>
          <cell r="J3147">
            <v>76.599999999999994</v>
          </cell>
          <cell r="N3147" t="e">
            <v>#DIV/0!</v>
          </cell>
        </row>
        <row r="3148">
          <cell r="E3148" t="str">
            <v>HGC-Lib-2465389</v>
          </cell>
          <cell r="F3148" t="str">
            <v>LD240719O-1898A</v>
          </cell>
          <cell r="G3148">
            <v>10</v>
          </cell>
          <cell r="H3148" t="str">
            <v>DNA宏基因组文库</v>
          </cell>
          <cell r="I3148" t="str">
            <v>XCL</v>
          </cell>
          <cell r="J3148">
            <v>81.400000000000006</v>
          </cell>
          <cell r="N3148" t="e">
            <v>#DIV/0!</v>
          </cell>
        </row>
        <row r="3149">
          <cell r="E3149" t="str">
            <v>HGC-Lib-2465390</v>
          </cell>
          <cell r="F3149" t="str">
            <v>LD240719O-1899A</v>
          </cell>
          <cell r="G3149">
            <v>10</v>
          </cell>
          <cell r="H3149" t="str">
            <v>DNA宏基因组文库</v>
          </cell>
          <cell r="I3149" t="str">
            <v>XCL</v>
          </cell>
          <cell r="J3149">
            <v>65.400000000000006</v>
          </cell>
          <cell r="N3149" t="e">
            <v>#DIV/0!</v>
          </cell>
        </row>
        <row r="3150">
          <cell r="E3150" t="str">
            <v>HGC-Lib-2465391</v>
          </cell>
          <cell r="F3150" t="str">
            <v>LD240801O-2990A</v>
          </cell>
          <cell r="G3150">
            <v>12</v>
          </cell>
          <cell r="H3150" t="str">
            <v>DNA宏基因组文库</v>
          </cell>
          <cell r="I3150" t="str">
            <v>XCL</v>
          </cell>
          <cell r="J3150">
            <v>32.6</v>
          </cell>
          <cell r="N3150" t="e">
            <v>#DIV/0!</v>
          </cell>
        </row>
        <row r="3151">
          <cell r="E3151" t="str">
            <v>HGC-Lib-2465392</v>
          </cell>
          <cell r="F3151" t="str">
            <v>LD240801O-2991A</v>
          </cell>
          <cell r="G3151">
            <v>12</v>
          </cell>
          <cell r="H3151" t="str">
            <v>DNA宏基因组文库</v>
          </cell>
          <cell r="I3151" t="str">
            <v>XCL</v>
          </cell>
          <cell r="J3151">
            <v>27.4</v>
          </cell>
          <cell r="N3151" t="e">
            <v>#DIV/0!</v>
          </cell>
        </row>
        <row r="3152">
          <cell r="E3152" t="str">
            <v>HGC-Lib-2465393</v>
          </cell>
          <cell r="F3152" t="str">
            <v>LD240801O-2992A</v>
          </cell>
          <cell r="G3152">
            <v>12</v>
          </cell>
          <cell r="H3152" t="str">
            <v>DNA宏基因组文库</v>
          </cell>
          <cell r="I3152" t="str">
            <v>XCL</v>
          </cell>
          <cell r="J3152">
            <v>7.94</v>
          </cell>
          <cell r="N3152" t="e">
            <v>#DIV/0!</v>
          </cell>
        </row>
        <row r="3153">
          <cell r="E3153" t="str">
            <v>HGC-Lib-2465394</v>
          </cell>
          <cell r="F3153" t="str">
            <v>LD240801O-2993A</v>
          </cell>
          <cell r="G3153">
            <v>12</v>
          </cell>
          <cell r="H3153" t="str">
            <v>DNA宏基因组文库</v>
          </cell>
          <cell r="I3153" t="str">
            <v>XCL</v>
          </cell>
          <cell r="J3153">
            <v>12</v>
          </cell>
          <cell r="N3153" t="e">
            <v>#DIV/0!</v>
          </cell>
        </row>
        <row r="3154">
          <cell r="E3154" t="str">
            <v>HGC-Lib-2465395</v>
          </cell>
          <cell r="F3154" t="str">
            <v>LD240801O-2994A</v>
          </cell>
          <cell r="G3154">
            <v>12</v>
          </cell>
          <cell r="H3154" t="str">
            <v>DNA宏基因组文库</v>
          </cell>
          <cell r="I3154" t="str">
            <v>XCL</v>
          </cell>
          <cell r="J3154">
            <v>28.4</v>
          </cell>
          <cell r="N3154" t="e">
            <v>#DIV/0!</v>
          </cell>
        </row>
        <row r="3155">
          <cell r="E3155" t="str">
            <v>HGC-Lib-2465396</v>
          </cell>
          <cell r="F3155" t="str">
            <v>LD240801O-2995A</v>
          </cell>
          <cell r="G3155">
            <v>12</v>
          </cell>
          <cell r="H3155" t="str">
            <v>DNA宏基因组文库</v>
          </cell>
          <cell r="I3155" t="str">
            <v>XCL</v>
          </cell>
          <cell r="J3155">
            <v>17.2</v>
          </cell>
          <cell r="N3155" t="e">
            <v>#DIV/0!</v>
          </cell>
        </row>
        <row r="3156">
          <cell r="E3156" t="str">
            <v>HGC-Lib-2465397</v>
          </cell>
          <cell r="F3156" t="str">
            <v>LD240801O-2996A</v>
          </cell>
          <cell r="G3156">
            <v>12</v>
          </cell>
          <cell r="H3156" t="str">
            <v>DNA宏基因组文库</v>
          </cell>
          <cell r="I3156" t="str">
            <v>XCL</v>
          </cell>
          <cell r="J3156">
            <v>9.64</v>
          </cell>
          <cell r="N3156" t="e">
            <v>#DIV/0!</v>
          </cell>
        </row>
        <row r="3157">
          <cell r="E3157" t="str">
            <v>HGC-Lib-2465398</v>
          </cell>
          <cell r="F3157" t="str">
            <v>LD240801O-2997A</v>
          </cell>
          <cell r="G3157">
            <v>12</v>
          </cell>
          <cell r="H3157" t="str">
            <v>DNA宏基因组文库</v>
          </cell>
          <cell r="I3157" t="str">
            <v>XCL</v>
          </cell>
          <cell r="J3157">
            <v>5.32</v>
          </cell>
          <cell r="N3157" t="e">
            <v>#DIV/0!</v>
          </cell>
        </row>
        <row r="3158">
          <cell r="E3158" t="str">
            <v>HGC-Lib-2465399</v>
          </cell>
          <cell r="F3158" t="str">
            <v>LD240801O-2998A</v>
          </cell>
          <cell r="G3158">
            <v>12</v>
          </cell>
          <cell r="H3158" t="str">
            <v>DNA宏基因组文库</v>
          </cell>
          <cell r="I3158" t="str">
            <v>XCL</v>
          </cell>
          <cell r="J3158">
            <v>14.1</v>
          </cell>
          <cell r="N3158" t="e">
            <v>#DIV/0!</v>
          </cell>
        </row>
        <row r="3159">
          <cell r="E3159" t="str">
            <v>HGC-Lib-2465400</v>
          </cell>
          <cell r="F3159" t="str">
            <v>LD240801O-2999A</v>
          </cell>
          <cell r="G3159">
            <v>12</v>
          </cell>
          <cell r="H3159" t="str">
            <v>DNA宏基因组文库</v>
          </cell>
          <cell r="I3159" t="str">
            <v>XCL</v>
          </cell>
          <cell r="J3159">
            <v>18.8</v>
          </cell>
          <cell r="N3159" t="e">
            <v>#DIV/0!</v>
          </cell>
        </row>
        <row r="3160">
          <cell r="E3160" t="str">
            <v>HGC-Lib-2465401</v>
          </cell>
          <cell r="F3160" t="str">
            <v>LD240801O-3000A</v>
          </cell>
          <cell r="G3160">
            <v>12</v>
          </cell>
          <cell r="H3160" t="str">
            <v>DNA宏基因组文库</v>
          </cell>
          <cell r="I3160" t="str">
            <v>XCL</v>
          </cell>
          <cell r="J3160">
            <v>9.94</v>
          </cell>
          <cell r="N3160" t="e">
            <v>#DIV/0!</v>
          </cell>
        </row>
        <row r="3161">
          <cell r="E3161" t="str">
            <v>HGC-Lib-2465402</v>
          </cell>
          <cell r="F3161" t="str">
            <v>LD240801O-3001A</v>
          </cell>
          <cell r="G3161">
            <v>12</v>
          </cell>
          <cell r="H3161" t="str">
            <v>DNA宏基因组文库</v>
          </cell>
          <cell r="I3161" t="str">
            <v>XCL</v>
          </cell>
          <cell r="J3161">
            <v>6.34</v>
          </cell>
          <cell r="N3161" t="e">
            <v>#DIV/0!</v>
          </cell>
        </row>
        <row r="3162">
          <cell r="E3162" t="str">
            <v>HGC-Lib-2465403</v>
          </cell>
          <cell r="F3162" t="str">
            <v>LD240805D-0901A</v>
          </cell>
          <cell r="G3162">
            <v>2</v>
          </cell>
          <cell r="H3162" t="str">
            <v>DNA病毒组文库</v>
          </cell>
          <cell r="I3162" t="str">
            <v>XCL</v>
          </cell>
          <cell r="J3162">
            <v>5.76</v>
          </cell>
          <cell r="N3162" t="e">
            <v>#DIV/0!</v>
          </cell>
        </row>
        <row r="3163">
          <cell r="E3163" t="str">
            <v>HGC-Lib-2465404</v>
          </cell>
          <cell r="F3163" t="str">
            <v>LD240721O-7192A</v>
          </cell>
          <cell r="G3163">
            <v>10</v>
          </cell>
          <cell r="H3163" t="str">
            <v>DNA宏基因组文库</v>
          </cell>
          <cell r="I3163" t="str">
            <v>XCL</v>
          </cell>
          <cell r="J3163">
            <v>10.7</v>
          </cell>
          <cell r="N3163" t="e">
            <v>#DIV/0!</v>
          </cell>
        </row>
        <row r="3164">
          <cell r="E3164" t="str">
            <v>HGC-Lib-2465405</v>
          </cell>
          <cell r="F3164" t="str">
            <v>LD240721O-7193A</v>
          </cell>
          <cell r="G3164">
            <v>10</v>
          </cell>
          <cell r="H3164" t="str">
            <v>DNA宏基因组文库</v>
          </cell>
          <cell r="I3164" t="str">
            <v>XCL</v>
          </cell>
          <cell r="J3164">
            <v>9.3800000000000008</v>
          </cell>
          <cell r="N3164" t="e">
            <v>#DIV/0!</v>
          </cell>
        </row>
        <row r="3165">
          <cell r="E3165" t="str">
            <v>HGC-Lib-2465406</v>
          </cell>
          <cell r="F3165" t="str">
            <v>LD240721O-7194A</v>
          </cell>
          <cell r="G3165">
            <v>10</v>
          </cell>
          <cell r="H3165" t="str">
            <v>DNA宏基因组文库</v>
          </cell>
          <cell r="I3165" t="str">
            <v>XCL</v>
          </cell>
          <cell r="J3165">
            <v>7.88</v>
          </cell>
          <cell r="N3165" t="e">
            <v>#DIV/0!</v>
          </cell>
        </row>
        <row r="3166">
          <cell r="E3166" t="str">
            <v>HGC-Lib-2465407</v>
          </cell>
          <cell r="F3166" t="str">
            <v>LD240721O-7195A</v>
          </cell>
          <cell r="G3166">
            <v>10</v>
          </cell>
          <cell r="H3166" t="str">
            <v>DNA宏基因组文库</v>
          </cell>
          <cell r="I3166" t="str">
            <v>XCL</v>
          </cell>
          <cell r="J3166">
            <v>3.48</v>
          </cell>
          <cell r="N3166" t="e">
            <v>#DIV/0!</v>
          </cell>
        </row>
        <row r="3167">
          <cell r="E3167" t="str">
            <v>HGC-Lib-2465408</v>
          </cell>
          <cell r="F3167" t="str">
            <v>LD240724O-2584A</v>
          </cell>
          <cell r="G3167">
            <v>10</v>
          </cell>
          <cell r="H3167" t="str">
            <v>DNA病毒组文库</v>
          </cell>
          <cell r="I3167" t="str">
            <v>XCL</v>
          </cell>
          <cell r="J3167">
            <v>3.74</v>
          </cell>
          <cell r="N3167" t="e">
            <v>#DIV/0!</v>
          </cell>
        </row>
        <row r="3168">
          <cell r="E3168" t="str">
            <v>HGC-Lib-2465409</v>
          </cell>
          <cell r="F3168" t="str">
            <v>LD240724O-2585A</v>
          </cell>
          <cell r="G3168">
            <v>10</v>
          </cell>
          <cell r="H3168" t="str">
            <v>DNA病毒组文库</v>
          </cell>
          <cell r="I3168" t="str">
            <v>XCL</v>
          </cell>
          <cell r="J3168">
            <v>6.94</v>
          </cell>
          <cell r="N3168" t="e">
            <v>#DIV/0!</v>
          </cell>
        </row>
        <row r="3169">
          <cell r="E3169" t="str">
            <v>HGC-Lib-2465410</v>
          </cell>
          <cell r="F3169" t="str">
            <v>LD240724O-2586A</v>
          </cell>
          <cell r="G3169">
            <v>10</v>
          </cell>
          <cell r="H3169" t="str">
            <v>DNA病毒组文库</v>
          </cell>
          <cell r="I3169" t="str">
            <v>XCL</v>
          </cell>
          <cell r="J3169">
            <v>6.06</v>
          </cell>
          <cell r="N3169" t="e">
            <v>#DIV/0!</v>
          </cell>
        </row>
        <row r="3170">
          <cell r="E3170" t="str">
            <v>HGC-Lib-2465411</v>
          </cell>
          <cell r="F3170" t="str">
            <v>LD240724O-2587A</v>
          </cell>
          <cell r="G3170">
            <v>10</v>
          </cell>
          <cell r="H3170" t="str">
            <v>DNA病毒组文库</v>
          </cell>
          <cell r="I3170" t="str">
            <v>YHT</v>
          </cell>
          <cell r="J3170">
            <v>5.18</v>
          </cell>
          <cell r="N3170" t="e">
            <v>#DIV/0!</v>
          </cell>
        </row>
        <row r="3171">
          <cell r="E3171" t="str">
            <v>HGC-Lib-2465412</v>
          </cell>
          <cell r="F3171" t="str">
            <v>LD240724O-2588A</v>
          </cell>
          <cell r="G3171">
            <v>10</v>
          </cell>
          <cell r="H3171" t="str">
            <v>DNA病毒组文库</v>
          </cell>
          <cell r="I3171" t="str">
            <v>YHT</v>
          </cell>
          <cell r="J3171">
            <v>6.32</v>
          </cell>
          <cell r="N3171" t="e">
            <v>#DIV/0!</v>
          </cell>
        </row>
        <row r="3172">
          <cell r="E3172" t="str">
            <v>HGC-Lib-2465413</v>
          </cell>
          <cell r="F3172" t="str">
            <v>LD240724O-2589A</v>
          </cell>
          <cell r="G3172">
            <v>10</v>
          </cell>
          <cell r="H3172" t="str">
            <v>DNA病毒组文库</v>
          </cell>
          <cell r="I3172" t="str">
            <v>YHT</v>
          </cell>
          <cell r="J3172">
            <v>9.66</v>
          </cell>
          <cell r="N3172" t="e">
            <v>#DIV/0!</v>
          </cell>
        </row>
        <row r="3173">
          <cell r="E3173" t="str">
            <v>HGC-Lib-2465414</v>
          </cell>
          <cell r="F3173" t="str">
            <v>LD240724O-2590A</v>
          </cell>
          <cell r="G3173">
            <v>10</v>
          </cell>
          <cell r="H3173" t="str">
            <v>DNA病毒组文库</v>
          </cell>
          <cell r="I3173" t="str">
            <v>YHT</v>
          </cell>
          <cell r="J3173">
            <v>16.399999999999999</v>
          </cell>
          <cell r="N3173" t="e">
            <v>#DIV/0!</v>
          </cell>
        </row>
        <row r="3174">
          <cell r="E3174" t="str">
            <v>HGC-Lib-2465415</v>
          </cell>
          <cell r="F3174" t="str">
            <v>LD240722O-4895A</v>
          </cell>
          <cell r="G3174">
            <v>20</v>
          </cell>
          <cell r="H3174" t="str">
            <v>DNA宏基因组文库</v>
          </cell>
          <cell r="I3174" t="str">
            <v>YHT</v>
          </cell>
          <cell r="J3174">
            <v>7.86</v>
          </cell>
          <cell r="N3174" t="e">
            <v>#DIV/0!</v>
          </cell>
        </row>
        <row r="3175">
          <cell r="E3175" t="str">
            <v>HGC-Lib-2465416</v>
          </cell>
          <cell r="F3175" t="str">
            <v>LD240722O-4897A</v>
          </cell>
          <cell r="G3175">
            <v>20</v>
          </cell>
          <cell r="H3175" t="str">
            <v>DNA宏基因组文库</v>
          </cell>
          <cell r="I3175" t="str">
            <v>YHT</v>
          </cell>
          <cell r="J3175">
            <v>10.7</v>
          </cell>
          <cell r="N3175" t="e">
            <v>#DIV/0!</v>
          </cell>
        </row>
        <row r="3176">
          <cell r="E3176" t="str">
            <v>HGC-Lib-2465417</v>
          </cell>
          <cell r="F3176" t="str">
            <v>LD240722O-4898A</v>
          </cell>
          <cell r="G3176">
            <v>20</v>
          </cell>
          <cell r="H3176" t="str">
            <v>DNA宏基因组文库</v>
          </cell>
          <cell r="I3176" t="str">
            <v>YHT</v>
          </cell>
          <cell r="J3176">
            <v>21.8</v>
          </cell>
          <cell r="N3176" t="e">
            <v>#DIV/0!</v>
          </cell>
        </row>
        <row r="3177">
          <cell r="E3177" t="str">
            <v>HGC-Lib-2465418</v>
          </cell>
          <cell r="F3177" t="str">
            <v>LD240722O-4899A</v>
          </cell>
          <cell r="G3177">
            <v>20</v>
          </cell>
          <cell r="H3177" t="str">
            <v>DNA宏基因组文库</v>
          </cell>
          <cell r="I3177" t="str">
            <v>YHT</v>
          </cell>
          <cell r="J3177">
            <v>4.0199999999999996</v>
          </cell>
          <cell r="N3177" t="e">
            <v>#DIV/0!</v>
          </cell>
        </row>
        <row r="3178">
          <cell r="E3178" t="str">
            <v>HGC-Lib-2465419</v>
          </cell>
          <cell r="F3178" t="str">
            <v>LD240722O-4901A</v>
          </cell>
          <cell r="G3178">
            <v>20</v>
          </cell>
          <cell r="H3178" t="str">
            <v>DNA宏基因组文库</v>
          </cell>
          <cell r="I3178" t="str">
            <v>YHT</v>
          </cell>
          <cell r="J3178">
            <v>23.8</v>
          </cell>
          <cell r="N3178" t="e">
            <v>#DIV/0!</v>
          </cell>
        </row>
        <row r="3179">
          <cell r="E3179" t="str">
            <v>HGC-Lib-2465420</v>
          </cell>
          <cell r="F3179" t="str">
            <v>LD240722O-4902A</v>
          </cell>
          <cell r="G3179">
            <v>20</v>
          </cell>
          <cell r="H3179" t="str">
            <v>DNA宏基因组文库</v>
          </cell>
          <cell r="I3179" t="str">
            <v>YHT</v>
          </cell>
          <cell r="J3179">
            <v>21.4</v>
          </cell>
          <cell r="N3179" t="e">
            <v>#DIV/0!</v>
          </cell>
        </row>
        <row r="3180">
          <cell r="E3180" t="str">
            <v>HGC-Lib-2465421</v>
          </cell>
          <cell r="F3180" t="str">
            <v>LD240722O-4903A</v>
          </cell>
          <cell r="G3180">
            <v>20</v>
          </cell>
          <cell r="H3180" t="str">
            <v>DNA宏基因组文库</v>
          </cell>
          <cell r="I3180" t="str">
            <v>YHT</v>
          </cell>
          <cell r="J3180">
            <v>17.3</v>
          </cell>
          <cell r="N3180" t="e">
            <v>#DIV/0!</v>
          </cell>
        </row>
        <row r="3181">
          <cell r="E3181" t="str">
            <v>HGC-Lib-2465422</v>
          </cell>
          <cell r="F3181" t="str">
            <v>LD240722O-4904A</v>
          </cell>
          <cell r="G3181">
            <v>20</v>
          </cell>
          <cell r="H3181" t="str">
            <v>DNA宏基因组文库</v>
          </cell>
          <cell r="I3181" t="str">
            <v>YHT</v>
          </cell>
          <cell r="J3181">
            <v>34.200000000000003</v>
          </cell>
          <cell r="N3181" t="e">
            <v>#DIV/0!</v>
          </cell>
        </row>
        <row r="3182">
          <cell r="E3182" t="str">
            <v>HGC-Lib-2465423</v>
          </cell>
          <cell r="F3182" t="str">
            <v>LD240722O-4905A</v>
          </cell>
          <cell r="G3182">
            <v>20</v>
          </cell>
          <cell r="H3182" t="str">
            <v>DNA宏基因组文库</v>
          </cell>
          <cell r="I3182" t="str">
            <v>YHT</v>
          </cell>
          <cell r="J3182">
            <v>35</v>
          </cell>
          <cell r="N3182" t="e">
            <v>#DIV/0!</v>
          </cell>
        </row>
        <row r="3183">
          <cell r="E3183" t="str">
            <v>HGC-Lib-2465424</v>
          </cell>
          <cell r="F3183" t="str">
            <v>LD240722O-4906A</v>
          </cell>
          <cell r="G3183">
            <v>20</v>
          </cell>
          <cell r="H3183" t="str">
            <v>DNA宏基因组文库</v>
          </cell>
          <cell r="I3183" t="str">
            <v>YHT</v>
          </cell>
          <cell r="J3183">
            <v>14.2</v>
          </cell>
          <cell r="N3183" t="e">
            <v>#DIV/0!</v>
          </cell>
        </row>
        <row r="3184">
          <cell r="E3184" t="str">
            <v>HGC-Lib-2465425</v>
          </cell>
          <cell r="F3184" t="str">
            <v>LD240722O-4907A</v>
          </cell>
          <cell r="G3184">
            <v>20</v>
          </cell>
          <cell r="H3184" t="str">
            <v>DNA宏基因组文库</v>
          </cell>
          <cell r="I3184" t="str">
            <v>YHT</v>
          </cell>
          <cell r="J3184">
            <v>17.3</v>
          </cell>
          <cell r="N3184" t="e">
            <v>#DIV/0!</v>
          </cell>
        </row>
        <row r="3185">
          <cell r="E3185" t="str">
            <v>HGC-Lib-2465426</v>
          </cell>
          <cell r="F3185" t="str">
            <v>LD240722O-4908A</v>
          </cell>
          <cell r="G3185">
            <v>20</v>
          </cell>
          <cell r="H3185" t="str">
            <v>DNA宏基因组文库</v>
          </cell>
          <cell r="I3185" t="str">
            <v>YHT</v>
          </cell>
          <cell r="J3185">
            <v>1.57</v>
          </cell>
          <cell r="N3185" t="e">
            <v>#DIV/0!</v>
          </cell>
        </row>
        <row r="3186">
          <cell r="E3186" t="str">
            <v>HGC-Lib-2465427</v>
          </cell>
          <cell r="F3186" t="str">
            <v>LD240722O-4909A</v>
          </cell>
          <cell r="G3186">
            <v>20</v>
          </cell>
          <cell r="H3186" t="str">
            <v>DNA宏基因组文库</v>
          </cell>
          <cell r="I3186" t="str">
            <v>YHT</v>
          </cell>
          <cell r="J3186">
            <v>3.22</v>
          </cell>
          <cell r="N3186" t="e">
            <v>#DIV/0!</v>
          </cell>
        </row>
        <row r="3187">
          <cell r="E3187" t="str">
            <v>HGC-Lib-2465428</v>
          </cell>
          <cell r="F3187" t="str">
            <v>LD240722O-4910A</v>
          </cell>
          <cell r="G3187">
            <v>20</v>
          </cell>
          <cell r="H3187" t="str">
            <v>DNA宏基因组文库</v>
          </cell>
          <cell r="I3187" t="str">
            <v>YHT</v>
          </cell>
          <cell r="J3187">
            <v>6.98</v>
          </cell>
          <cell r="N3187" t="e">
            <v>#DIV/0!</v>
          </cell>
        </row>
        <row r="3188">
          <cell r="E3188" t="str">
            <v>HGC-Lib-2465429</v>
          </cell>
          <cell r="F3188" t="str">
            <v>LD240722O-4911A</v>
          </cell>
          <cell r="G3188">
            <v>20</v>
          </cell>
          <cell r="H3188" t="str">
            <v>DNA宏基因组文库</v>
          </cell>
          <cell r="I3188" t="str">
            <v>YHT</v>
          </cell>
          <cell r="J3188">
            <v>27.8</v>
          </cell>
          <cell r="N3188" t="e">
            <v>#DIV/0!</v>
          </cell>
        </row>
        <row r="3189">
          <cell r="E3189" t="str">
            <v>HGC-Lib-2465430</v>
          </cell>
          <cell r="F3189" t="str">
            <v>LD240722O-4912A</v>
          </cell>
          <cell r="G3189">
            <v>20</v>
          </cell>
          <cell r="H3189" t="str">
            <v>DNA宏基因组文库</v>
          </cell>
          <cell r="I3189" t="str">
            <v>YHT</v>
          </cell>
          <cell r="J3189">
            <v>34.4</v>
          </cell>
          <cell r="N3189" t="e">
            <v>#DIV/0!</v>
          </cell>
        </row>
        <row r="3190">
          <cell r="E3190" t="str">
            <v>HGC-Lib-2465431</v>
          </cell>
          <cell r="F3190" t="str">
            <v>LD240722O-4914A</v>
          </cell>
          <cell r="G3190">
            <v>20</v>
          </cell>
          <cell r="H3190" t="str">
            <v>DNA宏基因组文库</v>
          </cell>
          <cell r="I3190" t="str">
            <v>YHT</v>
          </cell>
          <cell r="J3190">
            <v>25.6</v>
          </cell>
          <cell r="N3190" t="e">
            <v>#DIV/0!</v>
          </cell>
        </row>
        <row r="3191">
          <cell r="E3191" t="str">
            <v>HGC-Lib-2465432</v>
          </cell>
          <cell r="F3191" t="str">
            <v>LD240722O-4915A</v>
          </cell>
          <cell r="G3191">
            <v>20</v>
          </cell>
          <cell r="H3191" t="str">
            <v>DNA宏基因组文库</v>
          </cell>
          <cell r="I3191" t="str">
            <v>YHT</v>
          </cell>
          <cell r="J3191">
            <v>16.899999999999999</v>
          </cell>
          <cell r="N3191" t="e">
            <v>#DIV/0!</v>
          </cell>
        </row>
        <row r="3192">
          <cell r="E3192" t="str">
            <v>HGC-Lib-2465433</v>
          </cell>
          <cell r="F3192" t="str">
            <v>LD240722O-4917A</v>
          </cell>
          <cell r="G3192">
            <v>20</v>
          </cell>
          <cell r="H3192" t="str">
            <v>DNA宏基因组文库</v>
          </cell>
          <cell r="I3192" t="str">
            <v>YHT</v>
          </cell>
          <cell r="J3192">
            <v>15.8</v>
          </cell>
          <cell r="N3192" t="e">
            <v>#DIV/0!</v>
          </cell>
        </row>
        <row r="3193">
          <cell r="E3193" t="str">
            <v>HGC-Lib-2465434</v>
          </cell>
          <cell r="F3193" t="str">
            <v>LD240722O-4918A</v>
          </cell>
          <cell r="G3193">
            <v>20</v>
          </cell>
          <cell r="H3193" t="str">
            <v>DNA宏基因组文库</v>
          </cell>
          <cell r="I3193" t="str">
            <v>YHT</v>
          </cell>
          <cell r="J3193">
            <v>12.9</v>
          </cell>
          <cell r="N3193" t="e">
            <v>#DIV/0!</v>
          </cell>
        </row>
        <row r="3194">
          <cell r="E3194" t="str">
            <v>HGC-Lib-2465435</v>
          </cell>
          <cell r="F3194" t="str">
            <v>LD240722O-4919A</v>
          </cell>
          <cell r="G3194">
            <v>20</v>
          </cell>
          <cell r="H3194" t="str">
            <v>DNA宏基因组文库</v>
          </cell>
          <cell r="I3194" t="str">
            <v>YHT</v>
          </cell>
          <cell r="J3194">
            <v>66</v>
          </cell>
          <cell r="N3194" t="e">
            <v>#DIV/0!</v>
          </cell>
        </row>
        <row r="3195">
          <cell r="E3195" t="str">
            <v>HGC-Lib-2465436</v>
          </cell>
          <cell r="F3195" t="str">
            <v>LD240722O-4920A</v>
          </cell>
          <cell r="G3195">
            <v>20</v>
          </cell>
          <cell r="H3195" t="str">
            <v>DNA宏基因组文库</v>
          </cell>
          <cell r="I3195" t="str">
            <v>YHT</v>
          </cell>
          <cell r="J3195">
            <v>30</v>
          </cell>
          <cell r="N3195" t="e">
            <v>#DIV/0!</v>
          </cell>
        </row>
        <row r="3196">
          <cell r="E3196" t="str">
            <v>HGC-Lib-2465437</v>
          </cell>
          <cell r="F3196" t="str">
            <v>LD240724D-0495A</v>
          </cell>
          <cell r="G3196">
            <v>10</v>
          </cell>
          <cell r="H3196" t="str">
            <v>DNA宏基因组文库</v>
          </cell>
          <cell r="I3196" t="str">
            <v>YHT</v>
          </cell>
          <cell r="J3196">
            <v>88.2</v>
          </cell>
          <cell r="N3196" t="e">
            <v>#DIV/0!</v>
          </cell>
        </row>
        <row r="3197">
          <cell r="E3197" t="str">
            <v>HGC-Lib-2465438</v>
          </cell>
          <cell r="F3197" t="str">
            <v>LD240724D-0496A</v>
          </cell>
          <cell r="G3197">
            <v>10</v>
          </cell>
          <cell r="H3197" t="str">
            <v>DNA宏基因组文库</v>
          </cell>
          <cell r="I3197" t="str">
            <v>YHT</v>
          </cell>
          <cell r="J3197">
            <v>28</v>
          </cell>
          <cell r="N3197" t="e">
            <v>#DIV/0!</v>
          </cell>
        </row>
        <row r="3198">
          <cell r="E3198" t="str">
            <v>HGC-Lib-2465439</v>
          </cell>
          <cell r="F3198" t="str">
            <v>LD240724D-0497A</v>
          </cell>
          <cell r="G3198">
            <v>10</v>
          </cell>
          <cell r="H3198" t="str">
            <v>DNA宏基因组文库</v>
          </cell>
          <cell r="I3198" t="str">
            <v>YHT</v>
          </cell>
          <cell r="J3198">
            <v>34.4</v>
          </cell>
          <cell r="N3198" t="e">
            <v>#DIV/0!</v>
          </cell>
        </row>
        <row r="3199">
          <cell r="E3199" t="str">
            <v>HGC-Lib-2465440</v>
          </cell>
          <cell r="F3199" t="str">
            <v>L240812L-0001</v>
          </cell>
          <cell r="G3199">
            <v>10</v>
          </cell>
          <cell r="H3199" t="str">
            <v>DNA宏基因组文库</v>
          </cell>
          <cell r="I3199" t="str">
            <v>YHT</v>
          </cell>
          <cell r="J3199">
            <v>34.4</v>
          </cell>
          <cell r="N3199" t="e">
            <v>#DIV/0!</v>
          </cell>
        </row>
        <row r="3200">
          <cell r="E3200" t="str">
            <v>HGC-Lib-2465441</v>
          </cell>
          <cell r="F3200" t="str">
            <v>L240812L-0002</v>
          </cell>
          <cell r="G3200">
            <v>10</v>
          </cell>
          <cell r="H3200" t="str">
            <v>DNA宏基因组文库</v>
          </cell>
          <cell r="I3200" t="str">
            <v>YHT</v>
          </cell>
          <cell r="J3200">
            <v>34.4</v>
          </cell>
          <cell r="N3200" t="e">
            <v>#DIV/0!</v>
          </cell>
        </row>
        <row r="3201">
          <cell r="E3201" t="str">
            <v>HGC-Lib-2465442</v>
          </cell>
          <cell r="F3201" t="str">
            <v>LD240724D-0498A</v>
          </cell>
          <cell r="G3201">
            <v>10</v>
          </cell>
          <cell r="H3201" t="str">
            <v>DNA宏基因组文库</v>
          </cell>
          <cell r="I3201" t="str">
            <v>YHT</v>
          </cell>
          <cell r="J3201">
            <v>58.6</v>
          </cell>
          <cell r="N3201" t="e">
            <v>#DIV/0!</v>
          </cell>
        </row>
        <row r="3202">
          <cell r="E3202" t="str">
            <v>HGC-Lib-2465443</v>
          </cell>
          <cell r="F3202" t="str">
            <v>LD240724D-0499A</v>
          </cell>
          <cell r="G3202">
            <v>10</v>
          </cell>
          <cell r="H3202" t="str">
            <v>DNA宏基因组文库</v>
          </cell>
          <cell r="I3202" t="str">
            <v>YHT</v>
          </cell>
          <cell r="J3202">
            <v>28.8</v>
          </cell>
          <cell r="N3202" t="e">
            <v>#DIV/0!</v>
          </cell>
        </row>
        <row r="3203">
          <cell r="E3203" t="str">
            <v>HGC-Lib-2465444</v>
          </cell>
          <cell r="F3203" t="str">
            <v>LD240724D-0500A</v>
          </cell>
          <cell r="G3203">
            <v>10</v>
          </cell>
          <cell r="H3203" t="str">
            <v>DNA宏基因组文库</v>
          </cell>
          <cell r="I3203" t="str">
            <v>YHT</v>
          </cell>
          <cell r="J3203">
            <v>28.8</v>
          </cell>
          <cell r="N3203" t="e">
            <v>#DIV/0!</v>
          </cell>
        </row>
        <row r="3204">
          <cell r="E3204" t="str">
            <v>HGC-Lib-2465445</v>
          </cell>
          <cell r="F3204" t="str">
            <v>LD240724D-0501A</v>
          </cell>
          <cell r="G3204">
            <v>10</v>
          </cell>
          <cell r="H3204" t="str">
            <v>DNA宏基因组文库</v>
          </cell>
          <cell r="I3204" t="str">
            <v>YHT</v>
          </cell>
          <cell r="J3204">
            <v>39</v>
          </cell>
          <cell r="N3204" t="e">
            <v>#DIV/0!</v>
          </cell>
        </row>
        <row r="3205">
          <cell r="E3205" t="str">
            <v>HGC-Lib-2465446</v>
          </cell>
          <cell r="F3205" t="str">
            <v>LD240724D-0502A</v>
          </cell>
          <cell r="G3205">
            <v>10</v>
          </cell>
          <cell r="H3205" t="str">
            <v>DNA宏基因组文库</v>
          </cell>
          <cell r="I3205" t="str">
            <v>YHT</v>
          </cell>
          <cell r="J3205">
            <v>36.200000000000003</v>
          </cell>
          <cell r="N3205" t="e">
            <v>#DIV/0!</v>
          </cell>
        </row>
        <row r="3206">
          <cell r="E3206" t="str">
            <v>HGC-Lib-2465447</v>
          </cell>
          <cell r="F3206" t="str">
            <v>LD240724D-0503A</v>
          </cell>
          <cell r="G3206">
            <v>10</v>
          </cell>
          <cell r="H3206" t="str">
            <v>DNA宏基因组文库</v>
          </cell>
          <cell r="I3206" t="str">
            <v>YHT</v>
          </cell>
          <cell r="J3206">
            <v>34.200000000000003</v>
          </cell>
          <cell r="N3206" t="e">
            <v>#DIV/0!</v>
          </cell>
        </row>
        <row r="3207">
          <cell r="E3207" t="str">
            <v>HGC-Lib-2465448</v>
          </cell>
          <cell r="F3207" t="str">
            <v>LD240724D-0504A</v>
          </cell>
          <cell r="G3207">
            <v>10</v>
          </cell>
          <cell r="H3207" t="str">
            <v>DNA宏基因组文库</v>
          </cell>
          <cell r="I3207" t="str">
            <v>YHT</v>
          </cell>
          <cell r="J3207">
            <v>51.8</v>
          </cell>
          <cell r="N3207" t="e">
            <v>#DIV/0!</v>
          </cell>
        </row>
        <row r="3208">
          <cell r="E3208" t="str">
            <v>HGC-Lib-2465449</v>
          </cell>
          <cell r="F3208" t="str">
            <v>LD240724D-0505A</v>
          </cell>
          <cell r="G3208">
            <v>10</v>
          </cell>
          <cell r="H3208" t="str">
            <v>DNA宏基因组文库</v>
          </cell>
          <cell r="I3208" t="str">
            <v>YHT</v>
          </cell>
          <cell r="J3208">
            <v>24</v>
          </cell>
          <cell r="N3208" t="e">
            <v>#DIV/0!</v>
          </cell>
        </row>
        <row r="3209">
          <cell r="E3209" t="str">
            <v>HGC-Lib-2465450</v>
          </cell>
          <cell r="F3209" t="str">
            <v>LD240724D-0506A</v>
          </cell>
          <cell r="G3209">
            <v>10</v>
          </cell>
          <cell r="H3209" t="str">
            <v>DNA宏基因组文库</v>
          </cell>
          <cell r="I3209" t="str">
            <v>YHT</v>
          </cell>
          <cell r="J3209">
            <v>31.4</v>
          </cell>
          <cell r="N3209" t="e">
            <v>#DIV/0!</v>
          </cell>
        </row>
        <row r="3210">
          <cell r="E3210" t="str">
            <v>HGC-Lib-2465451</v>
          </cell>
          <cell r="F3210" t="str">
            <v>LD240724D-0507A</v>
          </cell>
          <cell r="G3210">
            <v>10</v>
          </cell>
          <cell r="H3210" t="str">
            <v>DNA宏基因组文库</v>
          </cell>
          <cell r="I3210" t="str">
            <v>YHT</v>
          </cell>
          <cell r="J3210">
            <v>29.4</v>
          </cell>
          <cell r="N3210" t="e">
            <v>#DIV/0!</v>
          </cell>
        </row>
        <row r="3211">
          <cell r="E3211" t="str">
            <v>HGC-Lib-2465452</v>
          </cell>
          <cell r="F3211" t="str">
            <v>LD240724D-0508A</v>
          </cell>
          <cell r="G3211">
            <v>10</v>
          </cell>
          <cell r="H3211" t="str">
            <v>DNA宏基因组文库</v>
          </cell>
          <cell r="I3211" t="str">
            <v>YHT</v>
          </cell>
          <cell r="J3211">
            <v>27.8</v>
          </cell>
          <cell r="N3211" t="e">
            <v>#DIV/0!</v>
          </cell>
        </row>
        <row r="3212">
          <cell r="E3212" t="str">
            <v>HGC-Lib-2465453</v>
          </cell>
          <cell r="F3212" t="str">
            <v>LD240724D-0509A</v>
          </cell>
          <cell r="G3212">
            <v>10</v>
          </cell>
          <cell r="H3212" t="str">
            <v>DNA宏基因组文库</v>
          </cell>
          <cell r="I3212" t="str">
            <v>YHT</v>
          </cell>
          <cell r="J3212">
            <v>92.8</v>
          </cell>
          <cell r="N3212" t="e">
            <v>#DIV/0!</v>
          </cell>
        </row>
        <row r="3213">
          <cell r="E3213" t="str">
            <v>HGC-Lib-2465454</v>
          </cell>
          <cell r="F3213" t="str">
            <v>LD240724D-0510A</v>
          </cell>
          <cell r="G3213">
            <v>10</v>
          </cell>
          <cell r="H3213" t="str">
            <v>DNA宏基因组文库</v>
          </cell>
          <cell r="I3213" t="str">
            <v>YHT</v>
          </cell>
          <cell r="J3213">
            <v>20.8</v>
          </cell>
          <cell r="N3213" t="e">
            <v>#DIV/0!</v>
          </cell>
        </row>
        <row r="3214">
          <cell r="E3214" t="str">
            <v>HGC-Lib-2465455</v>
          </cell>
          <cell r="F3214" t="str">
            <v>LD240724D-0511A</v>
          </cell>
          <cell r="G3214">
            <v>10</v>
          </cell>
          <cell r="H3214" t="str">
            <v>DNA宏基因组文库</v>
          </cell>
          <cell r="I3214" t="str">
            <v>YHT</v>
          </cell>
          <cell r="J3214">
            <v>25.8</v>
          </cell>
          <cell r="N3214" t="e">
            <v>#DIV/0!</v>
          </cell>
        </row>
        <row r="3215">
          <cell r="E3215" t="str">
            <v>HGC-Lib-2465456</v>
          </cell>
          <cell r="F3215" t="str">
            <v>LD240724D-0512A</v>
          </cell>
          <cell r="G3215">
            <v>10</v>
          </cell>
          <cell r="H3215" t="str">
            <v>DNA宏基因组文库</v>
          </cell>
          <cell r="I3215" t="str">
            <v>YHT</v>
          </cell>
          <cell r="J3215">
            <v>41.6</v>
          </cell>
          <cell r="N3215" t="e">
            <v>#DIV/0!</v>
          </cell>
        </row>
        <row r="3216">
          <cell r="E3216" t="str">
            <v>HGC-Lib-2465457</v>
          </cell>
          <cell r="F3216" t="str">
            <v>LD240724D-0513A</v>
          </cell>
          <cell r="G3216">
            <v>10</v>
          </cell>
          <cell r="H3216" t="str">
            <v>DNA宏基因组文库</v>
          </cell>
          <cell r="I3216" t="str">
            <v>YHT</v>
          </cell>
          <cell r="J3216">
            <v>36.4</v>
          </cell>
          <cell r="N3216" t="e">
            <v>#DIV/0!</v>
          </cell>
        </row>
        <row r="3217">
          <cell r="E3217" t="str">
            <v>HGC-Lib-2465458</v>
          </cell>
          <cell r="F3217" t="str">
            <v>LR240801O-3103A</v>
          </cell>
          <cell r="G3217">
            <v>6</v>
          </cell>
          <cell r="H3217" t="str">
            <v>普通真核转录组文库</v>
          </cell>
          <cell r="I3217" t="str">
            <v>YHT</v>
          </cell>
          <cell r="J3217">
            <v>52.4</v>
          </cell>
          <cell r="N3217" t="e">
            <v>#DIV/0!</v>
          </cell>
        </row>
        <row r="3218">
          <cell r="E3218" t="str">
            <v>HGC-Lib-2465459</v>
          </cell>
          <cell r="F3218" t="str">
            <v>LR240801O-3104A</v>
          </cell>
          <cell r="G3218">
            <v>6</v>
          </cell>
          <cell r="H3218" t="str">
            <v>普通真核转录组文库</v>
          </cell>
          <cell r="I3218" t="str">
            <v>YHT</v>
          </cell>
          <cell r="J3218">
            <v>31.8</v>
          </cell>
          <cell r="N3218" t="e">
            <v>#REF!</v>
          </cell>
        </row>
        <row r="3219">
          <cell r="E3219" t="str">
            <v>HGC-Lib-2465460</v>
          </cell>
          <cell r="F3219" t="str">
            <v>LR240801O-3105A</v>
          </cell>
          <cell r="G3219">
            <v>6</v>
          </cell>
          <cell r="H3219" t="str">
            <v>普通真核转录组文库</v>
          </cell>
          <cell r="I3219" t="str">
            <v>YHT</v>
          </cell>
          <cell r="J3219">
            <v>70.2</v>
          </cell>
          <cell r="N3219" t="e">
            <v>#REF!</v>
          </cell>
        </row>
        <row r="3220">
          <cell r="E3220" t="str">
            <v>HGC-Lib-2465461</v>
          </cell>
          <cell r="F3220" t="str">
            <v>LR240801O-3106A</v>
          </cell>
          <cell r="G3220">
            <v>6</v>
          </cell>
          <cell r="H3220" t="str">
            <v>普通真核转录组文库</v>
          </cell>
          <cell r="I3220" t="str">
            <v>TY</v>
          </cell>
          <cell r="J3220">
            <v>19.3</v>
          </cell>
          <cell r="N3220" t="e">
            <v>#DIV/0!</v>
          </cell>
        </row>
        <row r="3221">
          <cell r="E3221" t="str">
            <v>HGC-Lib-2465462</v>
          </cell>
          <cell r="F3221" t="str">
            <v>LR240801O-3107A</v>
          </cell>
          <cell r="G3221">
            <v>6</v>
          </cell>
          <cell r="H3221" t="str">
            <v>普通真核转录组文库</v>
          </cell>
          <cell r="I3221" t="str">
            <v>TY</v>
          </cell>
          <cell r="J3221">
            <v>60</v>
          </cell>
          <cell r="N3221" t="e">
            <v>#DIV/0!</v>
          </cell>
        </row>
        <row r="3222">
          <cell r="E3222" t="str">
            <v>HGC-Lib-2465463</v>
          </cell>
          <cell r="F3222" t="str">
            <v>LR240801O-3108A</v>
          </cell>
          <cell r="G3222">
            <v>6</v>
          </cell>
          <cell r="H3222" t="str">
            <v>普通真核转录组文库</v>
          </cell>
          <cell r="I3222" t="str">
            <v>TY</v>
          </cell>
          <cell r="J3222">
            <v>21.8</v>
          </cell>
          <cell r="N3222" t="e">
            <v>#DIV/0!</v>
          </cell>
        </row>
        <row r="3223">
          <cell r="E3223" t="str">
            <v>HGC-Lib-2465464</v>
          </cell>
          <cell r="F3223" t="str">
            <v>LR240801O-3109A</v>
          </cell>
          <cell r="G3223">
            <v>6</v>
          </cell>
          <cell r="H3223" t="str">
            <v>普通真核转录组文库</v>
          </cell>
          <cell r="I3223" t="str">
            <v>TY</v>
          </cell>
          <cell r="J3223">
            <v>10.9</v>
          </cell>
          <cell r="N3223" t="e">
            <v>#DIV/0!</v>
          </cell>
        </row>
        <row r="3224">
          <cell r="E3224" t="str">
            <v>HGC-Lib-2465465</v>
          </cell>
          <cell r="F3224" t="str">
            <v>LR240801O-3110A</v>
          </cell>
          <cell r="G3224">
            <v>6</v>
          </cell>
          <cell r="H3224" t="str">
            <v>普通真核转录组文库</v>
          </cell>
          <cell r="I3224" t="str">
            <v>TY</v>
          </cell>
          <cell r="J3224">
            <v>21.4</v>
          </cell>
          <cell r="N3224" t="e">
            <v>#DIV/0!</v>
          </cell>
        </row>
        <row r="3225">
          <cell r="E3225" t="str">
            <v>HGC-Lib-2465466</v>
          </cell>
          <cell r="F3225" t="str">
            <v>LR240801O-3111A</v>
          </cell>
          <cell r="G3225">
            <v>6</v>
          </cell>
          <cell r="H3225" t="str">
            <v>普通真核转录组文库</v>
          </cell>
          <cell r="I3225" t="str">
            <v>TY</v>
          </cell>
          <cell r="J3225">
            <v>35.200000000000003</v>
          </cell>
          <cell r="N3225" t="e">
            <v>#DIV/0!</v>
          </cell>
        </row>
        <row r="3226">
          <cell r="E3226" t="str">
            <v>HGC-Lib-2465467</v>
          </cell>
          <cell r="F3226" t="str">
            <v>LR240729O-4622A</v>
          </cell>
          <cell r="G3226">
            <v>6</v>
          </cell>
          <cell r="H3226" t="str">
            <v>普通真核转录组文库</v>
          </cell>
          <cell r="I3226" t="str">
            <v>TY</v>
          </cell>
          <cell r="J3226">
            <v>33</v>
          </cell>
          <cell r="N3226" t="e">
            <v>#DIV/0!</v>
          </cell>
        </row>
        <row r="3227">
          <cell r="E3227" t="str">
            <v>HGC-Lib-2465468</v>
          </cell>
          <cell r="F3227" t="str">
            <v>LD240802O-0823A</v>
          </cell>
          <cell r="G3227">
            <v>10</v>
          </cell>
          <cell r="H3227" t="str">
            <v>DNA宏基因组文库</v>
          </cell>
          <cell r="I3227" t="str">
            <v>TY</v>
          </cell>
          <cell r="J3227">
            <v>18</v>
          </cell>
          <cell r="N3227" t="e">
            <v>#DIV/0!</v>
          </cell>
        </row>
        <row r="3228">
          <cell r="E3228" t="str">
            <v>HGC-Lib-2465469</v>
          </cell>
          <cell r="F3228" t="str">
            <v>LD240802O-0824A</v>
          </cell>
          <cell r="G3228">
            <v>10</v>
          </cell>
          <cell r="H3228" t="str">
            <v>DNA宏基因组文库</v>
          </cell>
          <cell r="I3228" t="str">
            <v>TY</v>
          </cell>
          <cell r="J3228">
            <v>69</v>
          </cell>
          <cell r="N3228" t="e">
            <v>#DIV/0!</v>
          </cell>
        </row>
        <row r="3229">
          <cell r="E3229" t="str">
            <v>HGC-Lib-2465470</v>
          </cell>
          <cell r="F3229" t="str">
            <v>LD240802O-0825A</v>
          </cell>
          <cell r="G3229">
            <v>10</v>
          </cell>
          <cell r="H3229" t="str">
            <v>DNA宏基因组文库</v>
          </cell>
          <cell r="I3229" t="str">
            <v>TY</v>
          </cell>
          <cell r="J3229">
            <v>63.2</v>
          </cell>
          <cell r="N3229" t="e">
            <v>#DIV/0!</v>
          </cell>
        </row>
        <row r="3230">
          <cell r="E3230" t="str">
            <v>HGC-Lib-2465471</v>
          </cell>
          <cell r="F3230" t="str">
            <v>LD240802O-0826A</v>
          </cell>
          <cell r="G3230">
            <v>10</v>
          </cell>
          <cell r="H3230" t="str">
            <v>DNA宏基因组文库</v>
          </cell>
          <cell r="I3230" t="str">
            <v>TY</v>
          </cell>
          <cell r="J3230">
            <v>49.8</v>
          </cell>
          <cell r="N3230" t="e">
            <v>#DIV/0!</v>
          </cell>
        </row>
        <row r="3231">
          <cell r="E3231" t="str">
            <v>HGC-Lib-2465472</v>
          </cell>
          <cell r="F3231" t="str">
            <v>LD240802O-0827A</v>
          </cell>
          <cell r="G3231">
            <v>10</v>
          </cell>
          <cell r="H3231" t="str">
            <v>DNA宏基因组文库</v>
          </cell>
          <cell r="I3231" t="str">
            <v>TY</v>
          </cell>
          <cell r="J3231">
            <v>50.8</v>
          </cell>
          <cell r="N3231" t="e">
            <v>#DIV/0!</v>
          </cell>
        </row>
        <row r="3232">
          <cell r="E3232" t="str">
            <v>HGC-Lib-2465473</v>
          </cell>
          <cell r="F3232" t="str">
            <v>LD240802O-0828A</v>
          </cell>
          <cell r="G3232">
            <v>10</v>
          </cell>
          <cell r="H3232" t="str">
            <v>DNA宏基因组文库</v>
          </cell>
          <cell r="I3232" t="str">
            <v>TY</v>
          </cell>
          <cell r="J3232">
            <v>64.2</v>
          </cell>
          <cell r="N3232" t="e">
            <v>#DIV/0!</v>
          </cell>
        </row>
        <row r="3233">
          <cell r="E3233" t="str">
            <v>HGC-Lib-2465474</v>
          </cell>
          <cell r="F3233" t="str">
            <v>LD240802O-0829A</v>
          </cell>
          <cell r="G3233">
            <v>10</v>
          </cell>
          <cell r="H3233" t="str">
            <v>DNA宏基因组文库</v>
          </cell>
          <cell r="I3233" t="str">
            <v>TY</v>
          </cell>
          <cell r="J3233">
            <v>81</v>
          </cell>
          <cell r="N3233" t="e">
            <v>#DIV/0!</v>
          </cell>
        </row>
        <row r="3234">
          <cell r="E3234" t="str">
            <v>HGC-Lib-2465475</v>
          </cell>
          <cell r="F3234" t="str">
            <v>LD240802O-0830A</v>
          </cell>
          <cell r="G3234">
            <v>10</v>
          </cell>
          <cell r="H3234" t="str">
            <v>DNA宏基因组文库</v>
          </cell>
          <cell r="I3234" t="str">
            <v>TY</v>
          </cell>
          <cell r="J3234">
            <v>76.2</v>
          </cell>
          <cell r="N3234" t="e">
            <v>#DIV/0!</v>
          </cell>
        </row>
        <row r="3235">
          <cell r="E3235" t="str">
            <v>HGC-Lib-2465476</v>
          </cell>
          <cell r="F3235" t="str">
            <v>LD240802O-0831A</v>
          </cell>
          <cell r="G3235">
            <v>10</v>
          </cell>
          <cell r="H3235" t="str">
            <v>DNA宏基因组文库</v>
          </cell>
          <cell r="I3235" t="str">
            <v>TY</v>
          </cell>
          <cell r="J3235">
            <v>24.6</v>
          </cell>
          <cell r="N3235" t="e">
            <v>#DIV/0!</v>
          </cell>
        </row>
        <row r="3236">
          <cell r="E3236" t="str">
            <v>HGC-Lib-2465477</v>
          </cell>
          <cell r="F3236" t="str">
            <v>LD240802O-0832A</v>
          </cell>
          <cell r="G3236">
            <v>10</v>
          </cell>
          <cell r="H3236" t="str">
            <v>DNA宏基因组文库</v>
          </cell>
          <cell r="I3236" t="str">
            <v>TY</v>
          </cell>
          <cell r="J3236">
            <v>66.599999999999994</v>
          </cell>
          <cell r="N3236" t="e">
            <v>#DIV/0!</v>
          </cell>
        </row>
        <row r="3237">
          <cell r="E3237" t="str">
            <v>HGC-Lib-2465478</v>
          </cell>
          <cell r="F3237" t="str">
            <v>LD240802O-0833A</v>
          </cell>
          <cell r="G3237">
            <v>10</v>
          </cell>
          <cell r="H3237" t="str">
            <v>DNA宏基因组文库</v>
          </cell>
          <cell r="I3237" t="str">
            <v>TY</v>
          </cell>
          <cell r="J3237">
            <v>81.2</v>
          </cell>
          <cell r="N3237" t="e">
            <v>#DIV/0!</v>
          </cell>
        </row>
        <row r="3238">
          <cell r="E3238" t="str">
            <v>HGC-Lib-2465479</v>
          </cell>
          <cell r="F3238" t="str">
            <v>LD240802O-0834A</v>
          </cell>
          <cell r="G3238">
            <v>10</v>
          </cell>
          <cell r="H3238" t="str">
            <v>DNA宏基因组文库</v>
          </cell>
          <cell r="I3238" t="str">
            <v>TY</v>
          </cell>
          <cell r="J3238">
            <v>24.4</v>
          </cell>
          <cell r="N3238" t="e">
            <v>#DIV/0!</v>
          </cell>
        </row>
        <row r="3239">
          <cell r="E3239" t="str">
            <v>HGC-Lib-2465480</v>
          </cell>
          <cell r="F3239" t="str">
            <v>LD240802O-0835A</v>
          </cell>
          <cell r="G3239">
            <v>10</v>
          </cell>
          <cell r="H3239" t="str">
            <v>DNA宏基因组文库</v>
          </cell>
          <cell r="I3239" t="str">
            <v>TY</v>
          </cell>
          <cell r="J3239">
            <v>64.400000000000006</v>
          </cell>
          <cell r="N3239" t="e">
            <v>#DIV/0!</v>
          </cell>
        </row>
        <row r="3240">
          <cell r="E3240" t="str">
            <v>HGC-Lib-2465481</v>
          </cell>
          <cell r="F3240" t="str">
            <v>LD240802O-0836A</v>
          </cell>
          <cell r="G3240">
            <v>10</v>
          </cell>
          <cell r="H3240" t="str">
            <v>DNA宏基因组文库</v>
          </cell>
          <cell r="I3240" t="str">
            <v>TY</v>
          </cell>
          <cell r="J3240">
            <v>59.8</v>
          </cell>
          <cell r="N3240" t="e">
            <v>#DIV/0!</v>
          </cell>
        </row>
        <row r="3241">
          <cell r="E3241" t="str">
            <v>HGC-Lib-2465482</v>
          </cell>
          <cell r="F3241" t="str">
            <v>LD240802O-0837A</v>
          </cell>
          <cell r="G3241">
            <v>10</v>
          </cell>
          <cell r="H3241" t="str">
            <v>DNA宏基因组文库</v>
          </cell>
          <cell r="I3241" t="str">
            <v>TY</v>
          </cell>
          <cell r="J3241">
            <v>57.8</v>
          </cell>
          <cell r="N3241" t="e">
            <v>#DIV/0!</v>
          </cell>
        </row>
        <row r="3242">
          <cell r="E3242" t="str">
            <v>HGC-Lib-2465483</v>
          </cell>
          <cell r="F3242" t="str">
            <v>LD240802O-0838A</v>
          </cell>
          <cell r="G3242">
            <v>10</v>
          </cell>
          <cell r="H3242" t="str">
            <v>DNA宏基因组文库</v>
          </cell>
          <cell r="I3242" t="str">
            <v>TY</v>
          </cell>
          <cell r="J3242">
            <v>24.6</v>
          </cell>
          <cell r="N3242" t="e">
            <v>#DIV/0!</v>
          </cell>
        </row>
        <row r="3243">
          <cell r="E3243" t="str">
            <v>HGC-Lib-2465484</v>
          </cell>
          <cell r="F3243" t="str">
            <v>LD240802O-0839A</v>
          </cell>
          <cell r="G3243">
            <v>10</v>
          </cell>
          <cell r="H3243" t="str">
            <v>DNA宏基因组文库</v>
          </cell>
          <cell r="I3243" t="str">
            <v>TY</v>
          </cell>
          <cell r="J3243">
            <v>28.4</v>
          </cell>
          <cell r="N3243" t="e">
            <v>#DIV/0!</v>
          </cell>
        </row>
        <row r="3244">
          <cell r="E3244" t="str">
            <v>HGC-Lib-2465485</v>
          </cell>
          <cell r="F3244" t="str">
            <v>LD240802O-0840A</v>
          </cell>
          <cell r="G3244">
            <v>10</v>
          </cell>
          <cell r="H3244" t="str">
            <v>DNA宏基因组文库</v>
          </cell>
          <cell r="I3244" t="str">
            <v>TY</v>
          </cell>
          <cell r="J3244">
            <v>49.6</v>
          </cell>
          <cell r="N3244" t="e">
            <v>#DIV/0!</v>
          </cell>
        </row>
        <row r="3245">
          <cell r="E3245" t="str">
            <v>HGC-Lib-2465486</v>
          </cell>
          <cell r="F3245" t="str">
            <v>LD240802O-0841A</v>
          </cell>
          <cell r="G3245">
            <v>10</v>
          </cell>
          <cell r="H3245" t="str">
            <v>DNA宏基因组文库</v>
          </cell>
          <cell r="I3245" t="str">
            <v>TY</v>
          </cell>
          <cell r="J3245">
            <v>65.400000000000006</v>
          </cell>
          <cell r="N3245" t="e">
            <v>#DIV/0!</v>
          </cell>
        </row>
        <row r="3246">
          <cell r="E3246" t="str">
            <v>HGC-Lib-2465487</v>
          </cell>
          <cell r="F3246" t="str">
            <v>LD240802O-0842A</v>
          </cell>
          <cell r="G3246">
            <v>10</v>
          </cell>
          <cell r="H3246" t="str">
            <v>DNA宏基因组文库</v>
          </cell>
          <cell r="I3246" t="str">
            <v>TY</v>
          </cell>
          <cell r="J3246">
            <v>58.6</v>
          </cell>
          <cell r="N3246" t="e">
            <v>#DIV/0!</v>
          </cell>
        </row>
        <row r="3247">
          <cell r="E3247" t="str">
            <v>HGC-Lib-2465488</v>
          </cell>
          <cell r="F3247" t="str">
            <v>LD240802O-0843A</v>
          </cell>
          <cell r="G3247">
            <v>10</v>
          </cell>
          <cell r="H3247" t="str">
            <v>DNA宏基因组文库</v>
          </cell>
          <cell r="I3247" t="str">
            <v>TY</v>
          </cell>
          <cell r="J3247">
            <v>27.6</v>
          </cell>
          <cell r="N3247" t="e">
            <v>#DIV/0!</v>
          </cell>
        </row>
        <row r="3248">
          <cell r="E3248" t="str">
            <v>HGC-Lib-2465489</v>
          </cell>
          <cell r="F3248" t="str">
            <v>LD240802O-0844A</v>
          </cell>
          <cell r="G3248">
            <v>10</v>
          </cell>
          <cell r="H3248" t="str">
            <v>DNA宏基因组文库</v>
          </cell>
          <cell r="I3248" t="str">
            <v>TY</v>
          </cell>
          <cell r="J3248">
            <v>78.8</v>
          </cell>
          <cell r="N3248" t="e">
            <v>#DIV/0!</v>
          </cell>
        </row>
        <row r="3249">
          <cell r="E3249" t="str">
            <v>HGC-Lib-2465490</v>
          </cell>
          <cell r="F3249" t="str">
            <v>LD240802O-0845A</v>
          </cell>
          <cell r="G3249">
            <v>10</v>
          </cell>
          <cell r="H3249" t="str">
            <v>DNA宏基因组文库</v>
          </cell>
          <cell r="I3249" t="str">
            <v>TY</v>
          </cell>
          <cell r="J3249">
            <v>22</v>
          </cell>
          <cell r="N3249" t="e">
            <v>#DIV/0!</v>
          </cell>
        </row>
        <row r="3250">
          <cell r="E3250" t="str">
            <v>HGC-Lib-2465491</v>
          </cell>
          <cell r="F3250" t="str">
            <v>LD240802O-0846A</v>
          </cell>
          <cell r="G3250">
            <v>10</v>
          </cell>
          <cell r="H3250" t="str">
            <v>DNA宏基因组文库</v>
          </cell>
          <cell r="I3250" t="str">
            <v>TY</v>
          </cell>
          <cell r="J3250">
            <v>35.6</v>
          </cell>
          <cell r="N3250" t="e">
            <v>#DIV/0!</v>
          </cell>
        </row>
        <row r="3251">
          <cell r="E3251" t="str">
            <v>HGC-Lib-2465492</v>
          </cell>
          <cell r="F3251" t="str">
            <v>LD240802O-0847A</v>
          </cell>
          <cell r="G3251">
            <v>10</v>
          </cell>
          <cell r="H3251" t="str">
            <v>DNA宏基因组文库</v>
          </cell>
          <cell r="I3251" t="str">
            <v>TY</v>
          </cell>
          <cell r="J3251">
            <v>20</v>
          </cell>
          <cell r="N3251" t="e">
            <v>#DIV/0!</v>
          </cell>
        </row>
        <row r="3252">
          <cell r="E3252" t="str">
            <v>HGC-Lib-2465493</v>
          </cell>
          <cell r="F3252" t="str">
            <v>LD240802O-0848A</v>
          </cell>
          <cell r="G3252">
            <v>10</v>
          </cell>
          <cell r="H3252" t="str">
            <v>DNA宏基因组文库</v>
          </cell>
          <cell r="I3252" t="str">
            <v>TY</v>
          </cell>
          <cell r="J3252">
            <v>84.8</v>
          </cell>
          <cell r="N3252" t="e">
            <v>#DIV/0!</v>
          </cell>
        </row>
        <row r="3253">
          <cell r="E3253" t="str">
            <v>HGC-Lib-2465494</v>
          </cell>
          <cell r="F3253" t="str">
            <v>LD240802O-0849A</v>
          </cell>
          <cell r="G3253">
            <v>10</v>
          </cell>
          <cell r="H3253" t="str">
            <v>DNA宏基因组文库</v>
          </cell>
          <cell r="I3253" t="str">
            <v>TY</v>
          </cell>
          <cell r="J3253">
            <v>12.4</v>
          </cell>
          <cell r="N3253" t="e">
            <v>#DIV/0!</v>
          </cell>
        </row>
        <row r="3254">
          <cell r="E3254" t="str">
            <v>HGC-Lib-2465495</v>
          </cell>
          <cell r="F3254" t="str">
            <v>LD240802O-0850A</v>
          </cell>
          <cell r="G3254">
            <v>10</v>
          </cell>
          <cell r="H3254" t="str">
            <v>DNA宏基因组文库</v>
          </cell>
          <cell r="I3254" t="str">
            <v>TY</v>
          </cell>
          <cell r="J3254">
            <v>19.2</v>
          </cell>
          <cell r="N3254" t="e">
            <v>#DIV/0!</v>
          </cell>
        </row>
        <row r="3255">
          <cell r="E3255" t="str">
            <v>HGC-Lib-2465496</v>
          </cell>
          <cell r="F3255" t="str">
            <v>LD240802O-0851A</v>
          </cell>
          <cell r="G3255">
            <v>10</v>
          </cell>
          <cell r="H3255" t="str">
            <v>DNA宏基因组文库</v>
          </cell>
          <cell r="I3255" t="str">
            <v>TY</v>
          </cell>
          <cell r="J3255">
            <v>71</v>
          </cell>
          <cell r="N3255" t="e">
            <v>#DIV/0!</v>
          </cell>
        </row>
        <row r="3256">
          <cell r="E3256" t="str">
            <v>HGC-Lib-2465497</v>
          </cell>
          <cell r="F3256" t="str">
            <v>LD240802O-0852A</v>
          </cell>
          <cell r="G3256">
            <v>10</v>
          </cell>
          <cell r="H3256" t="str">
            <v>DNA宏基因组文库</v>
          </cell>
          <cell r="I3256" t="str">
            <v>TY</v>
          </cell>
          <cell r="J3256">
            <v>79.400000000000006</v>
          </cell>
          <cell r="N3256" t="e">
            <v>#DIV/0!</v>
          </cell>
        </row>
        <row r="3257">
          <cell r="E3257" t="str">
            <v>HGC-Lib-2465498</v>
          </cell>
          <cell r="F3257" t="str">
            <v>LD240801D-0178A</v>
          </cell>
          <cell r="G3257">
            <v>5</v>
          </cell>
          <cell r="H3257" t="str">
            <v>DNA宏基因组文库</v>
          </cell>
          <cell r="I3257" t="str">
            <v>TY</v>
          </cell>
          <cell r="J3257">
            <v>9.6</v>
          </cell>
          <cell r="N3257" t="e">
            <v>#DIV/0!</v>
          </cell>
        </row>
        <row r="3258">
          <cell r="E3258" t="str">
            <v>HGC-Lib-2465499</v>
          </cell>
          <cell r="F3258" t="str">
            <v>LD240801D-0179A</v>
          </cell>
          <cell r="G3258">
            <v>5</v>
          </cell>
          <cell r="H3258" t="str">
            <v>DNA宏基因组文库</v>
          </cell>
          <cell r="I3258" t="str">
            <v>TY</v>
          </cell>
          <cell r="J3258">
            <v>28.2</v>
          </cell>
          <cell r="N3258" t="e">
            <v>#DIV/0!</v>
          </cell>
        </row>
        <row r="3259">
          <cell r="E3259" t="str">
            <v>HGC-Lib-2465500</v>
          </cell>
          <cell r="F3259" t="str">
            <v>LD240801D-0180A</v>
          </cell>
          <cell r="G3259">
            <v>5</v>
          </cell>
          <cell r="H3259" t="str">
            <v>DNA宏基因组文库</v>
          </cell>
          <cell r="I3259" t="str">
            <v>TY</v>
          </cell>
          <cell r="J3259">
            <v>14.3</v>
          </cell>
          <cell r="N3259" t="e">
            <v>#DIV/0!</v>
          </cell>
        </row>
        <row r="3260">
          <cell r="E3260" t="str">
            <v>HGC-Lib-2465501</v>
          </cell>
          <cell r="F3260" t="str">
            <v>LD240801D-0182A</v>
          </cell>
          <cell r="G3260">
            <v>5</v>
          </cell>
          <cell r="H3260" t="str">
            <v>DNA宏基因组文库</v>
          </cell>
          <cell r="I3260" t="str">
            <v>TY</v>
          </cell>
          <cell r="J3260">
            <v>5.58</v>
          </cell>
          <cell r="N3260" t="e">
            <v>#DIV/0!</v>
          </cell>
        </row>
        <row r="3261">
          <cell r="E3261" t="str">
            <v>HGC-Lib-2465502</v>
          </cell>
          <cell r="F3261" t="str">
            <v>LD240801D-0183A</v>
          </cell>
          <cell r="G3261">
            <v>5</v>
          </cell>
          <cell r="H3261" t="str">
            <v>DNA宏基因组文库</v>
          </cell>
          <cell r="I3261" t="str">
            <v>TY</v>
          </cell>
          <cell r="J3261">
            <v>39.4</v>
          </cell>
          <cell r="N3261" t="e">
            <v>#DIV/0!</v>
          </cell>
        </row>
        <row r="3262">
          <cell r="E3262" t="str">
            <v>HGC-Lib-2465503</v>
          </cell>
          <cell r="F3262" t="str">
            <v>LD240801D-0184A</v>
          </cell>
          <cell r="G3262">
            <v>5</v>
          </cell>
          <cell r="H3262" t="str">
            <v>DNA宏基因组文库</v>
          </cell>
          <cell r="I3262" t="str">
            <v>TY</v>
          </cell>
          <cell r="J3262">
            <v>29.2</v>
          </cell>
          <cell r="N3262" t="e">
            <v>#DIV/0!</v>
          </cell>
        </row>
        <row r="3263">
          <cell r="E3263" t="str">
            <v>HGC-Lib-2465504</v>
          </cell>
          <cell r="F3263" t="str">
            <v>LD240801D-0185A</v>
          </cell>
          <cell r="G3263">
            <v>5</v>
          </cell>
          <cell r="H3263" t="str">
            <v>DNA宏基因组文库</v>
          </cell>
          <cell r="I3263" t="str">
            <v>TY</v>
          </cell>
          <cell r="J3263">
            <v>61.6</v>
          </cell>
          <cell r="N3263" t="e">
            <v>#DIV/0!</v>
          </cell>
        </row>
        <row r="3264">
          <cell r="E3264" t="str">
            <v>HGC-Lib-2465505</v>
          </cell>
          <cell r="F3264" t="str">
            <v>LD240719O-2896C</v>
          </cell>
          <cell r="G3264">
            <v>10</v>
          </cell>
          <cell r="H3264" t="str">
            <v>DNA宏基因组文库</v>
          </cell>
          <cell r="I3264" t="str">
            <v>TY</v>
          </cell>
          <cell r="J3264">
            <v>49.6</v>
          </cell>
          <cell r="N3264" t="e">
            <v>#DIV/0!</v>
          </cell>
        </row>
        <row r="3265">
          <cell r="E3265" t="str">
            <v>HGC-Lib-2465506</v>
          </cell>
          <cell r="F3265" t="str">
            <v>LD240722O-5848B</v>
          </cell>
          <cell r="G3265">
            <v>20</v>
          </cell>
          <cell r="H3265" t="str">
            <v>DNA宏基因组文库</v>
          </cell>
          <cell r="I3265" t="str">
            <v>TY</v>
          </cell>
          <cell r="J3265">
            <v>31.6</v>
          </cell>
          <cell r="N3265" t="e">
            <v>#DIV/0!</v>
          </cell>
        </row>
        <row r="3266">
          <cell r="E3266" t="str">
            <v>HGC-Lib-2465507</v>
          </cell>
          <cell r="F3266" t="str">
            <v>LD240722O-5849B</v>
          </cell>
          <cell r="G3266">
            <v>20</v>
          </cell>
          <cell r="H3266" t="str">
            <v>DNA宏基因组文库</v>
          </cell>
          <cell r="I3266" t="str">
            <v>TY</v>
          </cell>
          <cell r="J3266">
            <v>51</v>
          </cell>
          <cell r="N3266" t="e">
            <v>#DIV/0!</v>
          </cell>
        </row>
        <row r="3267">
          <cell r="E3267" t="str">
            <v>HGC-Lib-2465508</v>
          </cell>
          <cell r="F3267" t="str">
            <v>LD240722O-5850B</v>
          </cell>
          <cell r="G3267">
            <v>20</v>
          </cell>
          <cell r="H3267" t="str">
            <v>DNA宏基因组文库</v>
          </cell>
          <cell r="I3267" t="str">
            <v>TY</v>
          </cell>
          <cell r="J3267">
            <v>3.84</v>
          </cell>
          <cell r="N3267" t="e">
            <v>#DIV/0!</v>
          </cell>
        </row>
        <row r="3268">
          <cell r="E3268" t="str">
            <v>HGC-Lib-2465509</v>
          </cell>
          <cell r="F3268" t="str">
            <v>LD240722O-5851B</v>
          </cell>
          <cell r="G3268">
            <v>20</v>
          </cell>
          <cell r="H3268" t="str">
            <v>DNA宏基因组文库</v>
          </cell>
          <cell r="I3268" t="str">
            <v>WWH</v>
          </cell>
          <cell r="J3268">
            <v>48.6</v>
          </cell>
          <cell r="N3268" t="e">
            <v>#DIV/0!</v>
          </cell>
        </row>
        <row r="3269">
          <cell r="E3269" t="str">
            <v>HGC-Lib-2465510</v>
          </cell>
          <cell r="F3269" t="str">
            <v>LD240729D-0951B</v>
          </cell>
          <cell r="G3269">
            <v>30</v>
          </cell>
          <cell r="H3269" t="str">
            <v>DNA宏基因组文库</v>
          </cell>
          <cell r="I3269" t="str">
            <v>WWH</v>
          </cell>
          <cell r="J3269">
            <v>68.599999999999994</v>
          </cell>
          <cell r="N3269" t="e">
            <v>#DIV/0!</v>
          </cell>
        </row>
        <row r="3270">
          <cell r="E3270" t="str">
            <v>HGC-Lib-2465511</v>
          </cell>
          <cell r="F3270" t="str">
            <v>LD240729D-0952B</v>
          </cell>
          <cell r="G3270">
            <v>30</v>
          </cell>
          <cell r="H3270" t="str">
            <v>DNA宏基因组文库</v>
          </cell>
          <cell r="I3270" t="str">
            <v>WWH</v>
          </cell>
          <cell r="J3270">
            <v>45.2</v>
          </cell>
          <cell r="N3270" t="e">
            <v>#DIV/0!</v>
          </cell>
        </row>
        <row r="3271">
          <cell r="E3271" t="str">
            <v>HGC-Lib-2465512</v>
          </cell>
          <cell r="F3271" t="str">
            <v>LD240729D-0953B</v>
          </cell>
          <cell r="G3271">
            <v>30</v>
          </cell>
          <cell r="H3271" t="str">
            <v>DNA宏基因组文库</v>
          </cell>
          <cell r="I3271" t="str">
            <v>WWH</v>
          </cell>
          <cell r="J3271">
            <v>29</v>
          </cell>
          <cell r="N3271" t="e">
            <v>#DIV/0!</v>
          </cell>
        </row>
        <row r="3272">
          <cell r="E3272" t="str">
            <v>HGC-Lib-2465513</v>
          </cell>
          <cell r="F3272" t="str">
            <v>LD240730O-1765A</v>
          </cell>
          <cell r="G3272">
            <v>10</v>
          </cell>
          <cell r="H3272" t="str">
            <v>DNA宏基因组文库</v>
          </cell>
          <cell r="I3272" t="str">
            <v>WWH</v>
          </cell>
          <cell r="J3272">
            <v>24.6</v>
          </cell>
          <cell r="N3272" t="e">
            <v>#DIV/0!</v>
          </cell>
        </row>
        <row r="3273">
          <cell r="E3273" t="str">
            <v>HGC-Lib-2465514</v>
          </cell>
          <cell r="F3273" t="str">
            <v>LD240730O-1766A</v>
          </cell>
          <cell r="G3273">
            <v>10</v>
          </cell>
          <cell r="H3273" t="str">
            <v>DNA宏基因组文库</v>
          </cell>
          <cell r="I3273" t="str">
            <v>WWH</v>
          </cell>
          <cell r="J3273">
            <v>73.2</v>
          </cell>
          <cell r="N3273" t="e">
            <v>#DIV/0!</v>
          </cell>
        </row>
        <row r="3274">
          <cell r="E3274" t="str">
            <v>HGC-Lib-2465515</v>
          </cell>
          <cell r="F3274" t="str">
            <v>LD240730O-1767A</v>
          </cell>
          <cell r="G3274">
            <v>10</v>
          </cell>
          <cell r="H3274" t="str">
            <v>DNA宏基因组文库</v>
          </cell>
          <cell r="I3274" t="str">
            <v>WWH</v>
          </cell>
          <cell r="J3274">
            <v>16</v>
          </cell>
          <cell r="N3274" t="e">
            <v>#DIV/0!</v>
          </cell>
        </row>
        <row r="3275">
          <cell r="E3275" t="str">
            <v>HGC-Lib-2465516</v>
          </cell>
          <cell r="F3275" t="str">
            <v>LD240730O-1768A</v>
          </cell>
          <cell r="G3275">
            <v>10</v>
          </cell>
          <cell r="H3275" t="str">
            <v>DNA宏基因组文库</v>
          </cell>
          <cell r="I3275" t="str">
            <v>WWH</v>
          </cell>
          <cell r="J3275">
            <v>60.8</v>
          </cell>
          <cell r="N3275" t="e">
            <v>#DIV/0!</v>
          </cell>
        </row>
        <row r="3276">
          <cell r="E3276" t="str">
            <v>HGC-Lib-2465517</v>
          </cell>
          <cell r="F3276" t="str">
            <v>LD240730O-1769A</v>
          </cell>
          <cell r="G3276">
            <v>10</v>
          </cell>
          <cell r="H3276" t="str">
            <v>DNA宏基因组文库</v>
          </cell>
          <cell r="I3276" t="str">
            <v>WWH</v>
          </cell>
          <cell r="J3276">
            <v>46.4</v>
          </cell>
          <cell r="N3276" t="e">
            <v>#DIV/0!</v>
          </cell>
        </row>
        <row r="3277">
          <cell r="E3277" t="str">
            <v>HGC-Lib-2465518</v>
          </cell>
          <cell r="F3277" t="str">
            <v>LD240730O-1770A</v>
          </cell>
          <cell r="G3277">
            <v>10</v>
          </cell>
          <cell r="H3277" t="str">
            <v>DNA宏基因组文库</v>
          </cell>
          <cell r="I3277" t="str">
            <v>WWH</v>
          </cell>
          <cell r="J3277">
            <v>69.400000000000006</v>
          </cell>
          <cell r="N3277" t="e">
            <v>#DIV/0!</v>
          </cell>
        </row>
        <row r="3278">
          <cell r="E3278" t="str">
            <v>HGC-Lib-2465519</v>
          </cell>
          <cell r="F3278" t="str">
            <v>LD240730O-1771A</v>
          </cell>
          <cell r="G3278">
            <v>10</v>
          </cell>
          <cell r="H3278" t="str">
            <v>DNA宏基因组文库</v>
          </cell>
          <cell r="I3278" t="str">
            <v>WWH</v>
          </cell>
          <cell r="J3278">
            <v>17.7</v>
          </cell>
          <cell r="N3278" t="e">
            <v>#DIV/0!</v>
          </cell>
        </row>
        <row r="3279">
          <cell r="E3279" t="str">
            <v>HGC-Lib-2465520</v>
          </cell>
          <cell r="F3279" t="str">
            <v>LD240730O-1772A</v>
          </cell>
          <cell r="G3279">
            <v>10</v>
          </cell>
          <cell r="H3279" t="str">
            <v>DNA宏基因组文库</v>
          </cell>
          <cell r="I3279" t="str">
            <v>WWH</v>
          </cell>
          <cell r="J3279">
            <v>12.8</v>
          </cell>
          <cell r="N3279" t="e">
            <v>#DIV/0!</v>
          </cell>
        </row>
        <row r="3280">
          <cell r="E3280" t="str">
            <v>HGC-Lib-2465521</v>
          </cell>
          <cell r="F3280" t="str">
            <v>LD240730O-1773A</v>
          </cell>
          <cell r="G3280">
            <v>10</v>
          </cell>
          <cell r="H3280" t="str">
            <v>DNA宏基因组文库</v>
          </cell>
          <cell r="I3280" t="str">
            <v>WWH</v>
          </cell>
          <cell r="J3280">
            <v>39.6</v>
          </cell>
          <cell r="N3280" t="e">
            <v>#DIV/0!</v>
          </cell>
        </row>
        <row r="3281">
          <cell r="E3281" t="str">
            <v>HGC-Lib-2465522</v>
          </cell>
          <cell r="F3281" t="str">
            <v>LD240730O-1774A</v>
          </cell>
          <cell r="G3281">
            <v>10</v>
          </cell>
          <cell r="H3281" t="str">
            <v>DNA宏基因组文库</v>
          </cell>
          <cell r="I3281" t="str">
            <v>WWH</v>
          </cell>
          <cell r="J3281">
            <v>40.6</v>
          </cell>
          <cell r="N3281" t="e">
            <v>#DIV/0!</v>
          </cell>
        </row>
        <row r="3282">
          <cell r="E3282" t="str">
            <v>HGC-Lib-2465523</v>
          </cell>
          <cell r="F3282" t="str">
            <v>LD240730O-1775A</v>
          </cell>
          <cell r="G3282">
            <v>10</v>
          </cell>
          <cell r="H3282" t="str">
            <v>DNA宏基因组文库</v>
          </cell>
          <cell r="I3282" t="str">
            <v>WWH</v>
          </cell>
          <cell r="J3282">
            <v>9.68</v>
          </cell>
          <cell r="N3282" t="e">
            <v>#DIV/0!</v>
          </cell>
        </row>
        <row r="3283">
          <cell r="E3283" t="str">
            <v>HGC-Lib-2465524</v>
          </cell>
          <cell r="F3283" t="str">
            <v>LD240730O-1776A</v>
          </cell>
          <cell r="G3283">
            <v>10</v>
          </cell>
          <cell r="H3283" t="str">
            <v>DNA宏基因组文库</v>
          </cell>
          <cell r="I3283" t="str">
            <v>WWH</v>
          </cell>
          <cell r="J3283">
            <v>23.8</v>
          </cell>
          <cell r="N3283" t="e">
            <v>#DIV/0!</v>
          </cell>
        </row>
        <row r="3284">
          <cell r="E3284" t="str">
            <v>HGC-Lib-2465525</v>
          </cell>
          <cell r="F3284" t="str">
            <v>LD240730O-1777A</v>
          </cell>
          <cell r="G3284">
            <v>10</v>
          </cell>
          <cell r="H3284" t="str">
            <v>DNA宏基因组文库</v>
          </cell>
          <cell r="I3284" t="str">
            <v>WWH</v>
          </cell>
          <cell r="J3284">
            <v>15.4</v>
          </cell>
          <cell r="N3284" t="e">
            <v>#DIV/0!</v>
          </cell>
        </row>
        <row r="3285">
          <cell r="E3285" t="str">
            <v>HGC-Lib-2465526</v>
          </cell>
          <cell r="F3285" t="str">
            <v>LD240730O-1778A</v>
          </cell>
          <cell r="G3285">
            <v>10</v>
          </cell>
          <cell r="H3285" t="str">
            <v>DNA宏基因组文库</v>
          </cell>
          <cell r="I3285" t="str">
            <v>WWH</v>
          </cell>
          <cell r="J3285">
            <v>15</v>
          </cell>
          <cell r="N3285" t="e">
            <v>#DIV/0!</v>
          </cell>
        </row>
        <row r="3286">
          <cell r="E3286" t="str">
            <v>HGC-Lib-2465527</v>
          </cell>
          <cell r="F3286" t="str">
            <v>LD240730O-1779A</v>
          </cell>
          <cell r="G3286">
            <v>10</v>
          </cell>
          <cell r="H3286" t="str">
            <v>DNA宏基因组文库</v>
          </cell>
          <cell r="I3286" t="str">
            <v>WWH</v>
          </cell>
          <cell r="J3286">
            <v>54.2</v>
          </cell>
          <cell r="N3286" t="e">
            <v>#DIV/0!</v>
          </cell>
        </row>
        <row r="3287">
          <cell r="E3287" t="str">
            <v>HGC-Lib-2465528</v>
          </cell>
          <cell r="F3287" t="str">
            <v>LD240730O-1780A</v>
          </cell>
          <cell r="G3287">
            <v>10</v>
          </cell>
          <cell r="H3287" t="str">
            <v>DNA宏基因组文库</v>
          </cell>
          <cell r="I3287" t="str">
            <v>WWH</v>
          </cell>
          <cell r="J3287">
            <v>87.8</v>
          </cell>
          <cell r="N3287" t="e">
            <v>#DIV/0!</v>
          </cell>
        </row>
        <row r="3288">
          <cell r="E3288" t="str">
            <v>HGC-Lib-2465529</v>
          </cell>
          <cell r="F3288" t="str">
            <v>LD240730O-1781A</v>
          </cell>
          <cell r="G3288">
            <v>10</v>
          </cell>
          <cell r="H3288" t="str">
            <v>DNA宏基因组文库</v>
          </cell>
          <cell r="I3288" t="str">
            <v>WWH</v>
          </cell>
          <cell r="J3288">
            <v>65</v>
          </cell>
          <cell r="N3288" t="e">
            <v>#DIV/0!</v>
          </cell>
        </row>
        <row r="3289">
          <cell r="E3289" t="str">
            <v>HGC-Lib-2465530</v>
          </cell>
          <cell r="F3289" t="str">
            <v>LD240730O-1782A</v>
          </cell>
          <cell r="G3289">
            <v>10</v>
          </cell>
          <cell r="H3289" t="str">
            <v>DNA宏基因组文库</v>
          </cell>
          <cell r="I3289" t="str">
            <v>WWH</v>
          </cell>
          <cell r="J3289">
            <v>76.400000000000006</v>
          </cell>
          <cell r="N3289" t="e">
            <v>#DIV/0!</v>
          </cell>
        </row>
        <row r="3290">
          <cell r="E3290" t="str">
            <v>HGC-Lib-2465531</v>
          </cell>
          <cell r="F3290" t="str">
            <v>LD240730O-1783A</v>
          </cell>
          <cell r="G3290">
            <v>10</v>
          </cell>
          <cell r="H3290" t="str">
            <v>DNA宏基因组文库</v>
          </cell>
          <cell r="I3290" t="str">
            <v>WWH</v>
          </cell>
          <cell r="J3290">
            <v>35.200000000000003</v>
          </cell>
          <cell r="N3290" t="e">
            <v>#DIV/0!</v>
          </cell>
        </row>
        <row r="3291">
          <cell r="E3291" t="str">
            <v>HGC-Lib-2465532</v>
          </cell>
          <cell r="F3291" t="str">
            <v>LD240730O-1784A</v>
          </cell>
          <cell r="G3291">
            <v>10</v>
          </cell>
          <cell r="H3291" t="str">
            <v>DNA宏基因组文库</v>
          </cell>
          <cell r="I3291" t="str">
            <v>WWH</v>
          </cell>
          <cell r="J3291">
            <v>78.599999999999994</v>
          </cell>
          <cell r="N3291" t="e">
            <v>#DIV/0!</v>
          </cell>
        </row>
        <row r="3292">
          <cell r="E3292" t="str">
            <v>HGC-Lib-2465533</v>
          </cell>
          <cell r="F3292" t="str">
            <v>LD240730O-1785A</v>
          </cell>
          <cell r="G3292">
            <v>10</v>
          </cell>
          <cell r="H3292" t="str">
            <v>DNA宏基因组文库</v>
          </cell>
          <cell r="I3292" t="str">
            <v>WWH</v>
          </cell>
          <cell r="J3292">
            <v>47</v>
          </cell>
          <cell r="N3292" t="e">
            <v>#DIV/0!</v>
          </cell>
        </row>
        <row r="3293">
          <cell r="E3293" t="str">
            <v>HGC-Lib-2465534</v>
          </cell>
          <cell r="F3293" t="str">
            <v>LD240730O-1786A</v>
          </cell>
          <cell r="G3293">
            <v>10</v>
          </cell>
          <cell r="H3293" t="str">
            <v>DNA宏基因组文库</v>
          </cell>
          <cell r="I3293" t="str">
            <v>WWH</v>
          </cell>
          <cell r="J3293">
            <v>27.8</v>
          </cell>
          <cell r="N3293" t="e">
            <v>#DIV/0!</v>
          </cell>
        </row>
        <row r="3294">
          <cell r="E3294" t="str">
            <v>HGC-Lib-2465535</v>
          </cell>
          <cell r="F3294" t="str">
            <v>LD240730O-1787A</v>
          </cell>
          <cell r="G3294">
            <v>10</v>
          </cell>
          <cell r="H3294" t="str">
            <v>DNA宏基因组文库</v>
          </cell>
          <cell r="I3294" t="str">
            <v>WWH</v>
          </cell>
          <cell r="J3294">
            <v>42.4</v>
          </cell>
          <cell r="N3294" t="e">
            <v>#DIV/0!</v>
          </cell>
        </row>
        <row r="3295">
          <cell r="E3295" t="str">
            <v>HGC-Lib-2465536</v>
          </cell>
          <cell r="F3295" t="str">
            <v>LD240730O-1788A</v>
          </cell>
          <cell r="G3295">
            <v>10</v>
          </cell>
          <cell r="H3295" t="str">
            <v>DNA宏基因组文库</v>
          </cell>
          <cell r="I3295" t="str">
            <v>WWH</v>
          </cell>
          <cell r="J3295">
            <v>25.8</v>
          </cell>
          <cell r="N3295" t="e">
            <v>#DIV/0!</v>
          </cell>
        </row>
        <row r="3296">
          <cell r="E3296" t="str">
            <v>HGC-Lib-2465537</v>
          </cell>
          <cell r="F3296" t="str">
            <v>LD240730O-1789A</v>
          </cell>
          <cell r="G3296">
            <v>10</v>
          </cell>
          <cell r="H3296" t="str">
            <v>DNA宏基因组文库</v>
          </cell>
          <cell r="I3296" t="str">
            <v>WWH</v>
          </cell>
          <cell r="J3296">
            <v>45</v>
          </cell>
          <cell r="N3296" t="e">
            <v>#DIV/0!</v>
          </cell>
        </row>
        <row r="3297">
          <cell r="E3297" t="str">
            <v>HGC-Lib-2465538</v>
          </cell>
          <cell r="F3297" t="str">
            <v>LD240730O-1790A</v>
          </cell>
          <cell r="G3297">
            <v>10</v>
          </cell>
          <cell r="H3297" t="str">
            <v>DNA宏基因组文库</v>
          </cell>
          <cell r="I3297" t="str">
            <v>WWH</v>
          </cell>
          <cell r="J3297">
            <v>17.8</v>
          </cell>
          <cell r="N3297" t="e">
            <v>#DIV/0!</v>
          </cell>
        </row>
        <row r="3298">
          <cell r="E3298" t="str">
            <v>HGC-Lib-2465539</v>
          </cell>
          <cell r="F3298" t="str">
            <v>LD240730O-1791A</v>
          </cell>
          <cell r="G3298">
            <v>10</v>
          </cell>
          <cell r="H3298" t="str">
            <v>DNA宏基因组文库</v>
          </cell>
          <cell r="I3298" t="str">
            <v>WWH</v>
          </cell>
          <cell r="J3298">
            <v>14.7</v>
          </cell>
          <cell r="N3298" t="e">
            <v>#DIV/0!</v>
          </cell>
        </row>
        <row r="3299">
          <cell r="E3299" t="str">
            <v>HGC-Lib-2465540</v>
          </cell>
          <cell r="F3299" t="str">
            <v>LD240730O-1792A</v>
          </cell>
          <cell r="G3299">
            <v>10</v>
          </cell>
          <cell r="H3299" t="str">
            <v>DNA宏基因组文库</v>
          </cell>
          <cell r="I3299" t="str">
            <v>WWH</v>
          </cell>
          <cell r="J3299">
            <v>38.799999999999997</v>
          </cell>
          <cell r="N3299" t="e">
            <v>#DIV/0!</v>
          </cell>
        </row>
        <row r="3300">
          <cell r="E3300" t="str">
            <v>HGC-Lib-2465541</v>
          </cell>
          <cell r="F3300" t="str">
            <v>LD240730O-1793A</v>
          </cell>
          <cell r="G3300">
            <v>10</v>
          </cell>
          <cell r="H3300" t="str">
            <v>DNA宏基因组文库</v>
          </cell>
          <cell r="I3300" t="str">
            <v>WWH</v>
          </cell>
          <cell r="J3300">
            <v>0.22800000000000001</v>
          </cell>
          <cell r="N3300" t="e">
            <v>#DIV/0!</v>
          </cell>
        </row>
        <row r="3301">
          <cell r="E3301" t="str">
            <v>HGC-Lib-2465542</v>
          </cell>
          <cell r="F3301" t="str">
            <v>LD240730O-1794A</v>
          </cell>
          <cell r="G3301">
            <v>10</v>
          </cell>
          <cell r="H3301" t="str">
            <v>DNA宏基因组文库</v>
          </cell>
          <cell r="I3301" t="str">
            <v>WWH</v>
          </cell>
          <cell r="J3301">
            <v>2.64</v>
          </cell>
          <cell r="N3301" t="e">
            <v>#DIV/0!</v>
          </cell>
        </row>
        <row r="3302">
          <cell r="E3302" t="str">
            <v>HGC-Lib-2465543</v>
          </cell>
          <cell r="F3302" t="str">
            <v>LD240730O-1795A</v>
          </cell>
          <cell r="G3302">
            <v>10</v>
          </cell>
          <cell r="H3302" t="str">
            <v>DNA宏基因组文库</v>
          </cell>
          <cell r="I3302" t="str">
            <v>WWH</v>
          </cell>
          <cell r="J3302">
            <v>4.5</v>
          </cell>
          <cell r="N3302" t="e">
            <v>#DIV/0!</v>
          </cell>
        </row>
        <row r="3303">
          <cell r="E3303" t="str">
            <v>HGC-Lib-2465544</v>
          </cell>
          <cell r="F3303" t="str">
            <v>LD240730O-1796A</v>
          </cell>
          <cell r="G3303">
            <v>10</v>
          </cell>
          <cell r="H3303" t="str">
            <v>DNA宏基因组文库</v>
          </cell>
          <cell r="I3303" t="str">
            <v>WWH</v>
          </cell>
          <cell r="J3303">
            <v>5.14</v>
          </cell>
          <cell r="N3303" t="e">
            <v>#DIV/0!</v>
          </cell>
        </row>
        <row r="3304">
          <cell r="E3304" t="str">
            <v>HGC-Lib-2465545</v>
          </cell>
          <cell r="F3304" t="str">
            <v>LD240801O-2265A</v>
          </cell>
          <cell r="G3304">
            <v>1</v>
          </cell>
          <cell r="H3304" t="str">
            <v>DNA基因组文库</v>
          </cell>
          <cell r="I3304" t="str">
            <v>WWH</v>
          </cell>
          <cell r="J3304">
            <v>47</v>
          </cell>
          <cell r="M3304" t="str">
            <v>加水50ul</v>
          </cell>
          <cell r="N3304" t="e">
            <v>#DIV/0!</v>
          </cell>
        </row>
        <row r="3305">
          <cell r="E3305" t="str">
            <v>HGC-Lib-2465546</v>
          </cell>
          <cell r="F3305" t="str">
            <v>LD240801O-2266A</v>
          </cell>
          <cell r="G3305">
            <v>1</v>
          </cell>
          <cell r="H3305" t="str">
            <v>DNA基因组文库</v>
          </cell>
          <cell r="I3305" t="str">
            <v>WWH</v>
          </cell>
          <cell r="J3305">
            <v>63</v>
          </cell>
          <cell r="N3305" t="e">
            <v>#DIV/0!</v>
          </cell>
        </row>
        <row r="3306">
          <cell r="E3306" t="str">
            <v>HGC-Lib-2465547</v>
          </cell>
          <cell r="F3306" t="str">
            <v>LD240801O-2267A</v>
          </cell>
          <cell r="G3306">
            <v>1</v>
          </cell>
          <cell r="H3306" t="str">
            <v>DNA基因组文库</v>
          </cell>
          <cell r="I3306" t="str">
            <v>WWH</v>
          </cell>
          <cell r="J3306">
            <v>5.18</v>
          </cell>
          <cell r="N3306" t="e">
            <v>#DIV/0!</v>
          </cell>
        </row>
        <row r="3307">
          <cell r="E3307" t="str">
            <v>HGC-Lib-2465548</v>
          </cell>
          <cell r="F3307" t="str">
            <v>LD240801O-2268A</v>
          </cell>
          <cell r="G3307">
            <v>1</v>
          </cell>
          <cell r="H3307" t="str">
            <v>DNA基因组文库</v>
          </cell>
          <cell r="I3307" t="str">
            <v>WWH</v>
          </cell>
          <cell r="J3307">
            <v>34.6</v>
          </cell>
          <cell r="N3307" t="e">
            <v>#DIV/0!</v>
          </cell>
        </row>
        <row r="3308">
          <cell r="E3308" t="str">
            <v>HGC-Lib-2465549</v>
          </cell>
          <cell r="F3308" t="str">
            <v>LD240801O-2269A</v>
          </cell>
          <cell r="G3308">
            <v>1</v>
          </cell>
          <cell r="H3308" t="str">
            <v>DNA基因组文库</v>
          </cell>
          <cell r="I3308" t="str">
            <v>WWH</v>
          </cell>
          <cell r="J3308">
            <v>42.2</v>
          </cell>
          <cell r="N3308" t="e">
            <v>#DIV/0!</v>
          </cell>
        </row>
        <row r="3309">
          <cell r="E3309" t="str">
            <v>HGC-Lib-2465550</v>
          </cell>
          <cell r="F3309" t="str">
            <v>LD240801O-2270A</v>
          </cell>
          <cell r="G3309">
            <v>1</v>
          </cell>
          <cell r="H3309" t="str">
            <v>DNA基因组文库</v>
          </cell>
          <cell r="I3309" t="str">
            <v>WWH</v>
          </cell>
          <cell r="J3309">
            <v>9.06</v>
          </cell>
          <cell r="N3309" t="e">
            <v>#DIV/0!</v>
          </cell>
        </row>
        <row r="3310">
          <cell r="E3310" t="str">
            <v>HGC-Lib-2465551</v>
          </cell>
          <cell r="F3310" t="str">
            <v>LD240801O-2271A</v>
          </cell>
          <cell r="G3310">
            <v>1</v>
          </cell>
          <cell r="H3310" t="str">
            <v>DNA基因组文库</v>
          </cell>
          <cell r="I3310" t="str">
            <v>WWH</v>
          </cell>
          <cell r="J3310">
            <v>13.9</v>
          </cell>
          <cell r="N3310" t="e">
            <v>#DIV/0!</v>
          </cell>
        </row>
        <row r="3311">
          <cell r="E3311" t="str">
            <v>HGC-Lib-2465552</v>
          </cell>
          <cell r="F3311" t="str">
            <v>LD240801O-2272A</v>
          </cell>
          <cell r="G3311">
            <v>1</v>
          </cell>
          <cell r="H3311" t="str">
            <v>DNA基因组文库</v>
          </cell>
          <cell r="I3311" t="str">
            <v>WWH</v>
          </cell>
          <cell r="J3311">
            <v>51.2</v>
          </cell>
          <cell r="N3311" t="e">
            <v>#DIV/0!</v>
          </cell>
        </row>
        <row r="3312">
          <cell r="E3312" t="str">
            <v>HGC-Lib-2465553</v>
          </cell>
          <cell r="F3312" t="str">
            <v>LD240801O-2273A</v>
          </cell>
          <cell r="G3312">
            <v>1</v>
          </cell>
          <cell r="H3312" t="str">
            <v>DNA基因组文库</v>
          </cell>
          <cell r="I3312" t="str">
            <v>WWH</v>
          </cell>
          <cell r="J3312">
            <v>60.4</v>
          </cell>
          <cell r="N3312" t="e">
            <v>#DIV/0!</v>
          </cell>
        </row>
        <row r="3313">
          <cell r="E3313" t="str">
            <v>HGC-Lib-2465554</v>
          </cell>
          <cell r="F3313" t="str">
            <v>LD240801O-2274A</v>
          </cell>
          <cell r="G3313">
            <v>1</v>
          </cell>
          <cell r="H3313" t="str">
            <v>DNA基因组文库</v>
          </cell>
          <cell r="I3313" t="str">
            <v>WWH</v>
          </cell>
          <cell r="J3313">
            <v>16.3</v>
          </cell>
          <cell r="N3313" t="e">
            <v>#DIV/0!</v>
          </cell>
        </row>
        <row r="3314">
          <cell r="E3314" t="str">
            <v>HGC-Lib-2465555</v>
          </cell>
          <cell r="F3314" t="str">
            <v>LD240801O-2275A</v>
          </cell>
          <cell r="G3314">
            <v>1</v>
          </cell>
          <cell r="H3314" t="str">
            <v>DNA基因组文库</v>
          </cell>
          <cell r="I3314" t="str">
            <v>WWH</v>
          </cell>
          <cell r="J3314">
            <v>54</v>
          </cell>
          <cell r="N3314" t="e">
            <v>#DIV/0!</v>
          </cell>
        </row>
        <row r="3315">
          <cell r="E3315" t="str">
            <v>HGC-Lib-2465556</v>
          </cell>
          <cell r="F3315" t="str">
            <v>LD240801O-2276A</v>
          </cell>
          <cell r="G3315">
            <v>1</v>
          </cell>
          <cell r="H3315" t="str">
            <v>DNA基因组文库</v>
          </cell>
          <cell r="I3315" t="str">
            <v>WWH</v>
          </cell>
          <cell r="J3315">
            <v>91.6</v>
          </cell>
          <cell r="N3315" t="e">
            <v>#DIV/0!</v>
          </cell>
        </row>
        <row r="3316">
          <cell r="E3316" t="str">
            <v>HGC-Lib-2465557</v>
          </cell>
          <cell r="F3316" t="str">
            <v>LD240801O-2277A</v>
          </cell>
          <cell r="G3316">
            <v>1</v>
          </cell>
          <cell r="H3316" t="str">
            <v>DNA基因组文库</v>
          </cell>
          <cell r="I3316" t="str">
            <v>WH</v>
          </cell>
          <cell r="J3316">
            <v>18.399999999999999</v>
          </cell>
          <cell r="N3316" t="e">
            <v>#DIV/0!</v>
          </cell>
        </row>
        <row r="3317">
          <cell r="E3317" t="str">
            <v>HGC-Lib-2465558</v>
          </cell>
          <cell r="F3317" t="str">
            <v>LD240801O-2278A</v>
          </cell>
          <cell r="G3317">
            <v>1</v>
          </cell>
          <cell r="H3317" t="str">
            <v>DNA基因组文库</v>
          </cell>
          <cell r="I3317" t="str">
            <v>WH</v>
          </cell>
          <cell r="J3317">
            <v>39</v>
          </cell>
          <cell r="N3317" t="e">
            <v>#DIV/0!</v>
          </cell>
        </row>
        <row r="3318">
          <cell r="E3318" t="str">
            <v>HGC-Lib-2465559</v>
          </cell>
          <cell r="F3318" t="str">
            <v>LD240801O-2279A</v>
          </cell>
          <cell r="G3318">
            <v>1</v>
          </cell>
          <cell r="H3318" t="str">
            <v>DNA基因组文库</v>
          </cell>
          <cell r="I3318" t="str">
            <v>WH</v>
          </cell>
          <cell r="J3318">
            <v>88.2</v>
          </cell>
          <cell r="N3318" t="e">
            <v>#DIV/0!</v>
          </cell>
        </row>
        <row r="3319">
          <cell r="E3319" t="str">
            <v>HGC-Lib-2465560</v>
          </cell>
          <cell r="F3319" t="str">
            <v>LD240801O-2280A</v>
          </cell>
          <cell r="G3319">
            <v>1</v>
          </cell>
          <cell r="H3319" t="str">
            <v>DNA基因组文库</v>
          </cell>
          <cell r="I3319" t="str">
            <v>WH</v>
          </cell>
          <cell r="J3319">
            <v>39</v>
          </cell>
          <cell r="N3319" t="e">
            <v>#DIV/0!</v>
          </cell>
        </row>
        <row r="3320">
          <cell r="E3320" t="str">
            <v>HGC-Lib-2465561</v>
          </cell>
          <cell r="F3320" t="str">
            <v>LD240802D-0681A</v>
          </cell>
          <cell r="G3320">
            <v>15</v>
          </cell>
          <cell r="H3320" t="str">
            <v>DNA宏基因组文库</v>
          </cell>
          <cell r="I3320" t="str">
            <v>WH</v>
          </cell>
          <cell r="J3320">
            <v>49.4</v>
          </cell>
          <cell r="N3320" t="e">
            <v>#DIV/0!</v>
          </cell>
        </row>
        <row r="3321">
          <cell r="E3321" t="str">
            <v>HGC-Lib-2465562</v>
          </cell>
          <cell r="F3321" t="str">
            <v>LD240802D-0683A</v>
          </cell>
          <cell r="G3321">
            <v>15</v>
          </cell>
          <cell r="H3321" t="str">
            <v>DNA宏基因组文库</v>
          </cell>
          <cell r="I3321" t="str">
            <v>WH</v>
          </cell>
          <cell r="J3321">
            <v>3.9</v>
          </cell>
          <cell r="N3321" t="e">
            <v>#DIV/0!</v>
          </cell>
        </row>
        <row r="3322">
          <cell r="E3322" t="str">
            <v>HGC-Lib-2465563</v>
          </cell>
          <cell r="F3322" t="str">
            <v>LD240802D-0684A</v>
          </cell>
          <cell r="G3322">
            <v>15</v>
          </cell>
          <cell r="H3322" t="str">
            <v>DNA宏基因组文库</v>
          </cell>
          <cell r="I3322" t="str">
            <v>WH</v>
          </cell>
          <cell r="J3322">
            <v>4.82</v>
          </cell>
          <cell r="N3322" t="e">
            <v>#DIV/0!</v>
          </cell>
        </row>
        <row r="3323">
          <cell r="E3323" t="str">
            <v>HGC-Lib-2465564</v>
          </cell>
          <cell r="F3323" t="str">
            <v>LD240802D-0686A</v>
          </cell>
          <cell r="G3323">
            <v>15</v>
          </cell>
          <cell r="H3323" t="str">
            <v>DNA宏基因组文库</v>
          </cell>
          <cell r="I3323" t="str">
            <v>WH</v>
          </cell>
          <cell r="J3323">
            <v>5.18</v>
          </cell>
          <cell r="N3323" t="e">
            <v>#DIV/0!</v>
          </cell>
        </row>
        <row r="3324">
          <cell r="E3324" t="str">
            <v>HGC-Lib-2465565</v>
          </cell>
          <cell r="F3324" t="str">
            <v>LD240802D-0687A</v>
          </cell>
          <cell r="G3324">
            <v>15</v>
          </cell>
          <cell r="H3324" t="str">
            <v>DNA宏基因组文库</v>
          </cell>
          <cell r="I3324" t="str">
            <v>WH</v>
          </cell>
          <cell r="J3324">
            <v>70</v>
          </cell>
          <cell r="N3324" t="e">
            <v>#DIV/0!</v>
          </cell>
        </row>
        <row r="3325">
          <cell r="E3325" t="str">
            <v>HGC-Lib-2465566</v>
          </cell>
          <cell r="F3325" t="str">
            <v>LD240802D-0688A</v>
          </cell>
          <cell r="G3325">
            <v>15</v>
          </cell>
          <cell r="H3325" t="str">
            <v>DNA宏基因组文库</v>
          </cell>
          <cell r="I3325" t="str">
            <v>WH</v>
          </cell>
          <cell r="J3325">
            <v>65.2</v>
          </cell>
          <cell r="N3325" t="e">
            <v>#DIV/0!</v>
          </cell>
        </row>
        <row r="3326">
          <cell r="E3326" t="str">
            <v>HGC-Lib-2465567</v>
          </cell>
          <cell r="F3326" t="str">
            <v>LD240802D-0689A</v>
          </cell>
          <cell r="G3326">
            <v>15</v>
          </cell>
          <cell r="H3326" t="str">
            <v>DNA宏基因组文库</v>
          </cell>
          <cell r="I3326" t="str">
            <v>WH</v>
          </cell>
          <cell r="J3326">
            <v>34.6</v>
          </cell>
          <cell r="N3326" t="e">
            <v>#DIV/0!</v>
          </cell>
        </row>
        <row r="3327">
          <cell r="E3327" t="str">
            <v>HGC-Lib-2465568</v>
          </cell>
          <cell r="F3327" t="str">
            <v>LD240802D-0690A</v>
          </cell>
          <cell r="G3327">
            <v>15</v>
          </cell>
          <cell r="H3327" t="str">
            <v>DNA宏基因组文库</v>
          </cell>
          <cell r="I3327" t="str">
            <v>WH</v>
          </cell>
          <cell r="J3327">
            <v>13.7</v>
          </cell>
          <cell r="N3327" t="e">
            <v>#DIV/0!</v>
          </cell>
        </row>
        <row r="3328">
          <cell r="E3328" t="str">
            <v>HGC-Lib-2465569</v>
          </cell>
          <cell r="F3328" t="str">
            <v>LD240802D-0691A</v>
          </cell>
          <cell r="G3328">
            <v>15</v>
          </cell>
          <cell r="H3328" t="str">
            <v>DNA宏基因组文库</v>
          </cell>
          <cell r="I3328" t="str">
            <v>WH</v>
          </cell>
          <cell r="J3328">
            <v>52.8</v>
          </cell>
          <cell r="N3328" t="e">
            <v>#DIV/0!</v>
          </cell>
        </row>
        <row r="3329">
          <cell r="E3329" t="str">
            <v>HGC-Lib-2465570</v>
          </cell>
          <cell r="F3329" t="str">
            <v>LD240802D-0692A</v>
          </cell>
          <cell r="G3329">
            <v>15</v>
          </cell>
          <cell r="H3329" t="str">
            <v>DNA宏基因组文库</v>
          </cell>
          <cell r="I3329" t="str">
            <v>WH</v>
          </cell>
          <cell r="J3329">
            <v>9.6</v>
          </cell>
          <cell r="N3329" t="e">
            <v>#DIV/0!</v>
          </cell>
        </row>
        <row r="3330">
          <cell r="E3330" t="str">
            <v>HGC-Lib-2465571</v>
          </cell>
          <cell r="F3330" t="str">
            <v>LD240802D-0696A</v>
          </cell>
          <cell r="G3330">
            <v>15</v>
          </cell>
          <cell r="H3330" t="str">
            <v>DNA宏基因组文库</v>
          </cell>
          <cell r="I3330" t="str">
            <v>WH</v>
          </cell>
          <cell r="J3330">
            <v>25.6</v>
          </cell>
          <cell r="N3330" t="e">
            <v>#DIV/0!</v>
          </cell>
        </row>
        <row r="3331">
          <cell r="E3331" t="str">
            <v>HGC-Lib-2465572</v>
          </cell>
          <cell r="F3331" t="str">
            <v>LD240802D-0697A</v>
          </cell>
          <cell r="G3331">
            <v>15</v>
          </cell>
          <cell r="H3331" t="str">
            <v>DNA宏基因组文库</v>
          </cell>
          <cell r="I3331" t="str">
            <v>WH</v>
          </cell>
          <cell r="J3331">
            <v>31.2</v>
          </cell>
          <cell r="N3331" t="e">
            <v>#DIV/0!</v>
          </cell>
        </row>
        <row r="3332">
          <cell r="E3332" t="str">
            <v>HGC-Lib-2465573</v>
          </cell>
          <cell r="F3332" t="str">
            <v>LD240802D-0698A</v>
          </cell>
          <cell r="G3332">
            <v>15</v>
          </cell>
          <cell r="H3332" t="str">
            <v>DNA宏基因组文库</v>
          </cell>
          <cell r="I3332" t="str">
            <v>WH</v>
          </cell>
          <cell r="J3332">
            <v>30.6</v>
          </cell>
          <cell r="N3332" t="e">
            <v>#DIV/0!</v>
          </cell>
        </row>
        <row r="3333">
          <cell r="E3333" t="str">
            <v>HGC-Lib-2465574</v>
          </cell>
          <cell r="F3333" t="str">
            <v>LD240802D-0701A</v>
          </cell>
          <cell r="G3333">
            <v>15</v>
          </cell>
          <cell r="H3333" t="str">
            <v>DNA宏基因组文库</v>
          </cell>
          <cell r="I3333" t="str">
            <v>WH</v>
          </cell>
          <cell r="J3333">
            <v>6.22</v>
          </cell>
          <cell r="N3333" t="e">
            <v>#DIV/0!</v>
          </cell>
        </row>
        <row r="3334">
          <cell r="E3334" t="str">
            <v>HGC-Lib-2465575</v>
          </cell>
          <cell r="F3334" t="str">
            <v>LD240802D-0702A</v>
          </cell>
          <cell r="G3334">
            <v>15</v>
          </cell>
          <cell r="H3334" t="str">
            <v>DNA宏基因组文库</v>
          </cell>
          <cell r="I3334" t="str">
            <v>WH</v>
          </cell>
          <cell r="J3334">
            <v>14.7</v>
          </cell>
          <cell r="N3334" t="e">
            <v>#DIV/0!</v>
          </cell>
        </row>
        <row r="3335">
          <cell r="E3335" t="str">
            <v>HGC-Lib-2465576</v>
          </cell>
          <cell r="F3335" t="str">
            <v>LD240802D-0703A</v>
          </cell>
          <cell r="G3335">
            <v>15</v>
          </cell>
          <cell r="H3335" t="str">
            <v>DNA宏基因组文库</v>
          </cell>
          <cell r="I3335" t="str">
            <v>WH</v>
          </cell>
          <cell r="J3335">
            <v>7.64</v>
          </cell>
          <cell r="N3335" t="e">
            <v>#DIV/0!</v>
          </cell>
        </row>
        <row r="3336">
          <cell r="E3336" t="str">
            <v>HGC-Lib-2465577</v>
          </cell>
          <cell r="F3336" t="str">
            <v>LD240802D-0705A</v>
          </cell>
          <cell r="G3336">
            <v>15</v>
          </cell>
          <cell r="H3336" t="str">
            <v>DNA宏基因组文库</v>
          </cell>
          <cell r="I3336" t="str">
            <v>ZZ</v>
          </cell>
          <cell r="J3336">
            <v>32.6</v>
          </cell>
          <cell r="N3336" t="e">
            <v>#DIV/0!</v>
          </cell>
        </row>
        <row r="3337">
          <cell r="E3337" t="str">
            <v>HGC-Lib-2465578</v>
          </cell>
          <cell r="F3337" t="str">
            <v>LD240802D-0706A</v>
          </cell>
          <cell r="G3337">
            <v>15</v>
          </cell>
          <cell r="H3337" t="str">
            <v>DNA宏基因组文库</v>
          </cell>
          <cell r="I3337" t="str">
            <v>ZZ</v>
          </cell>
          <cell r="J3337">
            <v>27.4</v>
          </cell>
          <cell r="N3337" t="e">
            <v>#DIV/0!</v>
          </cell>
        </row>
        <row r="3338">
          <cell r="E3338" t="str">
            <v>HGC-Lib-2465579</v>
          </cell>
          <cell r="F3338" t="str">
            <v>LD240802D-0708A</v>
          </cell>
          <cell r="G3338">
            <v>15</v>
          </cell>
          <cell r="H3338" t="str">
            <v>DNA宏基因组文库</v>
          </cell>
          <cell r="I3338" t="str">
            <v>ZZ</v>
          </cell>
          <cell r="J3338">
            <v>24.6</v>
          </cell>
          <cell r="N3338" t="e">
            <v>#DIV/0!</v>
          </cell>
        </row>
        <row r="3339">
          <cell r="E3339" t="str">
            <v>HGC-Lib-2465580</v>
          </cell>
          <cell r="F3339" t="str">
            <v>LD240802D-0710A</v>
          </cell>
          <cell r="G3339">
            <v>15</v>
          </cell>
          <cell r="H3339" t="str">
            <v>DNA宏基因组文库</v>
          </cell>
          <cell r="I3339" t="str">
            <v>ZZ</v>
          </cell>
          <cell r="J3339">
            <v>7.66</v>
          </cell>
          <cell r="N3339" t="e">
            <v>#DIV/0!</v>
          </cell>
        </row>
        <row r="3340">
          <cell r="E3340" t="str">
            <v>HGC-Lib-2465581</v>
          </cell>
          <cell r="F3340" t="str">
            <v>LD240802D-0711A</v>
          </cell>
          <cell r="G3340">
            <v>15</v>
          </cell>
          <cell r="H3340" t="str">
            <v>DNA宏基因组文库</v>
          </cell>
          <cell r="I3340" t="str">
            <v>ZZ</v>
          </cell>
          <cell r="J3340">
            <v>83.2</v>
          </cell>
          <cell r="N3340" t="e">
            <v>#DIV/0!</v>
          </cell>
        </row>
        <row r="3341">
          <cell r="E3341" t="str">
            <v>HGC-Lib-2465582</v>
          </cell>
          <cell r="F3341" t="str">
            <v>LD240802D-0713A</v>
          </cell>
          <cell r="G3341">
            <v>15</v>
          </cell>
          <cell r="H3341" t="str">
            <v>DNA宏基因组文库</v>
          </cell>
          <cell r="I3341" t="str">
            <v>ZZ</v>
          </cell>
          <cell r="J3341">
            <v>50</v>
          </cell>
          <cell r="N3341" t="e">
            <v>#DIV/0!</v>
          </cell>
        </row>
        <row r="3342">
          <cell r="E3342" t="str">
            <v>HGC-Lib-2465583</v>
          </cell>
          <cell r="F3342" t="str">
            <v>LD240802D-0714A</v>
          </cell>
          <cell r="G3342">
            <v>15</v>
          </cell>
          <cell r="H3342" t="str">
            <v>DNA宏基因组文库</v>
          </cell>
          <cell r="I3342" t="str">
            <v>ZZ</v>
          </cell>
          <cell r="J3342">
            <v>49</v>
          </cell>
          <cell r="N3342" t="e">
            <v>#DIV/0!</v>
          </cell>
        </row>
        <row r="3343">
          <cell r="E3343" t="str">
            <v>HGC-Lib-2465584</v>
          </cell>
          <cell r="F3343" t="str">
            <v>LD240802D-0715A</v>
          </cell>
          <cell r="G3343">
            <v>15</v>
          </cell>
          <cell r="H3343" t="str">
            <v>DNA宏基因组文库</v>
          </cell>
          <cell r="I3343" t="str">
            <v>ZZ</v>
          </cell>
          <cell r="J3343">
            <v>33.799999999999997</v>
          </cell>
          <cell r="N3343" t="e">
            <v>#DIV/0!</v>
          </cell>
        </row>
        <row r="3344">
          <cell r="E3344" t="str">
            <v>HGC-Lib-2465585</v>
          </cell>
          <cell r="F3344" t="str">
            <v>LD240802D-0716A</v>
          </cell>
          <cell r="G3344">
            <v>15</v>
          </cell>
          <cell r="H3344" t="str">
            <v>DNA宏基因组文库</v>
          </cell>
          <cell r="I3344" t="str">
            <v>ZZ</v>
          </cell>
          <cell r="J3344">
            <v>30</v>
          </cell>
          <cell r="N3344" t="e">
            <v>#DIV/0!</v>
          </cell>
        </row>
        <row r="3345">
          <cell r="E3345" t="str">
            <v>HGC-Lib-2465586</v>
          </cell>
          <cell r="F3345" t="str">
            <v>LD240730O-1939A</v>
          </cell>
          <cell r="G3345">
            <v>10</v>
          </cell>
          <cell r="H3345" t="str">
            <v>DNA宏基因组文库</v>
          </cell>
          <cell r="I3345" t="str">
            <v>ZZ</v>
          </cell>
          <cell r="J3345">
            <v>46.2</v>
          </cell>
          <cell r="N3345" t="e">
            <v>#DIV/0!</v>
          </cell>
        </row>
        <row r="3346">
          <cell r="E3346" t="str">
            <v>HGC-Lib-2465587</v>
          </cell>
          <cell r="F3346" t="str">
            <v>LD240730O-1940A</v>
          </cell>
          <cell r="G3346">
            <v>10</v>
          </cell>
          <cell r="H3346" t="str">
            <v>DNA宏基因组文库</v>
          </cell>
          <cell r="I3346" t="str">
            <v>ZZ</v>
          </cell>
          <cell r="J3346">
            <v>48.2</v>
          </cell>
          <cell r="N3346" t="e">
            <v>#DIV/0!</v>
          </cell>
        </row>
        <row r="3347">
          <cell r="E3347" t="str">
            <v>HGC-Lib-2465588</v>
          </cell>
          <cell r="F3347" t="str">
            <v>LD240730O-1941A</v>
          </cell>
          <cell r="G3347">
            <v>10</v>
          </cell>
          <cell r="H3347" t="str">
            <v>DNA宏基因组文库</v>
          </cell>
          <cell r="I3347" t="str">
            <v>ZZ</v>
          </cell>
          <cell r="J3347">
            <v>37.6</v>
          </cell>
          <cell r="N3347" t="e">
            <v>#DIV/0!</v>
          </cell>
        </row>
        <row r="3348">
          <cell r="E3348" t="str">
            <v>HGC-Lib-2465589</v>
          </cell>
          <cell r="F3348" t="str">
            <v>LD240730O-1942A</v>
          </cell>
          <cell r="G3348">
            <v>10</v>
          </cell>
          <cell r="H3348" t="str">
            <v>DNA宏基因组文库</v>
          </cell>
          <cell r="I3348" t="str">
            <v>ZZ</v>
          </cell>
          <cell r="J3348">
            <v>71.8</v>
          </cell>
          <cell r="N3348" t="e">
            <v>#DIV/0!</v>
          </cell>
        </row>
        <row r="3349">
          <cell r="E3349" t="str">
            <v>HGC-Lib-2465590</v>
          </cell>
          <cell r="F3349" t="str">
            <v>LD240702O-2718A</v>
          </cell>
          <cell r="G3349">
            <v>20</v>
          </cell>
          <cell r="H3349" t="str">
            <v>DNA宏基因组文库</v>
          </cell>
          <cell r="I3349" t="str">
            <v>ZZ</v>
          </cell>
          <cell r="J3349">
            <v>33</v>
          </cell>
          <cell r="N3349" t="e">
            <v>#DIV/0!</v>
          </cell>
        </row>
        <row r="3350">
          <cell r="E3350" t="str">
            <v>HGC-Lib-2465591</v>
          </cell>
          <cell r="F3350" t="str">
            <v>LD240702O-2719A</v>
          </cell>
          <cell r="G3350">
            <v>20</v>
          </cell>
          <cell r="H3350" t="str">
            <v>DNA宏基因组文库</v>
          </cell>
          <cell r="I3350" t="str">
            <v>ZZ</v>
          </cell>
          <cell r="J3350">
            <v>37.4</v>
          </cell>
          <cell r="N3350" t="e">
            <v>#DIV/0!</v>
          </cell>
        </row>
        <row r="3351">
          <cell r="E3351" t="str">
            <v>HGC-Lib-2465592</v>
          </cell>
          <cell r="F3351" t="str">
            <v>LD240702O-2720A</v>
          </cell>
          <cell r="G3351">
            <v>20</v>
          </cell>
          <cell r="H3351" t="str">
            <v>DNA宏基因组文库</v>
          </cell>
          <cell r="I3351" t="str">
            <v>ZZ</v>
          </cell>
          <cell r="J3351">
            <v>44</v>
          </cell>
          <cell r="N3351" t="e">
            <v>#DIV/0!</v>
          </cell>
        </row>
        <row r="3352">
          <cell r="E3352" t="str">
            <v>HGC-Lib-2465593</v>
          </cell>
          <cell r="F3352" t="str">
            <v>LD240702O-2721A</v>
          </cell>
          <cell r="G3352">
            <v>20</v>
          </cell>
          <cell r="H3352" t="str">
            <v>DNA宏基因组文库</v>
          </cell>
          <cell r="I3352" t="str">
            <v>ZZ</v>
          </cell>
          <cell r="J3352">
            <v>53.8</v>
          </cell>
          <cell r="N3352" t="e">
            <v>#DIV/0!</v>
          </cell>
        </row>
        <row r="3353">
          <cell r="E3353" t="str">
            <v>HGC-Lib-2465594</v>
          </cell>
          <cell r="F3353" t="str">
            <v>LD240702O-2722A</v>
          </cell>
          <cell r="G3353">
            <v>20</v>
          </cell>
          <cell r="H3353" t="str">
            <v>DNA宏基因组文库</v>
          </cell>
          <cell r="I3353" t="str">
            <v>ZZ</v>
          </cell>
          <cell r="J3353">
            <v>40.4</v>
          </cell>
          <cell r="N3353" t="e">
            <v>#DIV/0!</v>
          </cell>
        </row>
        <row r="3354">
          <cell r="E3354" t="str">
            <v>HGC-Lib-2465595</v>
          </cell>
          <cell r="F3354" t="str">
            <v>LD240702O-2723A</v>
          </cell>
          <cell r="G3354">
            <v>20</v>
          </cell>
          <cell r="H3354" t="str">
            <v>DNA宏基因组文库</v>
          </cell>
          <cell r="I3354" t="str">
            <v>ZZ</v>
          </cell>
          <cell r="J3354">
            <v>36.6</v>
          </cell>
          <cell r="N3354" t="e">
            <v>#DIV/0!</v>
          </cell>
        </row>
        <row r="3355">
          <cell r="E3355" t="str">
            <v>HGC-Lib-2465596</v>
          </cell>
          <cell r="F3355" t="str">
            <v>LD240702O-2724A</v>
          </cell>
          <cell r="G3355">
            <v>20</v>
          </cell>
          <cell r="H3355" t="str">
            <v>DNA宏基因组文库</v>
          </cell>
          <cell r="I3355" t="str">
            <v>ZZ</v>
          </cell>
          <cell r="J3355">
            <v>97</v>
          </cell>
          <cell r="N3355" t="e">
            <v>#DIV/0!</v>
          </cell>
        </row>
        <row r="3356">
          <cell r="E3356" t="str">
            <v>HGC-Lib-2465597</v>
          </cell>
          <cell r="F3356" t="str">
            <v>LD240702O-2725A</v>
          </cell>
          <cell r="G3356">
            <v>20</v>
          </cell>
          <cell r="H3356" t="str">
            <v>DNA宏基因组文库</v>
          </cell>
          <cell r="I3356" t="str">
            <v>ZZ</v>
          </cell>
          <cell r="J3356">
            <v>48</v>
          </cell>
          <cell r="N3356" t="e">
            <v>#DIV/0!</v>
          </cell>
        </row>
        <row r="3357">
          <cell r="E3357" t="str">
            <v>HGC-Lib-2465598</v>
          </cell>
          <cell r="F3357" t="str">
            <v>LD240702O-2726A</v>
          </cell>
          <cell r="G3357">
            <v>20</v>
          </cell>
          <cell r="H3357" t="str">
            <v>DNA宏基因组文库</v>
          </cell>
          <cell r="I3357" t="str">
            <v>ZZ</v>
          </cell>
          <cell r="J3357">
            <v>59</v>
          </cell>
          <cell r="N3357" t="e">
            <v>#DIV/0!</v>
          </cell>
        </row>
        <row r="3358">
          <cell r="E3358" t="str">
            <v>HGC-Lib-2465611</v>
          </cell>
          <cell r="F3358" t="str">
            <v>OL27808-GW130451</v>
          </cell>
          <cell r="G3358">
            <v>1000</v>
          </cell>
          <cell r="H3358" t="str">
            <v>mRNA文库</v>
          </cell>
          <cell r="I3358" t="str">
            <v>ZZ</v>
          </cell>
          <cell r="J3358">
            <v>1.53</v>
          </cell>
          <cell r="K3358">
            <v>429</v>
          </cell>
          <cell r="L3358" t="str">
            <v>HZK</v>
          </cell>
          <cell r="N3358">
            <v>5.4868208714362598</v>
          </cell>
        </row>
        <row r="3359">
          <cell r="E3359" t="str">
            <v>HGC-Lib-2465612</v>
          </cell>
          <cell r="F3359" t="str">
            <v>OL27809-GW130451</v>
          </cell>
          <cell r="G3359">
            <v>1000</v>
          </cell>
          <cell r="H3359" t="str">
            <v>全基因组文库</v>
          </cell>
          <cell r="I3359" t="str">
            <v>ZZ</v>
          </cell>
          <cell r="J3359">
            <v>1.49</v>
          </cell>
          <cell r="K3359">
            <v>437</v>
          </cell>
          <cell r="L3359" t="str">
            <v>HZK</v>
          </cell>
          <cell r="N3359">
            <v>5.2455553599718403</v>
          </cell>
        </row>
        <row r="3360">
          <cell r="E3360" t="str">
            <v>HGC-Lib-2465613</v>
          </cell>
          <cell r="F3360" t="str">
            <v>IP-698973-C-R1A</v>
          </cell>
          <cell r="G3360">
            <v>12</v>
          </cell>
          <cell r="H3360" t="str">
            <v>m6A甲基化文库</v>
          </cell>
          <cell r="I3360" t="str">
            <v>ZZ</v>
          </cell>
          <cell r="J3360">
            <v>50</v>
          </cell>
          <cell r="K3360">
            <v>331</v>
          </cell>
          <cell r="L3360" t="str">
            <v>HZK</v>
          </cell>
          <cell r="N3360">
            <v>232.39600278875201</v>
          </cell>
        </row>
        <row r="3361">
          <cell r="E3361" t="str">
            <v>HGC-Lib-2465614</v>
          </cell>
          <cell r="F3361" t="str">
            <v>IP-698973-N-R1A</v>
          </cell>
          <cell r="G3361">
            <v>12</v>
          </cell>
          <cell r="H3361" t="str">
            <v>m6A甲基化文库</v>
          </cell>
          <cell r="I3361" t="str">
            <v>ZZ</v>
          </cell>
          <cell r="J3361">
            <v>45.8</v>
          </cell>
          <cell r="K3361">
            <v>317</v>
          </cell>
          <cell r="L3361" t="str">
            <v>HZK</v>
          </cell>
          <cell r="N3361">
            <v>222.276146566367</v>
          </cell>
        </row>
        <row r="3362">
          <cell r="E3362" t="str">
            <v>HGC-Lib-2465615</v>
          </cell>
          <cell r="F3362" t="str">
            <v>IP-711674-N-R1A</v>
          </cell>
          <cell r="G3362">
            <v>12</v>
          </cell>
          <cell r="H3362" t="str">
            <v>m6A甲基化文库</v>
          </cell>
          <cell r="I3362" t="str">
            <v>ZZ</v>
          </cell>
          <cell r="J3362">
            <v>46.8</v>
          </cell>
          <cell r="K3362">
            <v>340</v>
          </cell>
          <cell r="L3362" t="str">
            <v>HZK</v>
          </cell>
          <cell r="N3362">
            <v>211.76470588235301</v>
          </cell>
        </row>
        <row r="3363">
          <cell r="E3363" t="str">
            <v>HGC-Lib-2465616</v>
          </cell>
          <cell r="F3363" t="str">
            <v>IP-712832-C-R1A</v>
          </cell>
          <cell r="G3363">
            <v>12</v>
          </cell>
          <cell r="H3363" t="str">
            <v>m6A甲基化文库</v>
          </cell>
          <cell r="I3363" t="str">
            <v>ZZ</v>
          </cell>
          <cell r="J3363">
            <v>48.2</v>
          </cell>
          <cell r="K3363">
            <v>332</v>
          </cell>
          <cell r="L3363" t="str">
            <v>HZK</v>
          </cell>
          <cell r="N3363">
            <v>223.35495829471699</v>
          </cell>
        </row>
        <row r="3364">
          <cell r="E3364" t="str">
            <v>HGC-Lib-2465617</v>
          </cell>
          <cell r="F3364" t="str">
            <v>IP-712832-N-R1A</v>
          </cell>
          <cell r="G3364">
            <v>12</v>
          </cell>
          <cell r="H3364" t="str">
            <v>m6A甲基化文库</v>
          </cell>
          <cell r="I3364" t="str">
            <v>ZZ</v>
          </cell>
          <cell r="J3364">
            <v>45</v>
          </cell>
          <cell r="K3364">
            <v>325</v>
          </cell>
          <cell r="L3364" t="str">
            <v>HZK</v>
          </cell>
          <cell r="N3364">
            <v>213.01775147929001</v>
          </cell>
        </row>
        <row r="3365">
          <cell r="E3365" t="str">
            <v>HGC-Lib-2465618</v>
          </cell>
          <cell r="F3365" t="str">
            <v>IP-722361-C-2A</v>
          </cell>
          <cell r="G3365">
            <v>12</v>
          </cell>
          <cell r="H3365" t="str">
            <v>m6A甲基化文库</v>
          </cell>
          <cell r="I3365" t="str">
            <v>ZZ</v>
          </cell>
          <cell r="J3365">
            <v>47.2</v>
          </cell>
          <cell r="K3365">
            <v>322</v>
          </cell>
          <cell r="L3365" t="str">
            <v>HZK</v>
          </cell>
          <cell r="N3365">
            <v>225.51361681796499</v>
          </cell>
        </row>
        <row r="3366">
          <cell r="E3366" t="str">
            <v>HGC-Lib-2465619</v>
          </cell>
          <cell r="F3366" t="str">
            <v>IP-722361-N-2A</v>
          </cell>
          <cell r="G3366">
            <v>12</v>
          </cell>
          <cell r="H3366" t="str">
            <v>m6A甲基化文库</v>
          </cell>
          <cell r="I3366" t="str">
            <v>ZZ</v>
          </cell>
          <cell r="J3366">
            <v>41.6</v>
          </cell>
          <cell r="K3366">
            <v>312</v>
          </cell>
          <cell r="L3366" t="str">
            <v>HZK</v>
          </cell>
          <cell r="N3366">
            <v>205.128205128205</v>
          </cell>
        </row>
        <row r="3367">
          <cell r="E3367" t="str">
            <v>HGC-Lib-2465620</v>
          </cell>
          <cell r="F3367" t="str">
            <v>IP-T-719975-B</v>
          </cell>
          <cell r="G3367">
            <v>12</v>
          </cell>
          <cell r="H3367" t="str">
            <v>m6A甲基化文库</v>
          </cell>
          <cell r="I3367" t="str">
            <v>ZZ</v>
          </cell>
          <cell r="J3367">
            <v>53.4</v>
          </cell>
          <cell r="K3367">
            <v>319</v>
          </cell>
          <cell r="L3367" t="str">
            <v>HZK</v>
          </cell>
          <cell r="N3367">
            <v>257.53556788039498</v>
          </cell>
        </row>
        <row r="3368">
          <cell r="E3368" t="str">
            <v>HGC-Lib-2465621</v>
          </cell>
          <cell r="F3368" t="str">
            <v>IP-754146-N-2RA</v>
          </cell>
          <cell r="G3368">
            <v>12</v>
          </cell>
          <cell r="H3368" t="str">
            <v>m6A甲基化文库</v>
          </cell>
          <cell r="I3368" t="str">
            <v>ZZ</v>
          </cell>
          <cell r="J3368">
            <v>48.8</v>
          </cell>
          <cell r="K3368">
            <v>318</v>
          </cell>
          <cell r="L3368" t="str">
            <v>HZK</v>
          </cell>
          <cell r="N3368">
            <v>236.090953072085</v>
          </cell>
        </row>
        <row r="3369">
          <cell r="E3369" t="str">
            <v>HGC-Lib-2465622</v>
          </cell>
          <cell r="F3369" t="str">
            <v>IP-719267-CA</v>
          </cell>
          <cell r="G3369">
            <v>12</v>
          </cell>
          <cell r="H3369" t="str">
            <v>m6A甲基化文库</v>
          </cell>
          <cell r="I3369" t="str">
            <v>ZZ</v>
          </cell>
          <cell r="J3369">
            <v>48.8</v>
          </cell>
          <cell r="K3369">
            <v>333</v>
          </cell>
          <cell r="L3369" t="str">
            <v>HZK</v>
          </cell>
          <cell r="N3369">
            <v>225.45622545622501</v>
          </cell>
        </row>
        <row r="3370">
          <cell r="E3370" t="str">
            <v>HGC-Lib-2465623</v>
          </cell>
          <cell r="F3370" t="str">
            <v>IP-719267-NA</v>
          </cell>
          <cell r="G3370">
            <v>12</v>
          </cell>
          <cell r="H3370" t="str">
            <v>m6A甲基化文库</v>
          </cell>
          <cell r="I3370" t="str">
            <v>ZZ</v>
          </cell>
          <cell r="J3370">
            <v>44.6</v>
          </cell>
          <cell r="K3370">
            <v>322</v>
          </cell>
          <cell r="L3370" t="str">
            <v>HZK</v>
          </cell>
          <cell r="N3370">
            <v>213.09125656951699</v>
          </cell>
        </row>
        <row r="3371">
          <cell r="E3371" t="str">
            <v>HGC-Lib-2465624</v>
          </cell>
          <cell r="F3371" t="str">
            <v>IP-732187-CA</v>
          </cell>
          <cell r="G3371">
            <v>12</v>
          </cell>
          <cell r="H3371" t="str">
            <v>m6A甲基化文库</v>
          </cell>
          <cell r="I3371" t="str">
            <v>ZZ</v>
          </cell>
          <cell r="J3371">
            <v>47</v>
          </cell>
          <cell r="K3371">
            <v>321</v>
          </cell>
          <cell r="L3371" t="str">
            <v>HZK</v>
          </cell>
          <cell r="N3371">
            <v>225.25760843517901</v>
          </cell>
        </row>
        <row r="3372">
          <cell r="E3372" t="str">
            <v>HGC-Lib-2465625</v>
          </cell>
          <cell r="F3372" t="str">
            <v>IP-740984-CA</v>
          </cell>
          <cell r="G3372">
            <v>12</v>
          </cell>
          <cell r="H3372" t="str">
            <v>m6A甲基化文库</v>
          </cell>
          <cell r="I3372" t="str">
            <v>ZZ</v>
          </cell>
          <cell r="J3372">
            <v>43.2</v>
          </cell>
          <cell r="K3372">
            <v>314</v>
          </cell>
          <cell r="L3372" t="str">
            <v>HZK</v>
          </cell>
          <cell r="N3372">
            <v>211.66095051445399</v>
          </cell>
        </row>
        <row r="3373">
          <cell r="E3373" t="str">
            <v>HGC-Lib-2465626</v>
          </cell>
          <cell r="F3373" t="str">
            <v>IP-741355-CA</v>
          </cell>
          <cell r="G3373">
            <v>12</v>
          </cell>
          <cell r="H3373" t="str">
            <v>m6A甲基化文库</v>
          </cell>
          <cell r="I3373" t="str">
            <v>ZZ</v>
          </cell>
          <cell r="J3373">
            <v>48.4</v>
          </cell>
          <cell r="K3373">
            <v>329</v>
          </cell>
          <cell r="L3373" t="str">
            <v>HZK</v>
          </cell>
          <cell r="N3373">
            <v>226.326864624737</v>
          </cell>
        </row>
        <row r="3374">
          <cell r="E3374" t="str">
            <v>HGC-Lib-2465627</v>
          </cell>
          <cell r="F3374" t="str">
            <v>IP-741355-NA</v>
          </cell>
          <cell r="G3374">
            <v>12</v>
          </cell>
          <cell r="H3374" t="str">
            <v>m6A甲基化文库</v>
          </cell>
          <cell r="I3374" t="str">
            <v>ZZ</v>
          </cell>
          <cell r="J3374">
            <v>42.2</v>
          </cell>
          <cell r="K3374">
            <v>308</v>
          </cell>
          <cell r="L3374" t="str">
            <v>HZK</v>
          </cell>
          <cell r="N3374">
            <v>210.78921078921101</v>
          </cell>
        </row>
        <row r="3375">
          <cell r="E3375" t="str">
            <v>HGC-Lib-2465628</v>
          </cell>
          <cell r="F3375" t="str">
            <v>IP-767086-C-R1A</v>
          </cell>
          <cell r="G3375">
            <v>12</v>
          </cell>
          <cell r="H3375" t="str">
            <v>m6A甲基化文库</v>
          </cell>
          <cell r="I3375" t="str">
            <v>ZZ</v>
          </cell>
          <cell r="J3375">
            <v>42.4</v>
          </cell>
          <cell r="K3375">
            <v>331</v>
          </cell>
          <cell r="L3375" t="str">
            <v>HZK</v>
          </cell>
          <cell r="N3375">
            <v>197.07181036486199</v>
          </cell>
        </row>
        <row r="3376">
          <cell r="E3376" t="str">
            <v>HGC-Lib-2465629</v>
          </cell>
          <cell r="F3376" t="str">
            <v>IP-754146-CA</v>
          </cell>
          <cell r="G3376">
            <v>12</v>
          </cell>
          <cell r="H3376" t="str">
            <v>m6A甲基化文库</v>
          </cell>
          <cell r="I3376" t="str">
            <v>ZZ</v>
          </cell>
          <cell r="J3376">
            <v>40.799999999999997</v>
          </cell>
          <cell r="K3376">
            <v>322</v>
          </cell>
          <cell r="L3376" t="str">
            <v>HZK</v>
          </cell>
          <cell r="N3376">
            <v>194.93549928332499</v>
          </cell>
        </row>
        <row r="3377">
          <cell r="E3377" t="str">
            <v>HGC-Lib-2465630</v>
          </cell>
          <cell r="F3377" t="str">
            <v>IP-760699-CA</v>
          </cell>
          <cell r="G3377">
            <v>12</v>
          </cell>
          <cell r="H3377" t="str">
            <v>m6A甲基化文库</v>
          </cell>
          <cell r="I3377" t="str">
            <v>ZZ</v>
          </cell>
          <cell r="J3377">
            <v>43.8</v>
          </cell>
          <cell r="K3377">
            <v>328</v>
          </cell>
          <cell r="L3377" t="str">
            <v>HZK</v>
          </cell>
          <cell r="N3377">
            <v>205.44090056285199</v>
          </cell>
        </row>
        <row r="3378">
          <cell r="E3378" t="str">
            <v>HGC-Lib-2465631</v>
          </cell>
          <cell r="F3378" t="str">
            <v>IP-760699-NA</v>
          </cell>
          <cell r="G3378">
            <v>12</v>
          </cell>
          <cell r="H3378" t="str">
            <v>m6A甲基化文库</v>
          </cell>
          <cell r="I3378" t="str">
            <v>ZZ</v>
          </cell>
          <cell r="J3378">
            <v>23</v>
          </cell>
          <cell r="K3378">
            <v>316</v>
          </cell>
          <cell r="L3378" t="str">
            <v>HZK</v>
          </cell>
          <cell r="N3378">
            <v>111.97663096397299</v>
          </cell>
        </row>
        <row r="3379">
          <cell r="E3379" t="str">
            <v>HGC-Lib-2465632</v>
          </cell>
          <cell r="F3379" t="str">
            <v>IP-762931-CA</v>
          </cell>
          <cell r="G3379">
            <v>12</v>
          </cell>
          <cell r="H3379" t="str">
            <v>m6A甲基化文库</v>
          </cell>
          <cell r="I3379" t="str">
            <v>ZZ</v>
          </cell>
          <cell r="J3379">
            <v>42</v>
          </cell>
          <cell r="K3379">
            <v>309</v>
          </cell>
          <cell r="L3379" t="str">
            <v>HZK</v>
          </cell>
          <cell r="N3379">
            <v>209.11127707244199</v>
          </cell>
        </row>
        <row r="3380">
          <cell r="E3380" t="str">
            <v>HGC-Lib-2465633</v>
          </cell>
          <cell r="F3380" t="str">
            <v>IP-762931-NA</v>
          </cell>
          <cell r="G3380">
            <v>12</v>
          </cell>
          <cell r="H3380" t="str">
            <v>m6A甲基化文库</v>
          </cell>
          <cell r="I3380" t="str">
            <v>ZZ</v>
          </cell>
          <cell r="J3380">
            <v>43.4</v>
          </cell>
          <cell r="K3380">
            <v>317</v>
          </cell>
          <cell r="L3380" t="str">
            <v>HZK</v>
          </cell>
          <cell r="N3380">
            <v>210.628488231012</v>
          </cell>
        </row>
        <row r="3381">
          <cell r="E3381" t="str">
            <v>HGC-Lib-2465634</v>
          </cell>
          <cell r="F3381" t="str">
            <v>IP-697319-C-R1A</v>
          </cell>
          <cell r="G3381">
            <v>12</v>
          </cell>
          <cell r="H3381" t="str">
            <v>m6A甲基化文库</v>
          </cell>
          <cell r="I3381" t="str">
            <v>ZZ</v>
          </cell>
          <cell r="J3381">
            <v>43.2</v>
          </cell>
          <cell r="K3381">
            <v>319</v>
          </cell>
          <cell r="L3381" t="str">
            <v>HZK</v>
          </cell>
          <cell r="N3381">
            <v>208.343380757174</v>
          </cell>
        </row>
        <row r="3382">
          <cell r="E3382" t="str">
            <v>HGC-Lib-2465635</v>
          </cell>
          <cell r="F3382" t="str">
            <v>IP-697319-N-R1A</v>
          </cell>
          <cell r="G3382">
            <v>12</v>
          </cell>
          <cell r="H3382" t="str">
            <v>m6A甲基化文库</v>
          </cell>
          <cell r="I3382" t="str">
            <v>ZZ</v>
          </cell>
          <cell r="J3382">
            <v>45.2</v>
          </cell>
          <cell r="K3382">
            <v>318</v>
          </cell>
          <cell r="L3382" t="str">
            <v>HZK</v>
          </cell>
          <cell r="N3382">
            <v>218.67440735365301</v>
          </cell>
        </row>
        <row r="3383">
          <cell r="E3383" t="str">
            <v>HGC-Lib-2465636</v>
          </cell>
          <cell r="F3383" t="str">
            <v>IP-697964-C-R1A</v>
          </cell>
          <cell r="G3383">
            <v>12</v>
          </cell>
          <cell r="H3383" t="str">
            <v>m6A甲基化文库</v>
          </cell>
          <cell r="I3383" t="str">
            <v>ZZ</v>
          </cell>
          <cell r="J3383">
            <v>44.2</v>
          </cell>
          <cell r="K3383">
            <v>318</v>
          </cell>
          <cell r="L3383" t="str">
            <v>HZK</v>
          </cell>
          <cell r="N3383">
            <v>213.83647798742101</v>
          </cell>
        </row>
        <row r="3384">
          <cell r="E3384" t="str">
            <v>HGC-Lib-2465637</v>
          </cell>
          <cell r="F3384" t="str">
            <v>IP-697964-N-R1A</v>
          </cell>
          <cell r="G3384">
            <v>12</v>
          </cell>
          <cell r="H3384" t="str">
            <v>m6A甲基化文库</v>
          </cell>
          <cell r="I3384" t="str">
            <v>ZZ</v>
          </cell>
          <cell r="J3384">
            <v>47.2</v>
          </cell>
          <cell r="K3384">
            <v>324</v>
          </cell>
          <cell r="L3384" t="str">
            <v>HZK</v>
          </cell>
          <cell r="N3384">
            <v>224.12155745489099</v>
          </cell>
        </row>
        <row r="3385">
          <cell r="E3385" t="str">
            <v>HGC-Lib-2465638</v>
          </cell>
          <cell r="F3385" t="str">
            <v>IP-698256-C-R1A</v>
          </cell>
          <cell r="G3385">
            <v>12</v>
          </cell>
          <cell r="H3385" t="str">
            <v>m6A甲基化文库</v>
          </cell>
          <cell r="I3385" t="str">
            <v>ZZ</v>
          </cell>
          <cell r="J3385">
            <v>44.4</v>
          </cell>
          <cell r="K3385">
            <v>321</v>
          </cell>
          <cell r="L3385" t="str">
            <v>HZK</v>
          </cell>
          <cell r="N3385">
            <v>212.79654924514699</v>
          </cell>
        </row>
        <row r="3386">
          <cell r="E3386" t="str">
            <v>HGC-Lib-2465639</v>
          </cell>
          <cell r="F3386" t="str">
            <v>IP-698256-N-R1A</v>
          </cell>
          <cell r="G3386">
            <v>12</v>
          </cell>
          <cell r="H3386" t="str">
            <v>m6A甲基化文库</v>
          </cell>
          <cell r="I3386" t="str">
            <v>ZZ</v>
          </cell>
          <cell r="J3386">
            <v>48.4</v>
          </cell>
          <cell r="K3386">
            <v>313</v>
          </cell>
          <cell r="L3386" t="str">
            <v>HZK</v>
          </cell>
          <cell r="N3386">
            <v>237.89628901450001</v>
          </cell>
        </row>
        <row r="3387">
          <cell r="E3387" t="str">
            <v>HGC-Lib-2465640</v>
          </cell>
          <cell r="F3387" t="str">
            <v>IP-698288-C-R1A</v>
          </cell>
          <cell r="G3387">
            <v>12</v>
          </cell>
          <cell r="H3387" t="str">
            <v>m6A甲基化文库</v>
          </cell>
          <cell r="I3387" t="str">
            <v>ZZ</v>
          </cell>
          <cell r="J3387">
            <v>24.9</v>
          </cell>
          <cell r="K3387">
            <v>319</v>
          </cell>
          <cell r="L3387" t="str">
            <v>HZK</v>
          </cell>
          <cell r="N3387">
            <v>120.08680974198199</v>
          </cell>
        </row>
        <row r="3388">
          <cell r="E3388" t="str">
            <v>HGC-Lib-2465641</v>
          </cell>
          <cell r="F3388" t="str">
            <v>IP-698288-N-R1A</v>
          </cell>
          <cell r="G3388">
            <v>12</v>
          </cell>
          <cell r="H3388" t="str">
            <v>m6A甲基化文库</v>
          </cell>
          <cell r="I3388" t="str">
            <v>ZZ</v>
          </cell>
          <cell r="J3388">
            <v>39.799999999999997</v>
          </cell>
          <cell r="K3388">
            <v>311</v>
          </cell>
          <cell r="L3388" t="str">
            <v>HZK</v>
          </cell>
          <cell r="N3388">
            <v>196.88350234974001</v>
          </cell>
        </row>
        <row r="3389">
          <cell r="E3389" t="str">
            <v>HGC-Lib-2465642</v>
          </cell>
          <cell r="F3389" t="str">
            <v>INPUT-698973-C-R1A</v>
          </cell>
          <cell r="G3389">
            <v>12</v>
          </cell>
          <cell r="H3389" t="str">
            <v>m6A甲基化文库</v>
          </cell>
          <cell r="I3389" t="str">
            <v>ZZ</v>
          </cell>
          <cell r="J3389">
            <v>3.38</v>
          </cell>
          <cell r="K3389">
            <v>300</v>
          </cell>
          <cell r="L3389" t="str">
            <v>HZK</v>
          </cell>
          <cell r="N3389">
            <v>17.3333333333333</v>
          </cell>
        </row>
        <row r="3390">
          <cell r="E3390" t="str">
            <v>HGC-Lib-2465643</v>
          </cell>
          <cell r="F3390" t="str">
            <v>INPUT-698973-N-R1A</v>
          </cell>
          <cell r="G3390">
            <v>12</v>
          </cell>
          <cell r="H3390" t="str">
            <v>m6A甲基化文库</v>
          </cell>
          <cell r="I3390" t="str">
            <v>ZZ</v>
          </cell>
          <cell r="J3390">
            <v>3.3</v>
          </cell>
          <cell r="K3390">
            <v>289</v>
          </cell>
          <cell r="L3390" t="str">
            <v>HZK</v>
          </cell>
          <cell r="N3390">
            <v>17.567207878626601</v>
          </cell>
        </row>
        <row r="3391">
          <cell r="E3391" t="str">
            <v>HGC-Lib-2465644</v>
          </cell>
          <cell r="F3391" t="str">
            <v>INPUT-711674-N-R1A</v>
          </cell>
          <cell r="G3391">
            <v>12</v>
          </cell>
          <cell r="H3391" t="str">
            <v>m6A甲基化文库</v>
          </cell>
          <cell r="I3391" t="str">
            <v>ZZ</v>
          </cell>
          <cell r="J3391">
            <v>4.9400000000000004</v>
          </cell>
          <cell r="K3391">
            <v>297</v>
          </cell>
          <cell r="L3391" t="str">
            <v>HZK</v>
          </cell>
          <cell r="N3391">
            <v>25.589225589225599</v>
          </cell>
        </row>
        <row r="3392">
          <cell r="E3392" t="str">
            <v>HGC-Lib-2465645</v>
          </cell>
          <cell r="F3392" t="str">
            <v>INPUT-712832-C-R1A</v>
          </cell>
          <cell r="G3392">
            <v>12</v>
          </cell>
          <cell r="H3392" t="str">
            <v>m6A甲基化文库</v>
          </cell>
          <cell r="I3392" t="str">
            <v>ZZ</v>
          </cell>
          <cell r="J3392">
            <v>4.3600000000000003</v>
          </cell>
          <cell r="K3392">
            <v>298</v>
          </cell>
          <cell r="L3392" t="str">
            <v>HZK</v>
          </cell>
          <cell r="N3392">
            <v>22.509034589571499</v>
          </cell>
        </row>
        <row r="3393">
          <cell r="E3393" t="str">
            <v>HGC-Lib-2465646</v>
          </cell>
          <cell r="F3393" t="str">
            <v>INPUT-712832-N-R1A</v>
          </cell>
          <cell r="G3393">
            <v>12</v>
          </cell>
          <cell r="H3393" t="str">
            <v>m6A甲基化文库</v>
          </cell>
          <cell r="I3393" t="str">
            <v>ZZ</v>
          </cell>
          <cell r="J3393">
            <v>5.38</v>
          </cell>
          <cell r="K3393">
            <v>286</v>
          </cell>
          <cell r="L3393" t="str">
            <v>HZK</v>
          </cell>
          <cell r="N3393">
            <v>28.940290478752001</v>
          </cell>
        </row>
        <row r="3394">
          <cell r="E3394" t="str">
            <v>HGC-Lib-2465647</v>
          </cell>
          <cell r="F3394" t="str">
            <v>INPUT-722361-C-2A</v>
          </cell>
          <cell r="G3394">
            <v>12</v>
          </cell>
          <cell r="H3394" t="str">
            <v>m6A甲基化文库</v>
          </cell>
          <cell r="I3394" t="str">
            <v>ZZ</v>
          </cell>
          <cell r="J3394">
            <v>3.1</v>
          </cell>
          <cell r="K3394">
            <v>282</v>
          </cell>
          <cell r="L3394" t="str">
            <v>HZK</v>
          </cell>
          <cell r="N3394">
            <v>16.912165848336102</v>
          </cell>
        </row>
        <row r="3395">
          <cell r="E3395" t="str">
            <v>HGC-Lib-2465648</v>
          </cell>
          <cell r="F3395" t="str">
            <v>INPUT-722361-N-2A</v>
          </cell>
          <cell r="G3395">
            <v>12</v>
          </cell>
          <cell r="H3395" t="str">
            <v>m6A甲基化文库</v>
          </cell>
          <cell r="I3395" t="str">
            <v>ZZ</v>
          </cell>
          <cell r="J3395">
            <v>3.1</v>
          </cell>
          <cell r="K3395">
            <v>293</v>
          </cell>
          <cell r="L3395" t="str">
            <v>HZK</v>
          </cell>
          <cell r="N3395">
            <v>16.277238120241499</v>
          </cell>
        </row>
        <row r="3396">
          <cell r="E3396" t="str">
            <v>HGC-Lib-2465649</v>
          </cell>
          <cell r="F3396" t="str">
            <v>INPUT-T-719975-B</v>
          </cell>
          <cell r="G3396">
            <v>12</v>
          </cell>
          <cell r="H3396" t="str">
            <v>m6A甲基化文库</v>
          </cell>
          <cell r="I3396" t="str">
            <v>ZZ</v>
          </cell>
          <cell r="J3396">
            <v>6.38</v>
          </cell>
          <cell r="K3396">
            <v>302</v>
          </cell>
          <cell r="L3396" t="str">
            <v>HZK</v>
          </cell>
          <cell r="N3396">
            <v>32.5012735608762</v>
          </cell>
        </row>
        <row r="3397">
          <cell r="E3397" t="str">
            <v>HGC-Lib-2465650</v>
          </cell>
          <cell r="F3397" t="str">
            <v>INPUT-754146-N-2RA</v>
          </cell>
          <cell r="G3397">
            <v>12</v>
          </cell>
          <cell r="H3397" t="str">
            <v>m6A甲基化文库</v>
          </cell>
          <cell r="I3397" t="str">
            <v>ZZ</v>
          </cell>
          <cell r="J3397">
            <v>2.9</v>
          </cell>
          <cell r="K3397">
            <v>304</v>
          </cell>
          <cell r="L3397" t="str">
            <v>HZK</v>
          </cell>
          <cell r="N3397">
            <v>14.6761133603239</v>
          </cell>
        </row>
        <row r="3398">
          <cell r="E3398" t="str">
            <v>HGC-Lib-2465651</v>
          </cell>
          <cell r="F3398" t="str">
            <v>INPUT-719267-CA</v>
          </cell>
          <cell r="G3398">
            <v>12</v>
          </cell>
          <cell r="H3398" t="str">
            <v>m6A甲基化文库</v>
          </cell>
          <cell r="I3398" t="str">
            <v>ZZ</v>
          </cell>
          <cell r="J3398">
            <v>5.04</v>
          </cell>
          <cell r="K3398">
            <v>306</v>
          </cell>
          <cell r="L3398" t="str">
            <v>HZK</v>
          </cell>
          <cell r="N3398">
            <v>25.339366515837099</v>
          </cell>
        </row>
        <row r="3399">
          <cell r="E3399" t="str">
            <v>HGC-Lib-2465652</v>
          </cell>
          <cell r="F3399" t="str">
            <v>INPUT-719267-NA</v>
          </cell>
          <cell r="G3399">
            <v>12</v>
          </cell>
          <cell r="H3399" t="str">
            <v>m6A甲基化文库</v>
          </cell>
          <cell r="I3399" t="str">
            <v>ZZ</v>
          </cell>
          <cell r="J3399">
            <v>4.3</v>
          </cell>
          <cell r="K3399">
            <v>291</v>
          </cell>
          <cell r="L3399" t="str">
            <v>HZK</v>
          </cell>
          <cell r="N3399">
            <v>22.733280465239201</v>
          </cell>
        </row>
        <row r="3400">
          <cell r="E3400" t="str">
            <v>HGC-Lib-2465653</v>
          </cell>
          <cell r="F3400" t="str">
            <v>INPUT-732187-CA</v>
          </cell>
          <cell r="G3400">
            <v>12</v>
          </cell>
          <cell r="H3400" t="str">
            <v>m6A甲基化文库</v>
          </cell>
          <cell r="I3400" t="str">
            <v>ZZ</v>
          </cell>
          <cell r="J3400">
            <v>6.08</v>
          </cell>
          <cell r="K3400">
            <v>293</v>
          </cell>
          <cell r="L3400" t="str">
            <v>HZK</v>
          </cell>
          <cell r="N3400">
            <v>31.9243896035705</v>
          </cell>
        </row>
        <row r="3401">
          <cell r="E3401" t="str">
            <v>HGC-Lib-2465654</v>
          </cell>
          <cell r="F3401" t="str">
            <v>INPUT-740984-CA</v>
          </cell>
          <cell r="G3401">
            <v>12</v>
          </cell>
          <cell r="H3401" t="str">
            <v>m6A甲基化文库</v>
          </cell>
          <cell r="I3401" t="str">
            <v>ZZ</v>
          </cell>
          <cell r="J3401">
            <v>4.82</v>
          </cell>
          <cell r="K3401">
            <v>276</v>
          </cell>
          <cell r="L3401" t="str">
            <v>HZK</v>
          </cell>
          <cell r="N3401">
            <v>26.867335562987702</v>
          </cell>
        </row>
        <row r="3402">
          <cell r="E3402" t="str">
            <v>HGC-Lib-2465655</v>
          </cell>
          <cell r="F3402" t="str">
            <v>INPUT-741355-CA</v>
          </cell>
          <cell r="G3402">
            <v>12</v>
          </cell>
          <cell r="H3402" t="str">
            <v>m6A甲基化文库</v>
          </cell>
          <cell r="I3402" t="str">
            <v>ZZ</v>
          </cell>
          <cell r="J3402">
            <v>4.42</v>
          </cell>
          <cell r="K3402">
            <v>287</v>
          </cell>
          <cell r="L3402" t="str">
            <v>HZK</v>
          </cell>
          <cell r="N3402">
            <v>23.693379790940799</v>
          </cell>
        </row>
        <row r="3403">
          <cell r="E3403" t="str">
            <v>HGC-Lib-2465656</v>
          </cell>
          <cell r="F3403" t="str">
            <v>INPUT-741355-NA</v>
          </cell>
          <cell r="G3403">
            <v>12</v>
          </cell>
          <cell r="H3403" t="str">
            <v>m6A甲基化文库</v>
          </cell>
          <cell r="I3403" t="str">
            <v>ZZ</v>
          </cell>
          <cell r="J3403">
            <v>3.92</v>
          </cell>
          <cell r="K3403">
            <v>303</v>
          </cell>
          <cell r="L3403" t="str">
            <v>HZK</v>
          </cell>
          <cell r="N3403">
            <v>19.9035288144199</v>
          </cell>
        </row>
        <row r="3404">
          <cell r="E3404" t="str">
            <v>HGC-Lib-2465657</v>
          </cell>
          <cell r="F3404" t="str">
            <v>INPUT-767086-C-R1A</v>
          </cell>
          <cell r="G3404">
            <v>12</v>
          </cell>
          <cell r="H3404" t="str">
            <v>m6A甲基化文库</v>
          </cell>
          <cell r="I3404" t="str">
            <v>ZZ</v>
          </cell>
          <cell r="J3404">
            <v>4.58</v>
          </cell>
          <cell r="K3404">
            <v>304</v>
          </cell>
          <cell r="L3404" t="str">
            <v>HZK</v>
          </cell>
          <cell r="N3404">
            <v>23.178137651821899</v>
          </cell>
        </row>
        <row r="3405">
          <cell r="E3405" t="str">
            <v>HGC-Lib-2465658</v>
          </cell>
          <cell r="F3405" t="str">
            <v>INPUT-754146-CA</v>
          </cell>
          <cell r="G3405">
            <v>12</v>
          </cell>
          <cell r="H3405" t="str">
            <v>m6A甲基化文库</v>
          </cell>
          <cell r="I3405" t="str">
            <v>ZZ</v>
          </cell>
          <cell r="J3405">
            <v>5.4</v>
          </cell>
          <cell r="K3405">
            <v>297</v>
          </cell>
          <cell r="L3405" t="str">
            <v>HZK</v>
          </cell>
          <cell r="N3405">
            <v>27.972027972027998</v>
          </cell>
        </row>
        <row r="3406">
          <cell r="E3406" t="str">
            <v>HGC-Lib-2465659</v>
          </cell>
          <cell r="F3406" t="str">
            <v>INPUT-760699-CA</v>
          </cell>
          <cell r="G3406">
            <v>12</v>
          </cell>
          <cell r="H3406" t="str">
            <v>m6A甲基化文库</v>
          </cell>
          <cell r="I3406" t="str">
            <v>HZK</v>
          </cell>
          <cell r="J3406">
            <v>2.74</v>
          </cell>
          <cell r="K3406">
            <v>298</v>
          </cell>
          <cell r="L3406" t="str">
            <v>HZK</v>
          </cell>
          <cell r="N3406">
            <v>14.1455859576665</v>
          </cell>
        </row>
        <row r="3407">
          <cell r="E3407" t="str">
            <v>HGC-Lib-2465660</v>
          </cell>
          <cell r="F3407" t="str">
            <v>INPUT-760699-NA</v>
          </cell>
          <cell r="G3407">
            <v>12</v>
          </cell>
          <cell r="H3407" t="str">
            <v>m6A甲基化文库</v>
          </cell>
          <cell r="I3407" t="str">
            <v>HZK</v>
          </cell>
          <cell r="J3407">
            <v>4.8600000000000003</v>
          </cell>
          <cell r="K3407">
            <v>284</v>
          </cell>
          <cell r="L3407" t="str">
            <v>HZK</v>
          </cell>
          <cell r="N3407">
            <v>26.327193932827701</v>
          </cell>
        </row>
        <row r="3408">
          <cell r="E3408" t="str">
            <v>HGC-Lib-2465661</v>
          </cell>
          <cell r="F3408" t="str">
            <v>INPUT-762931-CA</v>
          </cell>
          <cell r="G3408">
            <v>12</v>
          </cell>
          <cell r="H3408" t="str">
            <v>m6A甲基化文库</v>
          </cell>
          <cell r="I3408" t="str">
            <v>HZK</v>
          </cell>
          <cell r="J3408">
            <v>2.72</v>
          </cell>
          <cell r="K3408">
            <v>280</v>
          </cell>
          <cell r="L3408" t="str">
            <v>HZK</v>
          </cell>
          <cell r="N3408">
            <v>14.945054945054901</v>
          </cell>
        </row>
        <row r="3409">
          <cell r="E3409" t="str">
            <v>HGC-Lib-2465662</v>
          </cell>
          <cell r="F3409" t="str">
            <v>INPUT-762931-NA</v>
          </cell>
          <cell r="G3409">
            <v>12</v>
          </cell>
          <cell r="H3409" t="str">
            <v>m6A甲基化文库</v>
          </cell>
          <cell r="I3409" t="str">
            <v>HZK</v>
          </cell>
          <cell r="J3409">
            <v>2.54</v>
          </cell>
          <cell r="K3409">
            <v>277</v>
          </cell>
          <cell r="L3409" t="str">
            <v>HZK</v>
          </cell>
          <cell r="N3409">
            <v>14.1071924465426</v>
          </cell>
        </row>
        <row r="3410">
          <cell r="E3410" t="str">
            <v>HGC-Lib-2465663</v>
          </cell>
          <cell r="F3410" t="str">
            <v>INPUT-697319-C-R1A</v>
          </cell>
          <cell r="G3410">
            <v>12</v>
          </cell>
          <cell r="H3410" t="str">
            <v>m6A甲基化文库</v>
          </cell>
          <cell r="I3410" t="str">
            <v>HZK</v>
          </cell>
          <cell r="J3410">
            <v>4.58</v>
          </cell>
          <cell r="K3410">
            <v>293</v>
          </cell>
          <cell r="L3410" t="str">
            <v>HZK</v>
          </cell>
          <cell r="N3410">
            <v>24.0483066421633</v>
          </cell>
        </row>
        <row r="3411">
          <cell r="E3411" t="str">
            <v>HGC-Lib-2465664</v>
          </cell>
          <cell r="F3411" t="str">
            <v>INPUT-697319-N-R1A</v>
          </cell>
          <cell r="G3411">
            <v>12</v>
          </cell>
          <cell r="H3411" t="str">
            <v>m6A甲基化文库</v>
          </cell>
          <cell r="I3411" t="str">
            <v>HZK</v>
          </cell>
          <cell r="J3411">
            <v>5.18</v>
          </cell>
          <cell r="K3411">
            <v>307</v>
          </cell>
          <cell r="L3411" t="str">
            <v>HZK</v>
          </cell>
          <cell r="N3411">
            <v>25.958406414432499</v>
          </cell>
        </row>
        <row r="3412">
          <cell r="E3412" t="str">
            <v>HGC-Lib-2465665</v>
          </cell>
          <cell r="F3412" t="str">
            <v>INPUT-697964-C-R1A</v>
          </cell>
          <cell r="G3412">
            <v>12</v>
          </cell>
          <cell r="H3412" t="str">
            <v>m6A甲基化文库</v>
          </cell>
          <cell r="I3412" t="str">
            <v>HZK</v>
          </cell>
          <cell r="J3412">
            <v>4.9400000000000004</v>
          </cell>
          <cell r="K3412">
            <v>303</v>
          </cell>
          <cell r="L3412" t="str">
            <v>HZK</v>
          </cell>
          <cell r="N3412">
            <v>25.0825082508251</v>
          </cell>
        </row>
        <row r="3413">
          <cell r="E3413" t="str">
            <v>HGC-Lib-2465666</v>
          </cell>
          <cell r="F3413" t="str">
            <v>INPUT-697964-N-R1A</v>
          </cell>
          <cell r="G3413">
            <v>12</v>
          </cell>
          <cell r="H3413" t="str">
            <v>m6A甲基化文库</v>
          </cell>
          <cell r="I3413" t="str">
            <v>HZK</v>
          </cell>
          <cell r="J3413">
            <v>3.22</v>
          </cell>
          <cell r="K3413">
            <v>310</v>
          </cell>
          <cell r="L3413" t="str">
            <v>HZK</v>
          </cell>
          <cell r="N3413">
            <v>15.980148883374699</v>
          </cell>
        </row>
        <row r="3414">
          <cell r="E3414" t="str">
            <v>HGC-Lib-2465667</v>
          </cell>
          <cell r="F3414" t="str">
            <v>INPUT-698256-C-R1A</v>
          </cell>
          <cell r="G3414">
            <v>12</v>
          </cell>
          <cell r="H3414" t="str">
            <v>m6A甲基化文库</v>
          </cell>
          <cell r="I3414" t="str">
            <v>HZK</v>
          </cell>
          <cell r="J3414">
            <v>3.08</v>
          </cell>
          <cell r="K3414">
            <v>292</v>
          </cell>
          <cell r="L3414" t="str">
            <v>HZK</v>
          </cell>
          <cell r="N3414">
            <v>16.2276080084299</v>
          </cell>
        </row>
        <row r="3415">
          <cell r="E3415" t="str">
            <v>HGC-Lib-2465668</v>
          </cell>
          <cell r="F3415" t="str">
            <v>INPUT-698256-N-R1A</v>
          </cell>
          <cell r="G3415">
            <v>12</v>
          </cell>
          <cell r="H3415" t="str">
            <v>m6A甲基化文库</v>
          </cell>
          <cell r="I3415" t="str">
            <v>HZK</v>
          </cell>
          <cell r="J3415">
            <v>5.76</v>
          </cell>
          <cell r="K3415">
            <v>304</v>
          </cell>
          <cell r="L3415" t="str">
            <v>HZK</v>
          </cell>
          <cell r="N3415">
            <v>29.1497975708502</v>
          </cell>
        </row>
        <row r="3416">
          <cell r="E3416" t="str">
            <v>HGC-Lib-2465669</v>
          </cell>
          <cell r="F3416" t="str">
            <v>INPUT-698288-C-R1A</v>
          </cell>
          <cell r="G3416">
            <v>12</v>
          </cell>
          <cell r="H3416" t="str">
            <v>m6A甲基化文库</v>
          </cell>
          <cell r="I3416" t="str">
            <v>HZK</v>
          </cell>
          <cell r="J3416">
            <v>2.86</v>
          </cell>
          <cell r="K3416">
            <v>302</v>
          </cell>
          <cell r="L3416" t="str">
            <v>HZK</v>
          </cell>
          <cell r="N3416">
            <v>14.5695364238411</v>
          </cell>
        </row>
        <row r="3417">
          <cell r="E3417" t="str">
            <v>HGC-Lib-2465670</v>
          </cell>
          <cell r="F3417" t="str">
            <v>INPUT-698288-N-R1A</v>
          </cell>
          <cell r="G3417">
            <v>12</v>
          </cell>
          <cell r="H3417" t="str">
            <v>m6A甲基化文库</v>
          </cell>
          <cell r="I3417" t="str">
            <v>HZK</v>
          </cell>
          <cell r="J3417">
            <v>5.94</v>
          </cell>
          <cell r="K3417">
            <v>291</v>
          </cell>
          <cell r="L3417" t="str">
            <v>HZK</v>
          </cell>
          <cell r="N3417">
            <v>31.403647898493301</v>
          </cell>
        </row>
        <row r="3418">
          <cell r="E3418" t="str">
            <v>HGC-Lib-2465671</v>
          </cell>
          <cell r="F3418" t="str">
            <v>LFTA240810038</v>
          </cell>
          <cell r="G3418">
            <v>100</v>
          </cell>
          <cell r="H3418" t="str">
            <v>singleron-3'全长转录组文库</v>
          </cell>
          <cell r="I3418" t="str">
            <v>HZK</v>
          </cell>
          <cell r="J3418">
            <v>18.2</v>
          </cell>
          <cell r="N3418" t="e">
            <v>#DIV/0!</v>
          </cell>
        </row>
        <row r="3419">
          <cell r="E3419" t="str">
            <v>HGC-Lib-2465672</v>
          </cell>
          <cell r="F3419" t="str">
            <v>LFTA240810039</v>
          </cell>
          <cell r="G3419">
            <v>100</v>
          </cell>
          <cell r="H3419" t="str">
            <v>singleron-3'全长转录组文库</v>
          </cell>
          <cell r="I3419" t="str">
            <v>HZK</v>
          </cell>
          <cell r="J3419">
            <v>17.3</v>
          </cell>
          <cell r="N3419" t="e">
            <v>#DIV/0!</v>
          </cell>
        </row>
        <row r="3420">
          <cell r="E3420" t="str">
            <v>HGC-Lib-2465673</v>
          </cell>
          <cell r="F3420" t="str">
            <v>LFTC240811001X2</v>
          </cell>
          <cell r="G3420">
            <v>100</v>
          </cell>
          <cell r="H3420" t="str">
            <v>singleron-3'全长转录组文库</v>
          </cell>
          <cell r="I3420" t="str">
            <v>HZK</v>
          </cell>
          <cell r="J3420">
            <v>16.399999999999999</v>
          </cell>
          <cell r="N3420" t="e">
            <v>#DIV/0!</v>
          </cell>
        </row>
        <row r="3421">
          <cell r="E3421" t="str">
            <v>HGC-Lib-2465674</v>
          </cell>
          <cell r="F3421" t="str">
            <v>LA240811023</v>
          </cell>
          <cell r="G3421">
            <v>100</v>
          </cell>
          <cell r="H3421" t="str">
            <v>singleron-3'转录组文库</v>
          </cell>
          <cell r="I3421" t="str">
            <v>HZK</v>
          </cell>
          <cell r="J3421">
            <v>17.7</v>
          </cell>
          <cell r="N3421" t="e">
            <v>#DIV/0!</v>
          </cell>
        </row>
        <row r="3422">
          <cell r="E3422" t="str">
            <v>HGC-Lib-2465675</v>
          </cell>
          <cell r="F3422" t="str">
            <v>LA240811022</v>
          </cell>
          <cell r="G3422">
            <v>100</v>
          </cell>
          <cell r="H3422" t="str">
            <v>singleron-3'转录组文库</v>
          </cell>
          <cell r="I3422" t="str">
            <v>HZK</v>
          </cell>
          <cell r="J3422">
            <v>19.100000000000001</v>
          </cell>
          <cell r="N3422" t="e">
            <v>#DIV/0!</v>
          </cell>
        </row>
        <row r="3423">
          <cell r="E3423" t="str">
            <v>HGC-Lib-2465676</v>
          </cell>
          <cell r="F3423" t="str">
            <v>LA240811024</v>
          </cell>
          <cell r="G3423">
            <v>100</v>
          </cell>
          <cell r="H3423" t="str">
            <v>singleron-3'转录组文库</v>
          </cell>
          <cell r="I3423" t="str">
            <v>HZK</v>
          </cell>
          <cell r="J3423">
            <v>19.600000000000001</v>
          </cell>
          <cell r="N3423" t="e">
            <v>#DIV/0!</v>
          </cell>
        </row>
        <row r="3424">
          <cell r="E3424" t="str">
            <v>HGC-Lib-2465677</v>
          </cell>
          <cell r="F3424" t="str">
            <v>LA240811021</v>
          </cell>
          <cell r="G3424">
            <v>100</v>
          </cell>
          <cell r="H3424" t="str">
            <v>singleron-3'转录组文库</v>
          </cell>
          <cell r="I3424" t="str">
            <v>HZK</v>
          </cell>
          <cell r="J3424">
            <v>19.899999999999999</v>
          </cell>
          <cell r="N3424" t="e">
            <v>#DIV/0!</v>
          </cell>
        </row>
        <row r="3425">
          <cell r="E3425" t="str">
            <v>HGC-Lib-2465678</v>
          </cell>
          <cell r="F3425" t="str">
            <v>LA240811018</v>
          </cell>
          <cell r="G3425">
            <v>100</v>
          </cell>
          <cell r="H3425" t="str">
            <v>singleron-3'转录组文库</v>
          </cell>
          <cell r="I3425" t="str">
            <v>HZK</v>
          </cell>
          <cell r="J3425">
            <v>19.399999999999999</v>
          </cell>
          <cell r="N3425" t="e">
            <v>#DIV/0!</v>
          </cell>
        </row>
        <row r="3426">
          <cell r="E3426" t="str">
            <v>HGC-Lib-2465679</v>
          </cell>
          <cell r="F3426" t="str">
            <v>LA240811014</v>
          </cell>
          <cell r="G3426">
            <v>100</v>
          </cell>
          <cell r="H3426" t="str">
            <v>singleron-3'转录组文库</v>
          </cell>
          <cell r="I3426" t="str">
            <v>HZK</v>
          </cell>
          <cell r="J3426">
            <v>19.600000000000001</v>
          </cell>
          <cell r="N3426" t="e">
            <v>#DIV/0!</v>
          </cell>
        </row>
        <row r="3427">
          <cell r="E3427" t="str">
            <v>HGC-Lib-2465680</v>
          </cell>
          <cell r="F3427" t="str">
            <v>LTA240810042</v>
          </cell>
          <cell r="G3427">
            <v>90</v>
          </cell>
          <cell r="H3427" t="str">
            <v>singleron-3'转录组文库</v>
          </cell>
          <cell r="I3427" t="str">
            <v>HZK</v>
          </cell>
          <cell r="J3427">
            <v>16.899999999999999</v>
          </cell>
          <cell r="N3427" t="e">
            <v>#DIV/0!</v>
          </cell>
        </row>
        <row r="3428">
          <cell r="E3428" t="str">
            <v>HGC-Lib-2465681</v>
          </cell>
          <cell r="F3428" t="str">
            <v>LTA240810044</v>
          </cell>
          <cell r="G3428">
            <v>90</v>
          </cell>
          <cell r="H3428" t="str">
            <v>singleron-3'转录组文库</v>
          </cell>
          <cell r="I3428" t="str">
            <v>HZK</v>
          </cell>
          <cell r="J3428">
            <v>18.899999999999999</v>
          </cell>
          <cell r="N3428" t="e">
            <v>#DIV/0!</v>
          </cell>
        </row>
        <row r="3429">
          <cell r="E3429" t="str">
            <v>HGC-Lib-2465682</v>
          </cell>
          <cell r="F3429" t="str">
            <v>LC240810046</v>
          </cell>
          <cell r="G3429">
            <v>90</v>
          </cell>
          <cell r="H3429" t="str">
            <v>singleron-3'转录组文库</v>
          </cell>
          <cell r="I3429" t="str">
            <v>HZK</v>
          </cell>
          <cell r="J3429">
            <v>15.7</v>
          </cell>
          <cell r="N3429" t="e">
            <v>#DIV/0!</v>
          </cell>
        </row>
        <row r="3430">
          <cell r="E3430" t="str">
            <v>HGC-Lib-2465683</v>
          </cell>
          <cell r="F3430" t="str">
            <v>LC240810032</v>
          </cell>
          <cell r="G3430">
            <v>100</v>
          </cell>
          <cell r="H3430" t="str">
            <v>singleron-3'转录组文库</v>
          </cell>
          <cell r="I3430" t="str">
            <v>HZK</v>
          </cell>
          <cell r="J3430">
            <v>21.4</v>
          </cell>
          <cell r="N3430" t="e">
            <v>#DIV/0!</v>
          </cell>
        </row>
        <row r="3431">
          <cell r="E3431" t="str">
            <v>HGC-Lib-2465684</v>
          </cell>
          <cell r="F3431" t="str">
            <v>LHC240810053</v>
          </cell>
          <cell r="G3431">
            <v>200</v>
          </cell>
          <cell r="H3431" t="str">
            <v>singleron-3'转录组文库</v>
          </cell>
          <cell r="I3431" t="str">
            <v>HZK</v>
          </cell>
          <cell r="J3431">
            <v>22.4</v>
          </cell>
          <cell r="N3431" t="e">
            <v>#DIV/0!</v>
          </cell>
        </row>
        <row r="3432">
          <cell r="E3432" t="str">
            <v>HGC-Lib-2465685</v>
          </cell>
          <cell r="F3432" t="str">
            <v>LHC240810054</v>
          </cell>
          <cell r="G3432">
            <v>200</v>
          </cell>
          <cell r="H3432" t="str">
            <v>singleron-3'转录组文库</v>
          </cell>
          <cell r="I3432" t="str">
            <v>HZK</v>
          </cell>
          <cell r="J3432">
            <v>18.3</v>
          </cell>
          <cell r="N3432" t="e">
            <v>#DIV/0!</v>
          </cell>
        </row>
        <row r="3433">
          <cell r="E3433" t="str">
            <v>HGC-Lib-2465686</v>
          </cell>
          <cell r="F3433" t="str">
            <v>LHC240810052</v>
          </cell>
          <cell r="G3433">
            <v>200</v>
          </cell>
          <cell r="H3433" t="str">
            <v>singleron-3'转录组文库</v>
          </cell>
          <cell r="I3433" t="str">
            <v>HZK</v>
          </cell>
          <cell r="J3433">
            <v>19</v>
          </cell>
          <cell r="N3433" t="e">
            <v>#DIV/0!</v>
          </cell>
        </row>
        <row r="3434">
          <cell r="E3434" t="str">
            <v>HGC-Lib-2465687</v>
          </cell>
          <cell r="F3434" t="str">
            <v>R240814003</v>
          </cell>
          <cell r="G3434">
            <v>10</v>
          </cell>
          <cell r="H3434" t="str">
            <v>singleron-3'转录组文库</v>
          </cell>
          <cell r="I3434" t="str">
            <v>HZK</v>
          </cell>
          <cell r="J3434">
            <v>10.5</v>
          </cell>
          <cell r="N3434" t="e">
            <v>#DIV/0!</v>
          </cell>
        </row>
        <row r="3435">
          <cell r="E3435" t="str">
            <v>HGC-Lib-2465688</v>
          </cell>
          <cell r="F3435" t="str">
            <v>R240814004</v>
          </cell>
          <cell r="G3435">
            <v>10</v>
          </cell>
          <cell r="H3435" t="str">
            <v>singleron-3'转录组文库</v>
          </cell>
          <cell r="I3435" t="str">
            <v>HZK</v>
          </cell>
          <cell r="J3435">
            <v>9.1199999999999992</v>
          </cell>
          <cell r="N3435" t="e">
            <v>#DIV/0!</v>
          </cell>
        </row>
        <row r="3436">
          <cell r="E3436" t="str">
            <v>HGC-POOL-2465689</v>
          </cell>
          <cell r="F3436" t="str">
            <v>PCRD-240814-003</v>
          </cell>
          <cell r="G3436">
            <v>40</v>
          </cell>
          <cell r="H3436" t="str">
            <v>singleron-3'转录组文库</v>
          </cell>
          <cell r="I3436" t="str">
            <v>HZK</v>
          </cell>
          <cell r="J3436">
            <v>16.399999999999999</v>
          </cell>
          <cell r="N3436" t="e">
            <v>#DIV/0!</v>
          </cell>
        </row>
        <row r="3437">
          <cell r="E3437" t="str">
            <v>HGC-POOL-2465690</v>
          </cell>
          <cell r="F3437" t="str">
            <v>PCRD-240814-004</v>
          </cell>
          <cell r="G3437">
            <v>40</v>
          </cell>
          <cell r="H3437" t="str">
            <v>singleron-3'转录组文库</v>
          </cell>
          <cell r="I3437" t="str">
            <v>HZK</v>
          </cell>
          <cell r="J3437">
            <v>11</v>
          </cell>
          <cell r="N3437" t="e">
            <v>#DIV/0!</v>
          </cell>
        </row>
        <row r="3438">
          <cell r="E3438" t="str">
            <v>HGC-Lib-2465691</v>
          </cell>
          <cell r="F3438" t="str">
            <v>T908-1</v>
          </cell>
          <cell r="G3438">
            <v>12</v>
          </cell>
          <cell r="H3438" t="str">
            <v>lncRNA文库</v>
          </cell>
          <cell r="I3438" t="str">
            <v>HZK</v>
          </cell>
          <cell r="J3438">
            <v>51.6</v>
          </cell>
          <cell r="N3438" t="e">
            <v>#DIV/0!</v>
          </cell>
        </row>
        <row r="3439">
          <cell r="E3439" t="str">
            <v>HGC-Lib-2465692</v>
          </cell>
          <cell r="F3439" t="str">
            <v>T908-2</v>
          </cell>
          <cell r="G3439">
            <v>12</v>
          </cell>
          <cell r="H3439" t="str">
            <v>lncRNA文库</v>
          </cell>
          <cell r="I3439" t="str">
            <v>HZK</v>
          </cell>
          <cell r="J3439">
            <v>42.6</v>
          </cell>
          <cell r="N3439" t="e">
            <v>#DIV/0!</v>
          </cell>
        </row>
        <row r="3440">
          <cell r="E3440" t="str">
            <v>HGC-Lib-2465693</v>
          </cell>
          <cell r="F3440" t="str">
            <v>T908-3</v>
          </cell>
          <cell r="G3440">
            <v>12</v>
          </cell>
          <cell r="H3440" t="str">
            <v>lncRNA文库</v>
          </cell>
          <cell r="I3440" t="str">
            <v>HZK</v>
          </cell>
          <cell r="J3440">
            <v>57.2</v>
          </cell>
          <cell r="N3440" t="e">
            <v>#DIV/0!</v>
          </cell>
        </row>
        <row r="3441">
          <cell r="E3441" t="str">
            <v>HGC-Lib-2465694</v>
          </cell>
          <cell r="F3441" t="str">
            <v>T908-4</v>
          </cell>
          <cell r="G3441">
            <v>12</v>
          </cell>
          <cell r="H3441" t="str">
            <v>lncRNA文库</v>
          </cell>
          <cell r="I3441" t="str">
            <v>HZK</v>
          </cell>
          <cell r="J3441">
            <v>44</v>
          </cell>
          <cell r="N3441" t="e">
            <v>#DIV/0!</v>
          </cell>
        </row>
        <row r="3442">
          <cell r="E3442" t="str">
            <v>HGC-Lib-2465695</v>
          </cell>
          <cell r="F3442" t="str">
            <v>A8-2</v>
          </cell>
          <cell r="G3442">
            <v>10</v>
          </cell>
          <cell r="H3442" t="str">
            <v>PCR产物文库</v>
          </cell>
          <cell r="I3442" t="str">
            <v>HZK</v>
          </cell>
          <cell r="J3442">
            <v>31.4</v>
          </cell>
          <cell r="K3442">
            <v>474</v>
          </cell>
          <cell r="L3442" t="str">
            <v>XCL</v>
          </cell>
          <cell r="N3442">
            <v>101.91496267445601</v>
          </cell>
        </row>
        <row r="3443">
          <cell r="E3443" t="str">
            <v>HGC-Lib-2465696</v>
          </cell>
          <cell r="F3443" t="str">
            <v>CtoT-8-2R</v>
          </cell>
          <cell r="G3443">
            <v>2</v>
          </cell>
          <cell r="H3443" t="str">
            <v>PCR片段文库</v>
          </cell>
          <cell r="I3443" t="str">
            <v>XCL</v>
          </cell>
          <cell r="J3443">
            <v>63.6</v>
          </cell>
          <cell r="K3443">
            <v>408</v>
          </cell>
          <cell r="L3443" t="str">
            <v>XCL</v>
          </cell>
          <cell r="N3443">
            <v>239.81900452488699</v>
          </cell>
        </row>
        <row r="3444">
          <cell r="E3444" t="str">
            <v>HGC-Lib-2465697</v>
          </cell>
          <cell r="F3444" t="str">
            <v>BM380</v>
          </cell>
          <cell r="G3444">
            <v>4</v>
          </cell>
          <cell r="H3444" t="str">
            <v>全基因组文库</v>
          </cell>
          <cell r="I3444" t="str">
            <v>XCL</v>
          </cell>
          <cell r="J3444">
            <v>17.5</v>
          </cell>
          <cell r="N3444" t="e">
            <v>#DIV/0!</v>
          </cell>
        </row>
        <row r="3445">
          <cell r="E3445" t="str">
            <v>HGC-Lib-2465698</v>
          </cell>
          <cell r="F3445" t="str">
            <v>T898-1</v>
          </cell>
          <cell r="G3445">
            <v>6</v>
          </cell>
          <cell r="H3445" t="str">
            <v>mRNA文库</v>
          </cell>
          <cell r="I3445" t="str">
            <v>XCL</v>
          </cell>
          <cell r="J3445">
            <v>37.6</v>
          </cell>
          <cell r="N3445" t="e">
            <v>#DIV/0!</v>
          </cell>
        </row>
        <row r="3446">
          <cell r="E3446" t="str">
            <v>HGC-Lib-2465699</v>
          </cell>
          <cell r="F3446" t="str">
            <v>T898-2</v>
          </cell>
          <cell r="G3446">
            <v>6</v>
          </cell>
          <cell r="H3446" t="str">
            <v>mRNA文库</v>
          </cell>
          <cell r="I3446" t="str">
            <v>XCL</v>
          </cell>
          <cell r="J3446">
            <v>54.8</v>
          </cell>
          <cell r="N3446" t="e">
            <v>#DIV/0!</v>
          </cell>
        </row>
        <row r="3447">
          <cell r="E3447" t="str">
            <v>HGC-Lib-2465700</v>
          </cell>
          <cell r="F3447" t="str">
            <v>T898-3</v>
          </cell>
          <cell r="G3447">
            <v>6</v>
          </cell>
          <cell r="H3447" t="str">
            <v>mRNA文库</v>
          </cell>
          <cell r="I3447" t="str">
            <v>XCL</v>
          </cell>
          <cell r="J3447">
            <v>46.6</v>
          </cell>
          <cell r="N3447" t="e">
            <v>#DIV/0!</v>
          </cell>
        </row>
        <row r="3448">
          <cell r="E3448" t="str">
            <v>HGC-Lib-2465701</v>
          </cell>
          <cell r="F3448" t="str">
            <v>T898-4</v>
          </cell>
          <cell r="G3448">
            <v>6</v>
          </cell>
          <cell r="H3448" t="str">
            <v>mRNA文库</v>
          </cell>
          <cell r="I3448" t="str">
            <v>XCL</v>
          </cell>
          <cell r="J3448">
            <v>52</v>
          </cell>
          <cell r="N3448" t="e">
            <v>#DIV/0!</v>
          </cell>
        </row>
        <row r="3449">
          <cell r="E3449" t="str">
            <v>HGC-Lib-2465702</v>
          </cell>
          <cell r="F3449" t="str">
            <v>T898-5</v>
          </cell>
          <cell r="G3449">
            <v>6</v>
          </cell>
          <cell r="H3449" t="str">
            <v>mRNA文库</v>
          </cell>
          <cell r="I3449" t="str">
            <v>XCL</v>
          </cell>
          <cell r="J3449">
            <v>48</v>
          </cell>
          <cell r="N3449" t="e">
            <v>#DIV/0!</v>
          </cell>
        </row>
        <row r="3450">
          <cell r="E3450" t="str">
            <v>HGC-Lib-2465703</v>
          </cell>
          <cell r="F3450" t="str">
            <v>T898-6</v>
          </cell>
          <cell r="G3450">
            <v>6</v>
          </cell>
          <cell r="H3450" t="str">
            <v>mRNA文库</v>
          </cell>
          <cell r="I3450" t="str">
            <v>XCL</v>
          </cell>
          <cell r="J3450">
            <v>57</v>
          </cell>
          <cell r="N3450" t="e">
            <v>#DIV/0!</v>
          </cell>
        </row>
        <row r="3451">
          <cell r="E3451" t="str">
            <v>HGC-Lib-2465704</v>
          </cell>
          <cell r="F3451" t="str">
            <v>T898-7</v>
          </cell>
          <cell r="G3451">
            <v>6</v>
          </cell>
          <cell r="H3451" t="str">
            <v>mRNA文库</v>
          </cell>
          <cell r="I3451" t="str">
            <v>XCL</v>
          </cell>
          <cell r="J3451">
            <v>54</v>
          </cell>
          <cell r="N3451" t="e">
            <v>#DIV/0!</v>
          </cell>
        </row>
        <row r="3452">
          <cell r="E3452" t="str">
            <v>HGC-Lib-2465705</v>
          </cell>
          <cell r="F3452" t="str">
            <v>T898-8</v>
          </cell>
          <cell r="G3452">
            <v>6</v>
          </cell>
          <cell r="H3452" t="str">
            <v>mRNA文库</v>
          </cell>
          <cell r="I3452" t="str">
            <v>XCL</v>
          </cell>
          <cell r="J3452">
            <v>26.8</v>
          </cell>
          <cell r="N3452" t="e">
            <v>#DIV/0!</v>
          </cell>
        </row>
        <row r="3453">
          <cell r="E3453" t="str">
            <v>HGC-Lib-2465706</v>
          </cell>
          <cell r="F3453" t="str">
            <v>T898-9</v>
          </cell>
          <cell r="G3453">
            <v>6</v>
          </cell>
          <cell r="H3453" t="str">
            <v>mRNA文库</v>
          </cell>
          <cell r="I3453" t="str">
            <v>XCL</v>
          </cell>
          <cell r="J3453">
            <v>53.2</v>
          </cell>
          <cell r="N3453" t="e">
            <v>#DIV/0!</v>
          </cell>
        </row>
        <row r="3454">
          <cell r="E3454" t="str">
            <v>HGC-Lib-2465707</v>
          </cell>
          <cell r="F3454" t="str">
            <v>T898-10</v>
          </cell>
          <cell r="G3454">
            <v>6</v>
          </cell>
          <cell r="H3454" t="str">
            <v>mRNA文库</v>
          </cell>
          <cell r="I3454" t="str">
            <v>XCL</v>
          </cell>
          <cell r="J3454">
            <v>57</v>
          </cell>
          <cell r="N3454" t="e">
            <v>#DIV/0!</v>
          </cell>
        </row>
        <row r="3455">
          <cell r="E3455" t="str">
            <v>HGC-Lib-2465708</v>
          </cell>
          <cell r="F3455" t="str">
            <v>T898-11</v>
          </cell>
          <cell r="G3455">
            <v>6</v>
          </cell>
          <cell r="H3455" t="str">
            <v>mRNA文库</v>
          </cell>
          <cell r="I3455" t="str">
            <v>XCL</v>
          </cell>
          <cell r="J3455">
            <v>42.2</v>
          </cell>
          <cell r="N3455" t="e">
            <v>#DIV/0!</v>
          </cell>
        </row>
        <row r="3456">
          <cell r="E3456" t="str">
            <v>HGC-Lib-2465709</v>
          </cell>
          <cell r="F3456" t="str">
            <v>T898-12</v>
          </cell>
          <cell r="G3456">
            <v>6</v>
          </cell>
          <cell r="H3456" t="str">
            <v>mRNA文库</v>
          </cell>
          <cell r="I3456" t="str">
            <v>XCL</v>
          </cell>
          <cell r="J3456">
            <v>51</v>
          </cell>
          <cell r="N3456" t="e">
            <v>#DIV/0!</v>
          </cell>
        </row>
        <row r="3457">
          <cell r="E3457" t="str">
            <v>HGC-Lib-2465731</v>
          </cell>
          <cell r="F3457" t="str">
            <v>Me-IRAZ-S9.6-2</v>
          </cell>
          <cell r="G3457">
            <v>10</v>
          </cell>
          <cell r="H3457" t="str">
            <v>CUT&amp;Tag文库</v>
          </cell>
          <cell r="I3457" t="str">
            <v>ZZ</v>
          </cell>
          <cell r="J3457">
            <v>42.4</v>
          </cell>
          <cell r="K3457">
            <v>495</v>
          </cell>
          <cell r="L3457" t="str">
            <v>GZQ</v>
          </cell>
          <cell r="N3457">
            <v>131.77933177933201</v>
          </cell>
        </row>
        <row r="3458">
          <cell r="E3458" t="str">
            <v>HGC-Lib-2465732</v>
          </cell>
          <cell r="F3458" t="str">
            <v>sp-ZH11-H3K27me3-1</v>
          </cell>
          <cell r="G3458">
            <v>10</v>
          </cell>
          <cell r="H3458" t="str">
            <v>CUT&amp;Tag文库</v>
          </cell>
          <cell r="I3458" t="str">
            <v>ZZ</v>
          </cell>
          <cell r="J3458">
            <v>5.6</v>
          </cell>
          <cell r="K3458">
            <v>517</v>
          </cell>
          <cell r="L3458" t="str">
            <v>GZQ</v>
          </cell>
          <cell r="N3458">
            <v>16.664186876952801</v>
          </cell>
        </row>
        <row r="3459">
          <cell r="E3459" t="str">
            <v>HGC-Lib-2465733</v>
          </cell>
          <cell r="F3459" t="str">
            <v>sp-ZH11-H3K27me3-2</v>
          </cell>
          <cell r="G3459">
            <v>10</v>
          </cell>
          <cell r="H3459" t="str">
            <v>CUT&amp;Tag文库</v>
          </cell>
          <cell r="I3459" t="str">
            <v>ZZ</v>
          </cell>
          <cell r="J3459">
            <v>4.84</v>
          </cell>
          <cell r="K3459">
            <v>502</v>
          </cell>
          <cell r="L3459" t="str">
            <v>GZQ</v>
          </cell>
          <cell r="N3459">
            <v>14.832975789151099</v>
          </cell>
        </row>
        <row r="3460">
          <cell r="E3460" t="str">
            <v>HGC-Lib-2465734</v>
          </cell>
          <cell r="F3460" t="str">
            <v>Me-ZH11-H3K27me3-1</v>
          </cell>
          <cell r="G3460">
            <v>10</v>
          </cell>
          <cell r="H3460" t="str">
            <v>CUT&amp;Tag文库</v>
          </cell>
          <cell r="I3460" t="str">
            <v>ZZ</v>
          </cell>
          <cell r="J3460">
            <v>29</v>
          </cell>
          <cell r="K3460">
            <v>514</v>
          </cell>
          <cell r="L3460" t="str">
            <v>GZQ</v>
          </cell>
          <cell r="N3460">
            <v>86.800359173900006</v>
          </cell>
        </row>
        <row r="3461">
          <cell r="E3461" t="str">
            <v>HGC-Lib-2465735</v>
          </cell>
          <cell r="F3461" t="str">
            <v>Me-ZH11-H3K27me3-2</v>
          </cell>
          <cell r="G3461">
            <v>10</v>
          </cell>
          <cell r="H3461" t="str">
            <v>CUT&amp;Tag文库</v>
          </cell>
          <cell r="I3461" t="str">
            <v>ZZ</v>
          </cell>
          <cell r="J3461">
            <v>33.799999999999997</v>
          </cell>
          <cell r="K3461">
            <v>513</v>
          </cell>
          <cell r="L3461" t="str">
            <v>GZQ</v>
          </cell>
          <cell r="N3461">
            <v>101.36452241715401</v>
          </cell>
        </row>
        <row r="3462">
          <cell r="E3462" t="str">
            <v>HGC-Lib-2465736</v>
          </cell>
          <cell r="F3462" t="str">
            <v>Me-Azu-H3K9me2-1</v>
          </cell>
          <cell r="G3462">
            <v>6</v>
          </cell>
          <cell r="H3462" t="str">
            <v>CUT&amp;Tag文库</v>
          </cell>
          <cell r="I3462" t="str">
            <v>ZZ</v>
          </cell>
          <cell r="J3462">
            <v>24.6</v>
          </cell>
          <cell r="K3462">
            <v>487</v>
          </cell>
          <cell r="L3462" t="str">
            <v>GZQ</v>
          </cell>
          <cell r="N3462">
            <v>77.712841573211193</v>
          </cell>
        </row>
        <row r="3463">
          <cell r="E3463" t="str">
            <v>HGC-Lib-2465737</v>
          </cell>
          <cell r="F3463" t="str">
            <v>Me-Azu-H3K9me2-2</v>
          </cell>
          <cell r="G3463">
            <v>6</v>
          </cell>
          <cell r="H3463" t="str">
            <v>CUT&amp;Tag文库</v>
          </cell>
          <cell r="I3463" t="str">
            <v>ZZ</v>
          </cell>
          <cell r="J3463">
            <v>34</v>
          </cell>
          <cell r="K3463">
            <v>488</v>
          </cell>
          <cell r="L3463" t="str">
            <v>GZQ</v>
          </cell>
          <cell r="N3463">
            <v>107.18789407314</v>
          </cell>
        </row>
        <row r="3464">
          <cell r="E3464" t="str">
            <v>HGC-Lib-2465738</v>
          </cell>
          <cell r="F3464" t="str">
            <v>HYN-R21-240815</v>
          </cell>
          <cell r="G3464">
            <v>2</v>
          </cell>
          <cell r="H3464" t="str">
            <v>PCR片段文库</v>
          </cell>
          <cell r="I3464" t="str">
            <v>ZZ</v>
          </cell>
          <cell r="J3464">
            <v>49</v>
          </cell>
          <cell r="K3464">
            <v>439</v>
          </cell>
          <cell r="L3464" t="str">
            <v>GZQ</v>
          </cell>
          <cell r="N3464">
            <v>171.71894165060499</v>
          </cell>
        </row>
        <row r="3465">
          <cell r="E3465" t="str">
            <v>HGC-Lib-2465739</v>
          </cell>
          <cell r="F3465" t="str">
            <v>HYN-R22-240815</v>
          </cell>
          <cell r="G3465">
            <v>2</v>
          </cell>
          <cell r="H3465" t="str">
            <v>PCR片段文库</v>
          </cell>
          <cell r="I3465" t="str">
            <v>ZZ</v>
          </cell>
          <cell r="J3465">
            <v>92.8</v>
          </cell>
          <cell r="K3465">
            <v>374</v>
          </cell>
          <cell r="L3465" t="str">
            <v>GZQ</v>
          </cell>
          <cell r="N3465">
            <v>381.73591114767601</v>
          </cell>
        </row>
        <row r="3466">
          <cell r="E3466" t="str">
            <v>HGC-Lib-2465740</v>
          </cell>
          <cell r="F3466" t="str">
            <v>HYN-R23-240815</v>
          </cell>
          <cell r="G3466">
            <v>2</v>
          </cell>
          <cell r="H3466" t="str">
            <v>PCR片段文库</v>
          </cell>
          <cell r="I3466" t="str">
            <v>ZZ</v>
          </cell>
          <cell r="J3466">
            <v>80</v>
          </cell>
          <cell r="K3466">
            <v>387</v>
          </cell>
          <cell r="L3466" t="str">
            <v>GZQ</v>
          </cell>
          <cell r="N3466">
            <v>318.02822500496899</v>
          </cell>
        </row>
        <row r="3467">
          <cell r="E3467" t="str">
            <v>HGC-Lib-2465741</v>
          </cell>
          <cell r="F3467" t="str">
            <v>y0808-R1</v>
          </cell>
          <cell r="G3467">
            <v>2</v>
          </cell>
          <cell r="H3467" t="str">
            <v>多重PCR产物文库</v>
          </cell>
          <cell r="I3467" t="str">
            <v>ZZ</v>
          </cell>
          <cell r="J3467">
            <v>39.799999999999997</v>
          </cell>
          <cell r="K3467">
            <v>515</v>
          </cell>
          <cell r="L3467" t="str">
            <v>GZQ</v>
          </cell>
          <cell r="N3467">
            <v>118.89469753547399</v>
          </cell>
        </row>
        <row r="3468">
          <cell r="E3468" t="str">
            <v>HGC-Lib-2465742</v>
          </cell>
          <cell r="F3468" t="str">
            <v>y0808-R2</v>
          </cell>
          <cell r="G3468">
            <v>2</v>
          </cell>
          <cell r="H3468" t="str">
            <v>多重PCR产物文库</v>
          </cell>
          <cell r="I3468" t="str">
            <v>ZZ</v>
          </cell>
          <cell r="J3468">
            <v>66.2</v>
          </cell>
          <cell r="K3468">
            <v>518</v>
          </cell>
          <cell r="L3468" t="str">
            <v>GZQ</v>
          </cell>
          <cell r="N3468">
            <v>196.614196614197</v>
          </cell>
        </row>
        <row r="3469">
          <cell r="E3469" t="str">
            <v>HGC-Lib-2465743</v>
          </cell>
          <cell r="F3469" t="str">
            <v>y0808-R3</v>
          </cell>
          <cell r="G3469">
            <v>2</v>
          </cell>
          <cell r="H3469" t="str">
            <v>多重PCR产物文库</v>
          </cell>
          <cell r="I3469" t="str">
            <v>ZZ</v>
          </cell>
          <cell r="J3469">
            <v>37</v>
          </cell>
          <cell r="K3469">
            <v>431</v>
          </cell>
          <cell r="L3469" t="str">
            <v>GZQ</v>
          </cell>
          <cell r="N3469">
            <v>132.072104229877</v>
          </cell>
        </row>
        <row r="3470">
          <cell r="E3470" t="str">
            <v>HGC-Lib-2465744</v>
          </cell>
          <cell r="F3470" t="str">
            <v>y0808-R4</v>
          </cell>
          <cell r="G3470">
            <v>2</v>
          </cell>
          <cell r="H3470" t="str">
            <v>多重PCR产物文库</v>
          </cell>
          <cell r="I3470" t="str">
            <v>ZZ</v>
          </cell>
          <cell r="J3470">
            <v>80.2</v>
          </cell>
          <cell r="K3470">
            <v>443</v>
          </cell>
          <cell r="L3470" t="str">
            <v>GZQ</v>
          </cell>
          <cell r="N3470">
            <v>278.52057648897397</v>
          </cell>
        </row>
        <row r="3471">
          <cell r="E3471" t="str">
            <v>HGC-Lib-2465745</v>
          </cell>
          <cell r="F3471" t="str">
            <v>y0808-R8</v>
          </cell>
          <cell r="G3471">
            <v>2</v>
          </cell>
          <cell r="H3471" t="str">
            <v>多重PCR产物文库</v>
          </cell>
          <cell r="I3471" t="str">
            <v>ZZ</v>
          </cell>
          <cell r="J3471">
            <v>81.599999999999994</v>
          </cell>
          <cell r="K3471">
            <v>542</v>
          </cell>
          <cell r="L3471" t="str">
            <v>GZQ</v>
          </cell>
          <cell r="N3471">
            <v>231.62077774623901</v>
          </cell>
        </row>
        <row r="3472">
          <cell r="E3472" t="str">
            <v>HGC-Lib-2465746</v>
          </cell>
          <cell r="F3472" t="str">
            <v>y0808-R9</v>
          </cell>
          <cell r="G3472">
            <v>2</v>
          </cell>
          <cell r="H3472" t="str">
            <v>多重PCR产物文库</v>
          </cell>
          <cell r="I3472" t="str">
            <v>ZZ</v>
          </cell>
          <cell r="J3472">
            <v>51</v>
          </cell>
          <cell r="K3472">
            <v>423</v>
          </cell>
          <cell r="L3472" t="str">
            <v>GZQ</v>
          </cell>
          <cell r="N3472">
            <v>185.48827059465401</v>
          </cell>
        </row>
        <row r="3473">
          <cell r="E3473" t="str">
            <v>HGC-Lib-2465747</v>
          </cell>
          <cell r="F3473" t="str">
            <v>y0808-R10</v>
          </cell>
          <cell r="G3473">
            <v>2</v>
          </cell>
          <cell r="H3473" t="str">
            <v>多重PCR产物文库</v>
          </cell>
          <cell r="I3473" t="str">
            <v>ZZ</v>
          </cell>
          <cell r="J3473">
            <v>30.4</v>
          </cell>
          <cell r="K3473">
            <v>460</v>
          </cell>
          <cell r="L3473" t="str">
            <v>GZQ</v>
          </cell>
          <cell r="N3473">
            <v>101.672240802676</v>
          </cell>
        </row>
        <row r="3474">
          <cell r="E3474" t="str">
            <v>HGC-Lib-2465748</v>
          </cell>
          <cell r="F3474" t="str">
            <v>y0808-R11</v>
          </cell>
          <cell r="G3474">
            <v>2</v>
          </cell>
          <cell r="H3474" t="str">
            <v>多重PCR产物文库</v>
          </cell>
          <cell r="I3474" t="str">
            <v>ZZ</v>
          </cell>
          <cell r="J3474">
            <v>73.8</v>
          </cell>
          <cell r="K3474">
            <v>493</v>
          </cell>
          <cell r="L3474" t="str">
            <v>GZQ</v>
          </cell>
          <cell r="N3474">
            <v>230.30113902324899</v>
          </cell>
        </row>
        <row r="3475">
          <cell r="E3475" t="str">
            <v>HGC-Lib-2465749</v>
          </cell>
          <cell r="F3475" t="str">
            <v>y0808-R12</v>
          </cell>
          <cell r="G3475">
            <v>2</v>
          </cell>
          <cell r="H3475" t="str">
            <v>多重PCR产物文库</v>
          </cell>
          <cell r="I3475" t="str">
            <v>ZZ</v>
          </cell>
          <cell r="J3475">
            <v>43.6</v>
          </cell>
          <cell r="K3475">
            <v>487</v>
          </cell>
          <cell r="L3475" t="str">
            <v>GZQ</v>
          </cell>
          <cell r="N3475">
            <v>137.73495498341501</v>
          </cell>
        </row>
        <row r="3476">
          <cell r="E3476" t="str">
            <v>HGC-Lib-2465750</v>
          </cell>
          <cell r="F3476" t="str">
            <v>y0808-R13</v>
          </cell>
          <cell r="G3476">
            <v>2</v>
          </cell>
          <cell r="H3476" t="str">
            <v>多重PCR产物文库</v>
          </cell>
          <cell r="I3476" t="str">
            <v>ZZ</v>
          </cell>
          <cell r="J3476">
            <v>35.6</v>
          </cell>
          <cell r="K3476">
            <v>550</v>
          </cell>
          <cell r="L3476" t="str">
            <v>GZQ</v>
          </cell>
          <cell r="N3476">
            <v>99.580419580419601</v>
          </cell>
        </row>
        <row r="3477">
          <cell r="E3477" t="str">
            <v>HGC-Lib-2465751</v>
          </cell>
          <cell r="F3477" t="str">
            <v>hitomcll417</v>
          </cell>
          <cell r="G3477">
            <v>2</v>
          </cell>
          <cell r="H3477" t="str">
            <v>PCR片段文库</v>
          </cell>
          <cell r="I3477" t="str">
            <v>ZZ</v>
          </cell>
          <cell r="J3477">
            <v>38</v>
          </cell>
          <cell r="K3477">
            <v>431</v>
          </cell>
          <cell r="L3477" t="str">
            <v>GZQ</v>
          </cell>
          <cell r="N3477">
            <v>135.641620560414</v>
          </cell>
        </row>
        <row r="3478">
          <cell r="E3478" t="str">
            <v>HGC-Lib-2465752</v>
          </cell>
          <cell r="F3478" t="str">
            <v>e14-4su</v>
          </cell>
          <cell r="G3478">
            <v>3</v>
          </cell>
          <cell r="H3478" t="str">
            <v>mRNA文库</v>
          </cell>
          <cell r="I3478" t="str">
            <v>ZZ</v>
          </cell>
          <cell r="J3478">
            <v>5.74</v>
          </cell>
          <cell r="K3478">
            <v>459</v>
          </cell>
          <cell r="L3478" t="str">
            <v>GZQ</v>
          </cell>
          <cell r="N3478">
            <v>19.2391486509134</v>
          </cell>
        </row>
        <row r="3479">
          <cell r="E3479" t="str">
            <v>HGC-Lib-2465753</v>
          </cell>
          <cell r="F3479" t="str">
            <v>IVT-0815</v>
          </cell>
          <cell r="G3479">
            <v>5</v>
          </cell>
          <cell r="H3479" t="str">
            <v>PCR产物文库</v>
          </cell>
          <cell r="I3479" t="str">
            <v>ZZ</v>
          </cell>
          <cell r="J3479">
            <v>68.400000000000006</v>
          </cell>
          <cell r="K3479">
            <v>526</v>
          </cell>
          <cell r="L3479" t="str">
            <v>GZQ</v>
          </cell>
          <cell r="N3479">
            <v>200.05849663644301</v>
          </cell>
        </row>
        <row r="3480">
          <cell r="E3480" t="str">
            <v>HGC-Lib-2465754</v>
          </cell>
          <cell r="F3480" t="str">
            <v>CS8863-PriHep-H3K9me3</v>
          </cell>
          <cell r="G3480">
            <v>15</v>
          </cell>
          <cell r="H3480" t="str">
            <v>cut&amp;tag文库</v>
          </cell>
          <cell r="I3480" t="str">
            <v>ZZ</v>
          </cell>
          <cell r="J3480">
            <v>4.26</v>
          </cell>
          <cell r="K3480">
            <v>436</v>
          </cell>
          <cell r="L3480" t="str">
            <v>GZQ</v>
          </cell>
          <cell r="N3480">
            <v>15.031757233592099</v>
          </cell>
        </row>
        <row r="3481">
          <cell r="E3481" t="str">
            <v>HGC-Lib-2465755</v>
          </cell>
          <cell r="F3481" t="str">
            <v>CS7628-PriHep-H3K9me3</v>
          </cell>
          <cell r="G3481">
            <v>15</v>
          </cell>
          <cell r="H3481" t="str">
            <v>cut&amp;tag文库</v>
          </cell>
          <cell r="I3481" t="str">
            <v>ZZ</v>
          </cell>
          <cell r="J3481">
            <v>1.88</v>
          </cell>
          <cell r="K3481">
            <v>394</v>
          </cell>
          <cell r="L3481" t="str">
            <v>GZQ</v>
          </cell>
          <cell r="N3481">
            <v>7.3408824677860203</v>
          </cell>
        </row>
        <row r="3482">
          <cell r="E3482" t="str">
            <v>HGC-Lib-2465756</v>
          </cell>
          <cell r="F3482" t="str">
            <v>CS7633-PriHep-H3K9me3</v>
          </cell>
          <cell r="G3482">
            <v>15</v>
          </cell>
          <cell r="H3482" t="str">
            <v>cut&amp;tag文库</v>
          </cell>
          <cell r="I3482" t="str">
            <v>ZZ</v>
          </cell>
          <cell r="J3482">
            <v>1.1200000000000001</v>
          </cell>
          <cell r="K3482">
            <v>432</v>
          </cell>
          <cell r="L3482" t="str">
            <v>GZQ</v>
          </cell>
          <cell r="N3482">
            <v>3.9886039886039901</v>
          </cell>
        </row>
        <row r="3483">
          <cell r="E3483" t="str">
            <v>HGC-Lib-2465757</v>
          </cell>
          <cell r="F3483" t="str">
            <v>CS8864-PriHep-H3K9me3</v>
          </cell>
          <cell r="G3483">
            <v>15</v>
          </cell>
          <cell r="H3483" t="str">
            <v>cut&amp;tag文库</v>
          </cell>
          <cell r="I3483" t="str">
            <v>ZZ</v>
          </cell>
          <cell r="J3483">
            <v>3.06</v>
          </cell>
          <cell r="K3483">
            <v>418</v>
          </cell>
          <cell r="L3483" t="str">
            <v>GZQ</v>
          </cell>
          <cell r="N3483">
            <v>11.262421788737599</v>
          </cell>
        </row>
        <row r="3484">
          <cell r="E3484" t="str">
            <v>HGC-Lib-2465758</v>
          </cell>
          <cell r="F3484" t="str">
            <v>CS7635-PriHep-H3K9me3</v>
          </cell>
          <cell r="G3484">
            <v>15</v>
          </cell>
          <cell r="H3484" t="str">
            <v>cut&amp;tag文库</v>
          </cell>
          <cell r="I3484" t="str">
            <v>ZZ</v>
          </cell>
          <cell r="J3484">
            <v>2.72</v>
          </cell>
          <cell r="K3484">
            <v>418</v>
          </cell>
          <cell r="L3484" t="str">
            <v>GZQ</v>
          </cell>
          <cell r="N3484">
            <v>10.011041589989</v>
          </cell>
        </row>
        <row r="3485">
          <cell r="E3485" t="str">
            <v>HGC-Lib-2465759</v>
          </cell>
          <cell r="F3485" t="str">
            <v>CS8863-PriHep-Setdb1</v>
          </cell>
          <cell r="G3485">
            <v>15</v>
          </cell>
          <cell r="H3485" t="str">
            <v>cut&amp;tag文库</v>
          </cell>
          <cell r="I3485" t="str">
            <v>ZZ</v>
          </cell>
          <cell r="J3485">
            <v>2.3199999999999998</v>
          </cell>
          <cell r="K3485">
            <v>368</v>
          </cell>
          <cell r="L3485" t="str">
            <v>GZQ</v>
          </cell>
          <cell r="N3485">
            <v>9.6989966555183909</v>
          </cell>
        </row>
        <row r="3486">
          <cell r="E3486" t="str">
            <v>HGC-Lib-2465760</v>
          </cell>
          <cell r="F3486" t="str">
            <v>CS7628-PriHep-Setdb1</v>
          </cell>
          <cell r="G3486">
            <v>15</v>
          </cell>
          <cell r="H3486" t="str">
            <v>cut&amp;tag文库</v>
          </cell>
          <cell r="I3486" t="str">
            <v>ZZ</v>
          </cell>
          <cell r="J3486">
            <v>1.78</v>
          </cell>
          <cell r="K3486">
            <v>371</v>
          </cell>
          <cell r="L3486" t="str">
            <v>GZQ</v>
          </cell>
          <cell r="N3486">
            <v>7.3812979473356801</v>
          </cell>
        </row>
        <row r="3487">
          <cell r="E3487" t="str">
            <v>HGC-Lib-2465761</v>
          </cell>
          <cell r="F3487" t="str">
            <v>CS7633-PriHep-Setdb1</v>
          </cell>
          <cell r="G3487">
            <v>15</v>
          </cell>
          <cell r="H3487" t="str">
            <v>cut&amp;tag文库</v>
          </cell>
          <cell r="I3487" t="str">
            <v>ZZ</v>
          </cell>
          <cell r="J3487">
            <v>0.89800000000000002</v>
          </cell>
          <cell r="K3487">
            <v>402</v>
          </cell>
          <cell r="L3487" t="str">
            <v>GZQ</v>
          </cell>
          <cell r="N3487">
            <v>3.43666283964791</v>
          </cell>
        </row>
        <row r="3488">
          <cell r="E3488" t="str">
            <v>HGC-Lib-2465762</v>
          </cell>
          <cell r="F3488" t="str">
            <v>CS8864-PriHep-Setdb1</v>
          </cell>
          <cell r="G3488">
            <v>15</v>
          </cell>
          <cell r="H3488" t="str">
            <v>cut&amp;tag文库</v>
          </cell>
          <cell r="I3488" t="str">
            <v>ZZ</v>
          </cell>
          <cell r="J3488">
            <v>1.56</v>
          </cell>
          <cell r="K3488">
            <v>367</v>
          </cell>
          <cell r="L3488" t="str">
            <v>GZQ</v>
          </cell>
          <cell r="N3488">
            <v>6.53950953678474</v>
          </cell>
        </row>
        <row r="3489">
          <cell r="E3489" t="str">
            <v>HGC-Lib-2465763</v>
          </cell>
          <cell r="F3489" t="str">
            <v>CS7635-PriHep-Setdb1</v>
          </cell>
          <cell r="G3489">
            <v>15</v>
          </cell>
          <cell r="H3489" t="str">
            <v>cut&amp;tag文库</v>
          </cell>
          <cell r="I3489" t="str">
            <v>ZZ</v>
          </cell>
          <cell r="J3489">
            <v>1.52</v>
          </cell>
          <cell r="K3489">
            <v>383</v>
          </cell>
          <cell r="L3489" t="str">
            <v>GZQ</v>
          </cell>
          <cell r="N3489">
            <v>6.1056437035549296</v>
          </cell>
        </row>
        <row r="3490">
          <cell r="E3490" t="str">
            <v>HGC-Lib-2465764</v>
          </cell>
          <cell r="F3490" t="str">
            <v>LA240306015</v>
          </cell>
          <cell r="G3490">
            <v>100</v>
          </cell>
          <cell r="H3490" t="str">
            <v>singleron-3'转录组文库</v>
          </cell>
          <cell r="I3490" t="str">
            <v>ZZ</v>
          </cell>
          <cell r="J3490">
            <v>26.2</v>
          </cell>
          <cell r="N3490" t="e">
            <v>#DIV/0!</v>
          </cell>
        </row>
        <row r="3491">
          <cell r="E3491" t="str">
            <v>HGC-Lib-2465765</v>
          </cell>
          <cell r="F3491" t="str">
            <v>LC240306016</v>
          </cell>
          <cell r="G3491">
            <v>100</v>
          </cell>
          <cell r="H3491" t="str">
            <v>singleron-3'转录组文库</v>
          </cell>
          <cell r="I3491" t="str">
            <v>ZZ</v>
          </cell>
          <cell r="J3491">
            <v>21.2</v>
          </cell>
          <cell r="N3491" t="e">
            <v>#DIV/0!</v>
          </cell>
        </row>
        <row r="3492">
          <cell r="E3492" t="str">
            <v>HGC-Lib-2465766</v>
          </cell>
          <cell r="F3492" t="str">
            <v>LC240306014</v>
          </cell>
          <cell r="G3492">
            <v>100</v>
          </cell>
          <cell r="H3492" t="str">
            <v>singleron-3'转录组文库</v>
          </cell>
          <cell r="I3492" t="str">
            <v>ZZ</v>
          </cell>
          <cell r="J3492">
            <v>22.4</v>
          </cell>
          <cell r="N3492" t="e">
            <v>#DIV/0!</v>
          </cell>
        </row>
        <row r="3493">
          <cell r="E3493" t="str">
            <v>HGC-Lib-2465767</v>
          </cell>
          <cell r="F3493" t="str">
            <v>LA240306017</v>
          </cell>
          <cell r="G3493">
            <v>100</v>
          </cell>
          <cell r="H3493" t="str">
            <v>singleron-3'转录组文库</v>
          </cell>
          <cell r="I3493" t="str">
            <v>ZZ</v>
          </cell>
          <cell r="J3493">
            <v>22.2</v>
          </cell>
          <cell r="N3493" t="e">
            <v>#DIV/0!</v>
          </cell>
        </row>
        <row r="3494">
          <cell r="E3494" t="str">
            <v>HGC-Lib-2465768</v>
          </cell>
          <cell r="F3494" t="str">
            <v>LA240810027</v>
          </cell>
          <cell r="G3494">
            <v>100</v>
          </cell>
          <cell r="H3494" t="str">
            <v>singleron-3'转录组文库</v>
          </cell>
          <cell r="I3494" t="str">
            <v>ZZ</v>
          </cell>
          <cell r="J3494">
            <v>16.2</v>
          </cell>
          <cell r="N3494" t="e">
            <v>#DIV/0!</v>
          </cell>
        </row>
        <row r="3495">
          <cell r="E3495" t="str">
            <v>HGC-Lib-2465769</v>
          </cell>
          <cell r="F3495" t="str">
            <v>LA240807046</v>
          </cell>
          <cell r="G3495">
            <v>100</v>
          </cell>
          <cell r="H3495" t="str">
            <v>singleron-3'转录组文库</v>
          </cell>
          <cell r="I3495" t="str">
            <v>ZZ</v>
          </cell>
          <cell r="J3495">
            <v>7.7</v>
          </cell>
          <cell r="N3495" t="e">
            <v>#DIV/0!</v>
          </cell>
        </row>
        <row r="3496">
          <cell r="E3496" t="str">
            <v>HGC-Lib-2465770</v>
          </cell>
          <cell r="F3496" t="str">
            <v>LC240812002</v>
          </cell>
          <cell r="G3496">
            <v>90</v>
          </cell>
          <cell r="H3496" t="str">
            <v>singleron-3'转录组文库</v>
          </cell>
          <cell r="I3496" t="str">
            <v>ZZ</v>
          </cell>
          <cell r="J3496">
            <v>21.2</v>
          </cell>
          <cell r="N3496" t="e">
            <v>#DIV/0!</v>
          </cell>
        </row>
        <row r="3497">
          <cell r="E3497" t="str">
            <v>HGC-Lib-2465771</v>
          </cell>
          <cell r="F3497" t="str">
            <v>LA240808061</v>
          </cell>
          <cell r="G3497">
            <v>120</v>
          </cell>
          <cell r="H3497" t="str">
            <v>singleron-3'转录组文库</v>
          </cell>
          <cell r="I3497" t="str">
            <v>ZZ</v>
          </cell>
          <cell r="J3497">
            <v>29.6</v>
          </cell>
          <cell r="N3497" t="e">
            <v>#DIV/0!</v>
          </cell>
        </row>
        <row r="3498">
          <cell r="E3498" t="str">
            <v>HGC-Lib-2465772</v>
          </cell>
          <cell r="F3498" t="str">
            <v>LA240808056</v>
          </cell>
          <cell r="G3498">
            <v>120</v>
          </cell>
          <cell r="H3498" t="str">
            <v>singleron-3'转录组文库</v>
          </cell>
          <cell r="I3498" t="str">
            <v>ZZ</v>
          </cell>
          <cell r="J3498">
            <v>36.6</v>
          </cell>
          <cell r="N3498" t="e">
            <v>#DIV/0!</v>
          </cell>
        </row>
        <row r="3499">
          <cell r="E3499" t="str">
            <v>HGC-Lib-2465773</v>
          </cell>
          <cell r="F3499" t="str">
            <v>LA240808063</v>
          </cell>
          <cell r="G3499">
            <v>120</v>
          </cell>
          <cell r="H3499" t="str">
            <v>singleron-3'转录组文库</v>
          </cell>
          <cell r="I3499" t="str">
            <v>ZZ</v>
          </cell>
          <cell r="J3499">
            <v>33.4</v>
          </cell>
          <cell r="N3499" t="e">
            <v>#DIV/0!</v>
          </cell>
        </row>
        <row r="3500">
          <cell r="E3500" t="str">
            <v>HGC-Lib-2465774</v>
          </cell>
          <cell r="F3500" t="str">
            <v>LA240808069X2</v>
          </cell>
          <cell r="G3500">
            <v>120</v>
          </cell>
          <cell r="H3500" t="str">
            <v>singleron-3'转录组文库</v>
          </cell>
          <cell r="I3500" t="str">
            <v>ZZ</v>
          </cell>
          <cell r="J3500">
            <v>26</v>
          </cell>
          <cell r="N3500" t="e">
            <v>#DIV/0!</v>
          </cell>
        </row>
        <row r="3501">
          <cell r="E3501" t="str">
            <v>HGC-Lib-2465775</v>
          </cell>
          <cell r="F3501" t="str">
            <v>LA240808067</v>
          </cell>
          <cell r="G3501">
            <v>120</v>
          </cell>
          <cell r="H3501" t="str">
            <v>singleron-3'转录组文库</v>
          </cell>
          <cell r="I3501" t="str">
            <v>ZZ</v>
          </cell>
          <cell r="J3501">
            <v>26.4</v>
          </cell>
          <cell r="N3501" t="e">
            <v>#DIV/0!</v>
          </cell>
        </row>
        <row r="3502">
          <cell r="E3502" t="str">
            <v>HGC-Lib-2465776</v>
          </cell>
          <cell r="F3502" t="str">
            <v>LA240808059</v>
          </cell>
          <cell r="G3502">
            <v>120</v>
          </cell>
          <cell r="H3502" t="str">
            <v>singleron-3'转录组文库</v>
          </cell>
          <cell r="I3502" t="str">
            <v>ZZ</v>
          </cell>
          <cell r="J3502">
            <v>26.2</v>
          </cell>
          <cell r="N3502" t="e">
            <v>#DIV/0!</v>
          </cell>
        </row>
        <row r="3503">
          <cell r="E3503" t="str">
            <v>HGC-Lib-2465777</v>
          </cell>
          <cell r="F3503" t="str">
            <v>LA240808066</v>
          </cell>
          <cell r="G3503">
            <v>120</v>
          </cell>
          <cell r="H3503" t="str">
            <v>singleron-3'转录组文库</v>
          </cell>
          <cell r="I3503" t="str">
            <v>ZZ</v>
          </cell>
          <cell r="J3503">
            <v>21</v>
          </cell>
          <cell r="N3503" t="e">
            <v>#DIV/0!</v>
          </cell>
        </row>
        <row r="3504">
          <cell r="E3504" t="str">
            <v>HGC-Lib-2465778</v>
          </cell>
          <cell r="F3504" t="str">
            <v>LA240808068X1</v>
          </cell>
          <cell r="G3504">
            <v>120</v>
          </cell>
          <cell r="H3504" t="str">
            <v>singleron-3'转录组文库</v>
          </cell>
          <cell r="I3504" t="str">
            <v>ZZ</v>
          </cell>
          <cell r="J3504">
            <v>22.8</v>
          </cell>
          <cell r="N3504" t="e">
            <v>#DIV/0!</v>
          </cell>
        </row>
        <row r="3505">
          <cell r="E3505" t="str">
            <v>HGC-Lib-2465779</v>
          </cell>
          <cell r="F3505" t="str">
            <v>LA240808064</v>
          </cell>
          <cell r="G3505">
            <v>120</v>
          </cell>
          <cell r="H3505" t="str">
            <v>singleron-3'转录组文库</v>
          </cell>
          <cell r="I3505" t="str">
            <v>ZZ</v>
          </cell>
          <cell r="J3505">
            <v>28.6</v>
          </cell>
          <cell r="N3505" t="e">
            <v>#DIV/0!</v>
          </cell>
        </row>
        <row r="3506">
          <cell r="E3506" t="str">
            <v>HGC-Lib-2465780</v>
          </cell>
          <cell r="F3506" t="str">
            <v>LA240808057</v>
          </cell>
          <cell r="G3506">
            <v>120</v>
          </cell>
          <cell r="H3506" t="str">
            <v>singleron-3'转录组文库</v>
          </cell>
          <cell r="I3506" t="str">
            <v>ZZ</v>
          </cell>
          <cell r="J3506">
            <v>32.200000000000003</v>
          </cell>
          <cell r="N3506" t="e">
            <v>#DIV/0!</v>
          </cell>
        </row>
        <row r="3507">
          <cell r="E3507" t="str">
            <v>HGC-Lib-2465781</v>
          </cell>
          <cell r="F3507" t="str">
            <v>LA240808058</v>
          </cell>
          <cell r="G3507">
            <v>120</v>
          </cell>
          <cell r="H3507" t="str">
            <v>singleron-3'转录组文库</v>
          </cell>
          <cell r="I3507" t="str">
            <v>ZZ</v>
          </cell>
          <cell r="J3507">
            <v>26.4</v>
          </cell>
          <cell r="N3507" t="e">
            <v>#DIV/0!</v>
          </cell>
        </row>
        <row r="3508">
          <cell r="E3508" t="str">
            <v>HGC-Lib-2465782</v>
          </cell>
          <cell r="F3508" t="str">
            <v>LA240808062</v>
          </cell>
          <cell r="G3508">
            <v>120</v>
          </cell>
          <cell r="H3508" t="str">
            <v>singleron-3'转录组文库</v>
          </cell>
          <cell r="I3508" t="str">
            <v>ZZ</v>
          </cell>
          <cell r="J3508">
            <v>30</v>
          </cell>
          <cell r="N3508" t="e">
            <v>#DIV/0!</v>
          </cell>
        </row>
        <row r="3509">
          <cell r="E3509" t="str">
            <v>HGC-Lib-2465783</v>
          </cell>
          <cell r="F3509" t="str">
            <v>LFTC240810004</v>
          </cell>
          <cell r="G3509">
            <v>110</v>
          </cell>
          <cell r="H3509" t="str">
            <v>singleron-3'全长转录组文库</v>
          </cell>
          <cell r="I3509" t="str">
            <v>ZZ</v>
          </cell>
          <cell r="J3509">
            <v>17.100000000000001</v>
          </cell>
          <cell r="N3509" t="e">
            <v>#DIV/0!</v>
          </cell>
        </row>
        <row r="3510">
          <cell r="E3510" t="str">
            <v>HGC-Lib-2465784</v>
          </cell>
          <cell r="F3510" t="str">
            <v>LFTC240810003</v>
          </cell>
          <cell r="G3510">
            <v>110</v>
          </cell>
          <cell r="H3510" t="str">
            <v>singleron-3'全长转录组文库</v>
          </cell>
          <cell r="I3510" t="str">
            <v>ZZ</v>
          </cell>
          <cell r="J3510">
            <v>19.399999999999999</v>
          </cell>
          <cell r="N3510" t="e">
            <v>#DIV/0!</v>
          </cell>
        </row>
        <row r="3511">
          <cell r="E3511" t="str">
            <v>HGC-Lib-2465785</v>
          </cell>
          <cell r="F3511" t="str">
            <v>LFTC240810002CK</v>
          </cell>
          <cell r="G3511">
            <v>100</v>
          </cell>
          <cell r="H3511" t="str">
            <v>singleron-3'全长转录组文库</v>
          </cell>
          <cell r="I3511" t="str">
            <v>ZZ</v>
          </cell>
          <cell r="J3511">
            <v>17.3</v>
          </cell>
          <cell r="N3511" t="e">
            <v>#DIV/0!</v>
          </cell>
        </row>
        <row r="3512">
          <cell r="E3512" t="str">
            <v>HGC-Lib-2465786</v>
          </cell>
          <cell r="F3512" t="str">
            <v>LFTA240809014</v>
          </cell>
          <cell r="G3512">
            <v>100</v>
          </cell>
          <cell r="H3512" t="str">
            <v>singleron-3'全长转录组文库</v>
          </cell>
          <cell r="I3512" t="str">
            <v>ZZ</v>
          </cell>
          <cell r="J3512">
            <v>21.4</v>
          </cell>
          <cell r="N3512" t="e">
            <v>#DIV/0!</v>
          </cell>
        </row>
        <row r="3513">
          <cell r="E3513" t="str">
            <v>HGC-Lib-2465787</v>
          </cell>
          <cell r="F3513" t="str">
            <v>LFTA240809016</v>
          </cell>
          <cell r="G3513">
            <v>100</v>
          </cell>
          <cell r="H3513" t="str">
            <v>singleron-3'全长转录组文库</v>
          </cell>
          <cell r="I3513" t="str">
            <v>ZZ</v>
          </cell>
          <cell r="J3513">
            <v>18.600000000000001</v>
          </cell>
          <cell r="N3513" t="e">
            <v>#DIV/0!</v>
          </cell>
        </row>
        <row r="3514">
          <cell r="E3514" t="str">
            <v>HGC-Lib-2465788</v>
          </cell>
          <cell r="F3514" t="str">
            <v>LFTA240809017</v>
          </cell>
          <cell r="G3514">
            <v>100</v>
          </cell>
          <cell r="H3514" t="str">
            <v>singleron-3'全长转录组文库</v>
          </cell>
          <cell r="I3514" t="str">
            <v>ZZ</v>
          </cell>
          <cell r="J3514">
            <v>18.899999999999999</v>
          </cell>
          <cell r="N3514" t="e">
            <v>#DIV/0!</v>
          </cell>
        </row>
        <row r="3515">
          <cell r="E3515" t="str">
            <v>HGC-Lib-2465789</v>
          </cell>
          <cell r="F3515" t="str">
            <v>LFTA240809022</v>
          </cell>
          <cell r="G3515">
            <v>100</v>
          </cell>
          <cell r="H3515" t="str">
            <v>singleron-3'全长转录组文库</v>
          </cell>
          <cell r="I3515" t="str">
            <v>ZZ</v>
          </cell>
          <cell r="J3515">
            <v>24.6</v>
          </cell>
          <cell r="N3515" t="e">
            <v>#DIV/0!</v>
          </cell>
        </row>
        <row r="3516">
          <cell r="E3516" t="str">
            <v>HGC-Lib-2465790</v>
          </cell>
          <cell r="F3516" t="str">
            <v>LFTA240809025</v>
          </cell>
          <cell r="G3516">
            <v>100</v>
          </cell>
          <cell r="H3516" t="str">
            <v>singleron-3'全长转录组文库</v>
          </cell>
          <cell r="I3516" t="str">
            <v>ZZ</v>
          </cell>
          <cell r="J3516">
            <v>23.2</v>
          </cell>
          <cell r="N3516" t="e">
            <v>#DIV/0!</v>
          </cell>
        </row>
        <row r="3517">
          <cell r="E3517" t="str">
            <v>HGC-Lib-2465791</v>
          </cell>
          <cell r="F3517" t="str">
            <v>LFTA240809020</v>
          </cell>
          <cell r="G3517">
            <v>100</v>
          </cell>
          <cell r="H3517" t="str">
            <v>singleron-3'全长转录组文库</v>
          </cell>
          <cell r="I3517" t="str">
            <v>ZZ</v>
          </cell>
          <cell r="J3517">
            <v>26.2</v>
          </cell>
          <cell r="N3517" t="e">
            <v>#DIV/0!</v>
          </cell>
        </row>
        <row r="3518">
          <cell r="E3518" t="str">
            <v>HGC-Lib-2465792</v>
          </cell>
          <cell r="F3518" t="str">
            <v>LFTA240809018</v>
          </cell>
          <cell r="G3518">
            <v>100</v>
          </cell>
          <cell r="H3518" t="str">
            <v>singleron-3'全长转录组文库</v>
          </cell>
          <cell r="I3518" t="str">
            <v>ZZ</v>
          </cell>
          <cell r="J3518">
            <v>25.8</v>
          </cell>
          <cell r="N3518" t="e">
            <v>#DIV/0!</v>
          </cell>
        </row>
        <row r="3519">
          <cell r="E3519" t="str">
            <v>HGC-Lib-2465793</v>
          </cell>
          <cell r="F3519" t="str">
            <v>LFTA240809023</v>
          </cell>
          <cell r="G3519">
            <v>100</v>
          </cell>
          <cell r="H3519" t="str">
            <v>singleron-3'全长转录组文库</v>
          </cell>
          <cell r="I3519" t="str">
            <v>ZZ</v>
          </cell>
          <cell r="J3519">
            <v>24.6</v>
          </cell>
          <cell r="N3519" t="e">
            <v>#DIV/0!</v>
          </cell>
        </row>
        <row r="3520">
          <cell r="E3520" t="str">
            <v>HGC-Lib-2465794</v>
          </cell>
          <cell r="F3520" t="str">
            <v>R240815001</v>
          </cell>
          <cell r="G3520">
            <v>5</v>
          </cell>
          <cell r="H3520" t="str">
            <v>singleron-3'转录组文库</v>
          </cell>
          <cell r="I3520" t="str">
            <v>ZZ</v>
          </cell>
          <cell r="J3520">
            <v>12.5</v>
          </cell>
          <cell r="N3520" t="e">
            <v>#DIV/0!</v>
          </cell>
        </row>
        <row r="3521">
          <cell r="E3521" t="str">
            <v>HGC-Lib-2465795</v>
          </cell>
          <cell r="F3521" t="str">
            <v>R240815002</v>
          </cell>
          <cell r="G3521">
            <v>5</v>
          </cell>
          <cell r="H3521" t="str">
            <v>singleron-3'转录组文库</v>
          </cell>
          <cell r="I3521" t="str">
            <v>ZZ</v>
          </cell>
          <cell r="J3521">
            <v>15.4</v>
          </cell>
          <cell r="N3521" t="e">
            <v>#DIV/0!</v>
          </cell>
        </row>
        <row r="3522">
          <cell r="E3522" t="str">
            <v>HGC-Lib-2465796</v>
          </cell>
          <cell r="F3522" t="str">
            <v>R240815003</v>
          </cell>
          <cell r="G3522">
            <v>5</v>
          </cell>
          <cell r="H3522" t="str">
            <v>singleron-3'转录组文库</v>
          </cell>
          <cell r="I3522" t="str">
            <v>ZZ</v>
          </cell>
          <cell r="J3522">
            <v>13.3</v>
          </cell>
          <cell r="N3522" t="e">
            <v>#DIV/0!</v>
          </cell>
        </row>
        <row r="3523">
          <cell r="E3523" t="str">
            <v>HGC-Lib-2465797</v>
          </cell>
          <cell r="F3523" t="str">
            <v>R240815004</v>
          </cell>
          <cell r="G3523">
            <v>5</v>
          </cell>
          <cell r="H3523" t="str">
            <v>singleron-3'转录组文库</v>
          </cell>
          <cell r="I3523" t="str">
            <v>ZZ</v>
          </cell>
          <cell r="J3523">
            <v>12.2</v>
          </cell>
          <cell r="N3523" t="e">
            <v>#DIV/0!</v>
          </cell>
        </row>
        <row r="3524">
          <cell r="E3524" t="str">
            <v>HGC-Lib-2465798</v>
          </cell>
          <cell r="F3524" t="str">
            <v>R240815005</v>
          </cell>
          <cell r="G3524">
            <v>5</v>
          </cell>
          <cell r="H3524" t="str">
            <v>singleron-3'转录组文库</v>
          </cell>
          <cell r="I3524" t="str">
            <v>ZZ</v>
          </cell>
          <cell r="J3524">
            <v>11.9</v>
          </cell>
          <cell r="N3524" t="e">
            <v>#DIV/0!</v>
          </cell>
        </row>
        <row r="3525">
          <cell r="E3525" t="str">
            <v>HGC-Lib-2465799</v>
          </cell>
          <cell r="F3525" t="str">
            <v>R240815006</v>
          </cell>
          <cell r="G3525">
            <v>5</v>
          </cell>
          <cell r="H3525" t="str">
            <v>singleron-3'转录组文库</v>
          </cell>
          <cell r="I3525" t="str">
            <v>ZZ</v>
          </cell>
          <cell r="J3525">
            <v>12.2</v>
          </cell>
          <cell r="N3525" t="e">
            <v>#DIV/0!</v>
          </cell>
        </row>
        <row r="3526">
          <cell r="E3526" t="str">
            <v>HGC-POOL-2465800</v>
          </cell>
          <cell r="F3526" t="str">
            <v>PCRD-240815-001</v>
          </cell>
          <cell r="G3526">
            <v>20</v>
          </cell>
          <cell r="H3526" t="str">
            <v>singleron-3'转录组文库</v>
          </cell>
          <cell r="I3526" t="str">
            <v>ZZ</v>
          </cell>
          <cell r="J3526">
            <v>5.7</v>
          </cell>
          <cell r="N3526" t="e">
            <v>#DIV/0!</v>
          </cell>
        </row>
        <row r="3527">
          <cell r="E3527" t="str">
            <v>HGC-Lib-2465801</v>
          </cell>
          <cell r="F3527" t="str">
            <v>R240815011</v>
          </cell>
          <cell r="G3527">
            <v>40</v>
          </cell>
          <cell r="H3527" t="str">
            <v>singleron-3'转录组文库</v>
          </cell>
          <cell r="I3527" t="str">
            <v>ZZ</v>
          </cell>
          <cell r="J3527">
            <v>23.2</v>
          </cell>
          <cell r="N3527" t="e">
            <v>#DIV/0!</v>
          </cell>
        </row>
        <row r="3528">
          <cell r="E3528" t="str">
            <v>HGC-Lib-2465802</v>
          </cell>
          <cell r="F3528" t="str">
            <v>R240815012</v>
          </cell>
          <cell r="G3528">
            <v>40</v>
          </cell>
          <cell r="H3528" t="str">
            <v>singleron-3'转录组文库</v>
          </cell>
          <cell r="I3528" t="str">
            <v>ZZ</v>
          </cell>
          <cell r="J3528">
            <v>22.2</v>
          </cell>
          <cell r="N3528" t="e">
            <v>#DIV/0!</v>
          </cell>
        </row>
        <row r="3529">
          <cell r="E3529" t="str">
            <v>HGC-Lib-2465803</v>
          </cell>
          <cell r="F3529" t="str">
            <v>R240815013</v>
          </cell>
          <cell r="G3529">
            <v>40</v>
          </cell>
          <cell r="H3529" t="str">
            <v>singleron-3'转录组文库</v>
          </cell>
          <cell r="I3529" t="str">
            <v>ZZ</v>
          </cell>
          <cell r="J3529">
            <v>15.6</v>
          </cell>
          <cell r="N3529" t="e">
            <v>#DIV/0!</v>
          </cell>
        </row>
        <row r="3530">
          <cell r="E3530" t="str">
            <v>HGC-Lib-2465804</v>
          </cell>
          <cell r="F3530" t="str">
            <v>R240815014</v>
          </cell>
          <cell r="G3530">
            <v>40</v>
          </cell>
          <cell r="H3530" t="str">
            <v>singleron-3'转录组文库</v>
          </cell>
          <cell r="I3530" t="str">
            <v>ZZ</v>
          </cell>
          <cell r="J3530">
            <v>14.8</v>
          </cell>
          <cell r="N3530" t="e">
            <v>#DIV/0!</v>
          </cell>
        </row>
        <row r="3531">
          <cell r="E3531" t="str">
            <v>HGC-Lib-2465805</v>
          </cell>
          <cell r="F3531" t="str">
            <v>R240815015</v>
          </cell>
          <cell r="G3531">
            <v>40</v>
          </cell>
          <cell r="H3531" t="str">
            <v>singleron-3'转录组文库</v>
          </cell>
          <cell r="I3531" t="str">
            <v>ZZ</v>
          </cell>
          <cell r="J3531">
            <v>14.8</v>
          </cell>
          <cell r="N3531" t="e">
            <v>#DIV/0!</v>
          </cell>
        </row>
        <row r="3532">
          <cell r="E3532" t="str">
            <v>HGC-Lib-2465806</v>
          </cell>
          <cell r="F3532" t="str">
            <v>R240815016</v>
          </cell>
          <cell r="G3532">
            <v>40</v>
          </cell>
          <cell r="H3532" t="str">
            <v>singleron-3'转录组文库</v>
          </cell>
          <cell r="I3532" t="str">
            <v>ZZ</v>
          </cell>
          <cell r="J3532">
            <v>15.1</v>
          </cell>
          <cell r="N3532" t="e">
            <v>#DIV/0!</v>
          </cell>
        </row>
        <row r="3533">
          <cell r="E3533" t="str">
            <v>HGC-Lib-2465807</v>
          </cell>
          <cell r="F3533" t="str">
            <v>LGH4373</v>
          </cell>
          <cell r="G3533">
            <v>5</v>
          </cell>
          <cell r="H3533" t="str">
            <v>全基因组文库</v>
          </cell>
          <cell r="I3533" t="str">
            <v>ZZ</v>
          </cell>
          <cell r="J3533">
            <v>0.48199999999999998</v>
          </cell>
          <cell r="K3533">
            <v>536</v>
          </cell>
          <cell r="L3533" t="str">
            <v>GZQ</v>
          </cell>
          <cell r="N3533">
            <v>1.38346727898967</v>
          </cell>
        </row>
        <row r="3534">
          <cell r="E3534" t="str">
            <v>HGC-Lib-2465808</v>
          </cell>
          <cell r="F3534" t="str">
            <v>LGH4814</v>
          </cell>
          <cell r="G3534">
            <v>8</v>
          </cell>
          <cell r="H3534" t="str">
            <v>全基因组文库</v>
          </cell>
          <cell r="I3534" t="str">
            <v>ZZ</v>
          </cell>
          <cell r="J3534">
            <v>0.17199999999999999</v>
          </cell>
          <cell r="K3534">
            <v>338</v>
          </cell>
          <cell r="L3534" t="str">
            <v>GZQ</v>
          </cell>
          <cell r="N3534">
            <v>0.78288575329995402</v>
          </cell>
        </row>
        <row r="3535">
          <cell r="E3535" t="str">
            <v>HGC-Lib-2465809</v>
          </cell>
          <cell r="F3535" t="str">
            <v>LGH4817</v>
          </cell>
          <cell r="G3535">
            <v>8</v>
          </cell>
          <cell r="H3535" t="str">
            <v>全基因组文库</v>
          </cell>
          <cell r="I3535" t="str">
            <v>ZZ</v>
          </cell>
          <cell r="J3535">
            <v>0.52600000000000002</v>
          </cell>
          <cell r="K3535">
            <v>280</v>
          </cell>
          <cell r="L3535" t="str">
            <v>GZQ</v>
          </cell>
          <cell r="N3535">
            <v>2.8901098901098901</v>
          </cell>
        </row>
        <row r="3536">
          <cell r="E3536" t="str">
            <v>HGC-Lib-2465810</v>
          </cell>
          <cell r="F3536" t="str">
            <v>LGH4818</v>
          </cell>
          <cell r="G3536">
            <v>8</v>
          </cell>
          <cell r="H3536" t="str">
            <v>全基因组文库</v>
          </cell>
          <cell r="I3536" t="str">
            <v>ZZ</v>
          </cell>
          <cell r="J3536">
            <v>0.76400000000000001</v>
          </cell>
          <cell r="K3536">
            <v>295</v>
          </cell>
          <cell r="L3536" t="str">
            <v>GZQ</v>
          </cell>
          <cell r="N3536">
            <v>3.9843546284224201</v>
          </cell>
        </row>
        <row r="3537">
          <cell r="E3537" t="str">
            <v>HGC-POOL-2465811</v>
          </cell>
          <cell r="F3537" t="str">
            <v>LGH8642</v>
          </cell>
          <cell r="G3537">
            <v>10</v>
          </cell>
          <cell r="H3537" t="str">
            <v>ATAC-Seq文库</v>
          </cell>
          <cell r="I3537" t="str">
            <v>ZZ</v>
          </cell>
          <cell r="J3537">
            <v>1.0900000000000001</v>
          </cell>
          <cell r="K3537">
            <v>279</v>
          </cell>
          <cell r="L3537" t="str">
            <v>GZQ</v>
          </cell>
          <cell r="N3537">
            <v>6.01047697821891</v>
          </cell>
        </row>
        <row r="3538">
          <cell r="E3538" t="str">
            <v>HGC-POOL-2465812</v>
          </cell>
          <cell r="F3538" t="str">
            <v>LGH9121</v>
          </cell>
          <cell r="G3538">
            <v>2</v>
          </cell>
          <cell r="H3538" t="str">
            <v>small RNA文库</v>
          </cell>
          <cell r="I3538" t="str">
            <v>ZZ</v>
          </cell>
          <cell r="J3538">
            <v>0.996</v>
          </cell>
          <cell r="K3538">
            <v>338</v>
          </cell>
          <cell r="L3538" t="str">
            <v>GZQ</v>
          </cell>
          <cell r="N3538">
            <v>4.5334547109695</v>
          </cell>
        </row>
        <row r="3539">
          <cell r="E3539" t="str">
            <v>HGC-Lib-2465813</v>
          </cell>
          <cell r="F3539" t="str">
            <v>LGH9273</v>
          </cell>
          <cell r="G3539">
            <v>15</v>
          </cell>
          <cell r="H3539" t="str">
            <v>全基因组文库</v>
          </cell>
          <cell r="I3539" t="str">
            <v>ZZ</v>
          </cell>
          <cell r="J3539">
            <v>0.54400000000000004</v>
          </cell>
          <cell r="K3539">
            <v>431</v>
          </cell>
          <cell r="L3539" t="str">
            <v>GZQ</v>
          </cell>
          <cell r="N3539">
            <v>1.94181688381224</v>
          </cell>
        </row>
        <row r="3540">
          <cell r="E3540" t="str">
            <v>HGC-Lib-2465814</v>
          </cell>
          <cell r="F3540" t="str">
            <v>LGH9274</v>
          </cell>
          <cell r="G3540">
            <v>15</v>
          </cell>
          <cell r="H3540" t="str">
            <v>全基因组文库</v>
          </cell>
          <cell r="I3540" t="str">
            <v>ZZ</v>
          </cell>
          <cell r="J3540">
            <v>0.99</v>
          </cell>
          <cell r="K3540">
            <v>434</v>
          </cell>
          <cell r="L3540" t="str">
            <v>GZQ</v>
          </cell>
          <cell r="N3540">
            <v>3.5093938319744802</v>
          </cell>
        </row>
        <row r="3541">
          <cell r="E3541" t="str">
            <v>HGC-Lib-2465815</v>
          </cell>
          <cell r="F3541" t="str">
            <v>LGH9275</v>
          </cell>
          <cell r="G3541">
            <v>15</v>
          </cell>
          <cell r="H3541" t="str">
            <v>全基因组文库</v>
          </cell>
          <cell r="I3541" t="str">
            <v>ZZ</v>
          </cell>
          <cell r="J3541">
            <v>0.26200000000000001</v>
          </cell>
          <cell r="K3541">
            <v>440</v>
          </cell>
          <cell r="L3541" t="str">
            <v>GZQ</v>
          </cell>
          <cell r="N3541">
            <v>0.91608391608391604</v>
          </cell>
        </row>
        <row r="3542">
          <cell r="E3542" t="str">
            <v>HGC-Lib-2465816</v>
          </cell>
          <cell r="F3542" t="str">
            <v>LGH9276</v>
          </cell>
          <cell r="G3542">
            <v>15</v>
          </cell>
          <cell r="H3542" t="str">
            <v>全基因组文库</v>
          </cell>
          <cell r="I3542" t="str">
            <v>ZZ</v>
          </cell>
          <cell r="J3542">
            <v>0.9</v>
          </cell>
          <cell r="K3542">
            <v>446</v>
          </cell>
          <cell r="L3542" t="str">
            <v>GZQ</v>
          </cell>
          <cell r="N3542">
            <v>3.1045187995860601</v>
          </cell>
        </row>
        <row r="3543">
          <cell r="E3543" t="str">
            <v>HGC-Lib-2465817</v>
          </cell>
          <cell r="F3543" t="str">
            <v>LGH10077</v>
          </cell>
          <cell r="G3543">
            <v>5</v>
          </cell>
          <cell r="H3543" t="str">
            <v>甲基化文库</v>
          </cell>
          <cell r="I3543" t="str">
            <v>ZZ</v>
          </cell>
          <cell r="J3543">
            <v>0.35599999999999998</v>
          </cell>
          <cell r="K3543">
            <v>577</v>
          </cell>
          <cell r="L3543" t="str">
            <v>GZQ</v>
          </cell>
          <cell r="N3543">
            <v>0.94920677243034302</v>
          </cell>
        </row>
        <row r="3544">
          <cell r="E3544" t="str">
            <v>HGC-Lib-2465822</v>
          </cell>
          <cell r="F3544" t="str">
            <v>T883-2</v>
          </cell>
          <cell r="G3544">
            <v>2</v>
          </cell>
          <cell r="H3544" t="str">
            <v>全基因组文库</v>
          </cell>
          <cell r="I3544" t="str">
            <v>YHT</v>
          </cell>
          <cell r="J3544">
            <v>8.2200000000000006</v>
          </cell>
          <cell r="N3544" t="e">
            <v>#DIV/0!</v>
          </cell>
        </row>
        <row r="3545">
          <cell r="E3545" t="str">
            <v>HGC-Lib-2465823</v>
          </cell>
          <cell r="F3545" t="str">
            <v>T909-1</v>
          </cell>
          <cell r="G3545">
            <v>6</v>
          </cell>
          <cell r="H3545" t="str">
            <v>mRNA文库</v>
          </cell>
          <cell r="I3545" t="str">
            <v>YHT</v>
          </cell>
          <cell r="J3545">
            <v>57</v>
          </cell>
          <cell r="N3545" t="e">
            <v>#DIV/0!</v>
          </cell>
        </row>
        <row r="3546">
          <cell r="E3546" t="str">
            <v>HGC-Lib-2465824</v>
          </cell>
          <cell r="F3546" t="str">
            <v>T909-2</v>
          </cell>
          <cell r="G3546">
            <v>6</v>
          </cell>
          <cell r="H3546" t="str">
            <v>mRNA文库</v>
          </cell>
          <cell r="I3546" t="str">
            <v>YHT</v>
          </cell>
          <cell r="J3546">
            <v>56.2</v>
          </cell>
          <cell r="N3546" t="e">
            <v>#DIV/0!</v>
          </cell>
        </row>
        <row r="3547">
          <cell r="E3547" t="str">
            <v>HGC-Lib-2465825</v>
          </cell>
          <cell r="F3547" t="str">
            <v>T909-3</v>
          </cell>
          <cell r="G3547">
            <v>6</v>
          </cell>
          <cell r="H3547" t="str">
            <v>mRNA文库</v>
          </cell>
          <cell r="I3547" t="str">
            <v>YHT</v>
          </cell>
          <cell r="J3547">
            <v>50.6</v>
          </cell>
          <cell r="N3547" t="e">
            <v>#DIV/0!</v>
          </cell>
        </row>
        <row r="3548">
          <cell r="E3548" t="str">
            <v>HGC-Lib-2465826</v>
          </cell>
          <cell r="F3548" t="str">
            <v>T909-4</v>
          </cell>
          <cell r="G3548">
            <v>6</v>
          </cell>
          <cell r="H3548" t="str">
            <v>mRNA文库</v>
          </cell>
          <cell r="I3548" t="str">
            <v>YHT</v>
          </cell>
          <cell r="J3548">
            <v>49</v>
          </cell>
          <cell r="N3548" t="e">
            <v>#DIV/0!</v>
          </cell>
        </row>
        <row r="3549">
          <cell r="E3549" t="str">
            <v>HGC-Lib-2465827</v>
          </cell>
          <cell r="F3549" t="str">
            <v>SG-Lib-A-ChrX-HepG2-1</v>
          </cell>
          <cell r="G3549">
            <v>2</v>
          </cell>
          <cell r="H3549" t="str">
            <v>PCR产物文库</v>
          </cell>
          <cell r="I3549" t="str">
            <v>YHT</v>
          </cell>
          <cell r="J3549">
            <v>22.6</v>
          </cell>
          <cell r="K3549">
            <v>297</v>
          </cell>
          <cell r="L3549" t="str">
            <v>YHT</v>
          </cell>
          <cell r="N3549">
            <v>117.068117068117</v>
          </cell>
        </row>
        <row r="3550">
          <cell r="E3550" t="str">
            <v>HGC-Lib-2465828</v>
          </cell>
          <cell r="F3550" t="str">
            <v>SG-Lib-A-ChrX-HepG2-2</v>
          </cell>
          <cell r="G3550">
            <v>2</v>
          </cell>
          <cell r="H3550" t="str">
            <v>PCR产物文库</v>
          </cell>
          <cell r="I3550" t="str">
            <v>YHT</v>
          </cell>
          <cell r="J3550">
            <v>26.6</v>
          </cell>
          <cell r="K3550">
            <v>291</v>
          </cell>
          <cell r="L3550" t="str">
            <v>YHT</v>
          </cell>
          <cell r="N3550">
            <v>140.62913031985201</v>
          </cell>
        </row>
        <row r="3551">
          <cell r="E3551" t="str">
            <v>HGC-Lib-2465829</v>
          </cell>
          <cell r="F3551" t="str">
            <v>SG-Lib-A-ChrX-Plasmid</v>
          </cell>
          <cell r="G3551">
            <v>2</v>
          </cell>
          <cell r="H3551" t="str">
            <v>PCR产物文库</v>
          </cell>
          <cell r="I3551" t="str">
            <v>YHT</v>
          </cell>
          <cell r="J3551">
            <v>18</v>
          </cell>
          <cell r="K3551">
            <v>369</v>
          </cell>
          <cell r="L3551" t="str">
            <v>YHT</v>
          </cell>
          <cell r="N3551">
            <v>75.046904315196997</v>
          </cell>
        </row>
        <row r="3552">
          <cell r="E3552" t="str">
            <v>HGC-Lib-2465830</v>
          </cell>
          <cell r="F3552">
            <v>1</v>
          </cell>
          <cell r="G3552">
            <v>4</v>
          </cell>
          <cell r="H3552" t="str">
            <v>small RNA文库</v>
          </cell>
          <cell r="I3552" t="str">
            <v>YHT</v>
          </cell>
          <cell r="J3552">
            <v>27.6</v>
          </cell>
          <cell r="K3552">
            <v>207</v>
          </cell>
          <cell r="L3552" t="str">
            <v>YHT</v>
          </cell>
          <cell r="N3552">
            <v>205.128205128205</v>
          </cell>
        </row>
        <row r="3553">
          <cell r="E3553" t="str">
            <v>HGC-Lib-2465831</v>
          </cell>
          <cell r="F3553" t="str">
            <v>B2</v>
          </cell>
          <cell r="G3553">
            <v>4</v>
          </cell>
          <cell r="H3553" t="str">
            <v>small RNA文库</v>
          </cell>
          <cell r="I3553" t="str">
            <v>YHT</v>
          </cell>
          <cell r="J3553">
            <v>53.6</v>
          </cell>
          <cell r="K3553">
            <v>227</v>
          </cell>
          <cell r="L3553" t="str">
            <v>YHT</v>
          </cell>
          <cell r="N3553">
            <v>363.26668925787902</v>
          </cell>
        </row>
        <row r="3554">
          <cell r="E3554" t="str">
            <v>HGC-Lib-2465832</v>
          </cell>
          <cell r="F3554" t="str">
            <v>D1</v>
          </cell>
          <cell r="G3554">
            <v>4</v>
          </cell>
          <cell r="H3554" t="str">
            <v>small RNA文库</v>
          </cell>
          <cell r="I3554" t="str">
            <v>YHT</v>
          </cell>
          <cell r="J3554">
            <v>33.4</v>
          </cell>
          <cell r="K3554">
            <v>202</v>
          </cell>
          <cell r="L3554" t="str">
            <v>YHT</v>
          </cell>
          <cell r="N3554">
            <v>254.379284082254</v>
          </cell>
        </row>
        <row r="3555">
          <cell r="E3555" t="str">
            <v>HGC-Lib-2465833</v>
          </cell>
          <cell r="F3555" t="str">
            <v>D2</v>
          </cell>
          <cell r="G3555">
            <v>4</v>
          </cell>
          <cell r="H3555" t="str">
            <v>small RNA文库</v>
          </cell>
          <cell r="I3555" t="str">
            <v>YHT</v>
          </cell>
          <cell r="J3555">
            <v>53.6</v>
          </cell>
          <cell r="K3555">
            <v>227</v>
          </cell>
          <cell r="L3555" t="str">
            <v>YHT</v>
          </cell>
          <cell r="N3555">
            <v>363.26668925787902</v>
          </cell>
        </row>
        <row r="3556">
          <cell r="E3556" t="str">
            <v>HGC-Lib-2465834</v>
          </cell>
          <cell r="F3556">
            <v>41</v>
          </cell>
          <cell r="G3556">
            <v>4</v>
          </cell>
          <cell r="H3556" t="str">
            <v>small RNA文库</v>
          </cell>
          <cell r="I3556" t="str">
            <v>YHT</v>
          </cell>
          <cell r="J3556">
            <v>39</v>
          </cell>
          <cell r="K3556">
            <v>218</v>
          </cell>
          <cell r="L3556" t="str">
            <v>YHT</v>
          </cell>
          <cell r="N3556">
            <v>275.22935779816498</v>
          </cell>
        </row>
        <row r="3557">
          <cell r="E3557" t="str">
            <v>HGC-Lib-2465835</v>
          </cell>
          <cell r="F3557">
            <v>42</v>
          </cell>
          <cell r="G3557">
            <v>4</v>
          </cell>
          <cell r="H3557" t="str">
            <v>small RNA文库</v>
          </cell>
          <cell r="I3557" t="str">
            <v>YHT</v>
          </cell>
          <cell r="J3557">
            <v>54</v>
          </cell>
          <cell r="K3557">
            <v>218</v>
          </cell>
          <cell r="L3557" t="str">
            <v>YHT</v>
          </cell>
          <cell r="N3557">
            <v>381.086803105152</v>
          </cell>
        </row>
        <row r="3558">
          <cell r="E3558" t="str">
            <v>HGC-Lib-2465836</v>
          </cell>
          <cell r="F3558" t="str">
            <v>L240802041XT</v>
          </cell>
          <cell r="G3558">
            <v>20</v>
          </cell>
          <cell r="H3558" t="str">
            <v>10X TCR文库</v>
          </cell>
          <cell r="I3558" t="str">
            <v>YHT</v>
          </cell>
          <cell r="J3558">
            <v>41.6</v>
          </cell>
          <cell r="N3558" t="e">
            <v>#DIV/0!</v>
          </cell>
        </row>
        <row r="3559">
          <cell r="E3559" t="str">
            <v>HGC-Lib-2465837</v>
          </cell>
          <cell r="F3559" t="str">
            <v>L240802041X5</v>
          </cell>
          <cell r="G3559">
            <v>100</v>
          </cell>
          <cell r="H3559" t="str">
            <v>10X 5'转录组文库</v>
          </cell>
          <cell r="I3559" t="str">
            <v>YHT</v>
          </cell>
          <cell r="J3559">
            <v>22.2</v>
          </cell>
          <cell r="N3559" t="e">
            <v>#DIV/0!</v>
          </cell>
        </row>
        <row r="3560">
          <cell r="E3560" t="str">
            <v>HGC-Lib-2465838</v>
          </cell>
          <cell r="F3560" t="str">
            <v>L240803018X3</v>
          </cell>
          <cell r="G3560">
            <v>150</v>
          </cell>
          <cell r="H3560" t="str">
            <v>10X 3'转录组文库</v>
          </cell>
          <cell r="I3560" t="str">
            <v>YHT</v>
          </cell>
          <cell r="J3560">
            <v>16.5</v>
          </cell>
          <cell r="N3560" t="e">
            <v>#DIV/0!</v>
          </cell>
        </row>
        <row r="3561">
          <cell r="E3561" t="str">
            <v>HGC-Lib-2465839</v>
          </cell>
          <cell r="F3561" t="str">
            <v>L240803019X3</v>
          </cell>
          <cell r="G3561">
            <v>150</v>
          </cell>
          <cell r="H3561" t="str">
            <v>10X 3'转录组文库</v>
          </cell>
          <cell r="I3561" t="str">
            <v>YHT</v>
          </cell>
          <cell r="J3561">
            <v>15.4</v>
          </cell>
          <cell r="N3561" t="e">
            <v>#DIV/0!</v>
          </cell>
        </row>
        <row r="3562">
          <cell r="E3562" t="str">
            <v>HGC-Lib-2465840</v>
          </cell>
          <cell r="F3562" t="str">
            <v>L240808014X3</v>
          </cell>
          <cell r="G3562">
            <v>150</v>
          </cell>
          <cell r="H3562" t="str">
            <v>10X 3'转录组文库</v>
          </cell>
          <cell r="I3562" t="str">
            <v>YHT</v>
          </cell>
          <cell r="J3562">
            <v>23.4</v>
          </cell>
          <cell r="N3562" t="e">
            <v>#DIV/0!</v>
          </cell>
        </row>
        <row r="3563">
          <cell r="E3563" t="str">
            <v>HGC-Lib-2465841</v>
          </cell>
          <cell r="F3563" t="str">
            <v>L240808013X3</v>
          </cell>
          <cell r="G3563">
            <v>150</v>
          </cell>
          <cell r="H3563" t="str">
            <v>10X 3'转录组文库</v>
          </cell>
          <cell r="I3563" t="str">
            <v>YHT</v>
          </cell>
          <cell r="J3563">
            <v>24.6</v>
          </cell>
          <cell r="N3563" t="e">
            <v>#DIV/0!</v>
          </cell>
        </row>
        <row r="3564">
          <cell r="E3564" t="str">
            <v>HGC-Lib-2465842</v>
          </cell>
          <cell r="F3564" t="str">
            <v>L240803003X3</v>
          </cell>
          <cell r="G3564">
            <v>100</v>
          </cell>
          <cell r="H3564" t="str">
            <v>10X 3'转录组文库</v>
          </cell>
          <cell r="I3564" t="str">
            <v>YHT</v>
          </cell>
          <cell r="J3564">
            <v>15.8</v>
          </cell>
          <cell r="N3564" t="e">
            <v>#DIV/0!</v>
          </cell>
        </row>
        <row r="3565">
          <cell r="E3565" t="str">
            <v>HGC-Lib-2465843</v>
          </cell>
          <cell r="F3565" t="str">
            <v>L240808084X5</v>
          </cell>
          <cell r="G3565">
            <v>100</v>
          </cell>
          <cell r="H3565" t="str">
            <v>10X 5'转录组文库</v>
          </cell>
          <cell r="I3565" t="str">
            <v>YHT</v>
          </cell>
          <cell r="J3565">
            <v>20.6</v>
          </cell>
          <cell r="N3565" t="e">
            <v>#DIV/0!</v>
          </cell>
        </row>
        <row r="3566">
          <cell r="E3566" t="str">
            <v>HGC-Lib-2465844</v>
          </cell>
          <cell r="F3566" t="str">
            <v>L240808086X5</v>
          </cell>
          <cell r="G3566">
            <v>100</v>
          </cell>
          <cell r="H3566" t="str">
            <v>10X 5'转录组文库</v>
          </cell>
          <cell r="I3566" t="str">
            <v>YHT</v>
          </cell>
          <cell r="J3566">
            <v>28</v>
          </cell>
          <cell r="N3566" t="e">
            <v>#DIV/0!</v>
          </cell>
        </row>
        <row r="3567">
          <cell r="E3567" t="str">
            <v>HGC-Lib-2465936</v>
          </cell>
          <cell r="F3567" t="str">
            <v>OL27865-GW130536</v>
          </cell>
          <cell r="G3567">
            <v>1000</v>
          </cell>
          <cell r="I3567" t="str">
            <v>ZZ</v>
          </cell>
          <cell r="J3567">
            <v>2.58</v>
          </cell>
          <cell r="K3567">
            <v>300</v>
          </cell>
          <cell r="L3567" t="str">
            <v>ZZ</v>
          </cell>
          <cell r="N3567">
            <v>13.2307692307692</v>
          </cell>
        </row>
        <row r="3568">
          <cell r="E3568" t="str">
            <v>HGC-Lib-2465937</v>
          </cell>
          <cell r="F3568" t="str">
            <v>OL27866-GW130536</v>
          </cell>
          <cell r="G3568">
            <v>1000</v>
          </cell>
          <cell r="I3568" t="str">
            <v>ZZ</v>
          </cell>
          <cell r="J3568">
            <v>2.2999999999999998</v>
          </cell>
          <cell r="K3568">
            <v>398</v>
          </cell>
          <cell r="L3568" t="str">
            <v>ZZ</v>
          </cell>
          <cell r="N3568">
            <v>8.8906068805566303</v>
          </cell>
        </row>
        <row r="3569">
          <cell r="E3569" t="str">
            <v>HGC-POOL-2465845</v>
          </cell>
          <cell r="F3569" t="str">
            <v>YX20240816_1</v>
          </cell>
          <cell r="G3569">
            <v>900</v>
          </cell>
          <cell r="H3569" t="str">
            <v>mRNA文库</v>
          </cell>
          <cell r="I3569" t="str">
            <v>WH</v>
          </cell>
          <cell r="J3569">
            <v>23.8</v>
          </cell>
          <cell r="K3569">
            <v>323</v>
          </cell>
          <cell r="N3569">
            <v>113.36032388664</v>
          </cell>
        </row>
        <row r="3570">
          <cell r="E3570" t="str">
            <v>HGC-POOL-2465846</v>
          </cell>
          <cell r="F3570" t="str">
            <v>YX20240816_2</v>
          </cell>
          <cell r="G3570">
            <v>65</v>
          </cell>
          <cell r="H3570" t="str">
            <v>mRNA文库</v>
          </cell>
          <cell r="I3570" t="str">
            <v>WH</v>
          </cell>
          <cell r="J3570">
            <v>0.35599999999999998</v>
          </cell>
          <cell r="K3570">
            <v>301</v>
          </cell>
          <cell r="N3570">
            <v>1.81957577306414</v>
          </cell>
        </row>
        <row r="3571">
          <cell r="E3571" t="str">
            <v>HGC-POOL-2465847</v>
          </cell>
          <cell r="F3571" t="str">
            <v>YX20240816_3</v>
          </cell>
          <cell r="G3571">
            <v>14</v>
          </cell>
          <cell r="H3571" t="str">
            <v>mRNA文库</v>
          </cell>
          <cell r="I3571" t="str">
            <v>WH</v>
          </cell>
          <cell r="J3571">
            <v>19.95</v>
          </cell>
          <cell r="K3571">
            <v>373</v>
          </cell>
          <cell r="N3571">
            <v>82.285007217983093</v>
          </cell>
        </row>
        <row r="3572">
          <cell r="E3572" t="str">
            <v>HGC-POOL-2465848</v>
          </cell>
          <cell r="F3572" t="str">
            <v>YX20240816_4</v>
          </cell>
          <cell r="G3572">
            <v>116</v>
          </cell>
          <cell r="H3572" t="str">
            <v>mRNA文库</v>
          </cell>
          <cell r="I3572" t="str">
            <v>WH</v>
          </cell>
          <cell r="J3572">
            <v>20.2</v>
          </cell>
          <cell r="K3572">
            <v>324</v>
          </cell>
          <cell r="N3572">
            <v>95.916429249762601</v>
          </cell>
        </row>
        <row r="3573">
          <cell r="E3573" t="str">
            <v>HGC-POOL-2465849</v>
          </cell>
          <cell r="F3573" t="str">
            <v>YX20240816_5</v>
          </cell>
          <cell r="G3573">
            <v>53</v>
          </cell>
          <cell r="H3573" t="str">
            <v>全基因组文库</v>
          </cell>
          <cell r="I3573" t="str">
            <v>WH</v>
          </cell>
          <cell r="J3573">
            <v>18.100000000000001</v>
          </cell>
          <cell r="K3573">
            <v>337</v>
          </cell>
          <cell r="N3573">
            <v>82.629536635471396</v>
          </cell>
        </row>
        <row r="3574">
          <cell r="E3574" t="str">
            <v>HGC-Lib-2465850</v>
          </cell>
          <cell r="F3574" t="str">
            <v>CB-T30-1</v>
          </cell>
          <cell r="G3574">
            <v>5</v>
          </cell>
          <cell r="H3574" t="str">
            <v>PCR产物文库</v>
          </cell>
          <cell r="I3574" t="str">
            <v>WH</v>
          </cell>
          <cell r="J3574">
            <v>46</v>
          </cell>
          <cell r="K3574">
            <v>455</v>
          </cell>
          <cell r="N3574">
            <v>155.53677092138599</v>
          </cell>
        </row>
        <row r="3575">
          <cell r="E3575" t="str">
            <v>HGC-Lib-2465851</v>
          </cell>
          <cell r="F3575" t="str">
            <v>CB-T30-2</v>
          </cell>
          <cell r="G3575">
            <v>5</v>
          </cell>
          <cell r="H3575" t="str">
            <v>PCR产物文库</v>
          </cell>
          <cell r="I3575" t="str">
            <v>WH</v>
          </cell>
          <cell r="J3575">
            <v>37.6</v>
          </cell>
          <cell r="K3575">
            <v>471</v>
          </cell>
          <cell r="N3575">
            <v>122.815613261473</v>
          </cell>
        </row>
        <row r="3576">
          <cell r="E3576" t="str">
            <v>HGC-Lib-2465852</v>
          </cell>
          <cell r="F3576" t="str">
            <v>F96-1-Liver</v>
          </cell>
          <cell r="G3576">
            <v>6</v>
          </cell>
          <cell r="H3576" t="str">
            <v>mRNA文库</v>
          </cell>
          <cell r="I3576" t="str">
            <v>WH</v>
          </cell>
          <cell r="J3576">
            <v>3.32</v>
          </cell>
          <cell r="K3576">
            <v>300</v>
          </cell>
          <cell r="N3576">
            <v>17.025641025641001</v>
          </cell>
        </row>
        <row r="3577">
          <cell r="E3577" t="str">
            <v>HGC-Lib-2465853</v>
          </cell>
          <cell r="F3577" t="str">
            <v>F96-2-Liver</v>
          </cell>
          <cell r="G3577">
            <v>6</v>
          </cell>
          <cell r="H3577" t="str">
            <v>mRNA文库</v>
          </cell>
          <cell r="I3577" t="str">
            <v>WH</v>
          </cell>
          <cell r="J3577">
            <v>3.6</v>
          </cell>
          <cell r="K3577">
            <v>309</v>
          </cell>
          <cell r="N3577">
            <v>17.9238237490665</v>
          </cell>
        </row>
        <row r="3578">
          <cell r="E3578" t="str">
            <v>HGC-Lib-2465854</v>
          </cell>
          <cell r="F3578" t="str">
            <v>I94-1-Liver</v>
          </cell>
          <cell r="G3578">
            <v>6</v>
          </cell>
          <cell r="H3578" t="str">
            <v>mRNA文库</v>
          </cell>
          <cell r="I3578" t="str">
            <v>WH</v>
          </cell>
          <cell r="J3578">
            <v>2.92</v>
          </cell>
          <cell r="K3578">
            <v>307</v>
          </cell>
          <cell r="N3578">
            <v>14.632924079178199</v>
          </cell>
        </row>
        <row r="3579">
          <cell r="E3579" t="str">
            <v>HGC-Lib-2465855</v>
          </cell>
          <cell r="F3579" t="str">
            <v>I94-2-Liver</v>
          </cell>
          <cell r="G3579">
            <v>6</v>
          </cell>
          <cell r="H3579" t="str">
            <v>mRNA文库</v>
          </cell>
          <cell r="I3579" t="str">
            <v>WH</v>
          </cell>
          <cell r="J3579">
            <v>2.84</v>
          </cell>
          <cell r="K3579">
            <v>299</v>
          </cell>
          <cell r="N3579">
            <v>14.6128119372267</v>
          </cell>
        </row>
        <row r="3580">
          <cell r="E3580" t="str">
            <v>HGC-Lib-2465856</v>
          </cell>
          <cell r="F3580" t="str">
            <v>Y-1-Liver</v>
          </cell>
          <cell r="G3580">
            <v>6</v>
          </cell>
          <cell r="H3580" t="str">
            <v>mRNA文库</v>
          </cell>
          <cell r="I3580" t="str">
            <v>WH</v>
          </cell>
          <cell r="J3580">
            <v>3.34</v>
          </cell>
          <cell r="K3580">
            <v>293</v>
          </cell>
          <cell r="N3580">
            <v>17.537411394066702</v>
          </cell>
        </row>
        <row r="3581">
          <cell r="E3581" t="str">
            <v>HGC-Lib-2465857</v>
          </cell>
          <cell r="F3581" t="str">
            <v>Y-2-Liver</v>
          </cell>
          <cell r="G3581">
            <v>6</v>
          </cell>
          <cell r="H3581" t="str">
            <v>mRNA文库</v>
          </cell>
          <cell r="I3581" t="str">
            <v>WH</v>
          </cell>
          <cell r="J3581">
            <v>4.26</v>
          </cell>
          <cell r="K3581">
            <v>311</v>
          </cell>
          <cell r="N3581">
            <v>21.0734603017561</v>
          </cell>
        </row>
        <row r="3582">
          <cell r="E3582" t="str">
            <v>HGC-Lib-2465858</v>
          </cell>
          <cell r="F3582" t="str">
            <v>F96-1-Colon</v>
          </cell>
          <cell r="G3582">
            <v>6</v>
          </cell>
          <cell r="H3582" t="str">
            <v>mRNA文库</v>
          </cell>
          <cell r="I3582" t="str">
            <v>WH</v>
          </cell>
          <cell r="J3582">
            <v>7.32</v>
          </cell>
          <cell r="K3582">
            <v>305</v>
          </cell>
          <cell r="N3582">
            <v>36.923076923076898</v>
          </cell>
        </row>
        <row r="3583">
          <cell r="E3583" t="str">
            <v>HGC-Lib-2465859</v>
          </cell>
          <cell r="F3583" t="str">
            <v>F96-2-Colon</v>
          </cell>
          <cell r="G3583">
            <v>6</v>
          </cell>
          <cell r="H3583" t="str">
            <v>mRNA文库</v>
          </cell>
          <cell r="I3583" t="str">
            <v>WH</v>
          </cell>
          <cell r="J3583">
            <v>8.32</v>
          </cell>
          <cell r="K3583">
            <v>282</v>
          </cell>
          <cell r="N3583">
            <v>45.390070921985803</v>
          </cell>
        </row>
        <row r="3584">
          <cell r="E3584" t="str">
            <v>HGC-Lib-2465860</v>
          </cell>
          <cell r="F3584" t="str">
            <v>I94-1-Colon</v>
          </cell>
          <cell r="G3584">
            <v>6</v>
          </cell>
          <cell r="H3584" t="str">
            <v>mRNA文库</v>
          </cell>
          <cell r="I3584" t="str">
            <v>WH</v>
          </cell>
          <cell r="J3584">
            <v>8.82</v>
          </cell>
          <cell r="K3584">
            <v>305</v>
          </cell>
          <cell r="N3584">
            <v>44.489281210592701</v>
          </cell>
        </row>
        <row r="3585">
          <cell r="E3585" t="str">
            <v>HGC-Lib-2465861</v>
          </cell>
          <cell r="F3585" t="str">
            <v>I94-2-Colon</v>
          </cell>
          <cell r="G3585">
            <v>6</v>
          </cell>
          <cell r="H3585" t="str">
            <v>mRNA文库</v>
          </cell>
          <cell r="I3585" t="str">
            <v>WH</v>
          </cell>
          <cell r="J3585">
            <v>8.4600000000000009</v>
          </cell>
          <cell r="K3585">
            <v>260</v>
          </cell>
          <cell r="N3585">
            <v>50.059171597633103</v>
          </cell>
        </row>
        <row r="3586">
          <cell r="E3586" t="str">
            <v>HGC-Lib-2465862</v>
          </cell>
          <cell r="F3586" t="str">
            <v>Y-1-Colon</v>
          </cell>
          <cell r="G3586">
            <v>6</v>
          </cell>
          <cell r="H3586" t="str">
            <v>mRNA文库</v>
          </cell>
          <cell r="I3586" t="str">
            <v>WH</v>
          </cell>
          <cell r="J3586">
            <v>9.5399999999999991</v>
          </cell>
          <cell r="K3586">
            <v>299</v>
          </cell>
          <cell r="N3586">
            <v>49.0866992539233</v>
          </cell>
        </row>
        <row r="3587">
          <cell r="E3587" t="str">
            <v>HGC-Lib-2465863</v>
          </cell>
          <cell r="F3587" t="str">
            <v>Y-2-Colon</v>
          </cell>
          <cell r="G3587">
            <v>6</v>
          </cell>
          <cell r="H3587" t="str">
            <v>mRNA文库</v>
          </cell>
          <cell r="I3587" t="str">
            <v>WH</v>
          </cell>
          <cell r="J3587">
            <v>9.18</v>
          </cell>
          <cell r="K3587">
            <v>307</v>
          </cell>
          <cell r="N3587">
            <v>46.003507892758698</v>
          </cell>
        </row>
        <row r="3588">
          <cell r="E3588" t="str">
            <v>HGC-Lib-2465864</v>
          </cell>
          <cell r="F3588" t="str">
            <v>文库8.15</v>
          </cell>
          <cell r="G3588">
            <v>100</v>
          </cell>
          <cell r="H3588" t="str">
            <v>墨卓3端单细胞</v>
          </cell>
          <cell r="I3588" t="str">
            <v>WH</v>
          </cell>
          <cell r="J3588">
            <v>26.6</v>
          </cell>
          <cell r="K3588">
            <v>491</v>
          </cell>
          <cell r="N3588">
            <v>83.346388845370498</v>
          </cell>
        </row>
        <row r="3589">
          <cell r="E3589" t="str">
            <v>HGC-Lib-2465869</v>
          </cell>
          <cell r="F3589" t="str">
            <v>LA240812019</v>
          </cell>
          <cell r="G3589">
            <v>100</v>
          </cell>
          <cell r="H3589" t="str">
            <v>singleron-3'转录组文库</v>
          </cell>
          <cell r="I3589" t="str">
            <v>GZQ</v>
          </cell>
          <cell r="J3589">
            <v>32.200000000000003</v>
          </cell>
          <cell r="N3589" t="e">
            <v>#DIV/0!</v>
          </cell>
        </row>
        <row r="3590">
          <cell r="E3590" t="str">
            <v>HGC-Lib-2465870</v>
          </cell>
          <cell r="F3590" t="str">
            <v>LA240812021</v>
          </cell>
          <cell r="G3590">
            <v>100</v>
          </cell>
          <cell r="H3590" t="str">
            <v>singleron-3'转录组文库</v>
          </cell>
          <cell r="I3590" t="str">
            <v>GZQ</v>
          </cell>
          <cell r="J3590">
            <v>27.4</v>
          </cell>
          <cell r="N3590" t="e">
            <v>#DIV/0!</v>
          </cell>
        </row>
        <row r="3591">
          <cell r="E3591" t="str">
            <v>HGC-Lib-2465871</v>
          </cell>
          <cell r="F3591" t="str">
            <v>LA240812022</v>
          </cell>
          <cell r="G3591">
            <v>100</v>
          </cell>
          <cell r="H3591" t="str">
            <v>singleron-3'转录组文库</v>
          </cell>
          <cell r="I3591" t="str">
            <v>GZQ</v>
          </cell>
          <cell r="J3591">
            <v>29.6</v>
          </cell>
          <cell r="N3591" t="e">
            <v>#DIV/0!</v>
          </cell>
        </row>
        <row r="3592">
          <cell r="E3592" t="str">
            <v>HGC-Lib-2465872</v>
          </cell>
          <cell r="F3592" t="str">
            <v>LA240812014</v>
          </cell>
          <cell r="G3592">
            <v>100</v>
          </cell>
          <cell r="H3592" t="str">
            <v>singleron-3'转录组文库</v>
          </cell>
          <cell r="I3592" t="str">
            <v>GZQ</v>
          </cell>
          <cell r="J3592">
            <v>30.2</v>
          </cell>
          <cell r="N3592" t="e">
            <v>#DIV/0!</v>
          </cell>
        </row>
        <row r="3593">
          <cell r="E3593" t="str">
            <v>HGC-Lib-2465873</v>
          </cell>
          <cell r="F3593" t="str">
            <v>LA240812016</v>
          </cell>
          <cell r="G3593">
            <v>100</v>
          </cell>
          <cell r="H3593" t="str">
            <v>singleron-3'转录组文库</v>
          </cell>
          <cell r="I3593" t="str">
            <v>GZQ</v>
          </cell>
          <cell r="J3593">
            <v>29.4</v>
          </cell>
          <cell r="N3593" t="e">
            <v>#DIV/0!</v>
          </cell>
        </row>
        <row r="3594">
          <cell r="E3594" t="str">
            <v>HGC-Lib-2465874</v>
          </cell>
          <cell r="F3594" t="str">
            <v>LA240812018</v>
          </cell>
          <cell r="G3594">
            <v>100</v>
          </cell>
          <cell r="H3594" t="str">
            <v>singleron-3'转录组文库</v>
          </cell>
          <cell r="I3594" t="str">
            <v>GZQ</v>
          </cell>
          <cell r="J3594">
            <v>33.6</v>
          </cell>
          <cell r="N3594" t="e">
            <v>#DIV/0!</v>
          </cell>
        </row>
        <row r="3595">
          <cell r="E3595" t="str">
            <v>HGC-Lib-2465875</v>
          </cell>
          <cell r="F3595" t="str">
            <v>LA240812020</v>
          </cell>
          <cell r="G3595">
            <v>100</v>
          </cell>
          <cell r="H3595" t="str">
            <v>singleron-3'转录组文库</v>
          </cell>
          <cell r="I3595" t="str">
            <v>GZQ</v>
          </cell>
          <cell r="J3595">
            <v>27.8</v>
          </cell>
          <cell r="N3595" t="e">
            <v>#DIV/0!</v>
          </cell>
        </row>
        <row r="3596">
          <cell r="E3596" t="str">
            <v>HGC-Lib-2465876</v>
          </cell>
          <cell r="F3596" t="str">
            <v>LA240810047</v>
          </cell>
          <cell r="G3596">
            <v>100</v>
          </cell>
          <cell r="H3596" t="str">
            <v>singleron-3'转录组文库</v>
          </cell>
          <cell r="I3596" t="str">
            <v>GZQ</v>
          </cell>
          <cell r="J3596">
            <v>3.98</v>
          </cell>
          <cell r="N3596" t="e">
            <v>#DIV/0!</v>
          </cell>
        </row>
        <row r="3597">
          <cell r="E3597" t="str">
            <v>HGC-Lib-2465877</v>
          </cell>
          <cell r="F3597" t="str">
            <v>LA240810048</v>
          </cell>
          <cell r="G3597">
            <v>100</v>
          </cell>
          <cell r="H3597" t="str">
            <v>singleron-3'转录组文库</v>
          </cell>
          <cell r="I3597" t="str">
            <v>GZQ</v>
          </cell>
          <cell r="J3597">
            <v>6.62</v>
          </cell>
          <cell r="N3597" t="e">
            <v>#DIV/0!</v>
          </cell>
        </row>
        <row r="3598">
          <cell r="E3598" t="str">
            <v>HGC-Lib-2465878</v>
          </cell>
          <cell r="F3598" t="str">
            <v>LA240810049</v>
          </cell>
          <cell r="G3598">
            <v>100</v>
          </cell>
          <cell r="H3598" t="str">
            <v>singleron-3'转录组文库</v>
          </cell>
          <cell r="I3598" t="str">
            <v>GZQ</v>
          </cell>
          <cell r="J3598">
            <v>3.78</v>
          </cell>
          <cell r="N3598" t="e">
            <v>#DIV/0!</v>
          </cell>
        </row>
        <row r="3599">
          <cell r="E3599" t="str">
            <v>HGC-Lib-2465879</v>
          </cell>
          <cell r="F3599" t="str">
            <v>LA240809010</v>
          </cell>
          <cell r="G3599">
            <v>90</v>
          </cell>
          <cell r="H3599" t="str">
            <v>singleron-3'转录组文库</v>
          </cell>
          <cell r="I3599" t="str">
            <v>GZQ</v>
          </cell>
          <cell r="J3599">
            <v>9.66</v>
          </cell>
          <cell r="N3599" t="e">
            <v>#DIV/0!</v>
          </cell>
        </row>
        <row r="3600">
          <cell r="E3600" t="str">
            <v>HGC-Lib-2465880</v>
          </cell>
          <cell r="F3600" t="str">
            <v>LA240809011</v>
          </cell>
          <cell r="G3600">
            <v>90</v>
          </cell>
          <cell r="H3600" t="str">
            <v>singleron-3'转录组文库</v>
          </cell>
          <cell r="I3600" t="str">
            <v>GZQ</v>
          </cell>
          <cell r="J3600">
            <v>6.22</v>
          </cell>
          <cell r="N3600" t="e">
            <v>#DIV/0!</v>
          </cell>
        </row>
        <row r="3601">
          <cell r="E3601" t="str">
            <v>HGC-Lib-2465881</v>
          </cell>
          <cell r="F3601" t="str">
            <v>LA240813003</v>
          </cell>
          <cell r="G3601">
            <v>100</v>
          </cell>
          <cell r="H3601" t="str">
            <v>singleron-3'转录组文库</v>
          </cell>
          <cell r="I3601" t="str">
            <v>GZQ</v>
          </cell>
          <cell r="J3601">
            <v>33</v>
          </cell>
          <cell r="N3601" t="e">
            <v>#DIV/0!</v>
          </cell>
        </row>
        <row r="3602">
          <cell r="E3602" t="str">
            <v>HGC-Lib-2465882</v>
          </cell>
          <cell r="F3602" t="str">
            <v>LA240813004</v>
          </cell>
          <cell r="G3602">
            <v>100</v>
          </cell>
          <cell r="H3602" t="str">
            <v>singleron-3'转录组文库</v>
          </cell>
          <cell r="I3602" t="str">
            <v>GZQ</v>
          </cell>
          <cell r="J3602">
            <v>32</v>
          </cell>
          <cell r="N3602" t="e">
            <v>#DIV/0!</v>
          </cell>
        </row>
        <row r="3603">
          <cell r="E3603" t="str">
            <v>HGC-Lib-2465883</v>
          </cell>
          <cell r="F3603" t="str">
            <v>LA240813005</v>
          </cell>
          <cell r="G3603">
            <v>100</v>
          </cell>
          <cell r="H3603" t="str">
            <v>singleron-3'转录组文库</v>
          </cell>
          <cell r="I3603" t="str">
            <v>GZQ</v>
          </cell>
          <cell r="J3603">
            <v>25.8</v>
          </cell>
          <cell r="N3603" t="e">
            <v>#DIV/0!</v>
          </cell>
        </row>
        <row r="3604">
          <cell r="E3604" t="str">
            <v>HGC-Lib-2465884</v>
          </cell>
          <cell r="F3604" t="str">
            <v>LC240813016</v>
          </cell>
          <cell r="G3604">
            <v>100</v>
          </cell>
          <cell r="H3604" t="str">
            <v>singleron-3'转录组文库</v>
          </cell>
          <cell r="I3604" t="str">
            <v>GZQ</v>
          </cell>
          <cell r="J3604">
            <v>7.9</v>
          </cell>
          <cell r="N3604" t="e">
            <v>#DIV/0!</v>
          </cell>
        </row>
        <row r="3605">
          <cell r="E3605" t="str">
            <v>HGC-Lib-2465885</v>
          </cell>
          <cell r="F3605" t="str">
            <v>LC240813017</v>
          </cell>
          <cell r="G3605">
            <v>100</v>
          </cell>
          <cell r="H3605" t="str">
            <v>singleron-3'转录组文库</v>
          </cell>
          <cell r="I3605" t="str">
            <v>GZQ</v>
          </cell>
          <cell r="J3605">
            <v>5.9</v>
          </cell>
          <cell r="N3605" t="e">
            <v>#DIV/0!</v>
          </cell>
        </row>
        <row r="3606">
          <cell r="E3606" t="str">
            <v>HGC-Lib-2465886</v>
          </cell>
          <cell r="F3606" t="str">
            <v>LC240813018</v>
          </cell>
          <cell r="G3606">
            <v>100</v>
          </cell>
          <cell r="H3606" t="str">
            <v>singleron-3'转录组文库</v>
          </cell>
          <cell r="I3606" t="str">
            <v>GZQ</v>
          </cell>
          <cell r="J3606">
            <v>6.06</v>
          </cell>
          <cell r="N3606" t="e">
            <v>#DIV/0!</v>
          </cell>
        </row>
        <row r="3607">
          <cell r="E3607" t="str">
            <v>HGC-Lib-2465887</v>
          </cell>
          <cell r="F3607" t="str">
            <v>LC240813019</v>
          </cell>
          <cell r="G3607">
            <v>100</v>
          </cell>
          <cell r="H3607" t="str">
            <v>singleron-3'转录组文库</v>
          </cell>
          <cell r="I3607" t="str">
            <v>GZQ</v>
          </cell>
          <cell r="J3607">
            <v>10.4</v>
          </cell>
          <cell r="N3607" t="e">
            <v>#DIV/0!</v>
          </cell>
        </row>
        <row r="3608">
          <cell r="E3608" t="str">
            <v>HGC-Lib-2465888</v>
          </cell>
          <cell r="F3608" t="str">
            <v>LC240813020</v>
          </cell>
          <cell r="G3608">
            <v>100</v>
          </cell>
          <cell r="H3608" t="str">
            <v>singleron-3'转录组文库</v>
          </cell>
          <cell r="I3608" t="str">
            <v>GZQ</v>
          </cell>
          <cell r="J3608">
            <v>7.74</v>
          </cell>
          <cell r="N3608" t="e">
            <v>#DIV/0!</v>
          </cell>
        </row>
        <row r="3609">
          <cell r="E3609" t="str">
            <v>HGC-Lib-2465889</v>
          </cell>
          <cell r="F3609" t="str">
            <v>LC240813021</v>
          </cell>
          <cell r="G3609">
            <v>100</v>
          </cell>
          <cell r="H3609" t="str">
            <v>singleron-3'转录组文库</v>
          </cell>
          <cell r="I3609" t="str">
            <v>GZQ</v>
          </cell>
          <cell r="J3609">
            <v>9.84</v>
          </cell>
          <cell r="N3609" t="e">
            <v>#DIV/0!</v>
          </cell>
        </row>
        <row r="3610">
          <cell r="E3610" t="str">
            <v>HGC-Lib-2465890</v>
          </cell>
          <cell r="F3610" t="str">
            <v>LA240813014</v>
          </cell>
          <cell r="G3610">
            <v>100</v>
          </cell>
          <cell r="H3610" t="str">
            <v>singleron-3'转录组文库</v>
          </cell>
          <cell r="I3610" t="str">
            <v>GZQ</v>
          </cell>
          <cell r="J3610">
            <v>9.9600000000000009</v>
          </cell>
          <cell r="N3610" t="e">
            <v>#DIV/0!</v>
          </cell>
        </row>
        <row r="3611">
          <cell r="E3611" t="str">
            <v>HGC-Lib-2465891</v>
          </cell>
          <cell r="F3611" t="str">
            <v>LA240813015X1</v>
          </cell>
          <cell r="G3611">
            <v>100</v>
          </cell>
          <cell r="H3611" t="str">
            <v>singleron-3'转录组文库</v>
          </cell>
          <cell r="I3611" t="str">
            <v>GZQ</v>
          </cell>
          <cell r="J3611">
            <v>6.38</v>
          </cell>
          <cell r="N3611" t="e">
            <v>#DIV/0!</v>
          </cell>
        </row>
        <row r="3612">
          <cell r="E3612" t="str">
            <v>HGC-Lib-2465892</v>
          </cell>
          <cell r="F3612" t="str">
            <v>LA240813015X2</v>
          </cell>
          <cell r="G3612">
            <v>100</v>
          </cell>
          <cell r="H3612" t="str">
            <v>singleron-3'转录组文库</v>
          </cell>
          <cell r="I3612" t="str">
            <v>GZQ</v>
          </cell>
          <cell r="J3612">
            <v>6.7</v>
          </cell>
          <cell r="N3612" t="e">
            <v>#DIV/0!</v>
          </cell>
        </row>
        <row r="3613">
          <cell r="E3613" t="str">
            <v>HGC-Lib-2465893</v>
          </cell>
          <cell r="F3613" t="str">
            <v>LA240810031FS</v>
          </cell>
          <cell r="G3613">
            <v>100</v>
          </cell>
          <cell r="H3613" t="str">
            <v>singleron-3'转录组文库</v>
          </cell>
          <cell r="I3613" t="str">
            <v>GZQ</v>
          </cell>
          <cell r="J3613">
            <v>6.3</v>
          </cell>
          <cell r="N3613" t="e">
            <v>#DIV/0!</v>
          </cell>
        </row>
        <row r="3614">
          <cell r="E3614" t="str">
            <v>HGC-Lib-2465894</v>
          </cell>
          <cell r="F3614" t="str">
            <v>LHC240813026</v>
          </cell>
          <cell r="G3614">
            <v>200</v>
          </cell>
          <cell r="H3614" t="str">
            <v>singleron-3'转录组文库</v>
          </cell>
          <cell r="I3614" t="str">
            <v>GZQ</v>
          </cell>
          <cell r="J3614">
            <v>6.72</v>
          </cell>
          <cell r="N3614" t="e">
            <v>#DIV/0!</v>
          </cell>
        </row>
        <row r="3615">
          <cell r="E3615" t="str">
            <v>HGC-Lib-2465895</v>
          </cell>
          <cell r="F3615" t="str">
            <v>LA240813032</v>
          </cell>
          <cell r="G3615">
            <v>100</v>
          </cell>
          <cell r="H3615" t="str">
            <v>singleron-3'转录组文库</v>
          </cell>
          <cell r="I3615" t="str">
            <v>GZQ</v>
          </cell>
          <cell r="J3615">
            <v>7.18</v>
          </cell>
          <cell r="N3615" t="e">
            <v>#DIV/0!</v>
          </cell>
        </row>
        <row r="3616">
          <cell r="E3616" t="str">
            <v>HGC-Lib-2465896</v>
          </cell>
          <cell r="F3616" t="str">
            <v>LA240813033</v>
          </cell>
          <cell r="G3616">
            <v>100</v>
          </cell>
          <cell r="H3616" t="str">
            <v>singleron-3'转录组文库</v>
          </cell>
          <cell r="I3616" t="str">
            <v>GZQ</v>
          </cell>
          <cell r="J3616">
            <v>8.58</v>
          </cell>
          <cell r="N3616" t="e">
            <v>#DIV/0!</v>
          </cell>
        </row>
        <row r="3617">
          <cell r="E3617" t="str">
            <v>HGC-Lib-2465897</v>
          </cell>
          <cell r="F3617" t="str">
            <v>LA240813027</v>
          </cell>
          <cell r="G3617">
            <v>90</v>
          </cell>
          <cell r="H3617" t="str">
            <v>singleron-3'转录组文库</v>
          </cell>
          <cell r="I3617" t="str">
            <v>GZQ</v>
          </cell>
          <cell r="J3617">
            <v>7.26</v>
          </cell>
          <cell r="N3617" t="e">
            <v>#DIV/0!</v>
          </cell>
        </row>
        <row r="3618">
          <cell r="E3618" t="str">
            <v>HGC-Lib-2465898</v>
          </cell>
          <cell r="F3618" t="str">
            <v>LA240813028</v>
          </cell>
          <cell r="G3618">
            <v>90</v>
          </cell>
          <cell r="H3618" t="str">
            <v>singleron-3'转录组文库</v>
          </cell>
          <cell r="I3618" t="str">
            <v>GZQ</v>
          </cell>
          <cell r="J3618">
            <v>4.6399999999999997</v>
          </cell>
          <cell r="N3618" t="e">
            <v>#DIV/0!</v>
          </cell>
        </row>
        <row r="3619">
          <cell r="E3619" t="str">
            <v>HGC-Lib-2465899</v>
          </cell>
          <cell r="F3619" t="str">
            <v>LC240813034</v>
          </cell>
          <cell r="G3619">
            <v>100</v>
          </cell>
          <cell r="H3619" t="str">
            <v>singleron-3'转录组文库</v>
          </cell>
          <cell r="I3619" t="str">
            <v>GZQ</v>
          </cell>
          <cell r="J3619">
            <v>9.0399999999999991</v>
          </cell>
          <cell r="N3619" t="e">
            <v>#DIV/0!</v>
          </cell>
        </row>
        <row r="3620">
          <cell r="E3620" t="str">
            <v>HGC-Lib-2465900</v>
          </cell>
          <cell r="F3620" t="str">
            <v>LA240813030</v>
          </cell>
          <cell r="G3620">
            <v>100</v>
          </cell>
          <cell r="H3620" t="str">
            <v>singleron-3'转录组文库</v>
          </cell>
          <cell r="I3620" t="str">
            <v>GZQ</v>
          </cell>
          <cell r="J3620">
            <v>5.6</v>
          </cell>
          <cell r="N3620" t="e">
            <v>#DIV/0!</v>
          </cell>
        </row>
        <row r="3621">
          <cell r="E3621" t="str">
            <v>HGC-Lib-2465901</v>
          </cell>
          <cell r="F3621" t="str">
            <v>LA240813031</v>
          </cell>
          <cell r="G3621">
            <v>100</v>
          </cell>
          <cell r="H3621" t="str">
            <v>singleron-3'转录组文库</v>
          </cell>
          <cell r="I3621" t="str">
            <v>GZQ</v>
          </cell>
          <cell r="J3621">
            <v>6.72</v>
          </cell>
          <cell r="N3621" t="e">
            <v>#DIV/0!</v>
          </cell>
        </row>
        <row r="3622">
          <cell r="E3622" t="str">
            <v>HGC-Lib-2465902</v>
          </cell>
          <cell r="F3622" t="str">
            <v>LA240812033</v>
          </cell>
          <cell r="G3622">
            <v>100</v>
          </cell>
          <cell r="H3622" t="str">
            <v>singleron-3'转录组文库</v>
          </cell>
          <cell r="I3622" t="str">
            <v>GZQ</v>
          </cell>
          <cell r="J3622">
            <v>15.1</v>
          </cell>
          <cell r="N3622" t="e">
            <v>#DIV/0!</v>
          </cell>
        </row>
        <row r="3623">
          <cell r="E3623" t="str">
            <v>HGC-Lib-2465903</v>
          </cell>
          <cell r="F3623" t="str">
            <v>LA240812030</v>
          </cell>
          <cell r="G3623">
            <v>100</v>
          </cell>
          <cell r="H3623" t="str">
            <v>singleron-3'转录组文库</v>
          </cell>
          <cell r="I3623" t="str">
            <v>GZQ</v>
          </cell>
          <cell r="J3623">
            <v>13</v>
          </cell>
          <cell r="N3623" t="e">
            <v>#DIV/0!</v>
          </cell>
        </row>
        <row r="3624">
          <cell r="E3624" t="str">
            <v>HGC-Lib-2465904</v>
          </cell>
          <cell r="F3624" t="str">
            <v>LA240812034</v>
          </cell>
          <cell r="G3624">
            <v>100</v>
          </cell>
          <cell r="H3624" t="str">
            <v>singleron-3'转录组文库</v>
          </cell>
          <cell r="I3624" t="str">
            <v>GZQ</v>
          </cell>
          <cell r="J3624">
            <v>11.5</v>
          </cell>
          <cell r="N3624" t="e">
            <v>#DIV/0!</v>
          </cell>
        </row>
        <row r="3625">
          <cell r="E3625" t="str">
            <v>HGC-Lib-2465905</v>
          </cell>
          <cell r="F3625" t="str">
            <v>LA240812032</v>
          </cell>
          <cell r="G3625">
            <v>100</v>
          </cell>
          <cell r="H3625" t="str">
            <v>singleron-3'转录组文库</v>
          </cell>
          <cell r="I3625" t="str">
            <v>GZQ</v>
          </cell>
          <cell r="J3625">
            <v>13.3</v>
          </cell>
          <cell r="N3625" t="e">
            <v>#DIV/0!</v>
          </cell>
        </row>
        <row r="3626">
          <cell r="E3626" t="str">
            <v>HGC-Lib-2465906</v>
          </cell>
          <cell r="F3626" t="str">
            <v>LA240812029</v>
          </cell>
          <cell r="G3626">
            <v>100</v>
          </cell>
          <cell r="H3626" t="str">
            <v>singleron-3'转录组文库</v>
          </cell>
          <cell r="I3626" t="str">
            <v>GZQ</v>
          </cell>
          <cell r="J3626">
            <v>11.3</v>
          </cell>
          <cell r="N3626" t="e">
            <v>#DIV/0!</v>
          </cell>
        </row>
        <row r="3627">
          <cell r="E3627" t="str">
            <v>HGC-Lib-2465907</v>
          </cell>
          <cell r="F3627" t="str">
            <v>LA240812028</v>
          </cell>
          <cell r="G3627">
            <v>100</v>
          </cell>
          <cell r="H3627" t="str">
            <v>singleron-3'转录组文库</v>
          </cell>
          <cell r="I3627" t="str">
            <v>GZQ</v>
          </cell>
          <cell r="J3627">
            <v>11.9</v>
          </cell>
          <cell r="N3627" t="e">
            <v>#DIV/0!</v>
          </cell>
        </row>
        <row r="3628">
          <cell r="E3628" t="str">
            <v>HGC-Lib-2465908</v>
          </cell>
          <cell r="F3628" t="str">
            <v>LA240812027</v>
          </cell>
          <cell r="G3628">
            <v>100</v>
          </cell>
          <cell r="H3628" t="str">
            <v>singleron-3'转录组文库</v>
          </cell>
          <cell r="I3628" t="str">
            <v>GZQ</v>
          </cell>
          <cell r="J3628">
            <v>10.9</v>
          </cell>
          <cell r="N3628" t="e">
            <v>#DIV/0!</v>
          </cell>
        </row>
        <row r="3629">
          <cell r="E3629" t="str">
            <v>HGC-Lib-2465909</v>
          </cell>
          <cell r="F3629" t="str">
            <v>LA240812035</v>
          </cell>
          <cell r="G3629">
            <v>100</v>
          </cell>
          <cell r="H3629" t="str">
            <v>singleron-3'转录组文库</v>
          </cell>
          <cell r="I3629" t="str">
            <v>GZQ</v>
          </cell>
          <cell r="J3629">
            <v>25.4</v>
          </cell>
          <cell r="N3629" t="e">
            <v>#DIV/0!</v>
          </cell>
        </row>
        <row r="3630">
          <cell r="E3630" t="str">
            <v>HGC-Lib-2465910</v>
          </cell>
          <cell r="F3630" t="str">
            <v>LA240812031</v>
          </cell>
          <cell r="G3630">
            <v>100</v>
          </cell>
          <cell r="H3630" t="str">
            <v>singleron-3'转录组文库</v>
          </cell>
          <cell r="I3630" t="str">
            <v>GZQ</v>
          </cell>
          <cell r="J3630">
            <v>13.6</v>
          </cell>
          <cell r="N3630" t="e">
            <v>#DIV/0!</v>
          </cell>
        </row>
        <row r="3631">
          <cell r="E3631" t="str">
            <v>HGC-Lib-2465911</v>
          </cell>
          <cell r="F3631" t="str">
            <v>LA240812001X2</v>
          </cell>
          <cell r="G3631">
            <v>10</v>
          </cell>
          <cell r="H3631" t="str">
            <v>singleron-3'转录组文库</v>
          </cell>
          <cell r="I3631" t="str">
            <v>GZQ</v>
          </cell>
          <cell r="J3631">
            <v>28.6</v>
          </cell>
          <cell r="N3631" t="e">
            <v>#DIV/0!</v>
          </cell>
        </row>
        <row r="3632">
          <cell r="E3632" t="str">
            <v>HGC-Lib-2465912</v>
          </cell>
          <cell r="F3632" t="str">
            <v>LA240812001X1</v>
          </cell>
          <cell r="G3632">
            <v>10</v>
          </cell>
          <cell r="H3632" t="str">
            <v>singleron-3'转录组文库</v>
          </cell>
          <cell r="I3632" t="str">
            <v>GZQ</v>
          </cell>
          <cell r="J3632">
            <v>26.2</v>
          </cell>
          <cell r="N3632" t="e">
            <v>#DIV/0!</v>
          </cell>
        </row>
        <row r="3633">
          <cell r="E3633" t="str">
            <v>HGC-Lib-2465913</v>
          </cell>
          <cell r="F3633" t="str">
            <v>LA240812004</v>
          </cell>
          <cell r="G3633">
            <v>200</v>
          </cell>
          <cell r="H3633" t="str">
            <v>singleron-3'转录组文库</v>
          </cell>
          <cell r="I3633" t="str">
            <v>GZQ</v>
          </cell>
          <cell r="J3633">
            <v>27.8</v>
          </cell>
          <cell r="N3633" t="e">
            <v>#DIV/0!</v>
          </cell>
        </row>
        <row r="3634">
          <cell r="E3634" t="str">
            <v>HGC-Lib-2465914</v>
          </cell>
          <cell r="F3634" t="str">
            <v>LC240811007</v>
          </cell>
          <cell r="G3634">
            <v>100</v>
          </cell>
          <cell r="H3634" t="str">
            <v>singleron-3'转录组文库</v>
          </cell>
          <cell r="I3634" t="str">
            <v>GZQ</v>
          </cell>
          <cell r="J3634">
            <v>19.600000000000001</v>
          </cell>
          <cell r="N3634" t="e">
            <v>#DIV/0!</v>
          </cell>
        </row>
        <row r="3635">
          <cell r="E3635" t="str">
            <v>HGC-Lib-2465915</v>
          </cell>
          <cell r="F3635" t="str">
            <v>LC240810025</v>
          </cell>
          <cell r="G3635">
            <v>120</v>
          </cell>
          <cell r="H3635" t="str">
            <v>singleron-3'转录组文库</v>
          </cell>
          <cell r="I3635" t="str">
            <v>GZQ</v>
          </cell>
          <cell r="J3635">
            <v>16.8</v>
          </cell>
          <cell r="N3635" t="e">
            <v>#DIV/0!</v>
          </cell>
        </row>
        <row r="3636">
          <cell r="E3636" t="str">
            <v>HGC-Lib-2465916</v>
          </cell>
          <cell r="F3636" t="str">
            <v>LC240810024</v>
          </cell>
          <cell r="G3636">
            <v>120</v>
          </cell>
          <cell r="H3636" t="str">
            <v>singleron-3'转录组文库</v>
          </cell>
          <cell r="I3636" t="str">
            <v>GZQ</v>
          </cell>
          <cell r="J3636">
            <v>19.8</v>
          </cell>
          <cell r="N3636" t="e">
            <v>#DIV/0!</v>
          </cell>
        </row>
        <row r="3637">
          <cell r="E3637" t="str">
            <v>HGC-Lib-2465917</v>
          </cell>
          <cell r="F3637" t="str">
            <v>LA240812015</v>
          </cell>
          <cell r="G3637">
            <v>100</v>
          </cell>
          <cell r="H3637" t="str">
            <v>singleron-3'转录组文库</v>
          </cell>
          <cell r="I3637" t="str">
            <v>ZZ</v>
          </cell>
          <cell r="J3637">
            <v>26.8</v>
          </cell>
          <cell r="N3637" t="e">
            <v>#DIV/0!</v>
          </cell>
        </row>
        <row r="3638">
          <cell r="E3638" t="str">
            <v>HGC-Lib-2465918</v>
          </cell>
          <cell r="F3638" t="str">
            <v>LA240812017</v>
          </cell>
          <cell r="G3638">
            <v>100</v>
          </cell>
          <cell r="H3638" t="str">
            <v>singleron-3'转录组文库</v>
          </cell>
          <cell r="I3638" t="str">
            <v>ZZ</v>
          </cell>
          <cell r="J3638">
            <v>28.6</v>
          </cell>
          <cell r="N3638" t="e">
            <v>#DIV/0!</v>
          </cell>
        </row>
        <row r="3639">
          <cell r="E3639" t="str">
            <v>HGC-Lib-2465919</v>
          </cell>
          <cell r="F3639" t="str">
            <v>LFTHC240810001</v>
          </cell>
          <cell r="G3639">
            <v>190</v>
          </cell>
          <cell r="H3639" t="str">
            <v>singleron-3'全长转录组文库</v>
          </cell>
          <cell r="I3639" t="str">
            <v>ZZ</v>
          </cell>
          <cell r="J3639">
            <v>16.3</v>
          </cell>
          <cell r="N3639" t="e">
            <v>#DIV/0!</v>
          </cell>
        </row>
        <row r="3640">
          <cell r="E3640" t="str">
            <v>HGC-Lib-2465920</v>
          </cell>
          <cell r="F3640" t="str">
            <v>R240807015</v>
          </cell>
          <cell r="G3640">
            <v>30</v>
          </cell>
          <cell r="H3640" t="str">
            <v>singleron-3'转录组文库</v>
          </cell>
          <cell r="I3640" t="str">
            <v>ZZ</v>
          </cell>
          <cell r="J3640">
            <v>0.48799999999999999</v>
          </cell>
          <cell r="N3640" t="e">
            <v>#DIV/0!</v>
          </cell>
        </row>
        <row r="3641">
          <cell r="E3641" t="str">
            <v>HGC-Lib-2465921</v>
          </cell>
          <cell r="F3641" t="str">
            <v>R240807016</v>
          </cell>
          <cell r="G3641">
            <v>30</v>
          </cell>
          <cell r="H3641" t="str">
            <v>singleron-3'转录组文库</v>
          </cell>
          <cell r="I3641" t="str">
            <v>ZZ</v>
          </cell>
          <cell r="J3641">
            <v>3.72</v>
          </cell>
          <cell r="N3641" t="e">
            <v>#DIV/0!</v>
          </cell>
        </row>
        <row r="3642">
          <cell r="E3642" t="str">
            <v>HGC-POOL-2465922</v>
          </cell>
          <cell r="F3642" t="str">
            <v>PCRD-240816-003</v>
          </cell>
          <cell r="G3642">
            <v>10</v>
          </cell>
          <cell r="H3642" t="str">
            <v>singleron-3'转录组文库</v>
          </cell>
          <cell r="I3642" t="str">
            <v>ZZ</v>
          </cell>
          <cell r="J3642">
            <v>3.82</v>
          </cell>
          <cell r="N3642" t="e">
            <v>#DIV/0!</v>
          </cell>
        </row>
        <row r="3643">
          <cell r="E3643" t="str">
            <v>HGC-Lib-2465923</v>
          </cell>
          <cell r="F3643" t="str">
            <v>R240816015</v>
          </cell>
          <cell r="G3643">
            <v>40</v>
          </cell>
          <cell r="H3643" t="str">
            <v>singleron-3'转录组文库</v>
          </cell>
          <cell r="I3643" t="str">
            <v>ZZ</v>
          </cell>
          <cell r="J3643">
            <v>15.3</v>
          </cell>
          <cell r="N3643" t="e">
            <v>#DIV/0!</v>
          </cell>
        </row>
        <row r="3644">
          <cell r="E3644" t="str">
            <v>HGC-Lib-2465924</v>
          </cell>
          <cell r="F3644" t="str">
            <v>R240816016</v>
          </cell>
          <cell r="G3644">
            <v>40</v>
          </cell>
          <cell r="H3644" t="str">
            <v>singleron-3'转录组文库</v>
          </cell>
          <cell r="I3644" t="str">
            <v>ZZ</v>
          </cell>
          <cell r="J3644">
            <v>16.600000000000001</v>
          </cell>
          <cell r="N3644" t="e">
            <v>#DIV/0!</v>
          </cell>
        </row>
        <row r="3645">
          <cell r="E3645" t="str">
            <v>HGC-Lib-2465925</v>
          </cell>
          <cell r="F3645" t="str">
            <v>R240816017</v>
          </cell>
          <cell r="G3645">
            <v>40</v>
          </cell>
          <cell r="H3645" t="str">
            <v>singleron-3'转录组文库</v>
          </cell>
          <cell r="I3645" t="str">
            <v>ZZ</v>
          </cell>
          <cell r="J3645">
            <v>14.3</v>
          </cell>
          <cell r="N3645" t="e">
            <v>#DIV/0!</v>
          </cell>
        </row>
        <row r="3646">
          <cell r="E3646" t="str">
            <v>HGC-Lib-2465926</v>
          </cell>
          <cell r="F3646" t="str">
            <v>R240816018</v>
          </cell>
          <cell r="G3646">
            <v>40</v>
          </cell>
          <cell r="H3646" t="str">
            <v>singleron-3'转录组文库</v>
          </cell>
          <cell r="I3646" t="str">
            <v>ZZ</v>
          </cell>
          <cell r="J3646">
            <v>22.2</v>
          </cell>
          <cell r="N3646" t="e">
            <v>#DIV/0!</v>
          </cell>
        </row>
        <row r="3647">
          <cell r="E3647" t="str">
            <v>HGC-Lib-2465927</v>
          </cell>
          <cell r="F3647" t="str">
            <v>R240816019</v>
          </cell>
          <cell r="G3647">
            <v>40</v>
          </cell>
          <cell r="H3647" t="str">
            <v>singleron-3'转录组文库</v>
          </cell>
          <cell r="I3647" t="str">
            <v>ZZ</v>
          </cell>
          <cell r="J3647">
            <v>17.100000000000001</v>
          </cell>
          <cell r="N3647" t="e">
            <v>#DIV/0!</v>
          </cell>
        </row>
        <row r="3648">
          <cell r="E3648" t="str">
            <v>HGC-Lib-2465928</v>
          </cell>
          <cell r="F3648" t="str">
            <v>R240816020</v>
          </cell>
          <cell r="G3648">
            <v>40</v>
          </cell>
          <cell r="H3648" t="str">
            <v>singleron-3'转录组文库</v>
          </cell>
          <cell r="I3648" t="str">
            <v>ZZ</v>
          </cell>
          <cell r="J3648">
            <v>34.4</v>
          </cell>
          <cell r="N3648" t="e">
            <v>#DIV/0!</v>
          </cell>
        </row>
        <row r="3649">
          <cell r="E3649" t="str">
            <v>HGC-Lib-2465929</v>
          </cell>
          <cell r="F3649" t="str">
            <v>R240816021</v>
          </cell>
          <cell r="G3649">
            <v>40</v>
          </cell>
          <cell r="H3649" t="str">
            <v>singleron-3'转录组文库</v>
          </cell>
          <cell r="I3649" t="str">
            <v>ZZ</v>
          </cell>
          <cell r="J3649">
            <v>33.4</v>
          </cell>
          <cell r="N3649" t="e">
            <v>#DIV/0!</v>
          </cell>
        </row>
        <row r="3650">
          <cell r="E3650" t="str">
            <v>HGC-Lib-2465930</v>
          </cell>
          <cell r="F3650" t="str">
            <v>R240816022</v>
          </cell>
          <cell r="G3650">
            <v>40</v>
          </cell>
          <cell r="H3650" t="str">
            <v>singleron-3'转录组文库</v>
          </cell>
          <cell r="I3650" t="str">
            <v>ZZ</v>
          </cell>
          <cell r="J3650">
            <v>32.4</v>
          </cell>
          <cell r="N3650" t="e">
            <v>#DIV/0!</v>
          </cell>
        </row>
        <row r="3651">
          <cell r="E3651" t="str">
            <v>HGC-Lib-2465931</v>
          </cell>
          <cell r="F3651" t="str">
            <v>R240816023</v>
          </cell>
          <cell r="G3651">
            <v>40</v>
          </cell>
          <cell r="H3651" t="str">
            <v>singleron-3'转录组文库</v>
          </cell>
          <cell r="I3651" t="str">
            <v>ZZ</v>
          </cell>
          <cell r="J3651">
            <v>30.6</v>
          </cell>
          <cell r="N3651" t="e">
            <v>#DIV/0!</v>
          </cell>
        </row>
        <row r="3652">
          <cell r="E3652" t="str">
            <v>HGC-Lib-2465932</v>
          </cell>
          <cell r="F3652" t="str">
            <v>R240816024</v>
          </cell>
          <cell r="G3652">
            <v>40</v>
          </cell>
          <cell r="H3652" t="str">
            <v>singleron-3'转录组文库</v>
          </cell>
          <cell r="I3652" t="str">
            <v>ZZ</v>
          </cell>
          <cell r="J3652">
            <v>26.2</v>
          </cell>
          <cell r="N3652" t="e">
            <v>#DIV/0!</v>
          </cell>
        </row>
        <row r="3653">
          <cell r="E3653" t="str">
            <v>HGC-Lib-2465933</v>
          </cell>
          <cell r="F3653" t="str">
            <v>R240816025</v>
          </cell>
          <cell r="G3653">
            <v>40</v>
          </cell>
          <cell r="H3653" t="str">
            <v>singleron-3'转录组文库</v>
          </cell>
          <cell r="I3653" t="str">
            <v>ZZ</v>
          </cell>
          <cell r="J3653">
            <v>32</v>
          </cell>
          <cell r="N3653" t="e">
            <v>#DIV/0!</v>
          </cell>
        </row>
        <row r="3654">
          <cell r="E3654" t="str">
            <v>HGC-Lib-2465934</v>
          </cell>
          <cell r="F3654" t="str">
            <v>R240816026</v>
          </cell>
          <cell r="G3654">
            <v>40</v>
          </cell>
          <cell r="H3654" t="str">
            <v>singleron-3'转录组文库</v>
          </cell>
          <cell r="I3654" t="str">
            <v>ZZ</v>
          </cell>
          <cell r="J3654">
            <v>28</v>
          </cell>
          <cell r="N3654" t="e">
            <v>#DIV/0!</v>
          </cell>
        </row>
        <row r="3655">
          <cell r="E3655" t="str">
            <v>HGC-Lib-2465935</v>
          </cell>
          <cell r="F3655" t="str">
            <v>R240816027</v>
          </cell>
          <cell r="G3655">
            <v>40</v>
          </cell>
          <cell r="H3655" t="str">
            <v>singleron-3'转录组文库</v>
          </cell>
          <cell r="I3655" t="str">
            <v>ZZ</v>
          </cell>
          <cell r="J3655">
            <v>18.8</v>
          </cell>
          <cell r="N3655" t="e">
            <v>#DIV/0!</v>
          </cell>
        </row>
        <row r="3656">
          <cell r="E3656" t="str">
            <v>HGC-Lib-2465938</v>
          </cell>
          <cell r="F3656" t="str">
            <v>NYC15GEL</v>
          </cell>
          <cell r="G3656">
            <v>20</v>
          </cell>
          <cell r="H3656" t="str">
            <v>10× 3'单细胞</v>
          </cell>
          <cell r="I3656" t="str">
            <v>WH</v>
          </cell>
          <cell r="J3656">
            <v>30.8</v>
          </cell>
          <cell r="K3656">
            <v>540</v>
          </cell>
          <cell r="N3656">
            <v>87.749287749287703</v>
          </cell>
        </row>
        <row r="3657">
          <cell r="E3657" t="str">
            <v>HGC-Lib-2465939</v>
          </cell>
          <cell r="F3657" t="str">
            <v>NYC18GEL</v>
          </cell>
          <cell r="G3657">
            <v>180</v>
          </cell>
          <cell r="H3657" t="str">
            <v>10× 3'单细胞</v>
          </cell>
          <cell r="I3657" t="str">
            <v>WH</v>
          </cell>
          <cell r="J3657">
            <v>66.599999999999994</v>
          </cell>
          <cell r="K3657">
            <v>506</v>
          </cell>
          <cell r="N3657">
            <v>202.493159014898</v>
          </cell>
        </row>
        <row r="3658">
          <cell r="E3658" t="str">
            <v>HGC-Lib-2465940</v>
          </cell>
          <cell r="F3658" t="str">
            <v>NYC21GEL</v>
          </cell>
          <cell r="G3658">
            <v>20</v>
          </cell>
          <cell r="H3658" t="str">
            <v>10× 3'单细胞</v>
          </cell>
          <cell r="I3658" t="str">
            <v>WH</v>
          </cell>
          <cell r="J3658">
            <v>23.2</v>
          </cell>
          <cell r="K3658">
            <v>522</v>
          </cell>
          <cell r="N3658">
            <v>68.376068376068403</v>
          </cell>
        </row>
        <row r="3659">
          <cell r="E3659" t="str">
            <v>HGC-Lib-2465941</v>
          </cell>
          <cell r="F3659" t="str">
            <v>NYC24GEL</v>
          </cell>
          <cell r="G3659">
            <v>180</v>
          </cell>
          <cell r="H3659" t="str">
            <v>10× 3'单细胞</v>
          </cell>
          <cell r="I3659" t="str">
            <v>WH</v>
          </cell>
          <cell r="J3659">
            <v>59.8</v>
          </cell>
          <cell r="K3659">
            <v>533</v>
          </cell>
          <cell r="N3659">
            <v>172.60787992495301</v>
          </cell>
        </row>
        <row r="3660">
          <cell r="E3660" t="str">
            <v>HGC-Lib-2465942</v>
          </cell>
          <cell r="F3660" t="str">
            <v>NYC15CSP</v>
          </cell>
          <cell r="G3660">
            <v>10</v>
          </cell>
          <cell r="H3660" t="str">
            <v>10× 3'单细胞</v>
          </cell>
          <cell r="I3660" t="str">
            <v>WH</v>
          </cell>
          <cell r="J3660">
            <v>49.2</v>
          </cell>
          <cell r="K3660">
            <v>256</v>
          </cell>
          <cell r="N3660">
            <v>295.67307692307702</v>
          </cell>
        </row>
        <row r="3661">
          <cell r="E3661" t="str">
            <v>HGC-Lib-2465943</v>
          </cell>
          <cell r="F3661" t="str">
            <v>NYC18CSP</v>
          </cell>
          <cell r="G3661">
            <v>10</v>
          </cell>
          <cell r="H3661" t="str">
            <v>10× 3'单细胞</v>
          </cell>
          <cell r="I3661" t="str">
            <v>WH</v>
          </cell>
          <cell r="J3661">
            <v>24.2</v>
          </cell>
          <cell r="K3661">
            <v>266</v>
          </cell>
          <cell r="N3661">
            <v>139.96529786003501</v>
          </cell>
        </row>
        <row r="3662">
          <cell r="E3662" t="str">
            <v>HGC-Lib-2465944</v>
          </cell>
          <cell r="F3662" t="str">
            <v>NYC21CSP</v>
          </cell>
          <cell r="G3662">
            <v>10</v>
          </cell>
          <cell r="H3662" t="str">
            <v>10× 3'单细胞</v>
          </cell>
          <cell r="I3662" t="str">
            <v>WH</v>
          </cell>
          <cell r="J3662">
            <v>22.6</v>
          </cell>
          <cell r="K3662">
            <v>269</v>
          </cell>
          <cell r="N3662">
            <v>129.253645982271</v>
          </cell>
        </row>
        <row r="3663">
          <cell r="E3663" t="str">
            <v>HGC-Lib-2465945</v>
          </cell>
          <cell r="F3663" t="str">
            <v>NYC24CSP</v>
          </cell>
          <cell r="G3663">
            <v>10</v>
          </cell>
          <cell r="H3663" t="str">
            <v>10× 3'单细胞</v>
          </cell>
          <cell r="I3663" t="str">
            <v>WH</v>
          </cell>
          <cell r="J3663">
            <v>22.8</v>
          </cell>
          <cell r="K3663">
            <v>269</v>
          </cell>
          <cell r="N3663">
            <v>130.39748355733499</v>
          </cell>
        </row>
        <row r="3664">
          <cell r="E3664" t="str">
            <v>HGC-Lib-2465946</v>
          </cell>
          <cell r="F3664" t="str">
            <v>HSS4GEL</v>
          </cell>
          <cell r="G3664">
            <v>120</v>
          </cell>
          <cell r="H3664" t="str">
            <v>10x 5'单细胞</v>
          </cell>
          <cell r="I3664" t="str">
            <v>WH</v>
          </cell>
          <cell r="J3664">
            <v>78.599999999999994</v>
          </cell>
          <cell r="K3664">
            <v>524</v>
          </cell>
          <cell r="N3664">
            <v>230.769230769231</v>
          </cell>
        </row>
        <row r="3665">
          <cell r="E3665" t="str">
            <v>HGC-Lib-2465947</v>
          </cell>
          <cell r="F3665" t="str">
            <v>HSS4TCR</v>
          </cell>
          <cell r="G3665">
            <v>15</v>
          </cell>
          <cell r="H3665" t="str">
            <v>10x 5'单细胞</v>
          </cell>
          <cell r="I3665" t="str">
            <v>WH</v>
          </cell>
          <cell r="J3665">
            <v>24</v>
          </cell>
          <cell r="K3665">
            <v>448</v>
          </cell>
          <cell r="N3665">
            <v>82.417582417582395</v>
          </cell>
        </row>
        <row r="3666">
          <cell r="E3666" t="str">
            <v>HGC-Lib-2465948</v>
          </cell>
          <cell r="F3666" t="str">
            <v>WYT1</v>
          </cell>
          <cell r="G3666">
            <v>100</v>
          </cell>
          <cell r="H3666" t="str">
            <v>其他文库类型</v>
          </cell>
          <cell r="I3666" t="str">
            <v>WH</v>
          </cell>
          <cell r="J3666">
            <v>28</v>
          </cell>
          <cell r="K3666">
            <v>478</v>
          </cell>
          <cell r="N3666">
            <v>90.119085934985506</v>
          </cell>
        </row>
        <row r="3667">
          <cell r="E3667" t="str">
            <v>HGC-Lib-2465949</v>
          </cell>
          <cell r="F3667" t="str">
            <v>WYT2</v>
          </cell>
          <cell r="G3667">
            <v>100</v>
          </cell>
          <cell r="H3667" t="str">
            <v>其他文库类型</v>
          </cell>
          <cell r="I3667" t="str">
            <v>WH</v>
          </cell>
          <cell r="J3667">
            <v>37</v>
          </cell>
          <cell r="K3667">
            <v>451</v>
          </cell>
          <cell r="N3667">
            <v>126.215248166468</v>
          </cell>
        </row>
        <row r="3668">
          <cell r="E3668" t="str">
            <v>HGC-Lib-2465950</v>
          </cell>
          <cell r="F3668" t="str">
            <v>WYT3</v>
          </cell>
          <cell r="G3668">
            <v>100</v>
          </cell>
          <cell r="H3668" t="str">
            <v>其他文库类型</v>
          </cell>
          <cell r="I3668" t="str">
            <v>WH</v>
          </cell>
          <cell r="J3668">
            <v>55.8</v>
          </cell>
          <cell r="K3668">
            <v>440</v>
          </cell>
          <cell r="N3668">
            <v>195.10489510489501</v>
          </cell>
        </row>
        <row r="3669">
          <cell r="E3669" t="str">
            <v>HGC-Lib-2465951</v>
          </cell>
          <cell r="F3669" t="str">
            <v>WYT4</v>
          </cell>
          <cell r="G3669">
            <v>100</v>
          </cell>
          <cell r="H3669" t="str">
            <v>其他文库类型</v>
          </cell>
          <cell r="I3669" t="str">
            <v>WH</v>
          </cell>
          <cell r="J3669">
            <v>46.6</v>
          </cell>
          <cell r="K3669">
            <v>459</v>
          </cell>
          <cell r="N3669">
            <v>156.192391486509</v>
          </cell>
        </row>
        <row r="3670">
          <cell r="E3670" t="str">
            <v>HGC-Lib-2465952</v>
          </cell>
          <cell r="F3670" t="str">
            <v>WYT5</v>
          </cell>
          <cell r="G3670">
            <v>100</v>
          </cell>
          <cell r="H3670" t="str">
            <v>其他文库类型</v>
          </cell>
          <cell r="I3670" t="str">
            <v>WH</v>
          </cell>
          <cell r="J3670">
            <v>37.4</v>
          </cell>
          <cell r="K3670">
            <v>466</v>
          </cell>
          <cell r="N3670">
            <v>123.473093430175</v>
          </cell>
        </row>
        <row r="3671">
          <cell r="E3671" t="str">
            <v>HGC-Lib-2465953</v>
          </cell>
          <cell r="F3671" t="str">
            <v>WYT6</v>
          </cell>
          <cell r="G3671">
            <v>100</v>
          </cell>
          <cell r="H3671" t="str">
            <v>其他文库类型</v>
          </cell>
          <cell r="I3671" t="str">
            <v>WH</v>
          </cell>
          <cell r="J3671">
            <v>32.4</v>
          </cell>
          <cell r="K3671">
            <v>456</v>
          </cell>
          <cell r="N3671">
            <v>109.311740890688</v>
          </cell>
        </row>
        <row r="3672">
          <cell r="E3672" t="str">
            <v>HGC-Lib-2465954</v>
          </cell>
          <cell r="F3672" t="str">
            <v>WYT7</v>
          </cell>
          <cell r="G3672">
            <v>100</v>
          </cell>
          <cell r="H3672" t="str">
            <v>其他文库类型</v>
          </cell>
          <cell r="I3672" t="str">
            <v>WH</v>
          </cell>
          <cell r="J3672">
            <v>46.2</v>
          </cell>
          <cell r="K3672">
            <v>482</v>
          </cell>
          <cell r="N3672">
            <v>147.46249601021401</v>
          </cell>
        </row>
        <row r="3673">
          <cell r="E3673" t="str">
            <v>HGC-Lib-2465955</v>
          </cell>
          <cell r="F3673" t="str">
            <v>WYT8</v>
          </cell>
          <cell r="G3673">
            <v>100</v>
          </cell>
          <cell r="H3673" t="str">
            <v>其他文库类型</v>
          </cell>
          <cell r="I3673" t="str">
            <v>WH</v>
          </cell>
          <cell r="J3673">
            <v>46.2</v>
          </cell>
          <cell r="K3673">
            <v>475</v>
          </cell>
          <cell r="N3673">
            <v>149.63562753036399</v>
          </cell>
        </row>
        <row r="3674">
          <cell r="E3674" t="str">
            <v>HGC-Lib-2465956</v>
          </cell>
          <cell r="F3674" t="str">
            <v>WYT9</v>
          </cell>
          <cell r="G3674">
            <v>100</v>
          </cell>
          <cell r="H3674" t="str">
            <v>其他文库类型</v>
          </cell>
          <cell r="I3674" t="str">
            <v>WH</v>
          </cell>
          <cell r="J3674">
            <v>34</v>
          </cell>
          <cell r="K3674">
            <v>474</v>
          </cell>
          <cell r="N3674">
            <v>110.353781239857</v>
          </cell>
        </row>
        <row r="3675">
          <cell r="E3675" t="str">
            <v>HGC-Lib-2465957</v>
          </cell>
          <cell r="F3675" t="str">
            <v>WYT10</v>
          </cell>
          <cell r="G3675">
            <v>100</v>
          </cell>
          <cell r="H3675" t="str">
            <v>其他文库类型</v>
          </cell>
          <cell r="I3675" t="str">
            <v>WH</v>
          </cell>
          <cell r="J3675">
            <v>42.2</v>
          </cell>
          <cell r="K3675">
            <v>468</v>
          </cell>
          <cell r="N3675">
            <v>138.72452333990799</v>
          </cell>
        </row>
        <row r="3676">
          <cell r="E3676" t="str">
            <v>HGC-Lib-2465958</v>
          </cell>
          <cell r="F3676" t="str">
            <v>WYT11</v>
          </cell>
          <cell r="G3676">
            <v>100</v>
          </cell>
          <cell r="H3676" t="str">
            <v>其他文库类型</v>
          </cell>
          <cell r="I3676" t="str">
            <v>WH</v>
          </cell>
          <cell r="J3676">
            <v>37</v>
          </cell>
          <cell r="K3676">
            <v>469</v>
          </cell>
          <cell r="N3676">
            <v>121.371166147286</v>
          </cell>
        </row>
        <row r="3677">
          <cell r="E3677" t="str">
            <v>HGC-Lib-2465959</v>
          </cell>
          <cell r="F3677" t="str">
            <v>WYT12</v>
          </cell>
          <cell r="G3677">
            <v>100</v>
          </cell>
          <cell r="H3677" t="str">
            <v>其他文库类型</v>
          </cell>
          <cell r="I3677" t="str">
            <v>WH</v>
          </cell>
          <cell r="J3677">
            <v>38.799999999999997</v>
          </cell>
          <cell r="K3677">
            <v>473</v>
          </cell>
          <cell r="N3677">
            <v>126.19938201333601</v>
          </cell>
        </row>
        <row r="3678">
          <cell r="E3678" t="str">
            <v>HGC-Lib-2465969</v>
          </cell>
          <cell r="F3678" t="str">
            <v>3M-S-R-4</v>
          </cell>
          <cell r="G3678">
            <v>8</v>
          </cell>
          <cell r="H3678" t="str">
            <v>单细胞RNA-seq文库</v>
          </cell>
          <cell r="I3678" t="str">
            <v>WH</v>
          </cell>
          <cell r="J3678">
            <v>19.100000000000001</v>
          </cell>
          <cell r="K3678">
            <v>297</v>
          </cell>
          <cell r="N3678">
            <v>98.938098938098904</v>
          </cell>
        </row>
        <row r="3679">
          <cell r="E3679" t="str">
            <v>HGC-Lib-2465970</v>
          </cell>
          <cell r="F3679" t="str">
            <v>3M-S-R-5</v>
          </cell>
          <cell r="G3679">
            <v>8</v>
          </cell>
          <cell r="H3679" t="str">
            <v>单细胞RNA-seq文库</v>
          </cell>
          <cell r="I3679" t="str">
            <v>WH</v>
          </cell>
          <cell r="J3679">
            <v>20.2</v>
          </cell>
          <cell r="K3679">
            <v>294</v>
          </cell>
          <cell r="N3679">
            <v>105.703819989534</v>
          </cell>
        </row>
        <row r="3680">
          <cell r="E3680" t="str">
            <v>HGC-Lib-2465971</v>
          </cell>
          <cell r="F3680" t="str">
            <v>3M-S-R-6</v>
          </cell>
          <cell r="G3680">
            <v>8</v>
          </cell>
          <cell r="H3680" t="str">
            <v>单细胞RNA-seq文库</v>
          </cell>
          <cell r="I3680" t="str">
            <v>WH</v>
          </cell>
          <cell r="J3680">
            <v>18.899999999999999</v>
          </cell>
          <cell r="K3680">
            <v>294</v>
          </cell>
          <cell r="N3680">
            <v>98.901098901098905</v>
          </cell>
        </row>
        <row r="3681">
          <cell r="E3681" t="str">
            <v>HGC-Lib-2465972</v>
          </cell>
          <cell r="F3681" t="str">
            <v>ZH-S-R-4</v>
          </cell>
          <cell r="G3681">
            <v>8</v>
          </cell>
          <cell r="H3681" t="str">
            <v>单细胞RNA-seq文库</v>
          </cell>
          <cell r="I3681" t="str">
            <v>WH</v>
          </cell>
          <cell r="J3681">
            <v>17.399999999999999</v>
          </cell>
          <cell r="K3681">
            <v>280</v>
          </cell>
          <cell r="N3681">
            <v>95.604395604395606</v>
          </cell>
        </row>
        <row r="3682">
          <cell r="E3682" t="str">
            <v>HGC-Lib-2465973</v>
          </cell>
          <cell r="F3682" t="str">
            <v>ZH-S-R-5</v>
          </cell>
          <cell r="G3682">
            <v>8</v>
          </cell>
          <cell r="H3682" t="str">
            <v>单细胞RNA-seq文库</v>
          </cell>
          <cell r="I3682" t="str">
            <v>WH</v>
          </cell>
          <cell r="J3682">
            <v>18.8</v>
          </cell>
          <cell r="K3682">
            <v>287</v>
          </cell>
          <cell r="N3682">
            <v>100.777271508979</v>
          </cell>
        </row>
        <row r="3683">
          <cell r="E3683" t="str">
            <v>HGC-Lib-2465974</v>
          </cell>
          <cell r="F3683" t="str">
            <v>ZH-S-R-6</v>
          </cell>
          <cell r="G3683">
            <v>8</v>
          </cell>
          <cell r="H3683" t="str">
            <v>单细胞RNA-seq文库</v>
          </cell>
          <cell r="I3683" t="str">
            <v>WH</v>
          </cell>
          <cell r="J3683">
            <v>18.399999999999999</v>
          </cell>
          <cell r="K3683">
            <v>284</v>
          </cell>
          <cell r="N3683">
            <v>99.674972914409494</v>
          </cell>
        </row>
        <row r="3684">
          <cell r="E3684" t="str">
            <v>HGC-Lib-2465975</v>
          </cell>
          <cell r="F3684" t="str">
            <v>ATACLC240815020</v>
          </cell>
          <cell r="G3684">
            <v>20</v>
          </cell>
          <cell r="H3684" t="str">
            <v>singleron-ATAC文库</v>
          </cell>
          <cell r="I3684" t="str">
            <v>ZZ</v>
          </cell>
          <cell r="J3684">
            <v>6.8</v>
          </cell>
          <cell r="N3684" t="e">
            <v>#DIV/0!</v>
          </cell>
        </row>
        <row r="3685">
          <cell r="E3685" t="str">
            <v>HGC-Lib-2465976</v>
          </cell>
          <cell r="F3685" t="str">
            <v>ATACLC240815019</v>
          </cell>
          <cell r="G3685">
            <v>20</v>
          </cell>
          <cell r="H3685" t="str">
            <v>singleron-ATAC文库</v>
          </cell>
          <cell r="I3685" t="str">
            <v>ZZ</v>
          </cell>
          <cell r="J3685">
            <v>44.8</v>
          </cell>
          <cell r="N3685" t="e">
            <v>#DIV/0!</v>
          </cell>
        </row>
        <row r="3686">
          <cell r="E3686" t="str">
            <v>HGC-Lib-2465977</v>
          </cell>
          <cell r="F3686" t="str">
            <v>ATACLC240810014</v>
          </cell>
          <cell r="G3686">
            <v>40</v>
          </cell>
          <cell r="H3686" t="str">
            <v>singleron-ATAC文库</v>
          </cell>
          <cell r="I3686" t="str">
            <v>ZZ</v>
          </cell>
          <cell r="J3686">
            <v>7.58</v>
          </cell>
          <cell r="N3686" t="e">
            <v>#DIV/0!</v>
          </cell>
        </row>
        <row r="3687">
          <cell r="E3687" t="str">
            <v>HGC-Lib-2465978</v>
          </cell>
          <cell r="F3687" t="str">
            <v>ATACLC240810015</v>
          </cell>
          <cell r="G3687">
            <v>40</v>
          </cell>
          <cell r="H3687" t="str">
            <v>singleron-ATAC文库</v>
          </cell>
          <cell r="I3687" t="str">
            <v>ZZ</v>
          </cell>
          <cell r="J3687">
            <v>17.5</v>
          </cell>
          <cell r="N3687" t="e">
            <v>#DIV/0!</v>
          </cell>
        </row>
        <row r="3688">
          <cell r="E3688" t="str">
            <v>HGC-Lib-2465979</v>
          </cell>
          <cell r="F3688" t="str">
            <v>ATACLC240809078</v>
          </cell>
          <cell r="G3688">
            <v>40</v>
          </cell>
          <cell r="H3688" t="str">
            <v>singleron-ATAC文库</v>
          </cell>
          <cell r="I3688" t="str">
            <v>ZZ</v>
          </cell>
          <cell r="J3688">
            <v>34.200000000000003</v>
          </cell>
          <cell r="N3688" t="e">
            <v>#DIV/0!</v>
          </cell>
        </row>
        <row r="3689">
          <cell r="E3689" t="str">
            <v>HGC-Lib-2465980</v>
          </cell>
          <cell r="F3689" t="str">
            <v>ATACLC240809079</v>
          </cell>
          <cell r="G3689">
            <v>40</v>
          </cell>
          <cell r="H3689" t="str">
            <v>singleron-ATAC文库</v>
          </cell>
          <cell r="I3689" t="str">
            <v>ZZ</v>
          </cell>
          <cell r="J3689">
            <v>17.100000000000001</v>
          </cell>
          <cell r="N3689" t="e">
            <v>#DIV/0!</v>
          </cell>
        </row>
        <row r="3690">
          <cell r="E3690" t="str">
            <v>HGC-Lib-2465981</v>
          </cell>
          <cell r="F3690" t="str">
            <v>LC240807044FS</v>
          </cell>
          <cell r="G3690">
            <v>100</v>
          </cell>
          <cell r="H3690" t="str">
            <v>singleron-3'转录组文库</v>
          </cell>
          <cell r="I3690" t="str">
            <v>ZZ</v>
          </cell>
          <cell r="J3690">
            <v>27</v>
          </cell>
          <cell r="N3690" t="e">
            <v>#DIV/0!</v>
          </cell>
        </row>
        <row r="3691">
          <cell r="E3691" t="str">
            <v>HGC-Lib-2465982</v>
          </cell>
          <cell r="F3691" t="str">
            <v>LFTA240811002X1</v>
          </cell>
          <cell r="G3691">
            <v>90</v>
          </cell>
          <cell r="H3691" t="str">
            <v>singleron-3'全长转录组文库</v>
          </cell>
          <cell r="I3691" t="str">
            <v>ZZ</v>
          </cell>
          <cell r="J3691">
            <v>18.2</v>
          </cell>
          <cell r="N3691" t="e">
            <v>#DIV/0!</v>
          </cell>
        </row>
        <row r="3692">
          <cell r="E3692" t="str">
            <v>HGC-Lib-2465983</v>
          </cell>
          <cell r="F3692" t="str">
            <v>LFTA240810022</v>
          </cell>
          <cell r="G3692">
            <v>90</v>
          </cell>
          <cell r="H3692" t="str">
            <v>singleron-3'全长转录组文库</v>
          </cell>
          <cell r="I3692" t="str">
            <v>ZZ</v>
          </cell>
          <cell r="J3692">
            <v>13.3</v>
          </cell>
          <cell r="N3692" t="e">
            <v>#DIV/0!</v>
          </cell>
        </row>
        <row r="3693">
          <cell r="E3693" t="str">
            <v>HGC-Lib-2465984</v>
          </cell>
          <cell r="F3693" t="str">
            <v>LFTBA240811004</v>
          </cell>
          <cell r="G3693">
            <v>100</v>
          </cell>
          <cell r="H3693" t="str">
            <v>singleron-3'全长转录组文库</v>
          </cell>
          <cell r="I3693" t="str">
            <v>ZZ</v>
          </cell>
          <cell r="J3693">
            <v>18</v>
          </cell>
          <cell r="N3693" t="e">
            <v>#DIV/0!</v>
          </cell>
        </row>
        <row r="3694">
          <cell r="E3694" t="str">
            <v>HGC-Lib-2465985</v>
          </cell>
          <cell r="F3694" t="str">
            <v>LFTBA240811003</v>
          </cell>
          <cell r="G3694">
            <v>100</v>
          </cell>
          <cell r="H3694" t="str">
            <v>singleron-3'全长转录组文库</v>
          </cell>
          <cell r="I3694" t="str">
            <v>ZZ</v>
          </cell>
          <cell r="J3694">
            <v>20.8</v>
          </cell>
          <cell r="N3694" t="e">
            <v>#DIV/0!</v>
          </cell>
        </row>
        <row r="3695">
          <cell r="E3695" t="str">
            <v>HGC-Lib-2465986</v>
          </cell>
          <cell r="F3695" t="str">
            <v>LC240813010</v>
          </cell>
          <cell r="G3695">
            <v>100</v>
          </cell>
          <cell r="H3695" t="str">
            <v>singleron-3'转录组文库</v>
          </cell>
          <cell r="I3695" t="str">
            <v>ZZ</v>
          </cell>
          <cell r="J3695">
            <v>8.44</v>
          </cell>
          <cell r="N3695" t="e">
            <v>#DIV/0!</v>
          </cell>
        </row>
        <row r="3696">
          <cell r="E3696" t="str">
            <v>HGC-Lib-2465987</v>
          </cell>
          <cell r="F3696" t="str">
            <v>LA240813013X2</v>
          </cell>
          <cell r="G3696">
            <v>100</v>
          </cell>
          <cell r="H3696" t="str">
            <v>singleron-3'转录组文库</v>
          </cell>
          <cell r="I3696" t="str">
            <v>ZZ</v>
          </cell>
          <cell r="J3696">
            <v>25</v>
          </cell>
          <cell r="N3696" t="e">
            <v>#DIV/0!</v>
          </cell>
        </row>
        <row r="3697">
          <cell r="E3697" t="str">
            <v>HGC-Lib-2465988</v>
          </cell>
          <cell r="F3697" t="str">
            <v>LA240814072</v>
          </cell>
          <cell r="G3697">
            <v>100</v>
          </cell>
          <cell r="H3697" t="str">
            <v>singleron-3'转录组文库</v>
          </cell>
          <cell r="I3697" t="str">
            <v>ZZ</v>
          </cell>
          <cell r="J3697">
            <v>18.7</v>
          </cell>
          <cell r="N3697" t="e">
            <v>#DIV/0!</v>
          </cell>
        </row>
        <row r="3698">
          <cell r="E3698" t="str">
            <v>HGC-Lib-2465989</v>
          </cell>
          <cell r="F3698" t="str">
            <v>LA240814071</v>
          </cell>
          <cell r="G3698">
            <v>100</v>
          </cell>
          <cell r="H3698" t="str">
            <v>singleron-3'转录组文库</v>
          </cell>
          <cell r="I3698" t="str">
            <v>ZZ</v>
          </cell>
          <cell r="J3698">
            <v>22.4</v>
          </cell>
          <cell r="N3698" t="e">
            <v>#DIV/0!</v>
          </cell>
        </row>
        <row r="3699">
          <cell r="E3699" t="str">
            <v>HGC-Lib-2465990</v>
          </cell>
          <cell r="F3699" t="str">
            <v>LA240814075</v>
          </cell>
          <cell r="G3699">
            <v>100</v>
          </cell>
          <cell r="H3699" t="str">
            <v>singleron-3'转录组文库</v>
          </cell>
          <cell r="I3699" t="str">
            <v>ZZ</v>
          </cell>
          <cell r="J3699">
            <v>19.7</v>
          </cell>
          <cell r="N3699" t="e">
            <v>#DIV/0!</v>
          </cell>
        </row>
        <row r="3700">
          <cell r="E3700" t="str">
            <v>HGC-Lib-2465991</v>
          </cell>
          <cell r="F3700" t="str">
            <v>LA240814076</v>
          </cell>
          <cell r="G3700">
            <v>100</v>
          </cell>
          <cell r="H3700" t="str">
            <v>singleron-3'转录组文库</v>
          </cell>
          <cell r="I3700" t="str">
            <v>ZZ</v>
          </cell>
          <cell r="J3700">
            <v>20.2</v>
          </cell>
          <cell r="N3700" t="e">
            <v>#DIV/0!</v>
          </cell>
        </row>
        <row r="3701">
          <cell r="E3701" t="str">
            <v>HGC-Lib-2465992</v>
          </cell>
          <cell r="F3701" t="str">
            <v>LA240814073</v>
          </cell>
          <cell r="G3701">
            <v>100</v>
          </cell>
          <cell r="H3701" t="str">
            <v>singleron-3'转录组文库</v>
          </cell>
          <cell r="I3701" t="str">
            <v>ZZ</v>
          </cell>
          <cell r="J3701">
            <v>17.8</v>
          </cell>
          <cell r="N3701" t="e">
            <v>#DIV/0!</v>
          </cell>
        </row>
        <row r="3702">
          <cell r="E3702" t="str">
            <v>HGC-Lib-2465993</v>
          </cell>
          <cell r="F3702" t="str">
            <v>LA240814074</v>
          </cell>
          <cell r="G3702">
            <v>100</v>
          </cell>
          <cell r="H3702" t="str">
            <v>singleron-3'转录组文库</v>
          </cell>
          <cell r="I3702" t="str">
            <v>ZZ</v>
          </cell>
          <cell r="J3702">
            <v>11.4</v>
          </cell>
          <cell r="N3702" t="e">
            <v>#DIV/0!</v>
          </cell>
        </row>
        <row r="3703">
          <cell r="E3703" t="str">
            <v>HGC-POOL-2465994</v>
          </cell>
          <cell r="F3703" t="str">
            <v>AT114</v>
          </cell>
          <cell r="G3703">
            <v>150</v>
          </cell>
          <cell r="H3703" t="str">
            <v>10XATAC测序</v>
          </cell>
          <cell r="I3703" t="str">
            <v>ZZ</v>
          </cell>
          <cell r="J3703">
            <v>55</v>
          </cell>
          <cell r="N3703" t="e">
            <v>#DIV/0!</v>
          </cell>
        </row>
        <row r="3704">
          <cell r="E3704" t="str">
            <v>HGC-POOL-2465995</v>
          </cell>
          <cell r="F3704" t="str">
            <v>AT115</v>
          </cell>
          <cell r="G3704">
            <v>150</v>
          </cell>
          <cell r="H3704" t="str">
            <v>10XATAC测序</v>
          </cell>
          <cell r="I3704" t="str">
            <v>ZZ</v>
          </cell>
          <cell r="J3704">
            <v>61.8</v>
          </cell>
          <cell r="N3704" t="e">
            <v>#DIV/0!</v>
          </cell>
        </row>
        <row r="3705">
          <cell r="E3705" t="str">
            <v>HGC-POOL-2465996</v>
          </cell>
          <cell r="F3705" t="str">
            <v>AT116</v>
          </cell>
          <cell r="G3705">
            <v>120</v>
          </cell>
          <cell r="H3705" t="str">
            <v>10XATAC测序</v>
          </cell>
          <cell r="I3705" t="str">
            <v>ZZ</v>
          </cell>
          <cell r="J3705">
            <v>62.6</v>
          </cell>
          <cell r="N3705" t="e">
            <v>#DIV/0!</v>
          </cell>
        </row>
        <row r="3706">
          <cell r="E3706" t="str">
            <v>HGC-POOL-2465997</v>
          </cell>
          <cell r="F3706" t="str">
            <v>AT117</v>
          </cell>
          <cell r="G3706">
            <v>100</v>
          </cell>
          <cell r="H3706" t="str">
            <v>10XATAC测序</v>
          </cell>
          <cell r="I3706" t="str">
            <v>ZZ</v>
          </cell>
          <cell r="J3706">
            <v>64</v>
          </cell>
          <cell r="N3706" t="e">
            <v>#DIV/0!</v>
          </cell>
        </row>
        <row r="3707">
          <cell r="E3707" t="str">
            <v>HGC-Lib-2465998</v>
          </cell>
          <cell r="F3707" t="str">
            <v>P1</v>
          </cell>
          <cell r="G3707">
            <v>10</v>
          </cell>
          <cell r="H3707" t="str">
            <v>ATAC-Seq文库</v>
          </cell>
          <cell r="I3707" t="str">
            <v>WH</v>
          </cell>
          <cell r="J3707">
            <v>13.9</v>
          </cell>
          <cell r="K3707">
            <v>484</v>
          </cell>
          <cell r="L3707" t="str">
            <v>YHT</v>
          </cell>
          <cell r="N3707">
            <v>44.183089637635099</v>
          </cell>
        </row>
        <row r="3708">
          <cell r="E3708" t="str">
            <v>HGC-Lib-2465999</v>
          </cell>
          <cell r="F3708" t="str">
            <v>P2</v>
          </cell>
          <cell r="G3708">
            <v>10</v>
          </cell>
          <cell r="H3708" t="str">
            <v>ATAC-Seq文库</v>
          </cell>
          <cell r="I3708" t="str">
            <v>WH</v>
          </cell>
          <cell r="J3708">
            <v>7.1</v>
          </cell>
          <cell r="K3708">
            <v>489</v>
          </cell>
          <cell r="L3708" t="str">
            <v>XCL</v>
          </cell>
          <cell r="N3708">
            <v>22.3375806197892</v>
          </cell>
        </row>
        <row r="3709">
          <cell r="E3709" t="str">
            <v>HGC-Lib-2466000</v>
          </cell>
          <cell r="F3709" t="str">
            <v>P3</v>
          </cell>
          <cell r="G3709">
            <v>10</v>
          </cell>
          <cell r="H3709" t="str">
            <v>ATAC-Seq文库</v>
          </cell>
          <cell r="I3709" t="str">
            <v>WH</v>
          </cell>
          <cell r="J3709">
            <v>27.8</v>
          </cell>
          <cell r="K3709">
            <v>421</v>
          </cell>
          <cell r="L3709" t="str">
            <v>YHT</v>
          </cell>
          <cell r="N3709">
            <v>101.589621779646</v>
          </cell>
        </row>
        <row r="3710">
          <cell r="E3710" t="str">
            <v>HGC-Lib-2466001</v>
          </cell>
          <cell r="F3710" t="str">
            <v>P4</v>
          </cell>
          <cell r="G3710">
            <v>10</v>
          </cell>
          <cell r="H3710" t="str">
            <v>ATAC-Seq文库</v>
          </cell>
          <cell r="I3710" t="str">
            <v>WH</v>
          </cell>
          <cell r="J3710">
            <v>15.9</v>
          </cell>
          <cell r="K3710">
            <v>416</v>
          </cell>
          <cell r="L3710" t="str">
            <v>YHT</v>
          </cell>
          <cell r="N3710">
            <v>58.801775147929</v>
          </cell>
        </row>
        <row r="3711">
          <cell r="E3711" t="str">
            <v>HGC-Lib-2466002</v>
          </cell>
          <cell r="F3711" t="str">
            <v>L1</v>
          </cell>
          <cell r="G3711">
            <v>10</v>
          </cell>
          <cell r="H3711" t="str">
            <v>ATAC-Seq文库</v>
          </cell>
          <cell r="I3711" t="str">
            <v>WH</v>
          </cell>
          <cell r="J3711">
            <v>7.42</v>
          </cell>
          <cell r="K3711">
            <v>406</v>
          </cell>
          <cell r="L3711" t="str">
            <v>XCL</v>
          </cell>
          <cell r="N3711">
            <v>28.116710875331599</v>
          </cell>
        </row>
        <row r="3712">
          <cell r="E3712" t="str">
            <v>HGC-Lib-2466003</v>
          </cell>
          <cell r="F3712" t="str">
            <v>L2</v>
          </cell>
          <cell r="G3712">
            <v>10</v>
          </cell>
          <cell r="H3712" t="str">
            <v>ATAC-Seq文库</v>
          </cell>
          <cell r="I3712" t="str">
            <v>WH</v>
          </cell>
          <cell r="J3712">
            <v>21.6</v>
          </cell>
          <cell r="K3712">
            <v>370</v>
          </cell>
          <cell r="L3712" t="str">
            <v>YHT</v>
          </cell>
          <cell r="N3712">
            <v>89.812889812889793</v>
          </cell>
        </row>
        <row r="3713">
          <cell r="E3713" t="str">
            <v>HGC-Lib-2466004</v>
          </cell>
          <cell r="F3713" t="str">
            <v>L3</v>
          </cell>
          <cell r="G3713">
            <v>10</v>
          </cell>
          <cell r="H3713" t="str">
            <v>ATAC-Seq文库</v>
          </cell>
          <cell r="I3713" t="str">
            <v>WH</v>
          </cell>
          <cell r="J3713">
            <v>22.2</v>
          </cell>
          <cell r="K3713">
            <v>377</v>
          </cell>
          <cell r="L3713" t="str">
            <v>YHT</v>
          </cell>
          <cell r="N3713">
            <v>90.593756376249701</v>
          </cell>
        </row>
        <row r="3714">
          <cell r="E3714" t="str">
            <v>HGC-Lib-2466005</v>
          </cell>
          <cell r="F3714" t="str">
            <v>L4</v>
          </cell>
          <cell r="G3714">
            <v>10</v>
          </cell>
          <cell r="H3714" t="str">
            <v>ATAC-Seq文库</v>
          </cell>
          <cell r="I3714" t="str">
            <v>WH</v>
          </cell>
          <cell r="J3714">
            <v>21</v>
          </cell>
          <cell r="K3714">
            <v>366</v>
          </cell>
          <cell r="L3714" t="str">
            <v>YHT</v>
          </cell>
          <cell r="N3714">
            <v>88.272383354350595</v>
          </cell>
        </row>
        <row r="3715">
          <cell r="E3715" t="str">
            <v>HGC-Lib-2466006</v>
          </cell>
          <cell r="F3715" t="str">
            <v>L5</v>
          </cell>
          <cell r="G3715">
            <v>10</v>
          </cell>
          <cell r="H3715" t="str">
            <v>ATAC-Seq文库</v>
          </cell>
          <cell r="I3715" t="str">
            <v>WH</v>
          </cell>
          <cell r="J3715">
            <v>3.62</v>
          </cell>
          <cell r="K3715">
            <v>294</v>
          </cell>
          <cell r="L3715" t="str">
            <v>XCL</v>
          </cell>
          <cell r="N3715">
            <v>18.942961800104701</v>
          </cell>
        </row>
        <row r="3716">
          <cell r="E3716" t="str">
            <v>HGC-Lib-2466007</v>
          </cell>
          <cell r="F3716" t="str">
            <v>L6</v>
          </cell>
          <cell r="G3716">
            <v>10</v>
          </cell>
          <cell r="H3716" t="str">
            <v>ATAC-Seq文库</v>
          </cell>
          <cell r="I3716" t="str">
            <v>WH</v>
          </cell>
          <cell r="J3716">
            <v>5.9</v>
          </cell>
          <cell r="K3716">
            <v>303</v>
          </cell>
          <cell r="L3716" t="str">
            <v>XCL</v>
          </cell>
          <cell r="N3716">
            <v>29.956841838030002</v>
          </cell>
        </row>
        <row r="3717">
          <cell r="E3717" t="str">
            <v>HGC-Lib-2466008</v>
          </cell>
          <cell r="F3717" t="str">
            <v>T912-1</v>
          </cell>
          <cell r="G3717">
            <v>3</v>
          </cell>
          <cell r="H3717" t="str">
            <v>small RNA文库</v>
          </cell>
          <cell r="I3717" t="str">
            <v>YHT</v>
          </cell>
          <cell r="J3717">
            <v>12.2</v>
          </cell>
          <cell r="K3717">
            <v>214</v>
          </cell>
          <cell r="L3717" t="str">
            <v>YHT</v>
          </cell>
          <cell r="N3717">
            <v>87.706685837526905</v>
          </cell>
        </row>
        <row r="3718">
          <cell r="E3718" t="str">
            <v>HGC-Lib-2466009</v>
          </cell>
          <cell r="F3718" t="str">
            <v>T912-2</v>
          </cell>
          <cell r="G3718">
            <v>3</v>
          </cell>
          <cell r="H3718" t="str">
            <v>small RNA文库</v>
          </cell>
          <cell r="I3718" t="str">
            <v>YHT</v>
          </cell>
          <cell r="J3718">
            <v>15.9</v>
          </cell>
          <cell r="K3718">
            <v>202</v>
          </cell>
          <cell r="L3718" t="str">
            <v>YHT</v>
          </cell>
          <cell r="N3718">
            <v>121.09672505712101</v>
          </cell>
        </row>
        <row r="3719">
          <cell r="E3719" t="str">
            <v>HGC-Lib-2466010</v>
          </cell>
          <cell r="F3719" t="str">
            <v>T912-3</v>
          </cell>
          <cell r="G3719">
            <v>3</v>
          </cell>
          <cell r="H3719" t="str">
            <v>small RNA文库</v>
          </cell>
          <cell r="I3719" t="str">
            <v>YHT</v>
          </cell>
          <cell r="J3719">
            <v>9.42</v>
          </cell>
          <cell r="K3719">
            <v>273</v>
          </cell>
          <cell r="L3719" t="str">
            <v>YHT</v>
          </cell>
          <cell r="N3719">
            <v>53.085376162299198</v>
          </cell>
        </row>
        <row r="3720">
          <cell r="E3720" t="str">
            <v>HGC-Lib-2466011</v>
          </cell>
          <cell r="F3720" t="str">
            <v>T912-4</v>
          </cell>
          <cell r="G3720">
            <v>3</v>
          </cell>
          <cell r="H3720" t="str">
            <v>small RNA文库</v>
          </cell>
          <cell r="I3720" t="str">
            <v>YHT</v>
          </cell>
          <cell r="J3720">
            <v>8.56</v>
          </cell>
          <cell r="K3720">
            <v>255</v>
          </cell>
          <cell r="L3720" t="str">
            <v>YHT</v>
          </cell>
          <cell r="N3720">
            <v>51.644042232277499</v>
          </cell>
        </row>
        <row r="3721">
          <cell r="E3721" t="str">
            <v>HGC-Lib-2466012</v>
          </cell>
          <cell r="F3721" t="str">
            <v>T912-5</v>
          </cell>
          <cell r="G3721">
            <v>3</v>
          </cell>
          <cell r="H3721" t="str">
            <v>small RNA文库</v>
          </cell>
          <cell r="I3721" t="str">
            <v>YHT</v>
          </cell>
          <cell r="J3721">
            <v>9.48</v>
          </cell>
          <cell r="K3721">
            <v>315</v>
          </cell>
          <cell r="L3721" t="str">
            <v>YHT</v>
          </cell>
          <cell r="N3721">
            <v>46.300366300366299</v>
          </cell>
        </row>
        <row r="3722">
          <cell r="E3722" t="str">
            <v>HGC-Lib-2466013</v>
          </cell>
          <cell r="F3722" t="str">
            <v>T912-6</v>
          </cell>
          <cell r="G3722">
            <v>3</v>
          </cell>
          <cell r="H3722" t="str">
            <v>small RNA文库</v>
          </cell>
          <cell r="I3722" t="str">
            <v>YHT</v>
          </cell>
          <cell r="J3722">
            <v>11.2</v>
          </cell>
          <cell r="K3722">
            <v>225</v>
          </cell>
          <cell r="L3722" t="str">
            <v>YHT</v>
          </cell>
          <cell r="N3722">
            <v>76.581196581196593</v>
          </cell>
        </row>
        <row r="3723">
          <cell r="E3723" t="str">
            <v>HGC-Lib-2466014</v>
          </cell>
          <cell r="F3723" t="str">
            <v>T912-7</v>
          </cell>
          <cell r="G3723">
            <v>3</v>
          </cell>
          <cell r="H3723" t="str">
            <v>small RNA文库</v>
          </cell>
          <cell r="I3723" t="str">
            <v>YHT</v>
          </cell>
          <cell r="J3723">
            <v>18.7</v>
          </cell>
          <cell r="K3723">
            <v>205</v>
          </cell>
          <cell r="L3723" t="str">
            <v>YHT</v>
          </cell>
          <cell r="N3723">
            <v>140.33771106941799</v>
          </cell>
        </row>
        <row r="3724">
          <cell r="E3724" t="str">
            <v>HGC-Lib-2466015</v>
          </cell>
          <cell r="F3724" t="str">
            <v>T912-8</v>
          </cell>
          <cell r="G3724">
            <v>3</v>
          </cell>
          <cell r="H3724" t="str">
            <v>small RNA文库</v>
          </cell>
          <cell r="I3724" t="str">
            <v>YHT</v>
          </cell>
          <cell r="J3724">
            <v>21.2</v>
          </cell>
          <cell r="K3724">
            <v>205</v>
          </cell>
          <cell r="L3724" t="str">
            <v>YHT</v>
          </cell>
          <cell r="N3724">
            <v>159.09943714821799</v>
          </cell>
        </row>
        <row r="3725">
          <cell r="E3725" t="str">
            <v>HGC-Lib-2466016</v>
          </cell>
          <cell r="F3725" t="str">
            <v>T912-9</v>
          </cell>
          <cell r="G3725">
            <v>3</v>
          </cell>
          <cell r="H3725" t="str">
            <v>small RNA文库</v>
          </cell>
          <cell r="I3725" t="str">
            <v>YHT</v>
          </cell>
          <cell r="J3725">
            <v>19.3</v>
          </cell>
          <cell r="K3725">
            <v>202</v>
          </cell>
          <cell r="L3725" t="str">
            <v>YHT</v>
          </cell>
          <cell r="N3725">
            <v>146.99162223914701</v>
          </cell>
        </row>
        <row r="3726">
          <cell r="E3726" t="str">
            <v>HGC-Lib-2466017</v>
          </cell>
          <cell r="F3726" t="str">
            <v>T912-10</v>
          </cell>
          <cell r="G3726">
            <v>3</v>
          </cell>
          <cell r="H3726" t="str">
            <v>small RNA文库</v>
          </cell>
          <cell r="I3726" t="str">
            <v>YHT</v>
          </cell>
          <cell r="J3726">
            <v>11.2</v>
          </cell>
          <cell r="K3726">
            <v>204</v>
          </cell>
          <cell r="L3726" t="str">
            <v>YHT</v>
          </cell>
          <cell r="N3726">
            <v>84.464555052790303</v>
          </cell>
        </row>
        <row r="3727">
          <cell r="E3727" t="str">
            <v>HGC-Lib-2466018</v>
          </cell>
          <cell r="F3727" t="str">
            <v>T912-11</v>
          </cell>
          <cell r="G3727">
            <v>3</v>
          </cell>
          <cell r="H3727" t="str">
            <v>small RNA文库</v>
          </cell>
          <cell r="I3727" t="str">
            <v>YHT</v>
          </cell>
          <cell r="J3727">
            <v>16.100000000000001</v>
          </cell>
          <cell r="K3727">
            <v>208</v>
          </cell>
          <cell r="L3727" t="str">
            <v>YHT</v>
          </cell>
          <cell r="N3727">
            <v>119.082840236686</v>
          </cell>
        </row>
        <row r="3728">
          <cell r="E3728" t="str">
            <v>HGC-Lib-2466019</v>
          </cell>
          <cell r="F3728" t="str">
            <v>T912-12</v>
          </cell>
          <cell r="G3728">
            <v>3</v>
          </cell>
          <cell r="H3728" t="str">
            <v>small RNA文库</v>
          </cell>
          <cell r="I3728" t="str">
            <v>YHT</v>
          </cell>
          <cell r="J3728">
            <v>15</v>
          </cell>
          <cell r="K3728">
            <v>210</v>
          </cell>
          <cell r="L3728" t="str">
            <v>YHT</v>
          </cell>
          <cell r="N3728">
            <v>109.89010989011</v>
          </cell>
        </row>
        <row r="3729">
          <cell r="E3729" t="str">
            <v>HGC-Lib-2466020</v>
          </cell>
          <cell r="F3729" t="str">
            <v>T912-13</v>
          </cell>
          <cell r="G3729">
            <v>3</v>
          </cell>
          <cell r="H3729" t="str">
            <v>small RNA文库</v>
          </cell>
          <cell r="I3729" t="str">
            <v>YHT</v>
          </cell>
          <cell r="J3729">
            <v>17</v>
          </cell>
          <cell r="K3729">
            <v>211</v>
          </cell>
          <cell r="L3729" t="str">
            <v>YHT</v>
          </cell>
          <cell r="N3729">
            <v>123.95187750638</v>
          </cell>
        </row>
        <row r="3730">
          <cell r="E3730" t="str">
            <v>HGC-Lib-2466021</v>
          </cell>
          <cell r="F3730" t="str">
            <v>T912-14</v>
          </cell>
          <cell r="G3730">
            <v>3</v>
          </cell>
          <cell r="H3730" t="str">
            <v>small RNA文库</v>
          </cell>
          <cell r="I3730" t="str">
            <v>YHT</v>
          </cell>
          <cell r="J3730">
            <v>14.4</v>
          </cell>
          <cell r="K3730">
            <v>206</v>
          </cell>
          <cell r="L3730" t="str">
            <v>YHT</v>
          </cell>
          <cell r="N3730">
            <v>107.542942494399</v>
          </cell>
        </row>
        <row r="3731">
          <cell r="E3731" t="str">
            <v>HGC-Lib-2466022</v>
          </cell>
          <cell r="F3731" t="str">
            <v>T912-15</v>
          </cell>
          <cell r="G3731">
            <v>3</v>
          </cell>
          <cell r="H3731" t="str">
            <v>small RNA文库</v>
          </cell>
          <cell r="I3731" t="str">
            <v>YHT</v>
          </cell>
          <cell r="J3731">
            <v>19.7</v>
          </cell>
          <cell r="K3731">
            <v>205</v>
          </cell>
          <cell r="L3731" t="str">
            <v>YHT</v>
          </cell>
          <cell r="N3731">
            <v>147.842401500938</v>
          </cell>
        </row>
        <row r="3732">
          <cell r="E3732" t="str">
            <v>HGC-Lib-2466023</v>
          </cell>
          <cell r="F3732" t="str">
            <v>T912-16</v>
          </cell>
          <cell r="G3732">
            <v>3</v>
          </cell>
          <cell r="H3732" t="str">
            <v>small RNA文库</v>
          </cell>
          <cell r="I3732" t="str">
            <v>YHT</v>
          </cell>
          <cell r="J3732">
            <v>18.600000000000001</v>
          </cell>
          <cell r="K3732">
            <v>199</v>
          </cell>
          <cell r="L3732" t="str">
            <v>YHT</v>
          </cell>
          <cell r="N3732">
            <v>143.79590258987199</v>
          </cell>
        </row>
        <row r="3733">
          <cell r="E3733" t="str">
            <v>HGC-Lib-2466024</v>
          </cell>
          <cell r="F3733" t="str">
            <v>T912-17</v>
          </cell>
          <cell r="G3733">
            <v>3</v>
          </cell>
          <cell r="H3733" t="str">
            <v>small RNA文库</v>
          </cell>
          <cell r="I3733" t="str">
            <v>YHT</v>
          </cell>
          <cell r="J3733">
            <v>16.899999999999999</v>
          </cell>
          <cell r="K3733">
            <v>201</v>
          </cell>
          <cell r="L3733" t="str">
            <v>YHT</v>
          </cell>
          <cell r="N3733">
            <v>129.35323383084599</v>
          </cell>
        </row>
        <row r="3734">
          <cell r="E3734" t="str">
            <v>HGC-Lib-2466025</v>
          </cell>
          <cell r="F3734" t="str">
            <v>T912-18</v>
          </cell>
          <cell r="G3734">
            <v>3</v>
          </cell>
          <cell r="H3734" t="str">
            <v>small RNA文库</v>
          </cell>
          <cell r="I3734" t="str">
            <v>YHT</v>
          </cell>
          <cell r="J3734">
            <v>13.9</v>
          </cell>
          <cell r="K3734">
            <v>200</v>
          </cell>
          <cell r="L3734" t="str">
            <v>YHT</v>
          </cell>
          <cell r="N3734">
            <v>106.92307692307701</v>
          </cell>
        </row>
        <row r="3735">
          <cell r="E3735" t="str">
            <v>HGC-Lib-2466026</v>
          </cell>
          <cell r="F3735" t="str">
            <v>T834pooling1</v>
          </cell>
          <cell r="G3735">
            <v>37</v>
          </cell>
          <cell r="H3735" t="str">
            <v>宏基因组文库</v>
          </cell>
          <cell r="I3735" t="str">
            <v>YHT</v>
          </cell>
          <cell r="J3735">
            <v>0.95199999999999996</v>
          </cell>
          <cell r="N3735" t="e">
            <v>#DIV/0!</v>
          </cell>
        </row>
        <row r="3736">
          <cell r="E3736" t="str">
            <v>HGC-Lib-2466027</v>
          </cell>
          <cell r="F3736" t="str">
            <v>T834pooling2</v>
          </cell>
          <cell r="G3736">
            <v>38</v>
          </cell>
          <cell r="H3736" t="str">
            <v>宏基因组文库</v>
          </cell>
          <cell r="I3736" t="str">
            <v>YHT</v>
          </cell>
          <cell r="J3736">
            <v>6.04</v>
          </cell>
          <cell r="N3736" t="e">
            <v>#DIV/0!</v>
          </cell>
        </row>
        <row r="3737">
          <cell r="E3737" t="str">
            <v>HGC-Lib-2466028</v>
          </cell>
          <cell r="F3737" t="str">
            <v>T853pooling</v>
          </cell>
          <cell r="G3737">
            <v>72</v>
          </cell>
          <cell r="H3737" t="str">
            <v>宏基因组文库</v>
          </cell>
          <cell r="I3737" t="str">
            <v>YHT</v>
          </cell>
          <cell r="J3737">
            <v>1.43</v>
          </cell>
          <cell r="N3737" t="e">
            <v>#DIV/0!</v>
          </cell>
        </row>
        <row r="3738">
          <cell r="E3738" t="str">
            <v>HGC-Lib-2466039</v>
          </cell>
          <cell r="F3738" t="str">
            <v>1-PBS</v>
          </cell>
          <cell r="G3738">
            <v>10</v>
          </cell>
          <cell r="H3738" t="str">
            <v>ATAC-Seq文库</v>
          </cell>
          <cell r="I3738" t="str">
            <v>YHT</v>
          </cell>
          <cell r="J3738">
            <v>12.4</v>
          </cell>
          <cell r="K3738">
            <v>664</v>
          </cell>
          <cell r="L3738" t="str">
            <v>YHT</v>
          </cell>
          <cell r="N3738">
            <v>28.7303058387396</v>
          </cell>
        </row>
        <row r="3739">
          <cell r="E3739" t="str">
            <v>HGC-Lib-2466040</v>
          </cell>
          <cell r="F3739" t="str">
            <v>2-3XPBS</v>
          </cell>
          <cell r="G3739">
            <v>10</v>
          </cell>
          <cell r="H3739" t="str">
            <v>ATAC-Seq文库</v>
          </cell>
          <cell r="I3739" t="str">
            <v>YHT</v>
          </cell>
          <cell r="J3739">
            <v>2.9</v>
          </cell>
          <cell r="K3739">
            <v>717</v>
          </cell>
          <cell r="L3739" t="str">
            <v>XCL</v>
          </cell>
          <cell r="N3739">
            <v>6.22250831455852</v>
          </cell>
        </row>
        <row r="3740">
          <cell r="E3740" t="str">
            <v>HGC-Lib-2466041</v>
          </cell>
          <cell r="F3740" t="str">
            <v>X1</v>
          </cell>
          <cell r="G3740">
            <v>5</v>
          </cell>
          <cell r="H3740" t="str">
            <v>PCR产物文库</v>
          </cell>
          <cell r="I3740" t="str">
            <v>YHT</v>
          </cell>
          <cell r="J3740">
            <v>33.700000000000003</v>
          </cell>
          <cell r="K3740">
            <v>353</v>
          </cell>
          <cell r="L3740" t="str">
            <v>YHT</v>
          </cell>
          <cell r="N3740">
            <v>146.87295707125699</v>
          </cell>
        </row>
        <row r="3741">
          <cell r="E3741" t="str">
            <v>HGC-Lib-2466042</v>
          </cell>
          <cell r="F3741" t="str">
            <v>L-N</v>
          </cell>
          <cell r="G3741">
            <v>5</v>
          </cell>
          <cell r="H3741" t="str">
            <v>PCR产物文库</v>
          </cell>
          <cell r="I3741" t="str">
            <v>YHT</v>
          </cell>
          <cell r="J3741" t="str">
            <v>/</v>
          </cell>
          <cell r="K3741" t="str">
            <v>/</v>
          </cell>
          <cell r="L3741" t="str">
            <v>XCL</v>
          </cell>
          <cell r="N3741" t="e">
            <v>#VALUE!</v>
          </cell>
        </row>
        <row r="3742">
          <cell r="E3742" t="str">
            <v>HGC-Lib-2466043</v>
          </cell>
          <cell r="F3742" t="str">
            <v>H-5T-0</v>
          </cell>
          <cell r="G3742">
            <v>5</v>
          </cell>
          <cell r="H3742" t="str">
            <v>PCR产物文库</v>
          </cell>
          <cell r="I3742" t="str">
            <v>YHT</v>
          </cell>
          <cell r="J3742">
            <v>94.6</v>
          </cell>
          <cell r="K3742">
            <v>410</v>
          </cell>
          <cell r="L3742" t="str">
            <v>YHT</v>
          </cell>
          <cell r="N3742">
            <v>354.97185741088202</v>
          </cell>
        </row>
        <row r="3743">
          <cell r="E3743" t="str">
            <v>HGC-Lib-2466044</v>
          </cell>
          <cell r="F3743" t="str">
            <v>H-5T-1</v>
          </cell>
          <cell r="G3743">
            <v>5</v>
          </cell>
          <cell r="H3743" t="str">
            <v>PCR产物文库</v>
          </cell>
          <cell r="I3743" t="str">
            <v>YHT</v>
          </cell>
          <cell r="J3743">
            <v>80.400000000000006</v>
          </cell>
          <cell r="K3743">
            <v>407</v>
          </cell>
          <cell r="L3743" t="str">
            <v>YHT</v>
          </cell>
          <cell r="N3743">
            <v>303.91230391230403</v>
          </cell>
        </row>
        <row r="3744">
          <cell r="E3744" t="str">
            <v>HGC-Lib-2466045</v>
          </cell>
          <cell r="F3744" t="str">
            <v>H-5T-2</v>
          </cell>
          <cell r="G3744">
            <v>5</v>
          </cell>
          <cell r="H3744" t="str">
            <v>PCR产物文库</v>
          </cell>
          <cell r="I3744" t="str">
            <v>YHT</v>
          </cell>
          <cell r="J3744">
            <v>99</v>
          </cell>
          <cell r="K3744">
            <v>400</v>
          </cell>
          <cell r="L3744" t="str">
            <v>YHT</v>
          </cell>
          <cell r="N3744">
            <v>380.769230769231</v>
          </cell>
        </row>
        <row r="3745">
          <cell r="E3745" t="str">
            <v>HGC-Lib-2466046</v>
          </cell>
          <cell r="F3745" t="str">
            <v>H-5T-3</v>
          </cell>
          <cell r="G3745">
            <v>5</v>
          </cell>
          <cell r="H3745" t="str">
            <v>PCR产物文库</v>
          </cell>
          <cell r="I3745" t="str">
            <v>YHT</v>
          </cell>
          <cell r="J3745">
            <v>90.4</v>
          </cell>
          <cell r="K3745">
            <v>412</v>
          </cell>
          <cell r="L3745" t="str">
            <v>YHT</v>
          </cell>
          <cell r="N3745">
            <v>337.56534727408501</v>
          </cell>
        </row>
        <row r="3746">
          <cell r="E3746" t="str">
            <v>HGC-Lib-2466047</v>
          </cell>
          <cell r="F3746" t="str">
            <v>H-5T-4</v>
          </cell>
          <cell r="G3746">
            <v>5</v>
          </cell>
          <cell r="H3746" t="str">
            <v>PCR产物文库</v>
          </cell>
          <cell r="I3746" t="str">
            <v>YHT</v>
          </cell>
          <cell r="J3746">
            <v>77.599999999999994</v>
          </cell>
          <cell r="K3746">
            <v>425</v>
          </cell>
          <cell r="L3746" t="str">
            <v>YHT</v>
          </cell>
          <cell r="N3746">
            <v>280.90497737556598</v>
          </cell>
        </row>
        <row r="3747">
          <cell r="E3747" t="str">
            <v>HGC-Lib-2466048</v>
          </cell>
          <cell r="F3747" t="str">
            <v>M-CH-5</v>
          </cell>
          <cell r="G3747">
            <v>5</v>
          </cell>
          <cell r="H3747" t="str">
            <v>PCR产物文库</v>
          </cell>
          <cell r="I3747" t="str">
            <v>YHT</v>
          </cell>
          <cell r="J3747">
            <v>50.8</v>
          </cell>
          <cell r="K3747">
            <v>425</v>
          </cell>
          <cell r="L3747" t="str">
            <v>YHT</v>
          </cell>
          <cell r="N3747">
            <v>183.89140271493201</v>
          </cell>
        </row>
        <row r="3748">
          <cell r="E3748" t="str">
            <v>HGC-Lib-2466049</v>
          </cell>
          <cell r="F3748" t="str">
            <v>N-NT-S</v>
          </cell>
          <cell r="G3748">
            <v>5</v>
          </cell>
          <cell r="H3748" t="str">
            <v>PCR产物文库</v>
          </cell>
          <cell r="I3748" t="str">
            <v>YHT</v>
          </cell>
          <cell r="J3748">
            <v>59</v>
          </cell>
          <cell r="K3748">
            <v>436</v>
          </cell>
          <cell r="L3748" t="str">
            <v>YHT</v>
          </cell>
          <cell r="N3748">
            <v>208.18630910374</v>
          </cell>
        </row>
        <row r="3749">
          <cell r="E3749" t="str">
            <v>HGC-Lib-2466050</v>
          </cell>
          <cell r="F3749" t="str">
            <v>N-CH-1</v>
          </cell>
          <cell r="G3749">
            <v>5</v>
          </cell>
          <cell r="H3749" t="str">
            <v>PCR产物文库</v>
          </cell>
          <cell r="I3749" t="str">
            <v>YHT</v>
          </cell>
          <cell r="J3749">
            <v>46.6</v>
          </cell>
          <cell r="K3749">
            <v>449</v>
          </cell>
          <cell r="L3749" t="str">
            <v>YHT</v>
          </cell>
          <cell r="N3749">
            <v>159.67106390269001</v>
          </cell>
        </row>
        <row r="3750">
          <cell r="E3750" t="str">
            <v>HGC-Lib-2466051</v>
          </cell>
          <cell r="F3750" t="str">
            <v>N-NT-Y</v>
          </cell>
          <cell r="G3750">
            <v>5</v>
          </cell>
          <cell r="H3750" t="str">
            <v>PCR产物文库</v>
          </cell>
          <cell r="I3750" t="str">
            <v>YHT</v>
          </cell>
          <cell r="J3750">
            <v>98.2</v>
          </cell>
          <cell r="K3750">
            <v>415</v>
          </cell>
          <cell r="L3750" t="str">
            <v>YHT</v>
          </cell>
          <cell r="N3750">
            <v>364.04077849861</v>
          </cell>
        </row>
        <row r="3751">
          <cell r="E3751" t="str">
            <v>HGC-Lib-2466052</v>
          </cell>
          <cell r="F3751" t="str">
            <v>N-NL-1</v>
          </cell>
          <cell r="G3751">
            <v>5</v>
          </cell>
          <cell r="H3751" t="str">
            <v>PCR产物文库</v>
          </cell>
          <cell r="I3751" t="str">
            <v>YHT</v>
          </cell>
          <cell r="J3751">
            <v>44</v>
          </cell>
          <cell r="K3751">
            <v>426</v>
          </cell>
          <cell r="L3751" t="str">
            <v>YHT</v>
          </cell>
          <cell r="N3751">
            <v>158.90213073311699</v>
          </cell>
        </row>
        <row r="3752">
          <cell r="E3752" t="str">
            <v>HGC-Lib-2466056</v>
          </cell>
          <cell r="F3752" t="str">
            <v>Chr_X-SG-Lib</v>
          </cell>
          <cell r="G3752">
            <v>2</v>
          </cell>
          <cell r="H3752" t="str">
            <v>PCR产物文库</v>
          </cell>
          <cell r="I3752" t="str">
            <v>YHT</v>
          </cell>
          <cell r="J3752">
            <v>2.72</v>
          </cell>
          <cell r="K3752">
            <v>308</v>
          </cell>
          <cell r="L3752" t="str">
            <v>XCL</v>
          </cell>
          <cell r="N3752">
            <v>13.586413586413601</v>
          </cell>
        </row>
        <row r="3753">
          <cell r="E3753" t="str">
            <v>HGC-Lib-2466057</v>
          </cell>
          <cell r="F3753" t="str">
            <v>Chr_X-SG-NC</v>
          </cell>
          <cell r="G3753">
            <v>2</v>
          </cell>
          <cell r="H3753" t="str">
            <v>PCR产物文库</v>
          </cell>
          <cell r="I3753" t="str">
            <v>YHT</v>
          </cell>
          <cell r="J3753">
            <v>12.9</v>
          </cell>
          <cell r="K3753">
            <v>413</v>
          </cell>
          <cell r="L3753" t="str">
            <v>YHT</v>
          </cell>
          <cell r="N3753">
            <v>48.053641273980297</v>
          </cell>
        </row>
        <row r="3754">
          <cell r="E3754" t="str">
            <v>HGC-Lib-2466058</v>
          </cell>
          <cell r="F3754" t="str">
            <v>Dolcetto-CRISPRi-library_seta</v>
          </cell>
          <cell r="G3754">
            <v>10</v>
          </cell>
          <cell r="H3754" t="str">
            <v>PCR产物文库</v>
          </cell>
          <cell r="I3754" t="str">
            <v>YHT</v>
          </cell>
          <cell r="J3754">
            <v>44</v>
          </cell>
          <cell r="K3754">
            <v>527</v>
          </cell>
          <cell r="L3754" t="str">
            <v>YHT</v>
          </cell>
          <cell r="N3754">
            <v>128.448401693183</v>
          </cell>
        </row>
        <row r="3755">
          <cell r="E3755" t="str">
            <v>HGC-Lib-2466059</v>
          </cell>
          <cell r="F3755" t="str">
            <v>C1-1</v>
          </cell>
          <cell r="G3755">
            <v>10</v>
          </cell>
          <cell r="H3755" t="str">
            <v>cut&amp;tag文库</v>
          </cell>
          <cell r="I3755" t="str">
            <v>WH</v>
          </cell>
          <cell r="J3755">
            <v>28.2</v>
          </cell>
          <cell r="K3755">
            <v>429</v>
          </cell>
          <cell r="L3755" t="str">
            <v>YHT</v>
          </cell>
          <cell r="N3755">
            <v>101.12963959117801</v>
          </cell>
        </row>
        <row r="3756">
          <cell r="E3756" t="str">
            <v>HGC-Lib-2466060</v>
          </cell>
          <cell r="F3756" t="str">
            <v>C2-1</v>
          </cell>
          <cell r="G3756">
            <v>10</v>
          </cell>
          <cell r="H3756" t="str">
            <v>cut&amp;tag文库</v>
          </cell>
          <cell r="I3756" t="str">
            <v>WH</v>
          </cell>
          <cell r="J3756">
            <v>6.7</v>
          </cell>
          <cell r="K3756">
            <v>449</v>
          </cell>
          <cell r="L3756" t="str">
            <v>XCL</v>
          </cell>
          <cell r="N3756">
            <v>22.956998458112</v>
          </cell>
        </row>
        <row r="3757">
          <cell r="E3757" t="str">
            <v>HGC-Lib-2466061</v>
          </cell>
          <cell r="F3757" t="str">
            <v>C3-1</v>
          </cell>
          <cell r="G3757">
            <v>10</v>
          </cell>
          <cell r="H3757" t="str">
            <v>cut&amp;tag文库</v>
          </cell>
          <cell r="I3757" t="str">
            <v>WH</v>
          </cell>
          <cell r="J3757">
            <v>4.88</v>
          </cell>
          <cell r="K3757">
            <v>413</v>
          </cell>
          <cell r="L3757" t="str">
            <v>XCL</v>
          </cell>
          <cell r="N3757">
            <v>18.178431737753801</v>
          </cell>
        </row>
        <row r="3758">
          <cell r="E3758" t="str">
            <v>HGC-Lib-2466062</v>
          </cell>
          <cell r="F3758" t="str">
            <v>C4-1</v>
          </cell>
          <cell r="G3758">
            <v>10</v>
          </cell>
          <cell r="H3758" t="str">
            <v>cut&amp;tag文库</v>
          </cell>
          <cell r="I3758" t="str">
            <v>WH</v>
          </cell>
          <cell r="J3758">
            <v>18.5</v>
          </cell>
          <cell r="K3758">
            <v>429</v>
          </cell>
          <cell r="L3758" t="str">
            <v>YHT</v>
          </cell>
          <cell r="N3758">
            <v>66.343912497758694</v>
          </cell>
        </row>
        <row r="3759">
          <cell r="E3759" t="str">
            <v>HGC-Lib-2466063</v>
          </cell>
          <cell r="F3759" t="str">
            <v>C5-1</v>
          </cell>
          <cell r="G3759">
            <v>10</v>
          </cell>
          <cell r="H3759" t="str">
            <v>cut&amp;tag文库</v>
          </cell>
          <cell r="I3759" t="str">
            <v>WH</v>
          </cell>
          <cell r="J3759">
            <v>15.1</v>
          </cell>
          <cell r="K3759">
            <v>450</v>
          </cell>
          <cell r="L3759" t="str">
            <v>YHT</v>
          </cell>
          <cell r="N3759">
            <v>51.623931623931597</v>
          </cell>
        </row>
        <row r="3760">
          <cell r="E3760" t="str">
            <v>HGC-Lib-2466064</v>
          </cell>
          <cell r="F3760" t="str">
            <v>C6-1</v>
          </cell>
          <cell r="G3760">
            <v>10</v>
          </cell>
          <cell r="H3760" t="str">
            <v>cut&amp;tag文库</v>
          </cell>
          <cell r="I3760" t="str">
            <v>WH</v>
          </cell>
          <cell r="J3760">
            <v>6.96</v>
          </cell>
          <cell r="K3760">
            <v>426</v>
          </cell>
          <cell r="L3760" t="str">
            <v>XCL</v>
          </cell>
          <cell r="N3760">
            <v>25.135427952329401</v>
          </cell>
        </row>
        <row r="3761">
          <cell r="E3761" t="str">
            <v>HGC-Lib-2466065</v>
          </cell>
          <cell r="F3761" t="str">
            <v>C7-1</v>
          </cell>
          <cell r="G3761">
            <v>10</v>
          </cell>
          <cell r="H3761" t="str">
            <v>cut&amp;tag文库</v>
          </cell>
          <cell r="I3761" t="str">
            <v>WH</v>
          </cell>
          <cell r="J3761">
            <v>21.6</v>
          </cell>
          <cell r="K3761">
            <v>500</v>
          </cell>
          <cell r="L3761" t="str">
            <v>YHT</v>
          </cell>
          <cell r="N3761">
            <v>66.461538461538495</v>
          </cell>
        </row>
        <row r="3762">
          <cell r="E3762" t="str">
            <v>HGC-Lib-2466066</v>
          </cell>
          <cell r="F3762" t="str">
            <v>C8-1</v>
          </cell>
          <cell r="G3762">
            <v>10</v>
          </cell>
          <cell r="H3762" t="str">
            <v>cut&amp;tag文库</v>
          </cell>
          <cell r="I3762" t="str">
            <v>WH</v>
          </cell>
          <cell r="J3762">
            <v>96.4</v>
          </cell>
          <cell r="K3762">
            <v>377</v>
          </cell>
          <cell r="L3762" t="str">
            <v>YHT</v>
          </cell>
          <cell r="N3762">
            <v>393.38910426443601</v>
          </cell>
        </row>
        <row r="3763">
          <cell r="E3763" t="str">
            <v>HGC-Lib-2466067</v>
          </cell>
          <cell r="F3763" t="str">
            <v>C9-1</v>
          </cell>
          <cell r="G3763">
            <v>10</v>
          </cell>
          <cell r="H3763" t="str">
            <v>cut&amp;tag文库</v>
          </cell>
          <cell r="I3763" t="str">
            <v>WH</v>
          </cell>
          <cell r="J3763">
            <v>22.6</v>
          </cell>
          <cell r="K3763">
            <v>416</v>
          </cell>
          <cell r="L3763" t="str">
            <v>YHT</v>
          </cell>
          <cell r="N3763">
            <v>83.579881656804702</v>
          </cell>
        </row>
        <row r="3764">
          <cell r="E3764" t="str">
            <v>HGC-Lib-2466068</v>
          </cell>
          <cell r="F3764" t="str">
            <v>C10-1</v>
          </cell>
          <cell r="G3764">
            <v>10</v>
          </cell>
          <cell r="H3764" t="str">
            <v>cut&amp;tag文库</v>
          </cell>
          <cell r="I3764" t="str">
            <v>WH</v>
          </cell>
          <cell r="J3764" t="str">
            <v>/</v>
          </cell>
          <cell r="K3764" t="str">
            <v>/</v>
          </cell>
          <cell r="L3764" t="str">
            <v>XCL</v>
          </cell>
          <cell r="N3764" t="e">
            <v>#VALUE!</v>
          </cell>
        </row>
        <row r="3765">
          <cell r="E3765" t="str">
            <v>HGC-Lib-2466069</v>
          </cell>
          <cell r="F3765" t="str">
            <v>C11-1</v>
          </cell>
          <cell r="G3765">
            <v>10</v>
          </cell>
          <cell r="H3765" t="str">
            <v>cut&amp;tag文库</v>
          </cell>
          <cell r="I3765" t="str">
            <v>WH</v>
          </cell>
          <cell r="J3765">
            <v>30.4</v>
          </cell>
          <cell r="K3765">
            <v>428</v>
          </cell>
          <cell r="L3765" t="str">
            <v>YHT</v>
          </cell>
          <cell r="N3765">
            <v>109.273903666427</v>
          </cell>
        </row>
        <row r="3766">
          <cell r="E3766" t="str">
            <v>HGC-Lib-2466070</v>
          </cell>
          <cell r="F3766" t="str">
            <v>C12-1</v>
          </cell>
          <cell r="G3766">
            <v>10</v>
          </cell>
          <cell r="H3766" t="str">
            <v>cut&amp;tag文库</v>
          </cell>
          <cell r="I3766" t="str">
            <v>WH</v>
          </cell>
          <cell r="J3766">
            <v>14</v>
          </cell>
          <cell r="K3766">
            <v>399</v>
          </cell>
          <cell r="L3766" t="str">
            <v>YHT</v>
          </cell>
          <cell r="N3766">
            <v>53.981106612685601</v>
          </cell>
        </row>
        <row r="3767">
          <cell r="E3767" t="str">
            <v>HGC-Lib-2466071</v>
          </cell>
          <cell r="F3767" t="str">
            <v>C1-2</v>
          </cell>
          <cell r="G3767">
            <v>10</v>
          </cell>
          <cell r="H3767" t="str">
            <v>cut&amp;tag文库</v>
          </cell>
          <cell r="I3767" t="str">
            <v>WH</v>
          </cell>
          <cell r="J3767">
            <v>10.5</v>
          </cell>
          <cell r="K3767">
            <v>458</v>
          </cell>
          <cell r="L3767" t="str">
            <v>YHT</v>
          </cell>
          <cell r="N3767">
            <v>35.270406449445801</v>
          </cell>
        </row>
        <row r="3768">
          <cell r="E3768" t="str">
            <v>HGC-Lib-2466072</v>
          </cell>
          <cell r="F3768" t="str">
            <v>C2-2</v>
          </cell>
          <cell r="G3768">
            <v>10</v>
          </cell>
          <cell r="H3768" t="str">
            <v>cut&amp;tag文库</v>
          </cell>
          <cell r="I3768" t="str">
            <v>WH</v>
          </cell>
          <cell r="J3768">
            <v>0.248</v>
          </cell>
          <cell r="K3768">
            <v>426</v>
          </cell>
          <cell r="L3768" t="str">
            <v>XCL</v>
          </cell>
          <cell r="N3768">
            <v>0.89563019140483902</v>
          </cell>
        </row>
        <row r="3769">
          <cell r="E3769" t="str">
            <v>HGC-Lib-2466073</v>
          </cell>
          <cell r="F3769" t="str">
            <v>C3-2</v>
          </cell>
          <cell r="G3769">
            <v>10</v>
          </cell>
          <cell r="H3769" t="str">
            <v>cut&amp;tag文库</v>
          </cell>
          <cell r="I3769" t="str">
            <v>WH</v>
          </cell>
          <cell r="J3769">
            <v>3.18</v>
          </cell>
          <cell r="K3769">
            <v>416</v>
          </cell>
          <cell r="L3769" t="str">
            <v>XCL</v>
          </cell>
          <cell r="N3769">
            <v>11.760355029585799</v>
          </cell>
        </row>
        <row r="3770">
          <cell r="E3770" t="str">
            <v>HGC-Lib-2466074</v>
          </cell>
          <cell r="F3770" t="str">
            <v>C4-2</v>
          </cell>
          <cell r="G3770">
            <v>10</v>
          </cell>
          <cell r="H3770" t="str">
            <v>cut&amp;tag文库</v>
          </cell>
          <cell r="I3770" t="str">
            <v>WH</v>
          </cell>
          <cell r="J3770">
            <v>0.17799999999999999</v>
          </cell>
          <cell r="K3770">
            <v>403</v>
          </cell>
          <cell r="L3770" t="str">
            <v>XCL</v>
          </cell>
          <cell r="N3770">
            <v>0.67951899217407896</v>
          </cell>
        </row>
        <row r="3771">
          <cell r="E3771" t="str">
            <v>HGC-Lib-2466075</v>
          </cell>
          <cell r="F3771" t="str">
            <v>C5-2</v>
          </cell>
          <cell r="G3771">
            <v>10</v>
          </cell>
          <cell r="H3771" t="str">
            <v>cut&amp;tag文库</v>
          </cell>
          <cell r="I3771" t="str">
            <v>WH</v>
          </cell>
          <cell r="J3771">
            <v>5.24</v>
          </cell>
          <cell r="K3771">
            <v>461</v>
          </cell>
          <cell r="L3771" t="str">
            <v>XCL</v>
          </cell>
          <cell r="N3771">
            <v>17.487068246287301</v>
          </cell>
        </row>
        <row r="3772">
          <cell r="E3772" t="str">
            <v>HGC-Lib-2466076</v>
          </cell>
          <cell r="F3772" t="str">
            <v>C6-2</v>
          </cell>
          <cell r="G3772">
            <v>10</v>
          </cell>
          <cell r="H3772" t="str">
            <v>cut&amp;tag文库</v>
          </cell>
          <cell r="I3772" t="str">
            <v>WH</v>
          </cell>
          <cell r="J3772">
            <v>3.26</v>
          </cell>
          <cell r="K3772">
            <v>397</v>
          </cell>
          <cell r="L3772" t="str">
            <v>XCL</v>
          </cell>
          <cell r="N3772">
            <v>12.6332106180973</v>
          </cell>
        </row>
        <row r="3773">
          <cell r="E3773" t="str">
            <v>HGC-Lib-2466077</v>
          </cell>
          <cell r="F3773" t="str">
            <v>C7-2</v>
          </cell>
          <cell r="G3773">
            <v>10</v>
          </cell>
          <cell r="H3773" t="str">
            <v>cut&amp;tag文库</v>
          </cell>
          <cell r="I3773" t="str">
            <v>WH</v>
          </cell>
          <cell r="J3773">
            <v>54</v>
          </cell>
          <cell r="K3773">
            <v>349</v>
          </cell>
          <cell r="L3773" t="str">
            <v>YHT</v>
          </cell>
          <cell r="N3773">
            <v>238.042759532731</v>
          </cell>
        </row>
        <row r="3774">
          <cell r="E3774" t="str">
            <v>HGC-Lib-2466078</v>
          </cell>
          <cell r="F3774" t="str">
            <v>C8-2</v>
          </cell>
          <cell r="G3774">
            <v>10</v>
          </cell>
          <cell r="H3774" t="str">
            <v>cut&amp;tag文库</v>
          </cell>
          <cell r="I3774" t="str">
            <v>WH</v>
          </cell>
          <cell r="J3774">
            <v>57.2</v>
          </cell>
          <cell r="K3774">
            <v>370</v>
          </cell>
          <cell r="L3774" t="str">
            <v>YHT</v>
          </cell>
          <cell r="N3774">
            <v>237.83783783783801</v>
          </cell>
        </row>
        <row r="3775">
          <cell r="E3775" t="str">
            <v>HGC-Lib-2466079</v>
          </cell>
          <cell r="F3775" t="str">
            <v>C9-2</v>
          </cell>
          <cell r="G3775">
            <v>10</v>
          </cell>
          <cell r="H3775" t="str">
            <v>cut&amp;tag文库</v>
          </cell>
          <cell r="I3775" t="str">
            <v>WH</v>
          </cell>
          <cell r="J3775">
            <v>3.64</v>
          </cell>
          <cell r="K3775">
            <v>440</v>
          </cell>
          <cell r="L3775" t="str">
            <v>XCL</v>
          </cell>
          <cell r="N3775">
            <v>12.7272727272727</v>
          </cell>
        </row>
        <row r="3776">
          <cell r="E3776" t="str">
            <v>HGC-Lib-2466080</v>
          </cell>
          <cell r="F3776" t="str">
            <v>C10-2</v>
          </cell>
          <cell r="G3776">
            <v>10</v>
          </cell>
          <cell r="H3776" t="str">
            <v>cut&amp;tag文库</v>
          </cell>
          <cell r="I3776" t="str">
            <v>WH</v>
          </cell>
          <cell r="J3776">
            <v>0.61799999999999999</v>
          </cell>
          <cell r="K3776">
            <v>423</v>
          </cell>
          <cell r="L3776" t="str">
            <v>XCL</v>
          </cell>
          <cell r="N3776">
            <v>2.2476813966175699</v>
          </cell>
        </row>
        <row r="3777">
          <cell r="E3777" t="str">
            <v>HGC-Lib-2466081</v>
          </cell>
          <cell r="F3777" t="str">
            <v>C11-2</v>
          </cell>
          <cell r="G3777">
            <v>10</v>
          </cell>
          <cell r="H3777" t="str">
            <v>cut&amp;tag文库</v>
          </cell>
          <cell r="I3777" t="str">
            <v>WH</v>
          </cell>
          <cell r="J3777">
            <v>1.06</v>
          </cell>
          <cell r="K3777">
            <v>435</v>
          </cell>
          <cell r="L3777" t="str">
            <v>XCL</v>
          </cell>
          <cell r="N3777">
            <v>3.7488947833775401</v>
          </cell>
        </row>
        <row r="3778">
          <cell r="E3778" t="str">
            <v>HGC-Lib-2466082</v>
          </cell>
          <cell r="F3778" t="str">
            <v>C12-2</v>
          </cell>
          <cell r="G3778">
            <v>10</v>
          </cell>
          <cell r="H3778" t="str">
            <v>cut&amp;tag文库</v>
          </cell>
          <cell r="I3778" t="str">
            <v>WH</v>
          </cell>
          <cell r="J3778">
            <v>5.84</v>
          </cell>
          <cell r="K3778">
            <v>401</v>
          </cell>
          <cell r="L3778" t="str">
            <v>XCL</v>
          </cell>
          <cell r="N3778">
            <v>22.405524649913701</v>
          </cell>
        </row>
        <row r="3779">
          <cell r="E3779" t="str">
            <v>HGC-Lib-2466083</v>
          </cell>
          <cell r="F3779">
            <v>1</v>
          </cell>
          <cell r="G3779">
            <v>10</v>
          </cell>
          <cell r="H3779" t="str">
            <v>ATAC-Seq文库</v>
          </cell>
          <cell r="I3779" t="str">
            <v>YHT</v>
          </cell>
          <cell r="J3779">
            <v>62.8</v>
          </cell>
          <cell r="K3779">
            <v>266</v>
          </cell>
          <cell r="L3779" t="str">
            <v>YHT</v>
          </cell>
          <cell r="N3779">
            <v>363.21573163678403</v>
          </cell>
        </row>
        <row r="3780">
          <cell r="E3780" t="str">
            <v>HGC-Lib-2466084</v>
          </cell>
          <cell r="F3780">
            <v>2</v>
          </cell>
          <cell r="G3780">
            <v>10</v>
          </cell>
          <cell r="H3780" t="str">
            <v>ATAC-Seq文库</v>
          </cell>
          <cell r="I3780" t="str">
            <v>YHT</v>
          </cell>
          <cell r="J3780">
            <v>27.2</v>
          </cell>
          <cell r="K3780">
            <v>294</v>
          </cell>
          <cell r="L3780" t="str">
            <v>YHT</v>
          </cell>
          <cell r="N3780">
            <v>142.33385661957101</v>
          </cell>
        </row>
        <row r="3781">
          <cell r="E3781" t="str">
            <v>HGC-POOL-2466085</v>
          </cell>
          <cell r="F3781" t="str">
            <v>CHN8libs</v>
          </cell>
          <cell r="G3781">
            <v>150</v>
          </cell>
          <cell r="H3781" t="str">
            <v>ATAC-Seq文库</v>
          </cell>
          <cell r="I3781" t="str">
            <v>YHT</v>
          </cell>
          <cell r="J3781">
            <v>0.59799999999999998</v>
          </cell>
          <cell r="K3781">
            <v>375</v>
          </cell>
          <cell r="L3781" t="str">
            <v>XCL</v>
          </cell>
          <cell r="N3781">
            <v>2.45333333333333</v>
          </cell>
        </row>
        <row r="3782">
          <cell r="E3782" t="str">
            <v>HGC-POOL-2466086</v>
          </cell>
          <cell r="F3782" t="str">
            <v>HMB4libs</v>
          </cell>
          <cell r="G3782">
            <v>400</v>
          </cell>
          <cell r="H3782" t="str">
            <v>ATAC-Seq文库</v>
          </cell>
          <cell r="I3782" t="str">
            <v>YHT</v>
          </cell>
          <cell r="J3782">
            <v>1.31</v>
          </cell>
          <cell r="K3782">
            <v>378</v>
          </cell>
          <cell r="L3782" t="str">
            <v>XCL</v>
          </cell>
          <cell r="N3782">
            <v>5.3317053317053302</v>
          </cell>
        </row>
        <row r="3783">
          <cell r="E3783" t="str">
            <v>HGC-Lib-2466129</v>
          </cell>
          <cell r="F3783" t="str">
            <v>pool-4603-100-1</v>
          </cell>
          <cell r="G3783">
            <v>100</v>
          </cell>
          <cell r="H3783" t="str">
            <v>华大c4单细胞cDNA文库</v>
          </cell>
          <cell r="I3783" t="str">
            <v>WH</v>
          </cell>
          <cell r="J3783">
            <v>24.6</v>
          </cell>
          <cell r="K3783">
            <v>410</v>
          </cell>
          <cell r="L3783" t="str">
            <v>WH</v>
          </cell>
          <cell r="N3783">
            <v>92.307692307692307</v>
          </cell>
        </row>
        <row r="3784">
          <cell r="E3784" t="str">
            <v>HGC-Lib-2466130</v>
          </cell>
          <cell r="F3784" t="str">
            <v>pool-4603-100-2</v>
          </cell>
          <cell r="G3784">
            <v>100</v>
          </cell>
          <cell r="H3784" t="str">
            <v>华大c4单细胞cDNA文库</v>
          </cell>
          <cell r="I3784" t="str">
            <v>WH</v>
          </cell>
          <cell r="J3784">
            <v>19.7</v>
          </cell>
          <cell r="K3784">
            <v>398</v>
          </cell>
          <cell r="L3784" t="str">
            <v>WH</v>
          </cell>
          <cell r="N3784">
            <v>76.149980672593699</v>
          </cell>
        </row>
        <row r="3785">
          <cell r="E3785" t="str">
            <v>HGC-Lib-2466131</v>
          </cell>
          <cell r="F3785" t="str">
            <v>pool-4603-100-3</v>
          </cell>
          <cell r="G3785">
            <v>100</v>
          </cell>
          <cell r="H3785" t="str">
            <v>华大c4单细胞cDNA文库</v>
          </cell>
          <cell r="I3785" t="str">
            <v>WH</v>
          </cell>
          <cell r="J3785">
            <v>25</v>
          </cell>
          <cell r="K3785">
            <v>402</v>
          </cell>
          <cell r="L3785" t="str">
            <v>WH</v>
          </cell>
          <cell r="N3785">
            <v>95.675468809797195</v>
          </cell>
        </row>
        <row r="3786">
          <cell r="E3786" t="str">
            <v>HGC-Lib-2466132</v>
          </cell>
          <cell r="F3786" t="str">
            <v>pool-4603-100-4</v>
          </cell>
          <cell r="G3786">
            <v>100</v>
          </cell>
          <cell r="H3786" t="str">
            <v>华大c4单细胞cDNA文库</v>
          </cell>
          <cell r="I3786" t="str">
            <v>WH</v>
          </cell>
          <cell r="J3786">
            <v>9.7200000000000006</v>
          </cell>
          <cell r="K3786">
            <v>426</v>
          </cell>
          <cell r="L3786" t="str">
            <v>WH</v>
          </cell>
          <cell r="N3786">
            <v>35.102925243770301</v>
          </cell>
        </row>
        <row r="3787">
          <cell r="E3787" t="str">
            <v>HGC-Lib-2466133</v>
          </cell>
          <cell r="F3787" t="str">
            <v>pool-4603-100-5</v>
          </cell>
          <cell r="G3787">
            <v>100</v>
          </cell>
          <cell r="H3787" t="str">
            <v>华大c4单细胞cDNA文库</v>
          </cell>
          <cell r="I3787" t="str">
            <v>WH</v>
          </cell>
          <cell r="J3787">
            <v>25</v>
          </cell>
          <cell r="K3787">
            <v>397</v>
          </cell>
          <cell r="L3787" t="str">
            <v>WH</v>
          </cell>
          <cell r="N3787">
            <v>96.880449525285798</v>
          </cell>
        </row>
        <row r="3788">
          <cell r="E3788" t="str">
            <v>HGC-Lib-2466134</v>
          </cell>
          <cell r="F3788" t="str">
            <v>pool-4603-100-6</v>
          </cell>
          <cell r="G3788">
            <v>100</v>
          </cell>
          <cell r="H3788" t="str">
            <v>华大c4单细胞cDNA文库</v>
          </cell>
          <cell r="I3788" t="str">
            <v>WH</v>
          </cell>
          <cell r="J3788">
            <v>16.399999999999999</v>
          </cell>
          <cell r="K3788">
            <v>406</v>
          </cell>
          <cell r="L3788" t="str">
            <v>WH</v>
          </cell>
          <cell r="N3788">
            <v>62.144751799924201</v>
          </cell>
        </row>
        <row r="3789">
          <cell r="E3789" t="str">
            <v>HGC-Lib-2466135</v>
          </cell>
          <cell r="F3789" t="str">
            <v>pool-4603-100-7</v>
          </cell>
          <cell r="G3789">
            <v>100</v>
          </cell>
          <cell r="H3789" t="str">
            <v>华大c4单细胞cDNA文库</v>
          </cell>
          <cell r="I3789" t="str">
            <v>WH</v>
          </cell>
          <cell r="J3789">
            <v>25.4</v>
          </cell>
          <cell r="K3789">
            <v>398</v>
          </cell>
          <cell r="L3789" t="str">
            <v>WH</v>
          </cell>
          <cell r="N3789">
            <v>98.183223811364499</v>
          </cell>
        </row>
        <row r="3790">
          <cell r="E3790" t="str">
            <v>HGC-Lib-2466136</v>
          </cell>
          <cell r="F3790" t="str">
            <v>pool-4603-100-8</v>
          </cell>
          <cell r="G3790">
            <v>100</v>
          </cell>
          <cell r="H3790" t="str">
            <v>华大c4单细胞cDNA文库</v>
          </cell>
          <cell r="I3790" t="str">
            <v>WH</v>
          </cell>
          <cell r="J3790">
            <v>18.5</v>
          </cell>
          <cell r="K3790">
            <v>398</v>
          </cell>
          <cell r="L3790" t="str">
            <v>WH</v>
          </cell>
          <cell r="N3790">
            <v>71.511403169694603</v>
          </cell>
        </row>
        <row r="3791">
          <cell r="E3791" t="str">
            <v>HGC-Lib-2466137</v>
          </cell>
          <cell r="F3791" t="str">
            <v>pool-4603-100-9</v>
          </cell>
          <cell r="G3791">
            <v>100</v>
          </cell>
          <cell r="H3791" t="str">
            <v>华大c4单细胞cDNA文库</v>
          </cell>
          <cell r="I3791" t="str">
            <v>WH</v>
          </cell>
          <cell r="J3791">
            <v>12.2</v>
          </cell>
          <cell r="K3791">
            <v>411</v>
          </cell>
          <cell r="L3791" t="str">
            <v>WH</v>
          </cell>
          <cell r="N3791">
            <v>45.667228148980001</v>
          </cell>
        </row>
        <row r="3792">
          <cell r="E3792" t="str">
            <v>HGC-Lib-2466138</v>
          </cell>
          <cell r="F3792" t="str">
            <v>pool-4603-100-10</v>
          </cell>
          <cell r="G3792">
            <v>100</v>
          </cell>
          <cell r="H3792" t="str">
            <v>华大c4单细胞cDNA文库</v>
          </cell>
          <cell r="I3792" t="str">
            <v>WH</v>
          </cell>
          <cell r="J3792">
            <v>11.6</v>
          </cell>
          <cell r="K3792">
            <v>403</v>
          </cell>
          <cell r="L3792" t="str">
            <v>WH</v>
          </cell>
          <cell r="N3792">
            <v>44.283260164153504</v>
          </cell>
        </row>
        <row r="3793">
          <cell r="E3793" t="str">
            <v>HGC-Lib-2466139</v>
          </cell>
          <cell r="F3793" t="str">
            <v>pool-4603-100-11</v>
          </cell>
          <cell r="G3793">
            <v>100</v>
          </cell>
          <cell r="H3793" t="str">
            <v>华大c4单细胞cDNA文库</v>
          </cell>
          <cell r="I3793" t="str">
            <v>WH</v>
          </cell>
          <cell r="J3793">
            <v>18</v>
          </cell>
          <cell r="K3793">
            <v>397</v>
          </cell>
          <cell r="L3793" t="str">
            <v>WH</v>
          </cell>
          <cell r="N3793">
            <v>69.753923658205807</v>
          </cell>
        </row>
        <row r="3794">
          <cell r="E3794" t="str">
            <v>HGC-Lib-2466140</v>
          </cell>
          <cell r="F3794" t="str">
            <v>pool-4603-100-12</v>
          </cell>
          <cell r="G3794">
            <v>100</v>
          </cell>
          <cell r="H3794" t="str">
            <v>华大c4单细胞cDNA文库</v>
          </cell>
          <cell r="I3794" t="str">
            <v>WH</v>
          </cell>
          <cell r="J3794">
            <v>17.7</v>
          </cell>
          <cell r="K3794">
            <v>405</v>
          </cell>
          <cell r="L3794" t="str">
            <v>WH</v>
          </cell>
          <cell r="N3794">
            <v>67.236467236467206</v>
          </cell>
        </row>
        <row r="3795">
          <cell r="E3795" t="str">
            <v>HGC-Lib-2466141</v>
          </cell>
          <cell r="F3795" t="str">
            <v>pool-4603-100-13</v>
          </cell>
          <cell r="G3795">
            <v>100</v>
          </cell>
          <cell r="H3795" t="str">
            <v>华大c4单细胞cDNA文库</v>
          </cell>
          <cell r="I3795" t="str">
            <v>WH</v>
          </cell>
          <cell r="J3795">
            <v>22.4</v>
          </cell>
          <cell r="K3795">
            <v>399</v>
          </cell>
          <cell r="L3795" t="str">
            <v>WH</v>
          </cell>
          <cell r="N3795">
            <v>86.369770580296901</v>
          </cell>
        </row>
        <row r="3796">
          <cell r="E3796" t="str">
            <v>HGC-Lib-2466142</v>
          </cell>
          <cell r="F3796" t="str">
            <v>pool-4603-100-14</v>
          </cell>
          <cell r="G3796">
            <v>100</v>
          </cell>
          <cell r="H3796" t="str">
            <v>华大c4单细胞cDNA文库</v>
          </cell>
          <cell r="I3796" t="str">
            <v>WH</v>
          </cell>
          <cell r="J3796">
            <v>23.4</v>
          </cell>
          <cell r="K3796">
            <v>391</v>
          </cell>
          <cell r="L3796" t="str">
            <v>WH</v>
          </cell>
          <cell r="N3796">
            <v>92.071611253196906</v>
          </cell>
        </row>
        <row r="3797">
          <cell r="E3797" t="str">
            <v>HGC-POOL-2466143</v>
          </cell>
          <cell r="F3797" t="str">
            <v>pool-4603-120-15</v>
          </cell>
          <cell r="G3797">
            <v>120</v>
          </cell>
          <cell r="H3797" t="str">
            <v>华大c4单细胞oligo文库</v>
          </cell>
          <cell r="I3797" t="str">
            <v>WH</v>
          </cell>
          <cell r="J3797">
            <v>42.4</v>
          </cell>
          <cell r="K3797">
            <v>185</v>
          </cell>
          <cell r="L3797" t="str">
            <v>WH</v>
          </cell>
          <cell r="N3797">
            <v>352.59875259875298</v>
          </cell>
        </row>
        <row r="3798">
          <cell r="E3798" t="str">
            <v>HGC-POOL-2466144</v>
          </cell>
          <cell r="F3798" t="str">
            <v>pool-4603-160-16</v>
          </cell>
          <cell r="G3798">
            <v>160</v>
          </cell>
          <cell r="H3798" t="str">
            <v>华大c4单细胞oligo文库</v>
          </cell>
          <cell r="I3798" t="str">
            <v>WH</v>
          </cell>
          <cell r="J3798">
            <v>32</v>
          </cell>
          <cell r="K3798">
            <v>183</v>
          </cell>
          <cell r="L3798" t="str">
            <v>WH</v>
          </cell>
          <cell r="N3798">
            <v>269.020596889449</v>
          </cell>
        </row>
        <row r="3799">
          <cell r="E3799" t="str">
            <v>HGC-Lib-2466145</v>
          </cell>
          <cell r="F3799" t="str">
            <v>20240817rep1</v>
          </cell>
          <cell r="G3799">
            <v>2</v>
          </cell>
          <cell r="H3799" t="str">
            <v>mRNA文库</v>
          </cell>
          <cell r="I3799" t="str">
            <v>WWH</v>
          </cell>
          <cell r="J3799">
            <v>94.6</v>
          </cell>
          <cell r="K3799">
            <v>263</v>
          </cell>
          <cell r="L3799" t="str">
            <v>WWH</v>
          </cell>
          <cell r="N3799">
            <v>553.378180754607</v>
          </cell>
        </row>
        <row r="3800">
          <cell r="E3800" t="str">
            <v>HGC-Lib-2466146</v>
          </cell>
          <cell r="F3800" t="str">
            <v>20240817rep2</v>
          </cell>
          <cell r="G3800">
            <v>2</v>
          </cell>
          <cell r="H3800" t="str">
            <v>mRNA文库</v>
          </cell>
          <cell r="I3800" t="str">
            <v>WWH</v>
          </cell>
          <cell r="J3800">
            <v>94.4</v>
          </cell>
          <cell r="K3800">
            <v>270</v>
          </cell>
          <cell r="L3800" t="str">
            <v>WWH</v>
          </cell>
          <cell r="N3800">
            <v>537.89173789173799</v>
          </cell>
        </row>
        <row r="3801">
          <cell r="E3801" t="str">
            <v>HGC-POOL-2466153</v>
          </cell>
          <cell r="F3801" t="str">
            <v>B</v>
          </cell>
          <cell r="G3801">
            <v>10</v>
          </cell>
          <cell r="H3801" t="str">
            <v>10× 3'单细胞</v>
          </cell>
          <cell r="I3801" t="str">
            <v>WWH</v>
          </cell>
          <cell r="J3801">
            <v>0.85</v>
          </cell>
          <cell r="K3801">
            <v>485</v>
          </cell>
          <cell r="L3801" t="str">
            <v>WWH</v>
          </cell>
          <cell r="N3801">
            <v>2.69627279936558</v>
          </cell>
        </row>
        <row r="3802">
          <cell r="E3802" t="str">
            <v>HGC-Lib-2466439</v>
          </cell>
          <cell r="F3802" t="str">
            <v>LFTC240814010</v>
          </cell>
          <cell r="G3802">
            <v>120</v>
          </cell>
          <cell r="H3802" t="str">
            <v>singleron-3'全长转录组文库</v>
          </cell>
          <cell r="I3802" t="str">
            <v>WWH</v>
          </cell>
          <cell r="J3802">
            <v>14.9</v>
          </cell>
          <cell r="N3802" t="e">
            <v>#DIV/0!</v>
          </cell>
        </row>
        <row r="3803">
          <cell r="E3803" t="str">
            <v>HGC-Lib-2466440</v>
          </cell>
          <cell r="F3803" t="str">
            <v>LC240814003</v>
          </cell>
          <cell r="G3803">
            <v>10</v>
          </cell>
          <cell r="H3803" t="str">
            <v>singleron-3'转录组文库</v>
          </cell>
          <cell r="I3803" t="str">
            <v>WWH</v>
          </cell>
          <cell r="J3803">
            <v>17.399999999999999</v>
          </cell>
          <cell r="N3803" t="e">
            <v>#DIV/0!</v>
          </cell>
        </row>
        <row r="3804">
          <cell r="E3804" t="str">
            <v>HGC-Lib-2466441</v>
          </cell>
          <cell r="F3804" t="str">
            <v>LC240814002</v>
          </cell>
          <cell r="G3804">
            <v>10</v>
          </cell>
          <cell r="H3804" t="str">
            <v>singleron-3'转录组文库</v>
          </cell>
          <cell r="I3804" t="str">
            <v>WWH</v>
          </cell>
          <cell r="J3804">
            <v>16.7</v>
          </cell>
          <cell r="N3804" t="e">
            <v>#DIV/0!</v>
          </cell>
        </row>
        <row r="3805">
          <cell r="E3805" t="str">
            <v>HGC-Lib-2466442</v>
          </cell>
          <cell r="F3805" t="str">
            <v>LC240814005</v>
          </cell>
          <cell r="G3805">
            <v>100</v>
          </cell>
          <cell r="H3805" t="str">
            <v>singleron-3'转录组文库</v>
          </cell>
          <cell r="I3805" t="str">
            <v>WWH</v>
          </cell>
          <cell r="J3805">
            <v>17</v>
          </cell>
          <cell r="N3805" t="e">
            <v>#DIV/0!</v>
          </cell>
        </row>
        <row r="3806">
          <cell r="E3806" t="str">
            <v>HGC-Lib-2466443</v>
          </cell>
          <cell r="F3806" t="str">
            <v>LC240814004</v>
          </cell>
          <cell r="G3806">
            <v>100</v>
          </cell>
          <cell r="H3806" t="str">
            <v>singleron-3'转录组文库</v>
          </cell>
          <cell r="I3806" t="str">
            <v>WWH</v>
          </cell>
          <cell r="J3806">
            <v>15.5</v>
          </cell>
          <cell r="N3806" t="e">
            <v>#DIV/0!</v>
          </cell>
        </row>
        <row r="3807">
          <cell r="E3807" t="str">
            <v>HGC-Lib-2466444</v>
          </cell>
          <cell r="F3807" t="str">
            <v>LA240814007</v>
          </cell>
          <cell r="G3807">
            <v>150</v>
          </cell>
          <cell r="H3807" t="str">
            <v>singleron-3'转录组文库</v>
          </cell>
          <cell r="I3807" t="str">
            <v>WWH</v>
          </cell>
          <cell r="J3807">
            <v>15.5</v>
          </cell>
          <cell r="N3807" t="e">
            <v>#DIV/0!</v>
          </cell>
        </row>
        <row r="3808">
          <cell r="E3808" t="str">
            <v>HGC-Lib-2466445</v>
          </cell>
          <cell r="F3808" t="str">
            <v>LC240814024</v>
          </cell>
          <cell r="G3808">
            <v>100</v>
          </cell>
          <cell r="H3808" t="str">
            <v>singleron-3'转录组文库</v>
          </cell>
          <cell r="I3808" t="str">
            <v>WWH</v>
          </cell>
          <cell r="J3808">
            <v>12.4</v>
          </cell>
          <cell r="N3808" t="e">
            <v>#DIV/0!</v>
          </cell>
        </row>
        <row r="3809">
          <cell r="E3809" t="str">
            <v>HGC-Lib-2466446</v>
          </cell>
          <cell r="F3809" t="str">
            <v>LC240814025</v>
          </cell>
          <cell r="G3809">
            <v>50</v>
          </cell>
          <cell r="H3809" t="str">
            <v>singleron-3'转录组文库</v>
          </cell>
          <cell r="I3809" t="str">
            <v>WWH</v>
          </cell>
          <cell r="J3809">
            <v>17.399999999999999</v>
          </cell>
          <cell r="N3809" t="e">
            <v>#DIV/0!</v>
          </cell>
        </row>
        <row r="3810">
          <cell r="E3810" t="str">
            <v>HGC-Lib-2466447</v>
          </cell>
          <cell r="F3810" t="str">
            <v>LFTHC240813022</v>
          </cell>
          <cell r="G3810">
            <v>90</v>
          </cell>
          <cell r="H3810" t="str">
            <v>singleron-3'全长转录组文库</v>
          </cell>
          <cell r="I3810" t="str">
            <v>WWH</v>
          </cell>
          <cell r="J3810">
            <v>17.7</v>
          </cell>
          <cell r="N3810" t="e">
            <v>#DIV/0!</v>
          </cell>
        </row>
        <row r="3811">
          <cell r="E3811" t="str">
            <v>HGC-Lib-2466449</v>
          </cell>
          <cell r="F3811" t="str">
            <v>cis</v>
          </cell>
          <cell r="G3811" t="str">
            <v>450M</v>
          </cell>
          <cell r="H3811" t="str">
            <v>华大c4单细胞cDNA文库</v>
          </cell>
          <cell r="I3811" t="str">
            <v>WWH</v>
          </cell>
          <cell r="J3811">
            <v>18.5</v>
          </cell>
          <cell r="K3811">
            <v>412</v>
          </cell>
          <cell r="L3811" t="str">
            <v>WWH</v>
          </cell>
          <cell r="N3811">
            <v>69.081404032860306</v>
          </cell>
        </row>
        <row r="3812">
          <cell r="E3812" t="str">
            <v>HGC-Lib-2466450</v>
          </cell>
          <cell r="F3812" t="str">
            <v>cis-pom1-CP</v>
          </cell>
          <cell r="G3812" t="str">
            <v>450M</v>
          </cell>
          <cell r="H3812" t="str">
            <v>华大c4单细胞cDNA文库</v>
          </cell>
          <cell r="I3812" t="str">
            <v>WWH</v>
          </cell>
          <cell r="J3812">
            <v>6.3</v>
          </cell>
          <cell r="K3812">
            <v>423</v>
          </cell>
          <cell r="L3812" t="str">
            <v>WWH</v>
          </cell>
          <cell r="N3812">
            <v>22.913256955810098</v>
          </cell>
        </row>
        <row r="3813">
          <cell r="E3813" t="str">
            <v>HGC-Lib-2466451</v>
          </cell>
          <cell r="F3813" t="str">
            <v>oxa</v>
          </cell>
          <cell r="G3813" t="str">
            <v>450M</v>
          </cell>
          <cell r="H3813" t="str">
            <v>华大c4单细胞cDNA文库</v>
          </cell>
          <cell r="I3813" t="str">
            <v>WWH</v>
          </cell>
          <cell r="J3813">
            <v>19.5</v>
          </cell>
          <cell r="K3813">
            <v>420</v>
          </cell>
          <cell r="L3813" t="str">
            <v>WWH</v>
          </cell>
          <cell r="N3813">
            <v>71.428571428571402</v>
          </cell>
        </row>
        <row r="3814">
          <cell r="E3814" t="str">
            <v>HGC-Lib-2466452</v>
          </cell>
          <cell r="F3814" t="str">
            <v>NC-1</v>
          </cell>
          <cell r="G3814" t="str">
            <v>450M</v>
          </cell>
          <cell r="H3814" t="str">
            <v>华大c4单细胞cDNA文库</v>
          </cell>
          <cell r="I3814" t="str">
            <v>WWH</v>
          </cell>
          <cell r="J3814">
            <v>22.8</v>
          </cell>
          <cell r="K3814">
            <v>422</v>
          </cell>
          <cell r="L3814" t="str">
            <v>WWH</v>
          </cell>
          <cell r="N3814">
            <v>83.120670798395906</v>
          </cell>
        </row>
        <row r="3815">
          <cell r="E3815" t="str">
            <v>HGC-Lib-2466453</v>
          </cell>
          <cell r="F3815" t="str">
            <v>NC-2POM</v>
          </cell>
          <cell r="G3815" t="str">
            <v>450M</v>
          </cell>
          <cell r="H3815" t="str">
            <v>华大c4单细胞cDNA文库</v>
          </cell>
          <cell r="I3815" t="str">
            <v>WWH</v>
          </cell>
          <cell r="J3815">
            <v>18.7</v>
          </cell>
          <cell r="K3815">
            <v>424</v>
          </cell>
          <cell r="L3815" t="str">
            <v>WWH</v>
          </cell>
          <cell r="N3815">
            <v>67.851959361393298</v>
          </cell>
        </row>
        <row r="3816">
          <cell r="E3816" t="str">
            <v>HGC-Lib-2466454</v>
          </cell>
          <cell r="F3816" t="str">
            <v>cis oligo</v>
          </cell>
          <cell r="G3816" t="str">
            <v>50M</v>
          </cell>
          <cell r="H3816" t="str">
            <v>华大c4单细胞oligo文库</v>
          </cell>
          <cell r="I3816" t="str">
            <v>WWH</v>
          </cell>
          <cell r="J3816">
            <v>48</v>
          </cell>
          <cell r="K3816">
            <v>187</v>
          </cell>
          <cell r="L3816" t="str">
            <v>WWH</v>
          </cell>
          <cell r="N3816">
            <v>394.89921842862998</v>
          </cell>
        </row>
        <row r="3817">
          <cell r="E3817" t="str">
            <v>HGC-Lib-2466455</v>
          </cell>
          <cell r="F3817" t="str">
            <v>cis-pom1-CP oligo</v>
          </cell>
          <cell r="G3817" t="str">
            <v>50M</v>
          </cell>
          <cell r="H3817" t="str">
            <v>华大c4单细胞oligo文库</v>
          </cell>
          <cell r="I3817" t="str">
            <v>WWH</v>
          </cell>
          <cell r="J3817">
            <v>33.6</v>
          </cell>
          <cell r="K3817">
            <v>185</v>
          </cell>
          <cell r="L3817" t="str">
            <v>WWH</v>
          </cell>
          <cell r="N3817">
            <v>279.41787941787902</v>
          </cell>
        </row>
        <row r="3818">
          <cell r="E3818" t="str">
            <v>HGC-Lib-2466456</v>
          </cell>
          <cell r="F3818" t="str">
            <v>oxa oligo</v>
          </cell>
          <cell r="G3818" t="str">
            <v>50M</v>
          </cell>
          <cell r="H3818" t="str">
            <v>华大c4单细胞oligo文库</v>
          </cell>
          <cell r="I3818" t="str">
            <v>WWH</v>
          </cell>
          <cell r="J3818">
            <v>50.2</v>
          </cell>
          <cell r="K3818">
            <v>185</v>
          </cell>
          <cell r="L3818" t="str">
            <v>WWH</v>
          </cell>
          <cell r="N3818">
            <v>417.46361746361703</v>
          </cell>
        </row>
        <row r="3819">
          <cell r="E3819" t="str">
            <v>HGC-Lib-2466457</v>
          </cell>
          <cell r="F3819" t="str">
            <v>NC-1 oligo</v>
          </cell>
          <cell r="G3819" t="str">
            <v>50M</v>
          </cell>
          <cell r="H3819" t="str">
            <v>华大c4单细胞oligo文库</v>
          </cell>
          <cell r="I3819" t="str">
            <v>WWH</v>
          </cell>
          <cell r="J3819">
            <v>46.8</v>
          </cell>
          <cell r="K3819">
            <v>183</v>
          </cell>
          <cell r="L3819" t="str">
            <v>WWH</v>
          </cell>
          <cell r="N3819">
            <v>393.44262295082001</v>
          </cell>
        </row>
        <row r="3820">
          <cell r="E3820" t="str">
            <v>HGC-Lib-2466458</v>
          </cell>
          <cell r="F3820" t="str">
            <v>NC-2POM oligo</v>
          </cell>
          <cell r="G3820" t="str">
            <v>50M</v>
          </cell>
          <cell r="H3820" t="str">
            <v>华大c4单细胞oligo文库</v>
          </cell>
          <cell r="I3820" t="str">
            <v>WWH</v>
          </cell>
          <cell r="J3820">
            <v>28.2</v>
          </cell>
          <cell r="K3820">
            <v>184</v>
          </cell>
          <cell r="L3820" t="str">
            <v>WWH</v>
          </cell>
          <cell r="N3820">
            <v>235.78595317725799</v>
          </cell>
        </row>
        <row r="3821">
          <cell r="E3821" t="str">
            <v>HGC-Lib-2466459</v>
          </cell>
          <cell r="F3821" t="str">
            <v>TK23</v>
          </cell>
          <cell r="G3821">
            <v>10</v>
          </cell>
          <cell r="H3821" t="str">
            <v>10X单细胞TCR文库</v>
          </cell>
          <cell r="I3821" t="str">
            <v>WWH</v>
          </cell>
          <cell r="J3821">
            <v>38</v>
          </cell>
          <cell r="K3821">
            <v>579</v>
          </cell>
          <cell r="L3821" t="str">
            <v>WWH</v>
          </cell>
          <cell r="N3821">
            <v>100.96984190248401</v>
          </cell>
        </row>
        <row r="3822">
          <cell r="E3822" t="str">
            <v>HGC-POOL-2466460</v>
          </cell>
          <cell r="F3822" t="str">
            <v>PLN240</v>
          </cell>
          <cell r="H3822" t="str">
            <v>mRNA文库</v>
          </cell>
          <cell r="I3822" t="str">
            <v>WWH</v>
          </cell>
          <cell r="J3822">
            <v>5.04</v>
          </cell>
          <cell r="K3822">
            <v>408</v>
          </cell>
          <cell r="L3822" t="str">
            <v>WWH</v>
          </cell>
          <cell r="N3822">
            <v>19.0045248868778</v>
          </cell>
        </row>
        <row r="3823">
          <cell r="E3823" t="str">
            <v>HGC-POOL-2466546</v>
          </cell>
          <cell r="F3823" t="str">
            <v>DZY-240806-bHLH</v>
          </cell>
          <cell r="G3823">
            <v>36</v>
          </cell>
          <cell r="H3823" t="str">
            <v>Chip-Seq</v>
          </cell>
          <cell r="I3823" t="str">
            <v>XCL</v>
          </cell>
          <cell r="J3823">
            <v>11.5</v>
          </cell>
          <cell r="K3823">
            <v>382</v>
          </cell>
          <cell r="L3823" t="str">
            <v>YHT</v>
          </cell>
          <cell r="N3823">
            <v>46.314941602899701</v>
          </cell>
        </row>
        <row r="3824">
          <cell r="E3824" t="str">
            <v>HGC-POOL-2466547</v>
          </cell>
          <cell r="F3824" t="str">
            <v>DZY-240806-MaSPL5</v>
          </cell>
          <cell r="G3824">
            <v>36</v>
          </cell>
          <cell r="H3824" t="str">
            <v>Chip-Seq</v>
          </cell>
          <cell r="I3824" t="str">
            <v>XCL</v>
          </cell>
          <cell r="J3824">
            <v>10.4</v>
          </cell>
          <cell r="K3824">
            <v>386</v>
          </cell>
          <cell r="L3824" t="str">
            <v>YHT</v>
          </cell>
          <cell r="N3824">
            <v>41.450777202072501</v>
          </cell>
        </row>
        <row r="3825">
          <cell r="E3825" t="str">
            <v>HGC-POOL-2466548</v>
          </cell>
          <cell r="F3825" t="str">
            <v>DZY-240806-MaSPL19</v>
          </cell>
          <cell r="G3825">
            <v>27</v>
          </cell>
          <cell r="H3825" t="str">
            <v>Chip-Seq</v>
          </cell>
          <cell r="I3825" t="str">
            <v>XCL</v>
          </cell>
          <cell r="J3825">
            <v>8.8000000000000007</v>
          </cell>
          <cell r="K3825">
            <v>392</v>
          </cell>
          <cell r="L3825" t="str">
            <v>YHT</v>
          </cell>
          <cell r="N3825">
            <v>34.536891679748798</v>
          </cell>
        </row>
        <row r="3826">
          <cell r="E3826" t="str">
            <v>HGC-POOL-2466549</v>
          </cell>
          <cell r="F3826" t="str">
            <v>DZY-240806-2TaAATFAMP</v>
          </cell>
          <cell r="G3826">
            <v>27</v>
          </cell>
          <cell r="H3826" t="str">
            <v>Chip-Seq</v>
          </cell>
          <cell r="I3826" t="str">
            <v>XCL</v>
          </cell>
          <cell r="J3826">
            <v>3.26</v>
          </cell>
          <cell r="K3826">
            <v>368</v>
          </cell>
          <cell r="L3826" t="str">
            <v>YHT</v>
          </cell>
          <cell r="N3826">
            <v>13.628762541805999</v>
          </cell>
        </row>
        <row r="3827">
          <cell r="E3827" t="str">
            <v>HGC-Lib-2466550</v>
          </cell>
          <cell r="F3827" t="str">
            <v>L240805005X3</v>
          </cell>
          <cell r="G3827">
            <v>100</v>
          </cell>
          <cell r="H3827" t="str">
            <v>10X 3'转录组文库</v>
          </cell>
          <cell r="I3827" t="str">
            <v>XCL</v>
          </cell>
          <cell r="J3827">
            <v>18.3</v>
          </cell>
          <cell r="N3827" t="e">
            <v>#DIV/0!</v>
          </cell>
        </row>
        <row r="3828">
          <cell r="E3828" t="str">
            <v>HGC-Lib-2466551</v>
          </cell>
          <cell r="F3828" t="str">
            <v>L240805006X3</v>
          </cell>
          <cell r="G3828">
            <v>100</v>
          </cell>
          <cell r="H3828" t="str">
            <v>10X 3'转录组文库</v>
          </cell>
          <cell r="I3828" t="str">
            <v>XCL</v>
          </cell>
          <cell r="J3828">
            <v>15.6</v>
          </cell>
          <cell r="N3828" t="e">
            <v>#DIV/0!</v>
          </cell>
        </row>
        <row r="3829">
          <cell r="E3829" t="str">
            <v>HGC-Lib-2466565</v>
          </cell>
          <cell r="F3829" t="str">
            <v>A</v>
          </cell>
          <cell r="G3829">
            <v>2</v>
          </cell>
          <cell r="H3829" t="str">
            <v>PCR产物文库</v>
          </cell>
          <cell r="I3829" t="str">
            <v>XCL</v>
          </cell>
          <cell r="J3829">
            <v>27.6</v>
          </cell>
          <cell r="N3829" t="e">
            <v>#DIV/0!</v>
          </cell>
        </row>
        <row r="3830">
          <cell r="E3830" t="str">
            <v>HGC-Lib-2466566</v>
          </cell>
          <cell r="F3830" t="str">
            <v>B</v>
          </cell>
          <cell r="G3830">
            <v>2</v>
          </cell>
          <cell r="H3830" t="str">
            <v>PCR产物文库</v>
          </cell>
          <cell r="I3830" t="str">
            <v>XCL</v>
          </cell>
          <cell r="J3830">
            <v>33</v>
          </cell>
          <cell r="N3830" t="e">
            <v>#DIV/0!</v>
          </cell>
        </row>
        <row r="3831">
          <cell r="E3831" t="str">
            <v>HGC-Lib-2466461</v>
          </cell>
          <cell r="F3831" t="str">
            <v>C001</v>
          </cell>
          <cell r="G3831">
            <v>3</v>
          </cell>
          <cell r="H3831" t="str">
            <v>甲基化文库</v>
          </cell>
          <cell r="I3831" t="str">
            <v>ZZ</v>
          </cell>
          <cell r="J3831">
            <v>27</v>
          </cell>
          <cell r="K3831">
            <v>421</v>
          </cell>
          <cell r="L3831" t="str">
            <v>YHT</v>
          </cell>
          <cell r="N3831">
            <v>98.666179426274496</v>
          </cell>
        </row>
        <row r="3832">
          <cell r="E3832" t="str">
            <v>HGC-Lib-2466462</v>
          </cell>
          <cell r="F3832" t="str">
            <v>C002</v>
          </cell>
          <cell r="G3832">
            <v>3</v>
          </cell>
          <cell r="H3832" t="str">
            <v>甲基化文库</v>
          </cell>
          <cell r="I3832" t="str">
            <v>ZZ</v>
          </cell>
          <cell r="J3832">
            <v>21.2</v>
          </cell>
          <cell r="K3832">
            <v>369</v>
          </cell>
          <cell r="L3832" t="str">
            <v>YHT</v>
          </cell>
          <cell r="N3832">
            <v>88.388576193454199</v>
          </cell>
        </row>
        <row r="3833">
          <cell r="E3833" t="str">
            <v>HGC-Lib-2466463</v>
          </cell>
          <cell r="F3833" t="str">
            <v>C003</v>
          </cell>
          <cell r="G3833">
            <v>3</v>
          </cell>
          <cell r="H3833" t="str">
            <v>甲基化文库</v>
          </cell>
          <cell r="I3833" t="str">
            <v>ZZ</v>
          </cell>
          <cell r="J3833">
            <v>23.6</v>
          </cell>
          <cell r="K3833">
            <v>401</v>
          </cell>
          <cell r="L3833" t="str">
            <v>YHT</v>
          </cell>
          <cell r="N3833">
            <v>90.5428735852676</v>
          </cell>
        </row>
        <row r="3834">
          <cell r="E3834" t="str">
            <v>HGC-Lib-2466464</v>
          </cell>
          <cell r="F3834">
            <v>7</v>
          </cell>
          <cell r="G3834">
            <v>6</v>
          </cell>
          <cell r="H3834" t="str">
            <v>mRNA文库</v>
          </cell>
          <cell r="I3834" t="str">
            <v>ZZ</v>
          </cell>
          <cell r="J3834">
            <v>20.2</v>
          </cell>
          <cell r="K3834">
            <v>356</v>
          </cell>
          <cell r="L3834" t="str">
            <v>YHT</v>
          </cell>
          <cell r="N3834">
            <v>87.294727744165996</v>
          </cell>
        </row>
        <row r="3835">
          <cell r="E3835" t="str">
            <v>HGC-Lib-2466465</v>
          </cell>
          <cell r="F3835">
            <v>8</v>
          </cell>
          <cell r="G3835">
            <v>6</v>
          </cell>
          <cell r="H3835" t="str">
            <v>mRNA文库</v>
          </cell>
          <cell r="I3835" t="str">
            <v>ZZ</v>
          </cell>
          <cell r="J3835">
            <v>13.5</v>
          </cell>
          <cell r="K3835">
            <v>349</v>
          </cell>
          <cell r="L3835" t="str">
            <v>YHT</v>
          </cell>
          <cell r="N3835">
            <v>59.5106898831827</v>
          </cell>
        </row>
        <row r="3836">
          <cell r="E3836" t="str">
            <v>HGC-Lib-2466466</v>
          </cell>
          <cell r="F3836">
            <v>152</v>
          </cell>
          <cell r="G3836">
            <v>6</v>
          </cell>
          <cell r="H3836" t="str">
            <v>mRNA文库</v>
          </cell>
          <cell r="I3836" t="str">
            <v>ZZ</v>
          </cell>
          <cell r="J3836">
            <v>18.399999999999999</v>
          </cell>
          <cell r="K3836">
            <v>334</v>
          </cell>
          <cell r="L3836" t="str">
            <v>YHT</v>
          </cell>
          <cell r="N3836">
            <v>84.753569783509903</v>
          </cell>
        </row>
        <row r="3837">
          <cell r="E3837" t="str">
            <v>HGC-Lib-2466467</v>
          </cell>
          <cell r="F3837">
            <v>162</v>
          </cell>
          <cell r="G3837">
            <v>6</v>
          </cell>
          <cell r="H3837" t="str">
            <v>mRNA文库</v>
          </cell>
          <cell r="I3837" t="str">
            <v>ZZ</v>
          </cell>
          <cell r="J3837">
            <v>26.2</v>
          </cell>
          <cell r="K3837">
            <v>341</v>
          </cell>
          <cell r="L3837" t="str">
            <v>YHT</v>
          </cell>
          <cell r="N3837">
            <v>118.20437626889201</v>
          </cell>
        </row>
        <row r="3838">
          <cell r="E3838" t="str">
            <v>HGC-Lib-2466468</v>
          </cell>
          <cell r="F3838">
            <v>11</v>
          </cell>
          <cell r="G3838">
            <v>6</v>
          </cell>
          <cell r="H3838" t="str">
            <v>mRNA文库</v>
          </cell>
          <cell r="I3838" t="str">
            <v>ZZ</v>
          </cell>
          <cell r="J3838">
            <v>19.7</v>
          </cell>
          <cell r="K3838">
            <v>338</v>
          </cell>
          <cell r="L3838" t="str">
            <v>YHT</v>
          </cell>
          <cell r="N3838">
            <v>89.667728720983106</v>
          </cell>
        </row>
        <row r="3839">
          <cell r="E3839" t="str">
            <v>HGC-Lib-2466469</v>
          </cell>
          <cell r="F3839">
            <v>79</v>
          </cell>
          <cell r="G3839">
            <v>6</v>
          </cell>
          <cell r="H3839" t="str">
            <v>mRNA文库</v>
          </cell>
          <cell r="I3839" t="str">
            <v>ZZ</v>
          </cell>
          <cell r="J3839">
            <v>20.399999999999999</v>
          </cell>
          <cell r="K3839">
            <v>357</v>
          </cell>
          <cell r="L3839" t="str">
            <v>YHT</v>
          </cell>
          <cell r="N3839">
            <v>87.912087912087898</v>
          </cell>
        </row>
        <row r="3840">
          <cell r="E3840" t="str">
            <v>HGC-Lib-2466470</v>
          </cell>
          <cell r="F3840">
            <v>103</v>
          </cell>
          <cell r="G3840">
            <v>6</v>
          </cell>
          <cell r="H3840" t="str">
            <v>mRNA文库</v>
          </cell>
          <cell r="I3840" t="str">
            <v>ZZ</v>
          </cell>
          <cell r="J3840">
            <v>11.9</v>
          </cell>
          <cell r="K3840">
            <v>328</v>
          </cell>
          <cell r="L3840" t="str">
            <v>YHT</v>
          </cell>
          <cell r="N3840">
            <v>55.816135084427799</v>
          </cell>
        </row>
        <row r="3841">
          <cell r="E3841" t="str">
            <v>HGC-Lib-2466471</v>
          </cell>
          <cell r="F3841">
            <v>139</v>
          </cell>
          <cell r="G3841">
            <v>6</v>
          </cell>
          <cell r="H3841" t="str">
            <v>mRNA文库</v>
          </cell>
          <cell r="I3841" t="str">
            <v>ZZ</v>
          </cell>
          <cell r="J3841">
            <v>16.2</v>
          </cell>
          <cell r="K3841">
            <v>341</v>
          </cell>
          <cell r="L3841" t="str">
            <v>YHT</v>
          </cell>
          <cell r="N3841">
            <v>73.088202120460195</v>
          </cell>
        </row>
        <row r="3842">
          <cell r="E3842" t="str">
            <v>HGC-Lib-2466472</v>
          </cell>
          <cell r="F3842">
            <v>117</v>
          </cell>
          <cell r="G3842">
            <v>6</v>
          </cell>
          <cell r="H3842" t="str">
            <v>mRNA文库</v>
          </cell>
          <cell r="I3842" t="str">
            <v>ZZ</v>
          </cell>
          <cell r="J3842">
            <v>20</v>
          </cell>
          <cell r="K3842">
            <v>350</v>
          </cell>
          <cell r="L3842" t="str">
            <v>YHT</v>
          </cell>
          <cell r="N3842">
            <v>87.912087912087898</v>
          </cell>
        </row>
        <row r="3843">
          <cell r="E3843" t="str">
            <v>HGC-Lib-2466473</v>
          </cell>
          <cell r="F3843">
            <v>82</v>
          </cell>
          <cell r="G3843">
            <v>6</v>
          </cell>
          <cell r="H3843" t="str">
            <v>mRNA文库</v>
          </cell>
          <cell r="I3843" t="str">
            <v>ZZ</v>
          </cell>
          <cell r="J3843">
            <v>19.8</v>
          </cell>
          <cell r="K3843">
            <v>347</v>
          </cell>
          <cell r="L3843" t="str">
            <v>YHT</v>
          </cell>
          <cell r="N3843">
            <v>87.785413433828396</v>
          </cell>
        </row>
        <row r="3844">
          <cell r="E3844" t="str">
            <v>HGC-Lib-2466474</v>
          </cell>
          <cell r="F3844">
            <v>67</v>
          </cell>
          <cell r="G3844">
            <v>6</v>
          </cell>
          <cell r="H3844" t="str">
            <v>mRNA文库</v>
          </cell>
          <cell r="I3844" t="str">
            <v>ZZ</v>
          </cell>
          <cell r="J3844">
            <v>24.6</v>
          </cell>
          <cell r="K3844">
            <v>347</v>
          </cell>
          <cell r="L3844" t="str">
            <v>YHT</v>
          </cell>
          <cell r="N3844">
            <v>109.066725781423</v>
          </cell>
        </row>
        <row r="3845">
          <cell r="E3845" t="str">
            <v>HGC-Lib-2466475</v>
          </cell>
          <cell r="F3845">
            <v>54</v>
          </cell>
          <cell r="G3845">
            <v>6</v>
          </cell>
          <cell r="H3845" t="str">
            <v>mRNA文库</v>
          </cell>
          <cell r="I3845" t="str">
            <v>ZZ</v>
          </cell>
          <cell r="J3845">
            <v>15.7</v>
          </cell>
          <cell r="K3845">
            <v>333</v>
          </cell>
          <cell r="L3845" t="str">
            <v>YHT</v>
          </cell>
          <cell r="N3845">
            <v>72.534072534072493</v>
          </cell>
        </row>
        <row r="3846">
          <cell r="E3846" t="str">
            <v>HGC-Lib-2466476</v>
          </cell>
          <cell r="F3846">
            <v>107</v>
          </cell>
          <cell r="G3846">
            <v>6</v>
          </cell>
          <cell r="H3846" t="str">
            <v>mRNA文库</v>
          </cell>
          <cell r="I3846" t="str">
            <v>ZZ</v>
          </cell>
          <cell r="J3846">
            <v>22.6</v>
          </cell>
          <cell r="K3846">
            <v>348</v>
          </cell>
          <cell r="L3846" t="str">
            <v>YHT</v>
          </cell>
          <cell r="N3846">
            <v>99.911582670203401</v>
          </cell>
        </row>
        <row r="3847">
          <cell r="E3847" t="str">
            <v>HGC-Lib-2466477</v>
          </cell>
          <cell r="F3847">
            <v>110</v>
          </cell>
          <cell r="G3847">
            <v>6</v>
          </cell>
          <cell r="H3847" t="str">
            <v>mRNA文库</v>
          </cell>
          <cell r="I3847" t="str">
            <v>ZZ</v>
          </cell>
          <cell r="J3847">
            <v>18.899999999999999</v>
          </cell>
          <cell r="K3847">
            <v>351</v>
          </cell>
          <cell r="L3847" t="str">
            <v>YHT</v>
          </cell>
          <cell r="N3847">
            <v>82.840236686390497</v>
          </cell>
        </row>
        <row r="3848">
          <cell r="E3848" t="str">
            <v>HGC-Lib-2466478</v>
          </cell>
          <cell r="F3848">
            <v>87</v>
          </cell>
          <cell r="G3848">
            <v>6</v>
          </cell>
          <cell r="H3848" t="str">
            <v>mRNA文库</v>
          </cell>
          <cell r="I3848" t="str">
            <v>ZZ</v>
          </cell>
          <cell r="J3848">
            <v>14.7</v>
          </cell>
          <cell r="K3848">
            <v>350</v>
          </cell>
          <cell r="L3848" t="str">
            <v>YHT</v>
          </cell>
          <cell r="N3848">
            <v>64.615384615384599</v>
          </cell>
        </row>
        <row r="3849">
          <cell r="E3849" t="str">
            <v>HGC-Lib-2466479</v>
          </cell>
          <cell r="F3849">
            <v>1</v>
          </cell>
          <cell r="G3849">
            <v>6</v>
          </cell>
          <cell r="H3849" t="str">
            <v>mRNA文库</v>
          </cell>
          <cell r="I3849" t="str">
            <v>ZZ</v>
          </cell>
          <cell r="J3849">
            <v>7</v>
          </cell>
          <cell r="K3849">
            <v>362</v>
          </cell>
          <cell r="L3849" t="str">
            <v>YHT</v>
          </cell>
          <cell r="N3849">
            <v>29.7492562685933</v>
          </cell>
        </row>
        <row r="3850">
          <cell r="E3850" t="str">
            <v>HGC-Lib-2466480</v>
          </cell>
          <cell r="F3850">
            <v>2</v>
          </cell>
          <cell r="G3850">
            <v>6</v>
          </cell>
          <cell r="H3850" t="str">
            <v>mRNA文库</v>
          </cell>
          <cell r="I3850" t="str">
            <v>ZZ</v>
          </cell>
          <cell r="J3850">
            <v>7.9</v>
          </cell>
          <cell r="K3850">
            <v>356</v>
          </cell>
          <cell r="L3850" t="str">
            <v>YHT</v>
          </cell>
          <cell r="N3850">
            <v>34.140017286084699</v>
          </cell>
        </row>
        <row r="3851">
          <cell r="E3851" t="str">
            <v>HGC-Lib-2466481</v>
          </cell>
          <cell r="F3851">
            <v>3</v>
          </cell>
          <cell r="G3851">
            <v>6</v>
          </cell>
          <cell r="H3851" t="str">
            <v>mRNA文库</v>
          </cell>
          <cell r="I3851" t="str">
            <v>ZZ</v>
          </cell>
          <cell r="J3851">
            <v>3.84</v>
          </cell>
          <cell r="K3851">
            <v>356</v>
          </cell>
          <cell r="L3851" t="str">
            <v>YHT</v>
          </cell>
          <cell r="N3851">
            <v>16.5946413137424</v>
          </cell>
        </row>
        <row r="3852">
          <cell r="E3852" t="str">
            <v>HGC-Lib-2466482</v>
          </cell>
          <cell r="F3852">
            <v>4</v>
          </cell>
          <cell r="G3852">
            <v>6</v>
          </cell>
          <cell r="H3852" t="str">
            <v>mRNA文库</v>
          </cell>
          <cell r="I3852" t="str">
            <v>ZZ</v>
          </cell>
          <cell r="J3852">
            <v>5.86</v>
          </cell>
          <cell r="K3852">
            <v>360</v>
          </cell>
          <cell r="L3852" t="str">
            <v>YHT</v>
          </cell>
          <cell r="N3852">
            <v>25.042735042735</v>
          </cell>
        </row>
        <row r="3853">
          <cell r="E3853" t="str">
            <v>HGC-Lib-2466483</v>
          </cell>
          <cell r="F3853">
            <v>5</v>
          </cell>
          <cell r="G3853">
            <v>6</v>
          </cell>
          <cell r="H3853" t="str">
            <v>mRNA文库</v>
          </cell>
          <cell r="I3853" t="str">
            <v>ZZ</v>
          </cell>
          <cell r="J3853">
            <v>3.56</v>
          </cell>
          <cell r="K3853">
            <v>341</v>
          </cell>
          <cell r="L3853" t="str">
            <v>YHT</v>
          </cell>
          <cell r="N3853">
            <v>16.061357996841899</v>
          </cell>
        </row>
        <row r="3854">
          <cell r="E3854" t="str">
            <v>HGC-Lib-2466484</v>
          </cell>
          <cell r="F3854">
            <v>6</v>
          </cell>
          <cell r="G3854">
            <v>6</v>
          </cell>
          <cell r="H3854" t="str">
            <v>mRNA文库</v>
          </cell>
          <cell r="I3854" t="str">
            <v>ZZ</v>
          </cell>
          <cell r="J3854">
            <v>13.1</v>
          </cell>
          <cell r="K3854">
            <v>422</v>
          </cell>
          <cell r="L3854" t="str">
            <v>YHT</v>
          </cell>
          <cell r="N3854">
            <v>47.757929274516897</v>
          </cell>
        </row>
        <row r="3855">
          <cell r="E3855" t="str">
            <v>HGC-Lib-2466485</v>
          </cell>
          <cell r="F3855">
            <v>7</v>
          </cell>
          <cell r="G3855">
            <v>6</v>
          </cell>
          <cell r="H3855" t="str">
            <v>mRNA文库</v>
          </cell>
          <cell r="I3855" t="str">
            <v>ZZ</v>
          </cell>
          <cell r="J3855">
            <v>8.8000000000000007</v>
          </cell>
          <cell r="K3855">
            <v>408</v>
          </cell>
          <cell r="L3855" t="str">
            <v>YHT</v>
          </cell>
          <cell r="N3855">
            <v>33.182503770739103</v>
          </cell>
        </row>
        <row r="3856">
          <cell r="E3856" t="str">
            <v>HGC-Lib-2466486</v>
          </cell>
          <cell r="F3856">
            <v>8</v>
          </cell>
          <cell r="G3856">
            <v>6</v>
          </cell>
          <cell r="H3856" t="str">
            <v>mRNA文库</v>
          </cell>
          <cell r="I3856" t="str">
            <v>ZZ</v>
          </cell>
          <cell r="J3856">
            <v>13.4</v>
          </cell>
          <cell r="K3856">
            <v>349</v>
          </cell>
          <cell r="L3856" t="str">
            <v>YHT</v>
          </cell>
          <cell r="N3856">
            <v>59.069869958122098</v>
          </cell>
        </row>
        <row r="3857">
          <cell r="E3857" t="str">
            <v>HGC-Lib-2466487</v>
          </cell>
          <cell r="F3857">
            <v>9</v>
          </cell>
          <cell r="G3857">
            <v>6</v>
          </cell>
          <cell r="H3857" t="str">
            <v>mRNA文库</v>
          </cell>
          <cell r="I3857" t="str">
            <v>ZZ</v>
          </cell>
          <cell r="J3857">
            <v>8.94</v>
          </cell>
          <cell r="K3857">
            <v>409</v>
          </cell>
          <cell r="L3857" t="str">
            <v>YHT</v>
          </cell>
          <cell r="N3857">
            <v>33.627985706225303</v>
          </cell>
        </row>
        <row r="3858">
          <cell r="E3858" t="str">
            <v>HGC-Lib-2466488</v>
          </cell>
          <cell r="F3858">
            <v>10</v>
          </cell>
          <cell r="G3858">
            <v>6</v>
          </cell>
          <cell r="H3858" t="str">
            <v>mRNA文库</v>
          </cell>
          <cell r="I3858" t="str">
            <v>ZZ</v>
          </cell>
          <cell r="J3858">
            <v>11.7</v>
          </cell>
          <cell r="K3858">
            <v>413</v>
          </cell>
          <cell r="L3858" t="str">
            <v>YHT</v>
          </cell>
          <cell r="N3858">
            <v>43.583535108958799</v>
          </cell>
        </row>
        <row r="3859">
          <cell r="E3859" t="str">
            <v>HGC-Lib-2466489</v>
          </cell>
          <cell r="F3859">
            <v>11</v>
          </cell>
          <cell r="G3859">
            <v>6</v>
          </cell>
          <cell r="H3859" t="str">
            <v>mRNA文库</v>
          </cell>
          <cell r="I3859" t="str">
            <v>ZZ</v>
          </cell>
          <cell r="J3859">
            <v>10.199999999999999</v>
          </cell>
          <cell r="K3859">
            <v>338</v>
          </cell>
          <cell r="L3859" t="str">
            <v>YHT</v>
          </cell>
          <cell r="N3859">
            <v>46.426945835229901</v>
          </cell>
        </row>
        <row r="3860">
          <cell r="E3860" t="str">
            <v>HGC-Lib-2466490</v>
          </cell>
          <cell r="F3860">
            <v>12</v>
          </cell>
          <cell r="G3860">
            <v>6</v>
          </cell>
          <cell r="H3860" t="str">
            <v>mRNA文库</v>
          </cell>
          <cell r="I3860" t="str">
            <v>ZZ</v>
          </cell>
          <cell r="J3860">
            <v>7.84</v>
          </cell>
          <cell r="K3860">
            <v>403</v>
          </cell>
          <cell r="L3860" t="str">
            <v>YHT</v>
          </cell>
          <cell r="N3860">
            <v>29.929375835083</v>
          </cell>
        </row>
        <row r="3861">
          <cell r="E3861" t="str">
            <v>HGC-Lib-2466491</v>
          </cell>
          <cell r="F3861">
            <v>13</v>
          </cell>
          <cell r="G3861">
            <v>6</v>
          </cell>
          <cell r="H3861" t="str">
            <v>mRNA文库</v>
          </cell>
          <cell r="I3861" t="str">
            <v>ZZ</v>
          </cell>
          <cell r="J3861">
            <v>9.48</v>
          </cell>
          <cell r="K3861">
            <v>450</v>
          </cell>
          <cell r="L3861" t="str">
            <v>YHT</v>
          </cell>
          <cell r="N3861">
            <v>32.410256410256402</v>
          </cell>
        </row>
        <row r="3862">
          <cell r="E3862" t="str">
            <v>HGC-Lib-2466492</v>
          </cell>
          <cell r="F3862">
            <v>14</v>
          </cell>
          <cell r="G3862">
            <v>6</v>
          </cell>
          <cell r="H3862" t="str">
            <v>mRNA文库</v>
          </cell>
          <cell r="I3862" t="str">
            <v>ZZ</v>
          </cell>
          <cell r="J3862">
            <v>12.1</v>
          </cell>
          <cell r="K3862">
            <v>406</v>
          </cell>
          <cell r="L3862" t="str">
            <v>YHT</v>
          </cell>
          <cell r="N3862">
            <v>45.850701023114802</v>
          </cell>
        </row>
        <row r="3863">
          <cell r="E3863" t="str">
            <v>HGC-Lib-2466493</v>
          </cell>
          <cell r="F3863">
            <v>15</v>
          </cell>
          <cell r="G3863">
            <v>6</v>
          </cell>
          <cell r="H3863" t="str">
            <v>mRNA文库</v>
          </cell>
          <cell r="I3863" t="str">
            <v>ZZ</v>
          </cell>
          <cell r="J3863">
            <v>9.02</v>
          </cell>
          <cell r="K3863">
            <v>420</v>
          </cell>
          <cell r="L3863" t="str">
            <v>YHT</v>
          </cell>
          <cell r="N3863">
            <v>33.040293040293001</v>
          </cell>
        </row>
        <row r="3864">
          <cell r="E3864" t="str">
            <v>HGC-Lib-2466494</v>
          </cell>
          <cell r="F3864">
            <v>16</v>
          </cell>
          <cell r="G3864">
            <v>6</v>
          </cell>
          <cell r="H3864" t="str">
            <v>mRNA文库</v>
          </cell>
          <cell r="I3864" t="str">
            <v>ZZ</v>
          </cell>
          <cell r="J3864">
            <v>22.6</v>
          </cell>
          <cell r="K3864">
            <v>388</v>
          </cell>
          <cell r="L3864" t="str">
            <v>YHT</v>
          </cell>
          <cell r="N3864">
            <v>89.611419508326705</v>
          </cell>
        </row>
        <row r="3865">
          <cell r="E3865" t="str">
            <v>HGC-Lib-2466495</v>
          </cell>
          <cell r="F3865">
            <v>17</v>
          </cell>
          <cell r="G3865">
            <v>6</v>
          </cell>
          <cell r="H3865" t="str">
            <v>mRNA文库</v>
          </cell>
          <cell r="I3865" t="str">
            <v>ZZ</v>
          </cell>
          <cell r="J3865">
            <v>12.5</v>
          </cell>
          <cell r="K3865">
            <v>410</v>
          </cell>
          <cell r="L3865" t="str">
            <v>YHT</v>
          </cell>
          <cell r="N3865">
            <v>46.904315196998098</v>
          </cell>
        </row>
        <row r="3866">
          <cell r="E3866" t="str">
            <v>HGC-Lib-2466496</v>
          </cell>
          <cell r="F3866">
            <v>18</v>
          </cell>
          <cell r="G3866">
            <v>6</v>
          </cell>
          <cell r="H3866" t="str">
            <v>mRNA文库</v>
          </cell>
          <cell r="I3866" t="str">
            <v>ZZ</v>
          </cell>
          <cell r="J3866">
            <v>14.6</v>
          </cell>
          <cell r="K3866">
            <v>405</v>
          </cell>
          <cell r="L3866" t="str">
            <v>YHT</v>
          </cell>
          <cell r="N3866">
            <v>55.460588793922099</v>
          </cell>
        </row>
        <row r="3867">
          <cell r="E3867" t="str">
            <v>HGC-Lib-2466497</v>
          </cell>
          <cell r="F3867">
            <v>19</v>
          </cell>
          <cell r="G3867">
            <v>6</v>
          </cell>
          <cell r="H3867" t="str">
            <v>mRNA文库</v>
          </cell>
          <cell r="I3867" t="str">
            <v>ZZ</v>
          </cell>
          <cell r="J3867">
            <v>14.9</v>
          </cell>
          <cell r="K3867">
            <v>402</v>
          </cell>
          <cell r="L3867" t="str">
            <v>YHT</v>
          </cell>
          <cell r="N3867">
            <v>57.022579410639104</v>
          </cell>
        </row>
        <row r="3868">
          <cell r="E3868" t="str">
            <v>HGC-Lib-2466498</v>
          </cell>
          <cell r="F3868">
            <v>20</v>
          </cell>
          <cell r="G3868">
            <v>6</v>
          </cell>
          <cell r="H3868" t="str">
            <v>mRNA文库</v>
          </cell>
          <cell r="I3868" t="str">
            <v>ZZ</v>
          </cell>
          <cell r="J3868">
            <v>16.100000000000001</v>
          </cell>
          <cell r="K3868">
            <v>395</v>
          </cell>
          <cell r="L3868" t="str">
            <v>YHT</v>
          </cell>
          <cell r="N3868">
            <v>62.706913339824702</v>
          </cell>
        </row>
        <row r="3869">
          <cell r="E3869" t="str">
            <v>HGC-Lib-2466499</v>
          </cell>
          <cell r="F3869">
            <v>21</v>
          </cell>
          <cell r="G3869">
            <v>6</v>
          </cell>
          <cell r="H3869" t="str">
            <v>mRNA文库</v>
          </cell>
          <cell r="I3869" t="str">
            <v>ZZ</v>
          </cell>
          <cell r="J3869">
            <v>15.2</v>
          </cell>
          <cell r="K3869">
            <v>399</v>
          </cell>
          <cell r="L3869" t="str">
            <v>YHT</v>
          </cell>
          <cell r="N3869">
            <v>58.608058608058599</v>
          </cell>
        </row>
        <row r="3870">
          <cell r="E3870" t="str">
            <v>HGC-Lib-2466500</v>
          </cell>
          <cell r="F3870">
            <v>22</v>
          </cell>
          <cell r="G3870">
            <v>6</v>
          </cell>
          <cell r="H3870" t="str">
            <v>mRNA文库</v>
          </cell>
          <cell r="I3870" t="str">
            <v>ZZ</v>
          </cell>
          <cell r="J3870">
            <v>15.9</v>
          </cell>
          <cell r="K3870">
            <v>395</v>
          </cell>
          <cell r="L3870" t="str">
            <v>YHT</v>
          </cell>
          <cell r="N3870">
            <v>61.927945472249299</v>
          </cell>
        </row>
        <row r="3871">
          <cell r="E3871" t="str">
            <v>HGC-Lib-2466501</v>
          </cell>
          <cell r="F3871">
            <v>23</v>
          </cell>
          <cell r="G3871">
            <v>6</v>
          </cell>
          <cell r="H3871" t="str">
            <v>mRNA文库</v>
          </cell>
          <cell r="I3871" t="str">
            <v>ZZ</v>
          </cell>
          <cell r="J3871">
            <v>13.6</v>
          </cell>
          <cell r="K3871">
            <v>392</v>
          </cell>
          <cell r="L3871" t="str">
            <v>YHT</v>
          </cell>
          <cell r="N3871">
            <v>53.3751962323391</v>
          </cell>
        </row>
        <row r="3872">
          <cell r="E3872" t="str">
            <v>HGC-Lib-2466502</v>
          </cell>
          <cell r="F3872">
            <v>24</v>
          </cell>
          <cell r="G3872">
            <v>6</v>
          </cell>
          <cell r="H3872" t="str">
            <v>mRNA文库</v>
          </cell>
          <cell r="I3872" t="str">
            <v>ZZ</v>
          </cell>
          <cell r="J3872">
            <v>15.5</v>
          </cell>
          <cell r="K3872">
            <v>400</v>
          </cell>
          <cell r="L3872" t="str">
            <v>YHT</v>
          </cell>
          <cell r="N3872">
            <v>59.615384615384599</v>
          </cell>
        </row>
        <row r="3873">
          <cell r="E3873" t="str">
            <v>HGC-Lib-2466504</v>
          </cell>
          <cell r="F3873" t="str">
            <v>Naive-1</v>
          </cell>
          <cell r="G3873">
            <v>10</v>
          </cell>
          <cell r="H3873" t="str">
            <v>mRNA文库</v>
          </cell>
          <cell r="I3873" t="str">
            <v>ZZ</v>
          </cell>
          <cell r="J3873">
            <v>14.7</v>
          </cell>
          <cell r="K3873">
            <v>364</v>
          </cell>
          <cell r="L3873" t="str">
            <v>YHT</v>
          </cell>
          <cell r="N3873">
            <v>62.130177514792898</v>
          </cell>
        </row>
        <row r="3874">
          <cell r="E3874" t="str">
            <v>HGC-Lib-2466505</v>
          </cell>
          <cell r="F3874" t="str">
            <v>Naive-2</v>
          </cell>
          <cell r="G3874">
            <v>10</v>
          </cell>
          <cell r="H3874" t="str">
            <v>mRNA文库</v>
          </cell>
          <cell r="I3874" t="str">
            <v>ZZ</v>
          </cell>
          <cell r="J3874">
            <v>15.6</v>
          </cell>
          <cell r="K3874">
            <v>378</v>
          </cell>
          <cell r="L3874" t="str">
            <v>YHT</v>
          </cell>
          <cell r="N3874">
            <v>63.492063492063501</v>
          </cell>
        </row>
        <row r="3875">
          <cell r="E3875" t="str">
            <v>HGC-Lib-2466506</v>
          </cell>
          <cell r="F3875" t="str">
            <v>CTV-lo-1</v>
          </cell>
          <cell r="G3875">
            <v>10</v>
          </cell>
          <cell r="H3875" t="str">
            <v>mRNA文库</v>
          </cell>
          <cell r="I3875" t="str">
            <v>ZZ</v>
          </cell>
          <cell r="J3875">
            <v>15.6</v>
          </cell>
          <cell r="K3875">
            <v>354</v>
          </cell>
          <cell r="L3875" t="str">
            <v>YHT</v>
          </cell>
          <cell r="N3875">
            <v>67.796610169491501</v>
          </cell>
        </row>
        <row r="3876">
          <cell r="E3876" t="str">
            <v>HGC-Lib-2466507</v>
          </cell>
          <cell r="F3876" t="str">
            <v>CTV-lo-2</v>
          </cell>
          <cell r="G3876">
            <v>10</v>
          </cell>
          <cell r="H3876" t="str">
            <v>mRNA文库</v>
          </cell>
          <cell r="I3876" t="str">
            <v>ZZ</v>
          </cell>
          <cell r="J3876">
            <v>15</v>
          </cell>
          <cell r="K3876">
            <v>369</v>
          </cell>
          <cell r="L3876" t="str">
            <v>YHT</v>
          </cell>
          <cell r="N3876">
            <v>62.5390869293308</v>
          </cell>
        </row>
        <row r="3877">
          <cell r="E3877" t="str">
            <v>HGC-Lib-2466508</v>
          </cell>
          <cell r="F3877" t="str">
            <v>CTV-hi-1</v>
          </cell>
          <cell r="G3877">
            <v>10</v>
          </cell>
          <cell r="H3877" t="str">
            <v>mRNA文库</v>
          </cell>
          <cell r="I3877" t="str">
            <v>ZZ</v>
          </cell>
          <cell r="J3877">
            <v>17</v>
          </cell>
          <cell r="K3877">
            <v>366</v>
          </cell>
          <cell r="L3877" t="str">
            <v>YHT</v>
          </cell>
          <cell r="N3877">
            <v>71.45859604876</v>
          </cell>
        </row>
        <row r="3878">
          <cell r="E3878" t="str">
            <v>HGC-Lib-2466509</v>
          </cell>
          <cell r="F3878" t="str">
            <v>CTV-hi-2</v>
          </cell>
          <cell r="G3878">
            <v>10</v>
          </cell>
          <cell r="H3878" t="str">
            <v>mRNA文库</v>
          </cell>
          <cell r="I3878" t="str">
            <v>ZZ</v>
          </cell>
          <cell r="J3878">
            <v>14.3</v>
          </cell>
          <cell r="K3878">
            <v>365</v>
          </cell>
          <cell r="L3878" t="str">
            <v>YHT</v>
          </cell>
          <cell r="N3878">
            <v>60.273972602739697</v>
          </cell>
        </row>
        <row r="3879">
          <cell r="E3879" t="str">
            <v>HGC-Lib-2466510</v>
          </cell>
          <cell r="F3879" t="str">
            <v>jurkat-CY-PAM-iono</v>
          </cell>
          <cell r="G3879">
            <v>20</v>
          </cell>
          <cell r="H3879" t="str">
            <v>mRNA文库</v>
          </cell>
          <cell r="I3879" t="str">
            <v>XCL</v>
          </cell>
          <cell r="J3879">
            <v>32.200000000000003</v>
          </cell>
          <cell r="K3879">
            <v>341</v>
          </cell>
          <cell r="L3879" t="str">
            <v>YHT</v>
          </cell>
          <cell r="N3879">
            <v>145.27408075795199</v>
          </cell>
        </row>
        <row r="3880">
          <cell r="E3880" t="str">
            <v>HGC-Lib-2466511</v>
          </cell>
          <cell r="F3880" t="str">
            <v>jurkat-CYjiaPAMjiaiono</v>
          </cell>
          <cell r="G3880">
            <v>20</v>
          </cell>
          <cell r="H3880" t="str">
            <v>mRNA文库</v>
          </cell>
          <cell r="I3880" t="str">
            <v>XCL</v>
          </cell>
          <cell r="J3880">
            <v>40.200000000000003</v>
          </cell>
          <cell r="K3880">
            <v>389</v>
          </cell>
          <cell r="L3880" t="str">
            <v>YHT</v>
          </cell>
          <cell r="N3880">
            <v>158.987542020961</v>
          </cell>
        </row>
        <row r="3881">
          <cell r="E3881" t="str">
            <v>HGC-Lib-2466512</v>
          </cell>
          <cell r="F3881" t="str">
            <v>jurkat-NP-PAM-iono</v>
          </cell>
          <cell r="G3881">
            <v>20</v>
          </cell>
          <cell r="H3881" t="str">
            <v>mRNA文库</v>
          </cell>
          <cell r="I3881" t="str">
            <v>XCL</v>
          </cell>
          <cell r="J3881">
            <v>21.4</v>
          </cell>
          <cell r="K3881">
            <v>389</v>
          </cell>
          <cell r="L3881" t="str">
            <v>YHT</v>
          </cell>
          <cell r="N3881">
            <v>84.635159185287705</v>
          </cell>
        </row>
        <row r="3882">
          <cell r="E3882" t="str">
            <v>HGC-Lib-2466513</v>
          </cell>
          <cell r="F3882" t="str">
            <v>jurkat-NPjiaPAMjiaiono</v>
          </cell>
          <cell r="G3882">
            <v>20</v>
          </cell>
          <cell r="H3882" t="str">
            <v>mRNA文库</v>
          </cell>
          <cell r="I3882" t="str">
            <v>XCL</v>
          </cell>
          <cell r="J3882">
            <v>29</v>
          </cell>
          <cell r="K3882">
            <v>403</v>
          </cell>
          <cell r="L3882" t="str">
            <v>YHT</v>
          </cell>
          <cell r="N3882">
            <v>110.70815041038399</v>
          </cell>
        </row>
        <row r="3883">
          <cell r="E3883" t="str">
            <v>HGC-Lib-2466514</v>
          </cell>
          <cell r="F3883" t="str">
            <v>jurkat-CH-PAM-iono</v>
          </cell>
          <cell r="G3883">
            <v>20</v>
          </cell>
          <cell r="H3883" t="str">
            <v>mRNA文库</v>
          </cell>
          <cell r="I3883" t="str">
            <v>XCL</v>
          </cell>
          <cell r="J3883">
            <v>42.8</v>
          </cell>
          <cell r="K3883">
            <v>365</v>
          </cell>
          <cell r="L3883" t="str">
            <v>YHT</v>
          </cell>
          <cell r="N3883">
            <v>180.40042149631199</v>
          </cell>
        </row>
        <row r="3884">
          <cell r="E3884" t="str">
            <v>HGC-Lib-2466515</v>
          </cell>
          <cell r="F3884" t="str">
            <v>jurkat-CHjiaPAMjiaiono</v>
          </cell>
          <cell r="G3884">
            <v>20</v>
          </cell>
          <cell r="H3884" t="str">
            <v>mRNA文库</v>
          </cell>
          <cell r="I3884" t="str">
            <v>XCL</v>
          </cell>
          <cell r="J3884">
            <v>42.4</v>
          </cell>
          <cell r="K3884">
            <v>356</v>
          </cell>
          <cell r="L3884" t="str">
            <v>YHT</v>
          </cell>
          <cell r="N3884">
            <v>183.23249783923899</v>
          </cell>
        </row>
        <row r="3885">
          <cell r="E3885" t="str">
            <v>HGC-Lib-2466516</v>
          </cell>
          <cell r="F3885" t="str">
            <v>w-H3K27ac</v>
          </cell>
          <cell r="G3885">
            <v>6</v>
          </cell>
          <cell r="H3885" t="str">
            <v>cut&amp;tag文库</v>
          </cell>
          <cell r="I3885" t="str">
            <v>XCL</v>
          </cell>
          <cell r="J3885" t="str">
            <v>/</v>
          </cell>
          <cell r="K3885" t="str">
            <v>/</v>
          </cell>
          <cell r="L3885" t="str">
            <v>WWH</v>
          </cell>
          <cell r="N3885" t="e">
            <v>#VALUE!</v>
          </cell>
        </row>
        <row r="3886">
          <cell r="E3886" t="str">
            <v>HGC-Lib-2466517</v>
          </cell>
          <cell r="F3886" t="str">
            <v>s-H3K27ac</v>
          </cell>
          <cell r="G3886">
            <v>6</v>
          </cell>
          <cell r="H3886" t="str">
            <v>cut&amp;tag文库</v>
          </cell>
          <cell r="I3886" t="str">
            <v>XCL</v>
          </cell>
          <cell r="J3886">
            <v>0.122</v>
          </cell>
          <cell r="K3886">
            <v>455</v>
          </cell>
          <cell r="L3886" t="str">
            <v>WWH</v>
          </cell>
          <cell r="N3886">
            <v>0.41251056635672001</v>
          </cell>
        </row>
        <row r="3887">
          <cell r="E3887" t="str">
            <v>HGC-Lib-2466518</v>
          </cell>
          <cell r="F3887" t="str">
            <v>NC</v>
          </cell>
          <cell r="G3887">
            <v>6</v>
          </cell>
          <cell r="H3887" t="str">
            <v>ATAC-Seq文库</v>
          </cell>
          <cell r="I3887" t="str">
            <v>XCL</v>
          </cell>
          <cell r="J3887">
            <v>10.5</v>
          </cell>
          <cell r="K3887">
            <v>271</v>
          </cell>
          <cell r="L3887" t="str">
            <v>YHT</v>
          </cell>
          <cell r="N3887">
            <v>59.608288390576199</v>
          </cell>
        </row>
        <row r="3888">
          <cell r="E3888" t="str">
            <v>HGC-Lib-2466519</v>
          </cell>
          <cell r="F3888" t="str">
            <v>si</v>
          </cell>
          <cell r="G3888">
            <v>6</v>
          </cell>
          <cell r="H3888" t="str">
            <v>ATAC-Seq文库</v>
          </cell>
          <cell r="I3888" t="str">
            <v>XCL</v>
          </cell>
          <cell r="J3888">
            <v>15.3</v>
          </cell>
          <cell r="K3888">
            <v>271</v>
          </cell>
          <cell r="L3888" t="str">
            <v>YHT</v>
          </cell>
          <cell r="N3888">
            <v>86.857791654839602</v>
          </cell>
        </row>
        <row r="3889">
          <cell r="E3889" t="str">
            <v>HGC-Lib-2466520</v>
          </cell>
          <cell r="F3889">
            <v>1</v>
          </cell>
          <cell r="G3889">
            <v>6</v>
          </cell>
          <cell r="H3889" t="str">
            <v>cut&amp;tag文库</v>
          </cell>
          <cell r="I3889" t="str">
            <v>XCL</v>
          </cell>
          <cell r="J3889">
            <v>0.56999999999999995</v>
          </cell>
          <cell r="K3889">
            <v>444</v>
          </cell>
          <cell r="L3889" t="str">
            <v>WWH</v>
          </cell>
          <cell r="N3889">
            <v>1.9750519750519699</v>
          </cell>
        </row>
        <row r="3890">
          <cell r="E3890" t="str">
            <v>HGC-Lib-2466521</v>
          </cell>
          <cell r="F3890">
            <v>2</v>
          </cell>
          <cell r="G3890">
            <v>6</v>
          </cell>
          <cell r="H3890" t="str">
            <v>cut&amp;tag文库</v>
          </cell>
          <cell r="I3890" t="str">
            <v>XCL</v>
          </cell>
          <cell r="J3890">
            <v>0.88</v>
          </cell>
          <cell r="K3890">
            <v>446</v>
          </cell>
          <cell r="L3890" t="str">
            <v>WWH</v>
          </cell>
          <cell r="N3890">
            <v>3.0355294929286001</v>
          </cell>
        </row>
        <row r="3891">
          <cell r="E3891" t="str">
            <v>HGC-Lib-2466522</v>
          </cell>
          <cell r="F3891">
            <v>3</v>
          </cell>
          <cell r="G3891">
            <v>6</v>
          </cell>
          <cell r="H3891" t="str">
            <v>cut&amp;tag文库</v>
          </cell>
          <cell r="I3891" t="str">
            <v>XCL</v>
          </cell>
          <cell r="J3891">
            <v>0.754</v>
          </cell>
          <cell r="K3891">
            <v>451</v>
          </cell>
          <cell r="L3891" t="str">
            <v>WWH</v>
          </cell>
          <cell r="N3891">
            <v>2.5720620842572099</v>
          </cell>
        </row>
        <row r="3892">
          <cell r="E3892" t="str">
            <v>HGC-Lib-2466523</v>
          </cell>
          <cell r="F3892">
            <v>4</v>
          </cell>
          <cell r="G3892">
            <v>6</v>
          </cell>
          <cell r="H3892" t="str">
            <v>cut&amp;tag文库</v>
          </cell>
          <cell r="I3892" t="str">
            <v>XCL</v>
          </cell>
          <cell r="J3892">
            <v>0.69799999999999995</v>
          </cell>
          <cell r="K3892">
            <v>461</v>
          </cell>
          <cell r="L3892" t="str">
            <v>WWH</v>
          </cell>
          <cell r="N3892">
            <v>2.3293842816619401</v>
          </cell>
        </row>
        <row r="3893">
          <cell r="E3893" t="str">
            <v>HGC-Lib-2466524</v>
          </cell>
          <cell r="F3893">
            <v>5</v>
          </cell>
          <cell r="G3893">
            <v>6</v>
          </cell>
          <cell r="H3893" t="str">
            <v>cut&amp;tag文库</v>
          </cell>
          <cell r="I3893" t="str">
            <v>XCL</v>
          </cell>
          <cell r="J3893">
            <v>0.56399999999999995</v>
          </cell>
          <cell r="K3893">
            <v>457</v>
          </cell>
          <cell r="L3893" t="str">
            <v>WWH</v>
          </cell>
          <cell r="N3893">
            <v>1.8986702575323999</v>
          </cell>
        </row>
        <row r="3894">
          <cell r="E3894" t="str">
            <v>HGC-Lib-2466525</v>
          </cell>
          <cell r="F3894">
            <v>6</v>
          </cell>
          <cell r="G3894">
            <v>6</v>
          </cell>
          <cell r="H3894" t="str">
            <v>cut&amp;tag文库</v>
          </cell>
          <cell r="I3894" t="str">
            <v>XCL</v>
          </cell>
          <cell r="J3894">
            <v>0.314</v>
          </cell>
          <cell r="K3894">
            <v>372</v>
          </cell>
          <cell r="L3894" t="str">
            <v>WWH</v>
          </cell>
          <cell r="N3894">
            <v>1.2985938792390399</v>
          </cell>
        </row>
        <row r="3895">
          <cell r="E3895" t="str">
            <v>HGC-POOL-2466526</v>
          </cell>
          <cell r="F3895" t="str">
            <v>R0-8-14_ChIP-seq</v>
          </cell>
          <cell r="G3895">
            <v>60</v>
          </cell>
          <cell r="H3895" t="str">
            <v>Chip-Seq</v>
          </cell>
          <cell r="I3895" t="str">
            <v>XCL</v>
          </cell>
          <cell r="J3895">
            <v>11.2</v>
          </cell>
          <cell r="K3895">
            <v>406</v>
          </cell>
          <cell r="L3895" t="str">
            <v>YHT</v>
          </cell>
          <cell r="N3895">
            <v>42.440318302387297</v>
          </cell>
        </row>
        <row r="3896">
          <cell r="E3896" t="str">
            <v>HGC-POOL-2466527</v>
          </cell>
          <cell r="F3896" t="str">
            <v>HTG0815</v>
          </cell>
          <cell r="G3896">
            <v>20</v>
          </cell>
          <cell r="H3896" t="str">
            <v>甲基化文库</v>
          </cell>
          <cell r="I3896" t="str">
            <v>XCL</v>
          </cell>
          <cell r="J3896">
            <v>6.14</v>
          </cell>
          <cell r="K3896">
            <v>218</v>
          </cell>
          <cell r="L3896" t="str">
            <v>YHT</v>
          </cell>
          <cell r="N3896">
            <v>43.330980945659803</v>
          </cell>
        </row>
        <row r="3897">
          <cell r="E3897" t="str">
            <v>HGC-Lib-2466537</v>
          </cell>
          <cell r="F3897" t="str">
            <v>IP NC</v>
          </cell>
          <cell r="G3897">
            <v>8</v>
          </cell>
          <cell r="H3897" t="str">
            <v>Chip文库</v>
          </cell>
          <cell r="I3897" t="str">
            <v>XCL</v>
          </cell>
          <cell r="J3897">
            <v>0.16800000000000001</v>
          </cell>
          <cell r="K3897">
            <v>486</v>
          </cell>
          <cell r="L3897" t="str">
            <v>WWH</v>
          </cell>
          <cell r="N3897">
            <v>0.53181386514719897</v>
          </cell>
        </row>
        <row r="3898">
          <cell r="E3898" t="str">
            <v>HGC-Lib-2466538</v>
          </cell>
          <cell r="F3898" t="str">
            <v>NC 1</v>
          </cell>
          <cell r="G3898">
            <v>8</v>
          </cell>
          <cell r="H3898" t="str">
            <v>Chip文库</v>
          </cell>
          <cell r="I3898" t="str">
            <v>XCL</v>
          </cell>
          <cell r="J3898">
            <v>2.4</v>
          </cell>
          <cell r="K3898">
            <v>522</v>
          </cell>
          <cell r="L3898" t="str">
            <v>YHT</v>
          </cell>
          <cell r="N3898">
            <v>7.0733863837312096</v>
          </cell>
        </row>
        <row r="3899">
          <cell r="E3899" t="str">
            <v>HGC-Lib-2466539</v>
          </cell>
          <cell r="F3899" t="str">
            <v>NC2</v>
          </cell>
          <cell r="G3899">
            <v>8</v>
          </cell>
          <cell r="H3899" t="str">
            <v>Chip文库</v>
          </cell>
          <cell r="I3899" t="str">
            <v>XCL</v>
          </cell>
          <cell r="J3899" t="str">
            <v>/</v>
          </cell>
          <cell r="K3899" t="str">
            <v>/</v>
          </cell>
          <cell r="L3899" t="str">
            <v>WWH</v>
          </cell>
          <cell r="N3899" t="e">
            <v>#VALUE!</v>
          </cell>
        </row>
        <row r="3900">
          <cell r="E3900" t="str">
            <v>HGC-Lib-2466540</v>
          </cell>
          <cell r="F3900" t="str">
            <v>IP OV</v>
          </cell>
          <cell r="G3900">
            <v>8</v>
          </cell>
          <cell r="H3900" t="str">
            <v>Chip文库</v>
          </cell>
          <cell r="I3900" t="str">
            <v>XCL</v>
          </cell>
          <cell r="J3900">
            <v>3.96</v>
          </cell>
          <cell r="K3900">
            <v>491</v>
          </cell>
          <cell r="L3900" t="str">
            <v>YHT</v>
          </cell>
          <cell r="N3900">
            <v>12.407958640137901</v>
          </cell>
        </row>
        <row r="3901">
          <cell r="E3901" t="str">
            <v>HGC-Lib-2466541</v>
          </cell>
          <cell r="F3901" t="str">
            <v>OV 1</v>
          </cell>
          <cell r="G3901">
            <v>8</v>
          </cell>
          <cell r="H3901" t="str">
            <v>Chip文库</v>
          </cell>
          <cell r="I3901" t="str">
            <v>XCL</v>
          </cell>
          <cell r="J3901">
            <v>0.41599999999999998</v>
          </cell>
          <cell r="K3901">
            <v>462</v>
          </cell>
          <cell r="L3901" t="str">
            <v>WWH</v>
          </cell>
          <cell r="N3901">
            <v>1.3852813852813901</v>
          </cell>
        </row>
        <row r="3902">
          <cell r="E3902" t="str">
            <v>HGC-Lib-2466542</v>
          </cell>
          <cell r="F3902" t="str">
            <v>OV 2</v>
          </cell>
          <cell r="G3902">
            <v>8</v>
          </cell>
          <cell r="H3902" t="str">
            <v>Chip文库</v>
          </cell>
          <cell r="I3902" t="str">
            <v>XCL</v>
          </cell>
          <cell r="J3902">
            <v>0.11</v>
          </cell>
          <cell r="K3902">
            <v>406</v>
          </cell>
          <cell r="L3902" t="str">
            <v>WWH</v>
          </cell>
          <cell r="N3902">
            <v>0.41682455475558899</v>
          </cell>
        </row>
        <row r="3903">
          <cell r="E3903" t="str">
            <v>HGC-Lib-2466543</v>
          </cell>
          <cell r="F3903" t="str">
            <v>OV 3</v>
          </cell>
          <cell r="G3903">
            <v>8</v>
          </cell>
          <cell r="H3903" t="str">
            <v>Chip文库</v>
          </cell>
          <cell r="I3903" t="str">
            <v>XCL</v>
          </cell>
          <cell r="J3903">
            <v>0.14199999999999999</v>
          </cell>
          <cell r="K3903">
            <v>402</v>
          </cell>
          <cell r="L3903" t="str">
            <v>WWH</v>
          </cell>
          <cell r="N3903">
            <v>0.54343666283964798</v>
          </cell>
        </row>
        <row r="3904">
          <cell r="E3904" t="str">
            <v>HGC-Lib-2466544</v>
          </cell>
          <cell r="F3904" t="str">
            <v>ICC CD8_WTA index PCR</v>
          </cell>
          <cell r="G3904">
            <v>200</v>
          </cell>
          <cell r="H3904" t="str">
            <v>BD单细胞文库</v>
          </cell>
          <cell r="I3904" t="str">
            <v>XCL</v>
          </cell>
          <cell r="J3904">
            <v>16.3</v>
          </cell>
          <cell r="K3904">
            <v>469</v>
          </cell>
          <cell r="L3904" t="str">
            <v>YHT</v>
          </cell>
          <cell r="N3904">
            <v>53.468919140560899</v>
          </cell>
        </row>
        <row r="3905">
          <cell r="E3905" t="str">
            <v>HGC-Lib-2466545</v>
          </cell>
          <cell r="F3905" t="str">
            <v>ICC CD8_Sample tag index PCR</v>
          </cell>
          <cell r="G3905">
            <v>6</v>
          </cell>
          <cell r="H3905" t="str">
            <v>BD单细胞文库</v>
          </cell>
          <cell r="I3905" t="str">
            <v>XCL</v>
          </cell>
          <cell r="J3905">
            <v>5.32</v>
          </cell>
          <cell r="K3905">
            <v>306</v>
          </cell>
          <cell r="L3905" t="str">
            <v>YHT</v>
          </cell>
          <cell r="N3905">
            <v>26.747109100050299</v>
          </cell>
        </row>
        <row r="3906">
          <cell r="E3906" t="str">
            <v>HGC-Lib-2466552</v>
          </cell>
          <cell r="F3906" t="str">
            <v>EB1-3</v>
          </cell>
          <cell r="G3906">
            <v>5</v>
          </cell>
          <cell r="H3906" t="str">
            <v>scBS-seq文库</v>
          </cell>
          <cell r="I3906" t="str">
            <v>XCL</v>
          </cell>
          <cell r="J3906">
            <v>6.76</v>
          </cell>
          <cell r="K3906">
            <v>519</v>
          </cell>
          <cell r="L3906" t="str">
            <v>YHT</v>
          </cell>
          <cell r="N3906">
            <v>20.038535645472098</v>
          </cell>
        </row>
        <row r="3907">
          <cell r="E3907" t="str">
            <v>HGC-Lib-2466553</v>
          </cell>
          <cell r="F3907" t="str">
            <v>EB2-3</v>
          </cell>
          <cell r="G3907">
            <v>5</v>
          </cell>
          <cell r="H3907" t="str">
            <v>scBS-seq文库</v>
          </cell>
          <cell r="I3907" t="str">
            <v>XCL</v>
          </cell>
          <cell r="J3907">
            <v>9.5399999999999991</v>
          </cell>
          <cell r="K3907">
            <v>528</v>
          </cell>
          <cell r="L3907" t="str">
            <v>YHT</v>
          </cell>
          <cell r="N3907">
            <v>27.7972027972028</v>
          </cell>
        </row>
        <row r="3908">
          <cell r="E3908" t="str">
            <v>HGC-Lib-2466554</v>
          </cell>
          <cell r="F3908" t="str">
            <v>EB2-4</v>
          </cell>
          <cell r="G3908">
            <v>5</v>
          </cell>
          <cell r="H3908" t="str">
            <v>scBS-seq文库</v>
          </cell>
          <cell r="I3908" t="str">
            <v>XCL</v>
          </cell>
          <cell r="J3908">
            <v>7.8</v>
          </cell>
          <cell r="K3908">
            <v>518</v>
          </cell>
          <cell r="L3908" t="str">
            <v>YHT</v>
          </cell>
          <cell r="N3908">
            <v>23.166023166023201</v>
          </cell>
        </row>
        <row r="3909">
          <cell r="E3909" t="str">
            <v>HGC-Lib-2466555</v>
          </cell>
          <cell r="F3909" t="str">
            <v>EB3-3</v>
          </cell>
          <cell r="G3909">
            <v>5</v>
          </cell>
          <cell r="H3909" t="str">
            <v>scBS-seq文库</v>
          </cell>
          <cell r="I3909" t="str">
            <v>XCL</v>
          </cell>
          <cell r="J3909">
            <v>6.78</v>
          </cell>
          <cell r="K3909">
            <v>505</v>
          </cell>
          <cell r="L3909" t="str">
            <v>YHT</v>
          </cell>
          <cell r="N3909">
            <v>20.654988575780699</v>
          </cell>
        </row>
        <row r="3910">
          <cell r="E3910" t="str">
            <v>HGC-Lib-2466556</v>
          </cell>
          <cell r="F3910" t="str">
            <v>EB3-4</v>
          </cell>
          <cell r="G3910">
            <v>5</v>
          </cell>
          <cell r="H3910" t="str">
            <v>scBS-seq文库</v>
          </cell>
          <cell r="I3910" t="str">
            <v>XCL</v>
          </cell>
          <cell r="J3910">
            <v>10.199999999999999</v>
          </cell>
          <cell r="K3910">
            <v>526</v>
          </cell>
          <cell r="L3910" t="str">
            <v>YHT</v>
          </cell>
          <cell r="N3910">
            <v>29.833284586136301</v>
          </cell>
        </row>
        <row r="3911">
          <cell r="E3911" t="str">
            <v>HGC-Lib-2466557</v>
          </cell>
          <cell r="F3911" t="str">
            <v>EB5-3</v>
          </cell>
          <cell r="G3911">
            <v>5</v>
          </cell>
          <cell r="H3911" t="str">
            <v>scBS-seq文库</v>
          </cell>
          <cell r="I3911" t="str">
            <v>XCL</v>
          </cell>
          <cell r="J3911">
            <v>8.64</v>
          </cell>
          <cell r="K3911">
            <v>470</v>
          </cell>
          <cell r="L3911" t="str">
            <v>YHT</v>
          </cell>
          <cell r="N3911">
            <v>28.281505728314201</v>
          </cell>
        </row>
        <row r="3912">
          <cell r="E3912" t="str">
            <v>HGC-Lib-2466558</v>
          </cell>
          <cell r="F3912" t="str">
            <v>ZSZHATAC</v>
          </cell>
          <cell r="G3912">
            <v>10</v>
          </cell>
          <cell r="H3912" t="str">
            <v>ATAC-Seq文库</v>
          </cell>
          <cell r="I3912" t="str">
            <v>XCL</v>
          </cell>
          <cell r="J3912">
            <v>37.799999999999997</v>
          </cell>
          <cell r="K3912">
            <v>732</v>
          </cell>
          <cell r="L3912" t="str">
            <v>YHT</v>
          </cell>
          <cell r="N3912">
            <v>79.445145018915497</v>
          </cell>
        </row>
        <row r="3913">
          <cell r="E3913" t="str">
            <v>HGC-Lib-2466559</v>
          </cell>
          <cell r="F3913" t="str">
            <v>ZHZSATAC</v>
          </cell>
          <cell r="G3913">
            <v>10</v>
          </cell>
          <cell r="H3913" t="str">
            <v>ATAC-Seq文库</v>
          </cell>
          <cell r="I3913" t="str">
            <v>XCL</v>
          </cell>
          <cell r="J3913">
            <v>50.4</v>
          </cell>
          <cell r="K3913">
            <v>727</v>
          </cell>
          <cell r="L3913" t="str">
            <v>YHT</v>
          </cell>
          <cell r="N3913">
            <v>106.655380383028</v>
          </cell>
        </row>
        <row r="3914">
          <cell r="E3914" t="str">
            <v>HGC-Lib-2466560</v>
          </cell>
          <cell r="F3914" t="str">
            <v>0819X1</v>
          </cell>
          <cell r="G3914">
            <v>1000</v>
          </cell>
          <cell r="I3914" t="str">
            <v>XCL</v>
          </cell>
          <cell r="J3914">
            <v>13</v>
          </cell>
          <cell r="K3914">
            <v>363</v>
          </cell>
          <cell r="L3914" t="str">
            <v>YHT</v>
          </cell>
          <cell r="N3914">
            <v>55.096418732782404</v>
          </cell>
        </row>
        <row r="3915">
          <cell r="E3915" t="str">
            <v>HGC-Lib-2466561</v>
          </cell>
          <cell r="F3915" t="str">
            <v>ESCA-1</v>
          </cell>
          <cell r="G3915">
            <v>18</v>
          </cell>
          <cell r="H3915" t="str">
            <v>ATAC-Seq文库</v>
          </cell>
          <cell r="I3915" t="str">
            <v>XCL</v>
          </cell>
          <cell r="J3915">
            <v>3.32</v>
          </cell>
          <cell r="K3915">
            <v>259</v>
          </cell>
          <cell r="L3915" t="str">
            <v>YHT</v>
          </cell>
          <cell r="N3915">
            <v>19.720819720819701</v>
          </cell>
        </row>
        <row r="3916">
          <cell r="E3916" t="str">
            <v>HGC-Lib-2466562</v>
          </cell>
          <cell r="F3916" t="str">
            <v>ESCA-2</v>
          </cell>
          <cell r="G3916">
            <v>18</v>
          </cell>
          <cell r="H3916" t="str">
            <v>ATAC-Seq文库</v>
          </cell>
          <cell r="I3916" t="str">
            <v>XCL</v>
          </cell>
          <cell r="J3916">
            <v>4.76</v>
          </cell>
          <cell r="K3916">
            <v>281</v>
          </cell>
          <cell r="L3916" t="str">
            <v>YHT</v>
          </cell>
          <cell r="N3916">
            <v>26.060771968245302</v>
          </cell>
        </row>
        <row r="3917">
          <cell r="E3917" t="str">
            <v>HGC-Lib-2466563</v>
          </cell>
          <cell r="F3917" t="str">
            <v>ESCA-1-cfDNA</v>
          </cell>
          <cell r="G3917">
            <v>120</v>
          </cell>
          <cell r="H3917" t="str">
            <v>全基因组文库</v>
          </cell>
          <cell r="I3917" t="str">
            <v>XCL</v>
          </cell>
          <cell r="J3917">
            <v>3.68</v>
          </cell>
          <cell r="K3917">
            <v>328</v>
          </cell>
          <cell r="L3917" t="str">
            <v>YHT</v>
          </cell>
          <cell r="N3917">
            <v>17.260787992495299</v>
          </cell>
        </row>
        <row r="3918">
          <cell r="E3918" t="str">
            <v>HGC-Lib-2466564</v>
          </cell>
          <cell r="F3918" t="str">
            <v>ESCA-2-cfDNA</v>
          </cell>
          <cell r="G3918">
            <v>120</v>
          </cell>
          <cell r="H3918" t="str">
            <v>全基因组文库</v>
          </cell>
          <cell r="I3918" t="str">
            <v>XCL</v>
          </cell>
          <cell r="J3918">
            <v>3.5</v>
          </cell>
          <cell r="K3918">
            <v>326</v>
          </cell>
          <cell r="L3918" t="str">
            <v>YHT</v>
          </cell>
          <cell r="N3918">
            <v>16.517225106182199</v>
          </cell>
        </row>
        <row r="3919">
          <cell r="E3919" t="str">
            <v>HGC-Lib-2466578</v>
          </cell>
          <cell r="F3919" t="str">
            <v>LC240814094</v>
          </cell>
          <cell r="G3919">
            <v>100</v>
          </cell>
          <cell r="H3919" t="str">
            <v>singleron-3'转录组文库</v>
          </cell>
          <cell r="I3919" t="str">
            <v>GZQ</v>
          </cell>
          <cell r="J3919">
            <v>20.2</v>
          </cell>
          <cell r="N3919" t="e">
            <v>#DIV/0!</v>
          </cell>
        </row>
        <row r="3920">
          <cell r="E3920" t="str">
            <v>HGC-Lib-2466579</v>
          </cell>
          <cell r="F3920" t="str">
            <v>LA240813008</v>
          </cell>
          <cell r="G3920">
            <v>100</v>
          </cell>
          <cell r="H3920" t="str">
            <v>singleron-3'转录组文库</v>
          </cell>
          <cell r="I3920" t="str">
            <v>GZQ</v>
          </cell>
          <cell r="J3920">
            <v>0.33200000000000002</v>
          </cell>
          <cell r="N3920" t="e">
            <v>#DIV/0!</v>
          </cell>
        </row>
        <row r="3921">
          <cell r="E3921" t="str">
            <v>HGC-Lib-2466580</v>
          </cell>
          <cell r="F3921" t="str">
            <v>LC240711045</v>
          </cell>
          <cell r="G3921">
            <v>100</v>
          </cell>
          <cell r="H3921" t="str">
            <v>singleron-3'转录组文库</v>
          </cell>
          <cell r="I3921" t="str">
            <v>GZQ</v>
          </cell>
          <cell r="J3921">
            <v>37</v>
          </cell>
          <cell r="N3921" t="e">
            <v>#DIV/0!</v>
          </cell>
        </row>
        <row r="3922">
          <cell r="E3922" t="str">
            <v>HGC-Lib-2466581</v>
          </cell>
          <cell r="F3922" t="str">
            <v>LC240706037</v>
          </cell>
          <cell r="G3922">
            <v>100</v>
          </cell>
          <cell r="H3922" t="str">
            <v>singleron-3'转录组文库</v>
          </cell>
          <cell r="I3922" t="str">
            <v>GZQ</v>
          </cell>
          <cell r="J3922">
            <v>18.7</v>
          </cell>
          <cell r="N3922" t="e">
            <v>#DIV/0!</v>
          </cell>
        </row>
        <row r="3923">
          <cell r="E3923" t="str">
            <v>HGC-Lib-2466582</v>
          </cell>
          <cell r="F3923" t="str">
            <v>LC240706038X2</v>
          </cell>
          <cell r="G3923">
            <v>10</v>
          </cell>
          <cell r="H3923" t="str">
            <v>singleron-3'转录组文库</v>
          </cell>
          <cell r="I3923" t="str">
            <v>GZQ</v>
          </cell>
          <cell r="J3923">
            <v>15.7</v>
          </cell>
          <cell r="N3923" t="e">
            <v>#DIV/0!</v>
          </cell>
        </row>
        <row r="3924">
          <cell r="E3924" t="str">
            <v>HGC-Lib-2466583</v>
          </cell>
          <cell r="F3924" t="str">
            <v>LC240706038</v>
          </cell>
          <cell r="G3924">
            <v>10</v>
          </cell>
          <cell r="H3924" t="str">
            <v>singleron-3'转录组文库</v>
          </cell>
          <cell r="I3924" t="str">
            <v>GZQ</v>
          </cell>
          <cell r="J3924">
            <v>27.8</v>
          </cell>
          <cell r="N3924" t="e">
            <v>#DIV/0!</v>
          </cell>
        </row>
        <row r="3925">
          <cell r="E3925" t="str">
            <v>HGC-Lib-2466584</v>
          </cell>
          <cell r="F3925" t="str">
            <v>LC240711046</v>
          </cell>
          <cell r="G3925">
            <v>100</v>
          </cell>
          <cell r="H3925" t="str">
            <v>singleron-3'转录组文库</v>
          </cell>
          <cell r="I3925" t="str">
            <v>GZQ</v>
          </cell>
          <cell r="J3925">
            <v>22.6</v>
          </cell>
          <cell r="N3925" t="e">
            <v>#DIV/0!</v>
          </cell>
        </row>
        <row r="3926">
          <cell r="E3926" t="str">
            <v>HGC-Lib-2466585</v>
          </cell>
          <cell r="F3926" t="str">
            <v>LC240705039</v>
          </cell>
          <cell r="G3926">
            <v>100</v>
          </cell>
          <cell r="H3926" t="str">
            <v>singleron-3'转录组文库</v>
          </cell>
          <cell r="I3926" t="str">
            <v>GZQ</v>
          </cell>
          <cell r="J3926">
            <v>25</v>
          </cell>
          <cell r="N3926" t="e">
            <v>#DIV/0!</v>
          </cell>
        </row>
        <row r="3927">
          <cell r="E3927" t="str">
            <v>HGC-Lib-2466586</v>
          </cell>
          <cell r="F3927" t="str">
            <v>LC240705038</v>
          </cell>
          <cell r="G3927">
            <v>100</v>
          </cell>
          <cell r="H3927" t="str">
            <v>singleron-3'转录组文库</v>
          </cell>
          <cell r="I3927" t="str">
            <v>GZQ</v>
          </cell>
          <cell r="J3927">
            <v>31.6</v>
          </cell>
          <cell r="N3927" t="e">
            <v>#DIV/0!</v>
          </cell>
        </row>
        <row r="3928">
          <cell r="E3928" t="str">
            <v>HGC-Lib-2466587</v>
          </cell>
          <cell r="F3928" t="str">
            <v>LFTA240813029</v>
          </cell>
          <cell r="G3928">
            <v>100</v>
          </cell>
          <cell r="H3928" t="str">
            <v>singleron-3'全长转录组文库</v>
          </cell>
          <cell r="I3928" t="str">
            <v>GZQ</v>
          </cell>
          <cell r="J3928">
            <v>21</v>
          </cell>
          <cell r="N3928" t="e">
            <v>#DIV/0!</v>
          </cell>
        </row>
        <row r="3929">
          <cell r="E3929" t="str">
            <v>HGC-Lib-2466588</v>
          </cell>
          <cell r="F3929" t="str">
            <v>TCRLFTA240813029</v>
          </cell>
          <cell r="G3929">
            <v>12</v>
          </cell>
          <cell r="H3929" t="str">
            <v>singleron-单细胞TCR文库</v>
          </cell>
          <cell r="I3929" t="str">
            <v>GZQ</v>
          </cell>
          <cell r="J3929">
            <v>27.4</v>
          </cell>
          <cell r="N3929" t="e">
            <v>#DIV/0!</v>
          </cell>
        </row>
        <row r="3930">
          <cell r="E3930" t="str">
            <v>HGC-Lib-2466589</v>
          </cell>
          <cell r="F3930" t="str">
            <v>LC240814016X1</v>
          </cell>
          <cell r="G3930">
            <v>10</v>
          </cell>
          <cell r="H3930" t="str">
            <v>singleron-3'转录组文库</v>
          </cell>
          <cell r="I3930" t="str">
            <v>GZQ</v>
          </cell>
          <cell r="J3930">
            <v>14.4</v>
          </cell>
          <cell r="N3930" t="e">
            <v>#DIV/0!</v>
          </cell>
        </row>
        <row r="3931">
          <cell r="E3931" t="str">
            <v>HGC-Lib-2466590</v>
          </cell>
          <cell r="F3931" t="str">
            <v>LC240814016X2</v>
          </cell>
          <cell r="G3931">
            <v>10</v>
          </cell>
          <cell r="H3931" t="str">
            <v>singleron-3'转录组文库</v>
          </cell>
          <cell r="I3931" t="str">
            <v>GZQ</v>
          </cell>
          <cell r="J3931">
            <v>17.100000000000001</v>
          </cell>
          <cell r="N3931" t="e">
            <v>#DIV/0!</v>
          </cell>
        </row>
        <row r="3932">
          <cell r="E3932" t="str">
            <v>HGC-Lib-2466591</v>
          </cell>
          <cell r="F3932" t="str">
            <v>LFTBA240815034</v>
          </cell>
          <cell r="G3932">
            <v>100</v>
          </cell>
          <cell r="H3932" t="str">
            <v>singleron-3'全长转录组文库</v>
          </cell>
          <cell r="I3932" t="str">
            <v>GZQ</v>
          </cell>
          <cell r="J3932">
            <v>6.18</v>
          </cell>
          <cell r="N3932" t="e">
            <v>#DIV/0!</v>
          </cell>
        </row>
        <row r="3933">
          <cell r="E3933" t="str">
            <v>HGC-Lib-2466592</v>
          </cell>
          <cell r="F3933" t="str">
            <v>TCRLFTC240810002CK</v>
          </cell>
          <cell r="G3933">
            <v>12</v>
          </cell>
          <cell r="H3933" t="str">
            <v>singleron-单细胞TCR文库</v>
          </cell>
          <cell r="I3933" t="str">
            <v>GZQ</v>
          </cell>
          <cell r="J3933">
            <v>8.7200000000000006</v>
          </cell>
          <cell r="N3933" t="e">
            <v>#DIV/0!</v>
          </cell>
        </row>
        <row r="3934">
          <cell r="E3934" t="str">
            <v>HGC-Lib-2466593</v>
          </cell>
          <cell r="F3934" t="str">
            <v>PMLPMFTBC240813035</v>
          </cell>
          <cell r="G3934">
            <v>12</v>
          </cell>
          <cell r="H3934" t="str">
            <v>其他碱基不平衡文库</v>
          </cell>
          <cell r="I3934" t="str">
            <v>GZQ</v>
          </cell>
          <cell r="J3934">
            <v>49</v>
          </cell>
          <cell r="N3934" t="e">
            <v>#DIV/0!</v>
          </cell>
        </row>
        <row r="3935">
          <cell r="E3935" t="str">
            <v>HGC-Lib-2466594</v>
          </cell>
          <cell r="F3935" t="str">
            <v>TCRLPMFTBC240813035</v>
          </cell>
          <cell r="G3935">
            <v>12</v>
          </cell>
          <cell r="H3935" t="str">
            <v>singleron-单细胞TCR文库</v>
          </cell>
          <cell r="I3935" t="str">
            <v>GZQ</v>
          </cell>
          <cell r="J3935">
            <v>34.200000000000003</v>
          </cell>
          <cell r="N3935" t="e">
            <v>#DIV/0!</v>
          </cell>
        </row>
        <row r="3936">
          <cell r="E3936" t="str">
            <v>HGC-Lib-2466595</v>
          </cell>
          <cell r="F3936" t="str">
            <v>LPMFTBC240813035</v>
          </cell>
          <cell r="G3936">
            <v>100</v>
          </cell>
          <cell r="H3936" t="str">
            <v>singleron-3'全长转录组文库</v>
          </cell>
          <cell r="I3936" t="str">
            <v>GZQ</v>
          </cell>
          <cell r="J3936">
            <v>18.600000000000001</v>
          </cell>
          <cell r="N3936" t="e">
            <v>#DIV/0!</v>
          </cell>
        </row>
        <row r="3937">
          <cell r="E3937" t="str">
            <v>HGC-Lib-2466596</v>
          </cell>
          <cell r="F3937" t="str">
            <v>TCRLPMFTBC240813036</v>
          </cell>
          <cell r="G3937">
            <v>12</v>
          </cell>
          <cell r="H3937" t="str">
            <v>singleron-单细胞TCR文库</v>
          </cell>
          <cell r="I3937" t="str">
            <v>GZQ</v>
          </cell>
          <cell r="J3937">
            <v>30</v>
          </cell>
          <cell r="N3937" t="e">
            <v>#DIV/0!</v>
          </cell>
        </row>
        <row r="3938">
          <cell r="E3938" t="str">
            <v>HGC-Lib-2466597</v>
          </cell>
          <cell r="F3938" t="str">
            <v>BCRLPMFTBC240813037</v>
          </cell>
          <cell r="G3938">
            <v>12</v>
          </cell>
          <cell r="H3938" t="str">
            <v>singleron-单细胞BCR文库</v>
          </cell>
          <cell r="I3938" t="str">
            <v>GZQ</v>
          </cell>
          <cell r="J3938">
            <v>6.38</v>
          </cell>
          <cell r="N3938" t="e">
            <v>#DIV/0!</v>
          </cell>
        </row>
        <row r="3939">
          <cell r="E3939" t="str">
            <v>HGC-Lib-2466598</v>
          </cell>
          <cell r="F3939" t="str">
            <v>BCRLPMFTBC240813035</v>
          </cell>
          <cell r="G3939">
            <v>12</v>
          </cell>
          <cell r="H3939" t="str">
            <v>singleron-单细胞BCR文库</v>
          </cell>
          <cell r="I3939" t="str">
            <v>GZQ</v>
          </cell>
          <cell r="J3939">
            <v>7.78</v>
          </cell>
          <cell r="N3939" t="e">
            <v>#DIV/0!</v>
          </cell>
        </row>
        <row r="3940">
          <cell r="E3940" t="str">
            <v>HGC-Lib-2466599</v>
          </cell>
          <cell r="F3940" t="str">
            <v>TCRLPMFTBC240813038</v>
          </cell>
          <cell r="G3940">
            <v>12</v>
          </cell>
          <cell r="H3940" t="str">
            <v>singleron-单细胞TCR文库</v>
          </cell>
          <cell r="I3940" t="str">
            <v>GZQ</v>
          </cell>
          <cell r="J3940">
            <v>10</v>
          </cell>
          <cell r="N3940" t="e">
            <v>#DIV/0!</v>
          </cell>
        </row>
        <row r="3941">
          <cell r="E3941" t="str">
            <v>HGC-Lib-2466600</v>
          </cell>
          <cell r="F3941" t="str">
            <v>PMLPMFTBC240813037</v>
          </cell>
          <cell r="G3941">
            <v>12</v>
          </cell>
          <cell r="H3941" t="str">
            <v>其他碱基不平衡文库</v>
          </cell>
          <cell r="I3941" t="str">
            <v>GZQ</v>
          </cell>
          <cell r="J3941">
            <v>40.6</v>
          </cell>
          <cell r="N3941" t="e">
            <v>#DIV/0!</v>
          </cell>
        </row>
        <row r="3942">
          <cell r="E3942" t="str">
            <v>HGC-Lib-2466601</v>
          </cell>
          <cell r="F3942" t="str">
            <v>PMLPMFTBC240813036</v>
          </cell>
          <cell r="G3942">
            <v>12</v>
          </cell>
          <cell r="H3942" t="str">
            <v>其他碱基不平衡文库</v>
          </cell>
          <cell r="I3942" t="str">
            <v>GZQ</v>
          </cell>
          <cell r="J3942">
            <v>43.4</v>
          </cell>
          <cell r="N3942" t="e">
            <v>#DIV/0!</v>
          </cell>
        </row>
        <row r="3943">
          <cell r="E3943" t="str">
            <v>HGC-Lib-2466602</v>
          </cell>
          <cell r="F3943" t="str">
            <v>TCRLPMFTBC240813037</v>
          </cell>
          <cell r="G3943">
            <v>12</v>
          </cell>
          <cell r="H3943" t="str">
            <v>singleron-单细胞TCR文库</v>
          </cell>
          <cell r="I3943" t="str">
            <v>GZQ</v>
          </cell>
          <cell r="J3943">
            <v>32.200000000000003</v>
          </cell>
          <cell r="N3943" t="e">
            <v>#DIV/0!</v>
          </cell>
        </row>
        <row r="3944">
          <cell r="E3944" t="str">
            <v>HGC-Lib-2466603</v>
          </cell>
          <cell r="F3944" t="str">
            <v>LPMFTBC240813036</v>
          </cell>
          <cell r="G3944">
            <v>100</v>
          </cell>
          <cell r="H3944" t="str">
            <v>singleron-3'全长转录组文库</v>
          </cell>
          <cell r="I3944" t="str">
            <v>GZQ</v>
          </cell>
          <cell r="J3944">
            <v>16.7</v>
          </cell>
          <cell r="N3944" t="e">
            <v>#DIV/0!</v>
          </cell>
        </row>
        <row r="3945">
          <cell r="E3945" t="str">
            <v>HGC-Lib-2466604</v>
          </cell>
          <cell r="F3945" t="str">
            <v>LPMFTBC240813038</v>
          </cell>
          <cell r="G3945">
            <v>100</v>
          </cell>
          <cell r="H3945" t="str">
            <v>singleron-3'全长转录组文库</v>
          </cell>
          <cell r="I3945" t="str">
            <v>GZQ</v>
          </cell>
          <cell r="J3945">
            <v>19.2</v>
          </cell>
          <cell r="N3945" t="e">
            <v>#DIV/0!</v>
          </cell>
        </row>
        <row r="3946">
          <cell r="E3946" t="str">
            <v>HGC-Lib-2466605</v>
          </cell>
          <cell r="F3946" t="str">
            <v>PMLPMFTBC240813038</v>
          </cell>
          <cell r="G3946">
            <v>12</v>
          </cell>
          <cell r="H3946" t="str">
            <v>其他碱基不平衡文库</v>
          </cell>
          <cell r="I3946" t="str">
            <v>GZQ</v>
          </cell>
          <cell r="J3946">
            <v>59.6</v>
          </cell>
          <cell r="N3946" t="e">
            <v>#DIV/0!</v>
          </cell>
        </row>
        <row r="3947">
          <cell r="E3947" t="str">
            <v>HGC-Lib-2466606</v>
          </cell>
          <cell r="F3947" t="str">
            <v>BCRLPMFTBC240813038</v>
          </cell>
          <cell r="G3947">
            <v>12</v>
          </cell>
          <cell r="H3947" t="str">
            <v>singleron-单细胞BCR文库</v>
          </cell>
          <cell r="I3947" t="str">
            <v>GZQ</v>
          </cell>
          <cell r="J3947">
            <v>9.48</v>
          </cell>
          <cell r="N3947" t="e">
            <v>#DIV/0!</v>
          </cell>
        </row>
        <row r="3948">
          <cell r="E3948" t="str">
            <v>HGC-Lib-2466607</v>
          </cell>
          <cell r="F3948" t="str">
            <v>LPMFTBC240813037</v>
          </cell>
          <cell r="G3948">
            <v>100</v>
          </cell>
          <cell r="H3948" t="str">
            <v>singleron-3'全长转录组文库</v>
          </cell>
          <cell r="I3948" t="str">
            <v>GZQ</v>
          </cell>
          <cell r="J3948">
            <v>17</v>
          </cell>
          <cell r="N3948" t="e">
            <v>#DIV/0!</v>
          </cell>
        </row>
        <row r="3949">
          <cell r="E3949" t="str">
            <v>HGC-Lib-2466608</v>
          </cell>
          <cell r="F3949" t="str">
            <v>BCRLPMFTBC240813036</v>
          </cell>
          <cell r="G3949">
            <v>12</v>
          </cell>
          <cell r="H3949" t="str">
            <v>singleron-单细胞BCR文库</v>
          </cell>
          <cell r="I3949" t="str">
            <v>GZQ</v>
          </cell>
          <cell r="J3949">
            <v>8.64</v>
          </cell>
          <cell r="N3949" t="e">
            <v>#DIV/0!</v>
          </cell>
        </row>
        <row r="3950">
          <cell r="E3950" t="str">
            <v>HGC-Lib-2466609</v>
          </cell>
          <cell r="F3950" t="str">
            <v>LC240815021</v>
          </cell>
          <cell r="G3950">
            <v>100</v>
          </cell>
          <cell r="H3950" t="str">
            <v>singleron-3'转录组文库</v>
          </cell>
          <cell r="I3950" t="str">
            <v>GZQ</v>
          </cell>
          <cell r="J3950">
            <v>9.08</v>
          </cell>
          <cell r="N3950" t="e">
            <v>#DIV/0!</v>
          </cell>
        </row>
        <row r="3951">
          <cell r="E3951" t="str">
            <v>HGC-Lib-2466610</v>
          </cell>
          <cell r="F3951" t="str">
            <v>LC240815022</v>
          </cell>
          <cell r="G3951">
            <v>100</v>
          </cell>
          <cell r="H3951" t="str">
            <v>singleron-3'转录组文库</v>
          </cell>
          <cell r="I3951" t="str">
            <v>GZQ</v>
          </cell>
          <cell r="J3951">
            <v>10.199999999999999</v>
          </cell>
          <cell r="N3951" t="e">
            <v>#DIV/0!</v>
          </cell>
        </row>
        <row r="3952">
          <cell r="E3952" t="str">
            <v>HGC-Lib-2466611</v>
          </cell>
          <cell r="F3952" t="str">
            <v>LFTA240814095X1</v>
          </cell>
          <cell r="G3952">
            <v>100</v>
          </cell>
          <cell r="H3952" t="str">
            <v>singleron-3'全长转录组文库</v>
          </cell>
          <cell r="I3952" t="str">
            <v>GZQ</v>
          </cell>
          <cell r="J3952">
            <v>5.9</v>
          </cell>
          <cell r="N3952" t="e">
            <v>#DIV/0!</v>
          </cell>
        </row>
        <row r="3953">
          <cell r="E3953" t="str">
            <v>HGC-Lib-2466612</v>
          </cell>
          <cell r="F3953" t="str">
            <v>LFTA240814096X1</v>
          </cell>
          <cell r="G3953">
            <v>100</v>
          </cell>
          <cell r="H3953" t="str">
            <v>singleron-3'全长转录组文库</v>
          </cell>
          <cell r="I3953" t="str">
            <v>GZQ</v>
          </cell>
          <cell r="J3953">
            <v>5.8</v>
          </cell>
          <cell r="N3953" t="e">
            <v>#DIV/0!</v>
          </cell>
        </row>
        <row r="3954">
          <cell r="E3954" t="str">
            <v>HGC-Lib-2466613</v>
          </cell>
          <cell r="F3954" t="str">
            <v>LC240815047</v>
          </cell>
          <cell r="G3954">
            <v>90</v>
          </cell>
          <cell r="H3954" t="str">
            <v>singleron-3'转录组文库</v>
          </cell>
          <cell r="I3954" t="str">
            <v>GZQ</v>
          </cell>
          <cell r="J3954">
            <v>10.7</v>
          </cell>
          <cell r="N3954" t="e">
            <v>#DIV/0!</v>
          </cell>
        </row>
        <row r="3955">
          <cell r="E3955" t="str">
            <v>HGC-Lib-2466614</v>
          </cell>
          <cell r="F3955" t="str">
            <v>LC240816059</v>
          </cell>
          <cell r="G3955">
            <v>150</v>
          </cell>
          <cell r="H3955" t="str">
            <v>singleron-3'转录组文库</v>
          </cell>
          <cell r="I3955" t="str">
            <v>ZZ</v>
          </cell>
          <cell r="J3955">
            <v>9.16</v>
          </cell>
          <cell r="N3955" t="e">
            <v>#DIV/0!</v>
          </cell>
        </row>
        <row r="3956">
          <cell r="E3956" t="str">
            <v>HGC-Lib-2466615</v>
          </cell>
          <cell r="F3956" t="str">
            <v>LA240816045</v>
          </cell>
          <cell r="G3956">
            <v>100</v>
          </cell>
          <cell r="H3956" t="str">
            <v>singleron-3'转录组文库</v>
          </cell>
          <cell r="I3956" t="str">
            <v>ZZ</v>
          </cell>
          <cell r="J3956">
            <v>8.32</v>
          </cell>
          <cell r="N3956" t="e">
            <v>#DIV/0!</v>
          </cell>
        </row>
        <row r="3957">
          <cell r="E3957" t="str">
            <v>HGC-Lib-2466616</v>
          </cell>
          <cell r="F3957" t="str">
            <v>LA240816044</v>
          </cell>
          <cell r="G3957">
            <v>100</v>
          </cell>
          <cell r="H3957" t="str">
            <v>singleron-3'转录组文库</v>
          </cell>
          <cell r="I3957" t="str">
            <v>ZZ</v>
          </cell>
          <cell r="J3957">
            <v>9.4600000000000009</v>
          </cell>
          <cell r="N3957" t="e">
            <v>#DIV/0!</v>
          </cell>
        </row>
        <row r="3958">
          <cell r="E3958" t="str">
            <v>HGC-Lib-2466617</v>
          </cell>
          <cell r="F3958" t="str">
            <v>LC240815048</v>
          </cell>
          <cell r="G3958">
            <v>90</v>
          </cell>
          <cell r="H3958" t="str">
            <v>singleron-3'转录组文库</v>
          </cell>
          <cell r="I3958" t="str">
            <v>ZZ</v>
          </cell>
          <cell r="J3958">
            <v>9.86</v>
          </cell>
          <cell r="N3958" t="e">
            <v>#DIV/0!</v>
          </cell>
        </row>
        <row r="3959">
          <cell r="E3959" t="str">
            <v>HGC-Lib-2466618</v>
          </cell>
          <cell r="F3959" t="str">
            <v>LC240816052</v>
          </cell>
          <cell r="G3959">
            <v>100</v>
          </cell>
          <cell r="H3959" t="str">
            <v>singleron-3'转录组文库</v>
          </cell>
          <cell r="I3959" t="str">
            <v>ZZ</v>
          </cell>
          <cell r="J3959">
            <v>8.16</v>
          </cell>
          <cell r="N3959" t="e">
            <v>#DIV/0!</v>
          </cell>
        </row>
        <row r="3960">
          <cell r="E3960" t="str">
            <v>HGC-Lib-2466619</v>
          </cell>
          <cell r="F3960" t="str">
            <v>LC240816050</v>
          </cell>
          <cell r="G3960">
            <v>100</v>
          </cell>
          <cell r="H3960" t="str">
            <v>singleron-3'转录组文库</v>
          </cell>
          <cell r="I3960" t="str">
            <v>ZZ</v>
          </cell>
          <cell r="J3960">
            <v>7.36</v>
          </cell>
          <cell r="N3960" t="e">
            <v>#DIV/0!</v>
          </cell>
        </row>
        <row r="3961">
          <cell r="E3961" t="str">
            <v>HGC-Lib-2466620</v>
          </cell>
          <cell r="F3961" t="str">
            <v>LC240816046</v>
          </cell>
          <cell r="G3961">
            <v>100</v>
          </cell>
          <cell r="H3961" t="str">
            <v>singleron-3'转录组文库</v>
          </cell>
          <cell r="I3961" t="str">
            <v>ZZ</v>
          </cell>
          <cell r="J3961">
            <v>9.36</v>
          </cell>
          <cell r="N3961" t="e">
            <v>#DIV/0!</v>
          </cell>
        </row>
        <row r="3962">
          <cell r="E3962" t="str">
            <v>HGC-Lib-2466621</v>
          </cell>
          <cell r="F3962" t="str">
            <v>LC240816048</v>
          </cell>
          <cell r="G3962">
            <v>100</v>
          </cell>
          <cell r="H3962" t="str">
            <v>singleron-3'转录组文库</v>
          </cell>
          <cell r="I3962" t="str">
            <v>ZZ</v>
          </cell>
          <cell r="J3962">
            <v>8.84</v>
          </cell>
          <cell r="N3962" t="e">
            <v>#DIV/0!</v>
          </cell>
        </row>
        <row r="3963">
          <cell r="E3963" t="str">
            <v>HGC-Lib-2466622</v>
          </cell>
          <cell r="F3963" t="str">
            <v>LC240816047</v>
          </cell>
          <cell r="G3963">
            <v>100</v>
          </cell>
          <cell r="H3963" t="str">
            <v>singleron-3'转录组文库</v>
          </cell>
          <cell r="I3963" t="str">
            <v>ZZ</v>
          </cell>
          <cell r="J3963">
            <v>7.5</v>
          </cell>
          <cell r="N3963" t="e">
            <v>#DIV/0!</v>
          </cell>
        </row>
        <row r="3964">
          <cell r="E3964" t="str">
            <v>HGC-Lib-2466623</v>
          </cell>
          <cell r="F3964" t="str">
            <v>LC240816051</v>
          </cell>
          <cell r="G3964">
            <v>100</v>
          </cell>
          <cell r="H3964" t="str">
            <v>singleron-3'转录组文库</v>
          </cell>
          <cell r="I3964" t="str">
            <v>ZZ</v>
          </cell>
          <cell r="J3964">
            <v>9.32</v>
          </cell>
          <cell r="N3964" t="e">
            <v>#DIV/0!</v>
          </cell>
        </row>
        <row r="3965">
          <cell r="E3965" t="str">
            <v>HGC-Lib-2466624</v>
          </cell>
          <cell r="F3965" t="str">
            <v>LC240816049</v>
          </cell>
          <cell r="G3965">
            <v>100</v>
          </cell>
          <cell r="H3965" t="str">
            <v>singleron-3'转录组文库</v>
          </cell>
          <cell r="I3965" t="str">
            <v>ZZ</v>
          </cell>
          <cell r="J3965">
            <v>8.7799999999999994</v>
          </cell>
          <cell r="N3965" t="e">
            <v>#DIV/0!</v>
          </cell>
        </row>
        <row r="3966">
          <cell r="E3966" t="str">
            <v>HGC-Lib-2466625</v>
          </cell>
          <cell r="F3966" t="str">
            <v>LC240816053</v>
          </cell>
          <cell r="G3966">
            <v>100</v>
          </cell>
          <cell r="H3966" t="str">
            <v>singleron-3'转录组文库</v>
          </cell>
          <cell r="I3966" t="str">
            <v>ZZ</v>
          </cell>
          <cell r="J3966">
            <v>6.82</v>
          </cell>
          <cell r="N3966" t="e">
            <v>#DIV/0!</v>
          </cell>
        </row>
        <row r="3967">
          <cell r="E3967" t="str">
            <v>HGC-Lib-2466626</v>
          </cell>
          <cell r="F3967" t="str">
            <v>LFTBA240816064</v>
          </cell>
          <cell r="G3967">
            <v>70</v>
          </cell>
          <cell r="H3967" t="str">
            <v>singleron-3'全长转录组文库</v>
          </cell>
          <cell r="I3967" t="str">
            <v>ZZ</v>
          </cell>
          <cell r="J3967">
            <v>6.86</v>
          </cell>
          <cell r="N3967" t="e">
            <v>#DIV/0!</v>
          </cell>
        </row>
        <row r="3968">
          <cell r="E3968" t="str">
            <v>HGC-Lib-2466627</v>
          </cell>
          <cell r="F3968" t="str">
            <v>PMLPMA240815043</v>
          </cell>
          <cell r="G3968">
            <v>12</v>
          </cell>
          <cell r="H3968" t="str">
            <v>其他碱基不平衡文库</v>
          </cell>
          <cell r="I3968" t="str">
            <v>ZZ</v>
          </cell>
          <cell r="J3968">
            <v>50</v>
          </cell>
          <cell r="N3968" t="e">
            <v>#DIV/0!</v>
          </cell>
        </row>
        <row r="3969">
          <cell r="E3969" t="str">
            <v>HGC-Lib-2466628</v>
          </cell>
          <cell r="F3969" t="str">
            <v>LPMA240815043</v>
          </cell>
          <cell r="G3969">
            <v>80</v>
          </cell>
          <cell r="H3969" t="str">
            <v>singleron-3'转录组文库</v>
          </cell>
          <cell r="I3969" t="str">
            <v>ZZ</v>
          </cell>
          <cell r="J3969">
            <v>5.98</v>
          </cell>
          <cell r="N3969" t="e">
            <v>#DIV/0!</v>
          </cell>
        </row>
        <row r="3970">
          <cell r="E3970" t="str">
            <v>HGC-Lib-2466629</v>
          </cell>
          <cell r="F3970" t="str">
            <v>LA240813039</v>
          </cell>
          <cell r="G3970">
            <v>90</v>
          </cell>
          <cell r="H3970" t="str">
            <v>singleron-3'转录组文库</v>
          </cell>
          <cell r="I3970" t="str">
            <v>ZZ</v>
          </cell>
          <cell r="J3970">
            <v>17.399999999999999</v>
          </cell>
          <cell r="N3970" t="e">
            <v>#DIV/0!</v>
          </cell>
        </row>
        <row r="3971">
          <cell r="E3971" t="str">
            <v>HGC-Lib-2466630</v>
          </cell>
          <cell r="F3971" t="str">
            <v>LA240815041</v>
          </cell>
          <cell r="G3971">
            <v>120</v>
          </cell>
          <cell r="H3971" t="str">
            <v>singleron-3'转录组文库</v>
          </cell>
          <cell r="I3971" t="str">
            <v>ZZ</v>
          </cell>
          <cell r="J3971">
            <v>10.5</v>
          </cell>
          <cell r="N3971" t="e">
            <v>#DIV/0!</v>
          </cell>
        </row>
        <row r="3972">
          <cell r="E3972" t="str">
            <v>HGC-Lib-2466631</v>
          </cell>
          <cell r="F3972" t="str">
            <v>LFTA240815012</v>
          </cell>
          <cell r="G3972">
            <v>120</v>
          </cell>
          <cell r="H3972" t="str">
            <v>singleron-3'全长转录组文库</v>
          </cell>
          <cell r="I3972" t="str">
            <v>ZZ</v>
          </cell>
          <cell r="J3972">
            <v>8.8000000000000007</v>
          </cell>
          <cell r="N3972" t="e">
            <v>#DIV/0!</v>
          </cell>
        </row>
        <row r="3973">
          <cell r="E3973" t="str">
            <v>HGC-Lib-2466632</v>
          </cell>
          <cell r="F3973" t="str">
            <v>LC240814008</v>
          </cell>
          <cell r="G3973">
            <v>100</v>
          </cell>
          <cell r="H3973" t="str">
            <v>singleron-3'转录组文库</v>
          </cell>
          <cell r="I3973" t="str">
            <v>ZZ</v>
          </cell>
          <cell r="J3973">
            <v>16.399999999999999</v>
          </cell>
          <cell r="N3973" t="e">
            <v>#DIV/0!</v>
          </cell>
        </row>
        <row r="3974">
          <cell r="E3974" t="str">
            <v>HGC-Lib-2466633</v>
          </cell>
          <cell r="F3974" t="str">
            <v>LC240815013</v>
          </cell>
          <cell r="G3974">
            <v>100</v>
          </cell>
          <cell r="H3974" t="str">
            <v>singleron-3'转录组文库</v>
          </cell>
          <cell r="I3974" t="str">
            <v>ZZ</v>
          </cell>
          <cell r="J3974">
            <v>7.26</v>
          </cell>
          <cell r="N3974" t="e">
            <v>#DIV/0!</v>
          </cell>
        </row>
        <row r="3975">
          <cell r="E3975" t="str">
            <v>HGC-Lib-2466634</v>
          </cell>
          <cell r="F3975" t="str">
            <v>LC240808012CJ</v>
          </cell>
          <cell r="G3975">
            <v>90</v>
          </cell>
          <cell r="H3975" t="str">
            <v>singleron-3'转录组文库</v>
          </cell>
          <cell r="I3975" t="str">
            <v>ZZ</v>
          </cell>
          <cell r="J3975">
            <v>14.3</v>
          </cell>
          <cell r="N3975" t="e">
            <v>#DIV/0!</v>
          </cell>
        </row>
        <row r="3976">
          <cell r="E3976" t="str">
            <v>HGC-Lib-2466635</v>
          </cell>
          <cell r="F3976" t="str">
            <v>LA240816003</v>
          </cell>
          <cell r="G3976">
            <v>150</v>
          </cell>
          <cell r="H3976" t="str">
            <v>singleron-3'转录组文库</v>
          </cell>
          <cell r="I3976" t="str">
            <v>ZZ</v>
          </cell>
          <cell r="J3976">
            <v>8.84</v>
          </cell>
          <cell r="N3976" t="e">
            <v>#DIV/0!</v>
          </cell>
        </row>
        <row r="3977">
          <cell r="E3977" t="str">
            <v>HGC-Lib-2466636</v>
          </cell>
          <cell r="F3977" t="str">
            <v>LC240814034</v>
          </cell>
          <cell r="G3977">
            <v>100</v>
          </cell>
          <cell r="H3977" t="str">
            <v>singleron-3'转录组文库</v>
          </cell>
          <cell r="I3977" t="str">
            <v>ZZ</v>
          </cell>
          <cell r="J3977">
            <v>14</v>
          </cell>
          <cell r="N3977" t="e">
            <v>#DIV/0!</v>
          </cell>
        </row>
        <row r="3978">
          <cell r="E3978" t="str">
            <v>HGC-Lib-2466637</v>
          </cell>
          <cell r="F3978" t="str">
            <v>LC240814035</v>
          </cell>
          <cell r="G3978">
            <v>100</v>
          </cell>
          <cell r="H3978" t="str">
            <v>singleron-3'转录组文库</v>
          </cell>
          <cell r="I3978" t="str">
            <v>ZZ</v>
          </cell>
          <cell r="J3978">
            <v>15</v>
          </cell>
          <cell r="N3978" t="e">
            <v>#DIV/0!</v>
          </cell>
        </row>
        <row r="3979">
          <cell r="E3979" t="str">
            <v>HGC-Lib-2466638</v>
          </cell>
          <cell r="F3979" t="str">
            <v>LA240816030</v>
          </cell>
          <cell r="G3979">
            <v>100</v>
          </cell>
          <cell r="H3979" t="str">
            <v>singleron-3'转录组文库</v>
          </cell>
          <cell r="I3979" t="str">
            <v>ZZ</v>
          </cell>
          <cell r="J3979">
            <v>7.92</v>
          </cell>
          <cell r="N3979" t="e">
            <v>#DIV/0!</v>
          </cell>
        </row>
        <row r="3980">
          <cell r="E3980" t="str">
            <v>HGC-Lib-2466639</v>
          </cell>
          <cell r="F3980" t="str">
            <v>LA240816029</v>
          </cell>
          <cell r="G3980">
            <v>100</v>
          </cell>
          <cell r="H3980" t="str">
            <v>singleron-3'转录组文库</v>
          </cell>
          <cell r="I3980" t="str">
            <v>ZZ</v>
          </cell>
          <cell r="J3980">
            <v>8.4600000000000009</v>
          </cell>
          <cell r="N3980" t="e">
            <v>#DIV/0!</v>
          </cell>
        </row>
        <row r="3981">
          <cell r="E3981" t="str">
            <v>HGC-Lib-2466640</v>
          </cell>
          <cell r="F3981" t="str">
            <v>LA240816022</v>
          </cell>
          <cell r="G3981">
            <v>100</v>
          </cell>
          <cell r="H3981" t="str">
            <v>singleron-3'转录组文库</v>
          </cell>
          <cell r="I3981" t="str">
            <v>ZZ</v>
          </cell>
          <cell r="J3981">
            <v>9.7799999999999994</v>
          </cell>
          <cell r="N3981" t="e">
            <v>#DIV/0!</v>
          </cell>
        </row>
        <row r="3982">
          <cell r="E3982" t="str">
            <v>HGC-Lib-2466641</v>
          </cell>
          <cell r="F3982" t="str">
            <v>R240819021</v>
          </cell>
          <cell r="G3982">
            <v>40</v>
          </cell>
          <cell r="H3982" t="str">
            <v>singleron-3'转录组文库</v>
          </cell>
          <cell r="I3982" t="str">
            <v>ZZ</v>
          </cell>
          <cell r="J3982">
            <v>13.6</v>
          </cell>
          <cell r="N3982" t="e">
            <v>#DIV/0!</v>
          </cell>
        </row>
        <row r="3983">
          <cell r="E3983" t="str">
            <v>HGC-Lib-2466642</v>
          </cell>
          <cell r="F3983" t="str">
            <v>R240819022</v>
          </cell>
          <cell r="G3983">
            <v>40</v>
          </cell>
          <cell r="H3983" t="str">
            <v>singleron-3'转录组文库</v>
          </cell>
          <cell r="I3983" t="str">
            <v>ZZ</v>
          </cell>
          <cell r="J3983">
            <v>13.4</v>
          </cell>
          <cell r="N3983" t="e">
            <v>#DIV/0!</v>
          </cell>
        </row>
        <row r="3984">
          <cell r="E3984" t="str">
            <v>HGC-Lib-2466643</v>
          </cell>
          <cell r="F3984" t="str">
            <v>R240819023</v>
          </cell>
          <cell r="G3984">
            <v>40</v>
          </cell>
          <cell r="H3984" t="str">
            <v>singleron-3'转录组文库</v>
          </cell>
          <cell r="I3984" t="str">
            <v>ZZ</v>
          </cell>
          <cell r="J3984">
            <v>9.6999999999999993</v>
          </cell>
          <cell r="N3984" t="e">
            <v>#DIV/0!</v>
          </cell>
        </row>
        <row r="3985">
          <cell r="E3985" t="str">
            <v>HGC-Lib-2466644</v>
          </cell>
          <cell r="F3985" t="str">
            <v>R240819024</v>
          </cell>
          <cell r="G3985">
            <v>40</v>
          </cell>
          <cell r="H3985" t="str">
            <v>singleron-3'转录组文库</v>
          </cell>
          <cell r="I3985" t="str">
            <v>ZZ</v>
          </cell>
          <cell r="J3985">
            <v>12.4</v>
          </cell>
          <cell r="N3985" t="e">
            <v>#DIV/0!</v>
          </cell>
        </row>
        <row r="3986">
          <cell r="E3986" t="str">
            <v>HGC-Lib-2466645</v>
          </cell>
          <cell r="F3986" t="str">
            <v>R240819025</v>
          </cell>
          <cell r="G3986">
            <v>40</v>
          </cell>
          <cell r="H3986" t="str">
            <v>singleron-3'转录组文库</v>
          </cell>
          <cell r="I3986" t="str">
            <v>ZZ</v>
          </cell>
          <cell r="J3986">
            <v>9.1999999999999993</v>
          </cell>
          <cell r="N3986" t="e">
            <v>#DIV/0!</v>
          </cell>
        </row>
        <row r="3987">
          <cell r="E3987" t="str">
            <v>HGC-Lib-2466646</v>
          </cell>
          <cell r="F3987" t="str">
            <v>R240819026</v>
          </cell>
          <cell r="G3987">
            <v>40</v>
          </cell>
          <cell r="H3987" t="str">
            <v>singleron-3'转录组文库</v>
          </cell>
          <cell r="I3987" t="str">
            <v>ZZ</v>
          </cell>
          <cell r="J3987">
            <v>15.7</v>
          </cell>
          <cell r="N3987" t="e">
            <v>#DIV/0!</v>
          </cell>
        </row>
        <row r="3988">
          <cell r="E3988" t="str">
            <v>HGC-Lib-2466652</v>
          </cell>
          <cell r="F3988" t="str">
            <v>DZY-240819-AP2</v>
          </cell>
          <cell r="G3988">
            <v>27</v>
          </cell>
          <cell r="H3988" t="str">
            <v>Chip-Seq</v>
          </cell>
          <cell r="I3988" t="str">
            <v>YHT</v>
          </cell>
          <cell r="J3988">
            <v>11.3</v>
          </cell>
          <cell r="K3988">
            <v>423</v>
          </cell>
          <cell r="N3988">
            <v>41.098381523913403</v>
          </cell>
        </row>
        <row r="3989">
          <cell r="E3989" t="str">
            <v>HGC-Lib-2466653</v>
          </cell>
          <cell r="F3989" t="str">
            <v>DZY-240819-MYB</v>
          </cell>
          <cell r="G3989">
            <v>18</v>
          </cell>
          <cell r="H3989" t="str">
            <v>Chip-Seq</v>
          </cell>
          <cell r="I3989" t="str">
            <v>YHT</v>
          </cell>
          <cell r="J3989">
            <v>8.8000000000000007</v>
          </cell>
          <cell r="K3989">
            <v>456</v>
          </cell>
          <cell r="N3989">
            <v>29.689608636977098</v>
          </cell>
        </row>
        <row r="3990">
          <cell r="E3990" t="str">
            <v>HGC-Lib-2466654</v>
          </cell>
          <cell r="F3990" t="str">
            <v>DZY-240819-BoMYC2</v>
          </cell>
          <cell r="G3990">
            <v>27</v>
          </cell>
          <cell r="H3990" t="str">
            <v>Chip-Seq</v>
          </cell>
          <cell r="I3990" t="str">
            <v>YHT</v>
          </cell>
          <cell r="J3990">
            <v>13</v>
          </cell>
          <cell r="K3990">
            <v>431</v>
          </cell>
          <cell r="N3990">
            <v>46.403712296983798</v>
          </cell>
        </row>
        <row r="3991">
          <cell r="E3991" t="str">
            <v>HGC-Lib-2466655</v>
          </cell>
          <cell r="F3991" t="str">
            <v>DZY-240819-BoFAMA</v>
          </cell>
          <cell r="G3991">
            <v>18</v>
          </cell>
          <cell r="H3991" t="str">
            <v>Chip-Seq</v>
          </cell>
          <cell r="I3991" t="str">
            <v>YHT</v>
          </cell>
          <cell r="J3991">
            <v>3.12</v>
          </cell>
          <cell r="K3991">
            <v>490</v>
          </cell>
          <cell r="N3991">
            <v>9.7959183673469408</v>
          </cell>
        </row>
        <row r="3992">
          <cell r="E3992" t="str">
            <v>HGC-POOL-2466656</v>
          </cell>
          <cell r="F3992" t="str">
            <v>HTLib-20240819</v>
          </cell>
          <cell r="G3992">
            <v>60</v>
          </cell>
          <cell r="H3992" t="str">
            <v>甲基化文库</v>
          </cell>
          <cell r="I3992" t="str">
            <v>YHT</v>
          </cell>
          <cell r="J3992">
            <v>2.82</v>
          </cell>
          <cell r="K3992">
            <v>314</v>
          </cell>
          <cell r="N3992">
            <v>13.816756491915701</v>
          </cell>
        </row>
        <row r="3993">
          <cell r="E3993" t="str">
            <v>HGC-POOL-2466657</v>
          </cell>
          <cell r="F3993" t="str">
            <v>WT2421-1</v>
          </cell>
          <cell r="G3993">
            <v>32</v>
          </cell>
          <cell r="H3993" t="str">
            <v>Hi-C</v>
          </cell>
          <cell r="I3993" t="str">
            <v>YHT</v>
          </cell>
          <cell r="J3993">
            <v>4.5</v>
          </cell>
          <cell r="K3993">
            <v>358</v>
          </cell>
          <cell r="N3993">
            <v>19.338203695745602</v>
          </cell>
        </row>
        <row r="3994">
          <cell r="E3994" t="str">
            <v>HGC-POOL-2466658</v>
          </cell>
          <cell r="F3994" t="str">
            <v>WT2421-2</v>
          </cell>
          <cell r="G3994">
            <v>32</v>
          </cell>
          <cell r="H3994" t="str">
            <v>Hi-C</v>
          </cell>
          <cell r="I3994" t="str">
            <v>YHT</v>
          </cell>
          <cell r="J3994">
            <v>4.58</v>
          </cell>
          <cell r="K3994">
            <v>342</v>
          </cell>
          <cell r="N3994">
            <v>20.602789023841702</v>
          </cell>
        </row>
        <row r="3995">
          <cell r="E3995" t="str">
            <v>HGC-POOL-2466659</v>
          </cell>
          <cell r="F3995" t="str">
            <v>WT2421-3</v>
          </cell>
          <cell r="G3995">
            <v>32</v>
          </cell>
          <cell r="H3995" t="str">
            <v>Hi-C</v>
          </cell>
          <cell r="I3995" t="str">
            <v>YHT</v>
          </cell>
          <cell r="J3995">
            <v>7.42</v>
          </cell>
          <cell r="K3995">
            <v>340</v>
          </cell>
          <cell r="N3995">
            <v>33.5746606334842</v>
          </cell>
        </row>
        <row r="3996">
          <cell r="E3996" t="str">
            <v>HGC-POOL-2466660</v>
          </cell>
          <cell r="F3996" t="str">
            <v>WT2421-4</v>
          </cell>
          <cell r="G3996">
            <v>32</v>
          </cell>
          <cell r="H3996" t="str">
            <v>Hi-C</v>
          </cell>
          <cell r="I3996" t="str">
            <v>YHT</v>
          </cell>
          <cell r="J3996">
            <v>4.6399999999999997</v>
          </cell>
          <cell r="K3996">
            <v>351</v>
          </cell>
          <cell r="N3996">
            <v>20.337497260574199</v>
          </cell>
        </row>
        <row r="3997">
          <cell r="E3997" t="str">
            <v>HGC-Lib-2466661</v>
          </cell>
          <cell r="F3997" t="str">
            <v>sg15-sublib</v>
          </cell>
          <cell r="G3997">
            <v>2</v>
          </cell>
          <cell r="H3997" t="str">
            <v>PCR产物文库</v>
          </cell>
          <cell r="I3997" t="str">
            <v>YHT</v>
          </cell>
          <cell r="J3997">
            <v>99.2</v>
          </cell>
          <cell r="M3997" t="str">
            <v>加水20ul</v>
          </cell>
          <cell r="N3997" t="e">
            <v>#DIV/0!</v>
          </cell>
        </row>
        <row r="3998">
          <cell r="E3998" t="str">
            <v>HGC-Lib-2466662</v>
          </cell>
          <cell r="F3998" t="str">
            <v>T902-1</v>
          </cell>
          <cell r="G3998">
            <v>6</v>
          </cell>
          <cell r="H3998" t="str">
            <v>mRNA文库</v>
          </cell>
          <cell r="I3998" t="str">
            <v>YHT</v>
          </cell>
          <cell r="J3998">
            <v>64</v>
          </cell>
          <cell r="N3998" t="e">
            <v>#DIV/0!</v>
          </cell>
        </row>
        <row r="3999">
          <cell r="E3999" t="str">
            <v>HGC-Lib-2466663</v>
          </cell>
          <cell r="F3999" t="str">
            <v>T902-2</v>
          </cell>
          <cell r="G3999">
            <v>6</v>
          </cell>
          <cell r="H3999" t="str">
            <v>mRNA文库</v>
          </cell>
          <cell r="I3999" t="str">
            <v>YHT</v>
          </cell>
          <cell r="J3999">
            <v>66</v>
          </cell>
          <cell r="N3999" t="e">
            <v>#DIV/0!</v>
          </cell>
        </row>
        <row r="4000">
          <cell r="E4000" t="str">
            <v>HGC-Lib-2466664</v>
          </cell>
          <cell r="F4000" t="str">
            <v>T902-3</v>
          </cell>
          <cell r="G4000">
            <v>6</v>
          </cell>
          <cell r="H4000" t="str">
            <v>mRNA文库</v>
          </cell>
          <cell r="I4000" t="str">
            <v>YHT</v>
          </cell>
          <cell r="J4000">
            <v>56.2</v>
          </cell>
          <cell r="N4000" t="e">
            <v>#DIV/0!</v>
          </cell>
        </row>
        <row r="4001">
          <cell r="E4001" t="str">
            <v>HGC-Lib-2466665</v>
          </cell>
          <cell r="F4001" t="str">
            <v>T902-4</v>
          </cell>
          <cell r="G4001">
            <v>6</v>
          </cell>
          <cell r="H4001" t="str">
            <v>mRNA文库</v>
          </cell>
          <cell r="I4001" t="str">
            <v>YHT</v>
          </cell>
          <cell r="J4001">
            <v>60.2</v>
          </cell>
          <cell r="N4001" t="e">
            <v>#DIV/0!</v>
          </cell>
        </row>
        <row r="4002">
          <cell r="E4002" t="str">
            <v>HGC-Lib-2466666</v>
          </cell>
          <cell r="F4002" t="str">
            <v>T902-5</v>
          </cell>
          <cell r="G4002">
            <v>6</v>
          </cell>
          <cell r="H4002" t="str">
            <v>mRNA文库</v>
          </cell>
          <cell r="I4002" t="str">
            <v>YHT</v>
          </cell>
          <cell r="J4002">
            <v>54.8</v>
          </cell>
          <cell r="N4002" t="e">
            <v>#DIV/0!</v>
          </cell>
        </row>
        <row r="4003">
          <cell r="E4003" t="str">
            <v>HGC-Lib-2466667</v>
          </cell>
          <cell r="F4003" t="str">
            <v>T902-6</v>
          </cell>
          <cell r="G4003">
            <v>6</v>
          </cell>
          <cell r="H4003" t="str">
            <v>mRNA文库</v>
          </cell>
          <cell r="I4003" t="str">
            <v>YHT</v>
          </cell>
          <cell r="J4003">
            <v>59.2</v>
          </cell>
          <cell r="N4003" t="e">
            <v>#DIV/0!</v>
          </cell>
        </row>
        <row r="4004">
          <cell r="E4004" t="str">
            <v>HGC-Lib-2466668</v>
          </cell>
          <cell r="F4004" t="str">
            <v>T902-7</v>
          </cell>
          <cell r="G4004">
            <v>6</v>
          </cell>
          <cell r="H4004" t="str">
            <v>mRNA文库</v>
          </cell>
          <cell r="I4004" t="str">
            <v>YHT</v>
          </cell>
          <cell r="J4004">
            <v>60.6</v>
          </cell>
          <cell r="N4004" t="e">
            <v>#DIV/0!</v>
          </cell>
        </row>
        <row r="4005">
          <cell r="E4005" t="str">
            <v>HGC-Lib-2466669</v>
          </cell>
          <cell r="F4005" t="str">
            <v>T902-8</v>
          </cell>
          <cell r="G4005">
            <v>6</v>
          </cell>
          <cell r="H4005" t="str">
            <v>mRNA文库</v>
          </cell>
          <cell r="I4005" t="str">
            <v>YHT</v>
          </cell>
          <cell r="J4005">
            <v>53</v>
          </cell>
          <cell r="N4005" t="e">
            <v>#DIV/0!</v>
          </cell>
        </row>
        <row r="4006">
          <cell r="E4006" t="str">
            <v>HGC-Lib-2466670</v>
          </cell>
          <cell r="F4006" t="str">
            <v>T902-9</v>
          </cell>
          <cell r="G4006">
            <v>6</v>
          </cell>
          <cell r="H4006" t="str">
            <v>mRNA文库</v>
          </cell>
          <cell r="I4006" t="str">
            <v>YHT</v>
          </cell>
          <cell r="J4006">
            <v>54.6</v>
          </cell>
          <cell r="N4006" t="e">
            <v>#DIV/0!</v>
          </cell>
        </row>
        <row r="4007">
          <cell r="E4007" t="str">
            <v>HGC-Lib-2466671</v>
          </cell>
          <cell r="F4007" t="str">
            <v>T902-10</v>
          </cell>
          <cell r="G4007">
            <v>6</v>
          </cell>
          <cell r="H4007" t="str">
            <v>mRNA文库</v>
          </cell>
          <cell r="I4007" t="str">
            <v>YHT</v>
          </cell>
          <cell r="J4007">
            <v>59.6</v>
          </cell>
          <cell r="N4007" t="e">
            <v>#DIV/0!</v>
          </cell>
        </row>
        <row r="4008">
          <cell r="E4008" t="str">
            <v>HGC-Lib-2466672</v>
          </cell>
          <cell r="F4008" t="str">
            <v>T902-11</v>
          </cell>
          <cell r="G4008">
            <v>6</v>
          </cell>
          <cell r="H4008" t="str">
            <v>mRNA文库</v>
          </cell>
          <cell r="I4008" t="str">
            <v>YHT</v>
          </cell>
          <cell r="J4008">
            <v>62.8</v>
          </cell>
          <cell r="N4008" t="e">
            <v>#DIV/0!</v>
          </cell>
        </row>
        <row r="4009">
          <cell r="E4009" t="str">
            <v>HGC-Lib-2466673</v>
          </cell>
          <cell r="F4009" t="str">
            <v>T902-12</v>
          </cell>
          <cell r="G4009">
            <v>6</v>
          </cell>
          <cell r="H4009" t="str">
            <v>mRNA文库</v>
          </cell>
          <cell r="I4009" t="str">
            <v>YHT</v>
          </cell>
          <cell r="J4009">
            <v>63</v>
          </cell>
          <cell r="N4009" t="e">
            <v>#DIV/0!</v>
          </cell>
        </row>
        <row r="4010">
          <cell r="E4010" t="str">
            <v>HGC-Lib-2466674</v>
          </cell>
          <cell r="F4010" t="str">
            <v>T902-13</v>
          </cell>
          <cell r="G4010">
            <v>6</v>
          </cell>
          <cell r="H4010" t="str">
            <v>mRNA文库</v>
          </cell>
          <cell r="I4010" t="str">
            <v>YHT</v>
          </cell>
          <cell r="J4010">
            <v>60.6</v>
          </cell>
          <cell r="N4010" t="e">
            <v>#DIV/0!</v>
          </cell>
        </row>
        <row r="4011">
          <cell r="E4011" t="str">
            <v>HGC-Lib-2466675</v>
          </cell>
          <cell r="F4011" t="str">
            <v>T902-14</v>
          </cell>
          <cell r="G4011">
            <v>6</v>
          </cell>
          <cell r="H4011" t="str">
            <v>mRNA文库</v>
          </cell>
          <cell r="I4011" t="str">
            <v>YHT</v>
          </cell>
          <cell r="J4011">
            <v>62</v>
          </cell>
          <cell r="N4011" t="e">
            <v>#DIV/0!</v>
          </cell>
        </row>
        <row r="4012">
          <cell r="E4012" t="str">
            <v>HGC-Lib-2466676</v>
          </cell>
          <cell r="F4012" t="str">
            <v>T902-15</v>
          </cell>
          <cell r="G4012">
            <v>6</v>
          </cell>
          <cell r="H4012" t="str">
            <v>mRNA文库</v>
          </cell>
          <cell r="I4012" t="str">
            <v>YHT</v>
          </cell>
          <cell r="J4012">
            <v>60</v>
          </cell>
          <cell r="N4012" t="e">
            <v>#DIV/0!</v>
          </cell>
        </row>
        <row r="4013">
          <cell r="E4013" t="str">
            <v>HGC-Lib-2466677</v>
          </cell>
          <cell r="F4013" t="str">
            <v>T902-16</v>
          </cell>
          <cell r="G4013">
            <v>6</v>
          </cell>
          <cell r="H4013" t="str">
            <v>mRNA文库</v>
          </cell>
          <cell r="I4013" t="str">
            <v>YHT</v>
          </cell>
          <cell r="J4013">
            <v>67</v>
          </cell>
          <cell r="N4013" t="e">
            <v>#DIV/0!</v>
          </cell>
        </row>
        <row r="4014">
          <cell r="E4014" t="str">
            <v>HGC-Lib-2466678</v>
          </cell>
          <cell r="F4014" t="str">
            <v>T902-17</v>
          </cell>
          <cell r="G4014">
            <v>6</v>
          </cell>
          <cell r="H4014" t="str">
            <v>mRNA文库</v>
          </cell>
          <cell r="I4014" t="str">
            <v>YHT</v>
          </cell>
          <cell r="J4014">
            <v>66</v>
          </cell>
          <cell r="N4014" t="e">
            <v>#DIV/0!</v>
          </cell>
        </row>
        <row r="4015">
          <cell r="E4015" t="str">
            <v>HGC-Lib-2466679</v>
          </cell>
          <cell r="F4015" t="str">
            <v>T902-18</v>
          </cell>
          <cell r="G4015">
            <v>6</v>
          </cell>
          <cell r="H4015" t="str">
            <v>mRNA文库</v>
          </cell>
          <cell r="I4015" t="str">
            <v>YHT</v>
          </cell>
          <cell r="J4015">
            <v>57.6</v>
          </cell>
          <cell r="N4015" t="e">
            <v>#DIV/0!</v>
          </cell>
        </row>
        <row r="4016">
          <cell r="E4016" t="str">
            <v>HGC-Lib-2466680</v>
          </cell>
          <cell r="F4016" t="str">
            <v>T902-19</v>
          </cell>
          <cell r="G4016">
            <v>6</v>
          </cell>
          <cell r="H4016" t="str">
            <v>mRNA文库</v>
          </cell>
          <cell r="I4016" t="str">
            <v>YHT</v>
          </cell>
          <cell r="J4016">
            <v>61.8</v>
          </cell>
          <cell r="N4016" t="e">
            <v>#DIV/0!</v>
          </cell>
        </row>
        <row r="4017">
          <cell r="E4017" t="str">
            <v>HGC-Lib-2466681</v>
          </cell>
          <cell r="F4017" t="str">
            <v>T902-20</v>
          </cell>
          <cell r="G4017">
            <v>6</v>
          </cell>
          <cell r="H4017" t="str">
            <v>mRNA文库</v>
          </cell>
          <cell r="I4017" t="str">
            <v>YHT</v>
          </cell>
          <cell r="J4017">
            <v>58.2</v>
          </cell>
          <cell r="N4017" t="e">
            <v>#DIV/0!</v>
          </cell>
        </row>
        <row r="4018">
          <cell r="E4018" t="str">
            <v>HGC-Lib-2466682</v>
          </cell>
          <cell r="F4018" t="str">
            <v>T903-1</v>
          </cell>
          <cell r="G4018">
            <v>6</v>
          </cell>
          <cell r="H4018" t="str">
            <v>mRNA文库</v>
          </cell>
          <cell r="I4018" t="str">
            <v>YHT</v>
          </cell>
          <cell r="J4018">
            <v>64.599999999999994</v>
          </cell>
          <cell r="N4018" t="e">
            <v>#DIV/0!</v>
          </cell>
        </row>
        <row r="4019">
          <cell r="E4019" t="str">
            <v>HGC-Lib-2466683</v>
          </cell>
          <cell r="F4019" t="str">
            <v>T903-2</v>
          </cell>
          <cell r="G4019">
            <v>6</v>
          </cell>
          <cell r="H4019" t="str">
            <v>mRNA文库</v>
          </cell>
          <cell r="I4019" t="str">
            <v>YHT</v>
          </cell>
          <cell r="J4019">
            <v>54.4</v>
          </cell>
          <cell r="N4019" t="e">
            <v>#DIV/0!</v>
          </cell>
        </row>
        <row r="4020">
          <cell r="E4020" t="str">
            <v>HGC-Lib-2466684</v>
          </cell>
          <cell r="F4020" t="str">
            <v>T903-3</v>
          </cell>
          <cell r="G4020">
            <v>6</v>
          </cell>
          <cell r="H4020" t="str">
            <v>mRNA文库</v>
          </cell>
          <cell r="I4020" t="str">
            <v>YHT</v>
          </cell>
          <cell r="J4020">
            <v>54.2</v>
          </cell>
          <cell r="N4020" t="e">
            <v>#DIV/0!</v>
          </cell>
        </row>
        <row r="4021">
          <cell r="E4021" t="str">
            <v>HGC-Lib-2466685</v>
          </cell>
          <cell r="F4021" t="str">
            <v>T903-4</v>
          </cell>
          <cell r="G4021">
            <v>6</v>
          </cell>
          <cell r="H4021" t="str">
            <v>mRNA文库</v>
          </cell>
          <cell r="I4021" t="str">
            <v>YHT</v>
          </cell>
          <cell r="J4021">
            <v>58.6</v>
          </cell>
          <cell r="N4021" t="e">
            <v>#DIV/0!</v>
          </cell>
        </row>
        <row r="4022">
          <cell r="E4022" t="str">
            <v>HGC-Lib-2466686</v>
          </cell>
          <cell r="F4022" t="str">
            <v>T903-5</v>
          </cell>
          <cell r="G4022">
            <v>6</v>
          </cell>
          <cell r="H4022" t="str">
            <v>mRNA文库</v>
          </cell>
          <cell r="I4022" t="str">
            <v>YHT</v>
          </cell>
          <cell r="J4022">
            <v>51</v>
          </cell>
          <cell r="N4022" t="e">
            <v>#DIV/0!</v>
          </cell>
        </row>
        <row r="4023">
          <cell r="E4023" t="str">
            <v>HGC-Lib-2466687</v>
          </cell>
          <cell r="F4023" t="str">
            <v>T903-6</v>
          </cell>
          <cell r="G4023">
            <v>6</v>
          </cell>
          <cell r="H4023" t="str">
            <v>mRNA文库</v>
          </cell>
          <cell r="I4023" t="str">
            <v>YHT</v>
          </cell>
          <cell r="J4023">
            <v>51.6</v>
          </cell>
          <cell r="N4023" t="e">
            <v>#DIV/0!</v>
          </cell>
        </row>
        <row r="4024">
          <cell r="E4024" t="str">
            <v>HGC-Lib-2466688</v>
          </cell>
          <cell r="F4024" t="str">
            <v>T903-7</v>
          </cell>
          <cell r="G4024">
            <v>6</v>
          </cell>
          <cell r="H4024" t="str">
            <v>mRNA文库</v>
          </cell>
          <cell r="I4024" t="str">
            <v>YHT</v>
          </cell>
          <cell r="J4024">
            <v>57.8</v>
          </cell>
          <cell r="N4024" t="e">
            <v>#DIV/0!</v>
          </cell>
        </row>
        <row r="4025">
          <cell r="E4025" t="str">
            <v>HGC-Lib-2466689</v>
          </cell>
          <cell r="F4025" t="str">
            <v>T903-8</v>
          </cell>
          <cell r="G4025">
            <v>6</v>
          </cell>
          <cell r="H4025" t="str">
            <v>mRNA文库</v>
          </cell>
          <cell r="I4025" t="str">
            <v>YHT</v>
          </cell>
          <cell r="J4025">
            <v>50.6</v>
          </cell>
          <cell r="N4025" t="e">
            <v>#DIV/0!</v>
          </cell>
        </row>
        <row r="4026">
          <cell r="E4026" t="str">
            <v>HGC-Lib-2466690</v>
          </cell>
          <cell r="F4026" t="str">
            <v>T903-9</v>
          </cell>
          <cell r="G4026">
            <v>6</v>
          </cell>
          <cell r="H4026" t="str">
            <v>mRNA文库</v>
          </cell>
          <cell r="I4026" t="str">
            <v>YHT</v>
          </cell>
          <cell r="J4026">
            <v>54</v>
          </cell>
          <cell r="N4026" t="e">
            <v>#DIV/0!</v>
          </cell>
        </row>
        <row r="4027">
          <cell r="E4027" t="str">
            <v>HGC-Lib-2466691</v>
          </cell>
          <cell r="F4027" t="str">
            <v>T903-10</v>
          </cell>
          <cell r="G4027">
            <v>6</v>
          </cell>
          <cell r="H4027" t="str">
            <v>mRNA文库</v>
          </cell>
          <cell r="I4027" t="str">
            <v>YHT</v>
          </cell>
          <cell r="J4027">
            <v>52.4</v>
          </cell>
          <cell r="N4027" t="e">
            <v>#DIV/0!</v>
          </cell>
        </row>
        <row r="4028">
          <cell r="E4028" t="str">
            <v>HGC-Lib-2466692</v>
          </cell>
          <cell r="F4028" t="str">
            <v>T906-1</v>
          </cell>
          <cell r="G4028">
            <v>6</v>
          </cell>
          <cell r="H4028" t="str">
            <v>mRNA文库</v>
          </cell>
          <cell r="I4028" t="str">
            <v>YHT</v>
          </cell>
          <cell r="J4028">
            <v>32</v>
          </cell>
          <cell r="N4028" t="e">
            <v>#DIV/0!</v>
          </cell>
        </row>
        <row r="4029">
          <cell r="E4029" t="str">
            <v>HGC-Lib-2466693</v>
          </cell>
          <cell r="F4029" t="str">
            <v>T906-2</v>
          </cell>
          <cell r="G4029">
            <v>6</v>
          </cell>
          <cell r="H4029" t="str">
            <v>mRNA文库</v>
          </cell>
          <cell r="I4029" t="str">
            <v>YHT</v>
          </cell>
          <cell r="J4029">
            <v>32.6</v>
          </cell>
          <cell r="N4029" t="e">
            <v>#DIV/0!</v>
          </cell>
        </row>
        <row r="4030">
          <cell r="E4030" t="str">
            <v>HGC-Lib-2466706</v>
          </cell>
          <cell r="F4030" t="str">
            <v>N</v>
          </cell>
          <cell r="G4030">
            <v>6</v>
          </cell>
          <cell r="H4030" t="str">
            <v>cut&amp;tag文库</v>
          </cell>
          <cell r="I4030" t="str">
            <v>YHT</v>
          </cell>
          <cell r="J4030" t="str">
            <v>/</v>
          </cell>
          <cell r="K4030" t="str">
            <v>/</v>
          </cell>
          <cell r="N4030" t="e">
            <v>#VALUE!</v>
          </cell>
        </row>
        <row r="4031">
          <cell r="E4031" t="str">
            <v>HGC-Lib-2466707</v>
          </cell>
          <cell r="F4031" t="str">
            <v>C</v>
          </cell>
          <cell r="G4031">
            <v>6</v>
          </cell>
          <cell r="H4031" t="str">
            <v>cut&amp;tag文库</v>
          </cell>
          <cell r="I4031" t="str">
            <v>YHT</v>
          </cell>
          <cell r="J4031" t="str">
            <v>/</v>
          </cell>
          <cell r="K4031" t="str">
            <v>/</v>
          </cell>
          <cell r="N4031" t="e">
            <v>#VALUE!</v>
          </cell>
        </row>
        <row r="4032">
          <cell r="E4032" t="str">
            <v>HGC-Lib-2466708</v>
          </cell>
          <cell r="F4032" t="str">
            <v>Test1</v>
          </cell>
          <cell r="G4032">
            <v>10</v>
          </cell>
          <cell r="H4032" t="str">
            <v>ATAC-Seq文库</v>
          </cell>
          <cell r="I4032" t="str">
            <v>XCL</v>
          </cell>
          <cell r="J4032">
            <v>56.4</v>
          </cell>
          <cell r="K4032">
            <v>277</v>
          </cell>
          <cell r="L4032" t="str">
            <v>GZQ</v>
          </cell>
          <cell r="N4032">
            <v>313.24632046653699</v>
          </cell>
        </row>
        <row r="4033">
          <cell r="E4033" t="str">
            <v>HGC-Lib-2466709</v>
          </cell>
          <cell r="F4033" t="str">
            <v>Test2</v>
          </cell>
          <cell r="G4033">
            <v>10</v>
          </cell>
          <cell r="H4033" t="str">
            <v>ATAC-Seq文库</v>
          </cell>
          <cell r="I4033" t="str">
            <v>XCL</v>
          </cell>
          <cell r="J4033">
            <v>63.4</v>
          </cell>
          <cell r="K4033">
            <v>262</v>
          </cell>
          <cell r="L4033" t="str">
            <v>GZQ</v>
          </cell>
          <cell r="N4033">
            <v>372.284204345273</v>
          </cell>
        </row>
        <row r="4034">
          <cell r="E4034" t="str">
            <v>HGC-Lib-2466710</v>
          </cell>
          <cell r="F4034" t="str">
            <v>YX20240820_1</v>
          </cell>
          <cell r="G4034">
            <v>9</v>
          </cell>
          <cell r="H4034" t="str">
            <v>mRNA文库</v>
          </cell>
          <cell r="I4034" t="str">
            <v>XCL</v>
          </cell>
          <cell r="J4034">
            <v>18.5</v>
          </cell>
          <cell r="K4034">
            <v>373</v>
          </cell>
          <cell r="L4034" t="str">
            <v>GZQ</v>
          </cell>
          <cell r="N4034">
            <v>76.304392658280094</v>
          </cell>
        </row>
        <row r="4035">
          <cell r="E4035" t="str">
            <v>HGC-Lib-2466711</v>
          </cell>
          <cell r="F4035" t="str">
            <v>YX20240820_2</v>
          </cell>
          <cell r="G4035">
            <v>173</v>
          </cell>
          <cell r="H4035" t="str">
            <v>mRNA文库</v>
          </cell>
          <cell r="I4035" t="str">
            <v>XCL</v>
          </cell>
          <cell r="J4035">
            <v>14.9</v>
          </cell>
          <cell r="K4035">
            <v>325</v>
          </cell>
          <cell r="L4035" t="str">
            <v>GZQ</v>
          </cell>
          <cell r="N4035">
            <v>70.532544378698205</v>
          </cell>
        </row>
        <row r="4036">
          <cell r="E4036" t="str">
            <v>HGC-Lib-2466712</v>
          </cell>
          <cell r="F4036" t="str">
            <v>YX20240820_3</v>
          </cell>
          <cell r="G4036">
            <v>461</v>
          </cell>
          <cell r="H4036" t="str">
            <v>mRNA文库</v>
          </cell>
          <cell r="I4036" t="str">
            <v>XCL</v>
          </cell>
          <cell r="J4036">
            <v>12</v>
          </cell>
          <cell r="K4036">
            <v>325</v>
          </cell>
          <cell r="L4036" t="str">
            <v>GZQ</v>
          </cell>
          <cell r="N4036">
            <v>56.8047337278106</v>
          </cell>
        </row>
        <row r="4037">
          <cell r="E4037" t="str">
            <v>HGC-Lib-2466713</v>
          </cell>
          <cell r="F4037" t="str">
            <v>YX20240820_4</v>
          </cell>
          <cell r="G4037">
            <v>202</v>
          </cell>
          <cell r="H4037" t="str">
            <v>全基因组文库</v>
          </cell>
          <cell r="I4037" t="str">
            <v>XCL</v>
          </cell>
          <cell r="J4037">
            <v>23.9</v>
          </cell>
          <cell r="K4037">
            <v>332</v>
          </cell>
          <cell r="L4037" t="str">
            <v>GZQ</v>
          </cell>
          <cell r="N4037">
            <v>110.750695088044</v>
          </cell>
        </row>
        <row r="4038">
          <cell r="E4038" t="str">
            <v>HGC-Lib-2466714</v>
          </cell>
          <cell r="F4038" t="str">
            <v>Y14</v>
          </cell>
          <cell r="G4038">
            <v>5</v>
          </cell>
          <cell r="H4038" t="str">
            <v>原核RNA文库</v>
          </cell>
          <cell r="I4038" t="str">
            <v>XCL</v>
          </cell>
          <cell r="J4038">
            <v>17.5</v>
          </cell>
          <cell r="K4038">
            <v>353</v>
          </cell>
          <cell r="L4038" t="str">
            <v>GZQ</v>
          </cell>
          <cell r="N4038">
            <v>76.269339725430399</v>
          </cell>
        </row>
        <row r="4039">
          <cell r="E4039" t="str">
            <v>HGC-Lib-2466715</v>
          </cell>
          <cell r="F4039" t="str">
            <v>Y15</v>
          </cell>
          <cell r="G4039">
            <v>5</v>
          </cell>
          <cell r="H4039" t="str">
            <v>原核RNA文库</v>
          </cell>
          <cell r="I4039" t="str">
            <v>XCL</v>
          </cell>
          <cell r="J4039">
            <v>17.3</v>
          </cell>
          <cell r="K4039">
            <v>350</v>
          </cell>
          <cell r="L4039" t="str">
            <v>GZQ</v>
          </cell>
          <cell r="N4039">
            <v>76.043956043956101</v>
          </cell>
        </row>
        <row r="4040">
          <cell r="E4040" t="str">
            <v>HGC-Lib-2466716</v>
          </cell>
          <cell r="F4040" t="str">
            <v>Y16</v>
          </cell>
          <cell r="G4040">
            <v>5</v>
          </cell>
          <cell r="H4040" t="str">
            <v>原核RNA文库</v>
          </cell>
          <cell r="I4040" t="str">
            <v>XCL</v>
          </cell>
          <cell r="J4040">
            <v>16.100000000000001</v>
          </cell>
          <cell r="K4040">
            <v>342</v>
          </cell>
          <cell r="L4040" t="str">
            <v>GZQ</v>
          </cell>
          <cell r="N4040">
            <v>72.424651372019795</v>
          </cell>
        </row>
        <row r="4041">
          <cell r="E4041" t="str">
            <v>HGC-Lib-2466717</v>
          </cell>
          <cell r="F4041" t="str">
            <v>Y17</v>
          </cell>
          <cell r="G4041">
            <v>5</v>
          </cell>
          <cell r="H4041" t="str">
            <v>原核RNA文库</v>
          </cell>
          <cell r="I4041" t="str">
            <v>XCL</v>
          </cell>
          <cell r="J4041">
            <v>16.8</v>
          </cell>
          <cell r="K4041">
            <v>350</v>
          </cell>
          <cell r="L4041" t="str">
            <v>GZQ</v>
          </cell>
          <cell r="N4041">
            <v>73.846153846153797</v>
          </cell>
        </row>
        <row r="4042">
          <cell r="E4042" t="str">
            <v>HGC-Lib-2466718</v>
          </cell>
          <cell r="F4042" t="str">
            <v>Y18</v>
          </cell>
          <cell r="G4042">
            <v>5</v>
          </cell>
          <cell r="H4042" t="str">
            <v>原核RNA文库</v>
          </cell>
          <cell r="I4042" t="str">
            <v>XCL</v>
          </cell>
          <cell r="J4042">
            <v>17.100000000000001</v>
          </cell>
          <cell r="K4042">
            <v>354</v>
          </cell>
          <cell r="L4042" t="str">
            <v>GZQ</v>
          </cell>
          <cell r="N4042">
            <v>74.315514993481102</v>
          </cell>
        </row>
        <row r="4043">
          <cell r="E4043" t="str">
            <v>HGC-Lib-2466719</v>
          </cell>
          <cell r="F4043" t="str">
            <v>Y19</v>
          </cell>
          <cell r="G4043">
            <v>5</v>
          </cell>
          <cell r="H4043" t="str">
            <v>原核RNA文库</v>
          </cell>
          <cell r="I4043" t="str">
            <v>XCL</v>
          </cell>
          <cell r="J4043">
            <v>17.8</v>
          </cell>
          <cell r="K4043">
            <v>351</v>
          </cell>
          <cell r="L4043" t="str">
            <v>GZQ</v>
          </cell>
          <cell r="N4043">
            <v>78.018847249616499</v>
          </cell>
        </row>
        <row r="4044">
          <cell r="E4044" t="str">
            <v>HGC-Lib-2466720</v>
          </cell>
          <cell r="F4044" t="str">
            <v>Y20</v>
          </cell>
          <cell r="G4044">
            <v>5</v>
          </cell>
          <cell r="H4044" t="str">
            <v>原核RNA文库</v>
          </cell>
          <cell r="I4044" t="str">
            <v>XCL</v>
          </cell>
          <cell r="J4044">
            <v>16.100000000000001</v>
          </cell>
          <cell r="K4044">
            <v>355</v>
          </cell>
          <cell r="L4044" t="str">
            <v>GZQ</v>
          </cell>
          <cell r="N4044">
            <v>69.772481040086703</v>
          </cell>
        </row>
        <row r="4045">
          <cell r="E4045" t="str">
            <v>HGC-Lib-2466721</v>
          </cell>
          <cell r="F4045" t="str">
            <v>Y21</v>
          </cell>
          <cell r="G4045">
            <v>5</v>
          </cell>
          <cell r="H4045" t="str">
            <v>原核RNA文库</v>
          </cell>
          <cell r="I4045" t="str">
            <v>XCL</v>
          </cell>
          <cell r="J4045">
            <v>18.100000000000001</v>
          </cell>
          <cell r="K4045">
            <v>343</v>
          </cell>
          <cell r="L4045" t="str">
            <v>GZQ</v>
          </cell>
          <cell r="N4045">
            <v>81.184122000448497</v>
          </cell>
        </row>
        <row r="4046">
          <cell r="E4046" t="str">
            <v>HGC-Lib-2466722</v>
          </cell>
          <cell r="F4046" t="str">
            <v>Y22</v>
          </cell>
          <cell r="G4046">
            <v>5</v>
          </cell>
          <cell r="H4046" t="str">
            <v>原核RNA文库</v>
          </cell>
          <cell r="I4046" t="str">
            <v>XCL</v>
          </cell>
          <cell r="J4046">
            <v>16.3</v>
          </cell>
          <cell r="K4046">
            <v>348</v>
          </cell>
          <cell r="L4046" t="str">
            <v>GZQ</v>
          </cell>
          <cell r="N4046">
            <v>72.060123784261705</v>
          </cell>
        </row>
        <row r="4047">
          <cell r="E4047" t="str">
            <v>HGC-Lib-2466723</v>
          </cell>
          <cell r="F4047" t="str">
            <v>Y23</v>
          </cell>
          <cell r="G4047">
            <v>5</v>
          </cell>
          <cell r="H4047" t="str">
            <v>原核RNA文库</v>
          </cell>
          <cell r="I4047" t="str">
            <v>XCL</v>
          </cell>
          <cell r="J4047">
            <v>14.5</v>
          </cell>
          <cell r="K4047">
            <v>341</v>
          </cell>
          <cell r="L4047" t="str">
            <v>GZQ</v>
          </cell>
          <cell r="N4047">
            <v>65.418452515226704</v>
          </cell>
        </row>
        <row r="4048">
          <cell r="E4048" t="str">
            <v>HGC-Lib-2466724</v>
          </cell>
          <cell r="F4048" t="str">
            <v>Y24</v>
          </cell>
          <cell r="G4048">
            <v>5</v>
          </cell>
          <cell r="H4048" t="str">
            <v>原核RNA文库</v>
          </cell>
          <cell r="I4048" t="str">
            <v>XCL</v>
          </cell>
          <cell r="J4048">
            <v>15.4</v>
          </cell>
          <cell r="K4048">
            <v>333</v>
          </cell>
          <cell r="L4048" t="str">
            <v>GZQ</v>
          </cell>
          <cell r="N4048">
            <v>71.148071148071196</v>
          </cell>
        </row>
        <row r="4049">
          <cell r="E4049" t="str">
            <v>HGC-Lib-2466725</v>
          </cell>
          <cell r="F4049" t="str">
            <v>Y25</v>
          </cell>
          <cell r="G4049">
            <v>5</v>
          </cell>
          <cell r="H4049" t="str">
            <v>原核RNA文库</v>
          </cell>
          <cell r="I4049" t="str">
            <v>XCL</v>
          </cell>
          <cell r="J4049">
            <v>14.3</v>
          </cell>
          <cell r="K4049">
            <v>353</v>
          </cell>
          <cell r="L4049" t="str">
            <v>GZQ</v>
          </cell>
          <cell r="N4049">
            <v>62.322946175637398</v>
          </cell>
        </row>
        <row r="4050">
          <cell r="E4050" t="str">
            <v>HGC-Lib-2466726</v>
          </cell>
          <cell r="F4050" t="str">
            <v>Y5</v>
          </cell>
          <cell r="G4050">
            <v>5</v>
          </cell>
          <cell r="H4050" t="str">
            <v>原核RNA文库</v>
          </cell>
          <cell r="I4050" t="str">
            <v>XCL</v>
          </cell>
          <cell r="J4050">
            <v>19</v>
          </cell>
          <cell r="K4050">
            <v>390</v>
          </cell>
          <cell r="L4050" t="str">
            <v>GZQ</v>
          </cell>
          <cell r="N4050">
            <v>74.950690335305694</v>
          </cell>
        </row>
        <row r="4051">
          <cell r="E4051" t="str">
            <v>HGC-Lib-2466727</v>
          </cell>
          <cell r="F4051" t="str">
            <v>Y6</v>
          </cell>
          <cell r="G4051">
            <v>5</v>
          </cell>
          <cell r="H4051" t="str">
            <v>原核RNA文库</v>
          </cell>
          <cell r="I4051" t="str">
            <v>XCL</v>
          </cell>
          <cell r="J4051">
            <v>19.8</v>
          </cell>
          <cell r="K4051">
            <v>385</v>
          </cell>
          <cell r="L4051" t="str">
            <v>GZQ</v>
          </cell>
          <cell r="N4051">
            <v>79.120879120879096</v>
          </cell>
        </row>
        <row r="4052">
          <cell r="E4052" t="str">
            <v>HGC-Lib-2466728</v>
          </cell>
          <cell r="F4052" t="str">
            <v>Y7</v>
          </cell>
          <cell r="G4052">
            <v>5</v>
          </cell>
          <cell r="H4052" t="str">
            <v>原核RNA文库</v>
          </cell>
          <cell r="I4052" t="str">
            <v>XCL</v>
          </cell>
          <cell r="J4052">
            <v>18</v>
          </cell>
          <cell r="K4052">
            <v>383</v>
          </cell>
          <cell r="L4052" t="str">
            <v>GZQ</v>
          </cell>
          <cell r="N4052">
            <v>72.303675436834695</v>
          </cell>
        </row>
        <row r="4053">
          <cell r="E4053" t="str">
            <v>HGC-Lib-2466729</v>
          </cell>
          <cell r="F4053" t="str">
            <v>Y8</v>
          </cell>
          <cell r="G4053">
            <v>5</v>
          </cell>
          <cell r="H4053" t="str">
            <v>原核RNA文库</v>
          </cell>
          <cell r="I4053" t="str">
            <v>XCL</v>
          </cell>
          <cell r="J4053">
            <v>19.2</v>
          </cell>
          <cell r="K4053">
            <v>378</v>
          </cell>
          <cell r="L4053" t="str">
            <v>GZQ</v>
          </cell>
          <cell r="N4053">
            <v>78.144078144078094</v>
          </cell>
        </row>
        <row r="4054">
          <cell r="E4054" t="str">
            <v>HGC-Lib-2466730</v>
          </cell>
          <cell r="F4054" t="str">
            <v>Y9</v>
          </cell>
          <cell r="G4054">
            <v>5</v>
          </cell>
          <cell r="H4054" t="str">
            <v>原核RNA文库</v>
          </cell>
          <cell r="I4054" t="str">
            <v>XCL</v>
          </cell>
          <cell r="J4054">
            <v>18.7</v>
          </cell>
          <cell r="K4054">
            <v>366</v>
          </cell>
          <cell r="L4054" t="str">
            <v>GZQ</v>
          </cell>
          <cell r="N4054">
            <v>78.604455653635995</v>
          </cell>
        </row>
        <row r="4055">
          <cell r="E4055" t="str">
            <v>HGC-Lib-2466731</v>
          </cell>
          <cell r="F4055" t="str">
            <v>Y10</v>
          </cell>
          <cell r="G4055">
            <v>5</v>
          </cell>
          <cell r="H4055" t="str">
            <v>原核RNA文库</v>
          </cell>
          <cell r="I4055" t="str">
            <v>XCL</v>
          </cell>
          <cell r="J4055">
            <v>18.100000000000001</v>
          </cell>
          <cell r="K4055">
            <v>376</v>
          </cell>
          <cell r="L4055" t="str">
            <v>GZQ</v>
          </cell>
          <cell r="N4055">
            <v>74.058919803600702</v>
          </cell>
        </row>
        <row r="4056">
          <cell r="E4056" t="str">
            <v>HGC-Lib-2466732</v>
          </cell>
          <cell r="F4056" t="str">
            <v>Y11</v>
          </cell>
          <cell r="G4056">
            <v>5</v>
          </cell>
          <cell r="H4056" t="str">
            <v>原核RNA文库</v>
          </cell>
          <cell r="I4056" t="str">
            <v>XCL</v>
          </cell>
          <cell r="J4056">
            <v>17.600000000000001</v>
          </cell>
          <cell r="K4056">
            <v>364</v>
          </cell>
          <cell r="L4056" t="str">
            <v>GZQ</v>
          </cell>
          <cell r="N4056">
            <v>74.387151310228205</v>
          </cell>
        </row>
        <row r="4057">
          <cell r="E4057" t="str">
            <v>HGC-Lib-2466733</v>
          </cell>
          <cell r="F4057" t="str">
            <v>Y12</v>
          </cell>
          <cell r="G4057">
            <v>5</v>
          </cell>
          <cell r="H4057" t="str">
            <v>原核RNA文库</v>
          </cell>
          <cell r="I4057" t="str">
            <v>XCL</v>
          </cell>
          <cell r="J4057">
            <v>18</v>
          </cell>
          <cell r="K4057">
            <v>383</v>
          </cell>
          <cell r="L4057" t="str">
            <v>GZQ</v>
          </cell>
          <cell r="N4057">
            <v>72.303675436834695</v>
          </cell>
        </row>
        <row r="4058">
          <cell r="E4058" t="str">
            <v>HGC-Lib-2466734</v>
          </cell>
          <cell r="F4058" t="str">
            <v>Y13</v>
          </cell>
          <cell r="G4058">
            <v>5</v>
          </cell>
          <cell r="H4058" t="str">
            <v>原核RNA文库</v>
          </cell>
          <cell r="I4058" t="str">
            <v>XCL</v>
          </cell>
          <cell r="J4058">
            <v>19.5</v>
          </cell>
          <cell r="K4058">
            <v>392</v>
          </cell>
          <cell r="L4058" t="str">
            <v>GZQ</v>
          </cell>
          <cell r="N4058">
            <v>76.530612244897995</v>
          </cell>
        </row>
        <row r="4059">
          <cell r="E4059" t="str">
            <v>HGC-Lib-2466735</v>
          </cell>
          <cell r="F4059" t="str">
            <v>Y1</v>
          </cell>
          <cell r="G4059">
            <v>7</v>
          </cell>
          <cell r="H4059" t="str">
            <v>原核RNA文库</v>
          </cell>
          <cell r="I4059" t="str">
            <v>XCL</v>
          </cell>
          <cell r="J4059">
            <v>16.3</v>
          </cell>
          <cell r="K4059">
            <v>360</v>
          </cell>
          <cell r="L4059" t="str">
            <v>GZQ</v>
          </cell>
          <cell r="N4059">
            <v>69.658119658119602</v>
          </cell>
        </row>
        <row r="4060">
          <cell r="E4060" t="str">
            <v>HGC-Lib-2466736</v>
          </cell>
          <cell r="F4060" t="str">
            <v>Y2</v>
          </cell>
          <cell r="G4060">
            <v>7</v>
          </cell>
          <cell r="H4060" t="str">
            <v>原核RNA文库</v>
          </cell>
          <cell r="I4060" t="str">
            <v>XCL</v>
          </cell>
          <cell r="J4060">
            <v>14.1</v>
          </cell>
          <cell r="K4060">
            <v>365</v>
          </cell>
          <cell r="L4060" t="str">
            <v>GZQ</v>
          </cell>
          <cell r="N4060">
            <v>59.430979978925201</v>
          </cell>
        </row>
        <row r="4061">
          <cell r="E4061" t="str">
            <v>HGC-Lib-2466737</v>
          </cell>
          <cell r="F4061" t="str">
            <v>Y3</v>
          </cell>
          <cell r="G4061">
            <v>7</v>
          </cell>
          <cell r="H4061" t="str">
            <v>原核RNA文库</v>
          </cell>
          <cell r="I4061" t="str">
            <v>XCL</v>
          </cell>
          <cell r="J4061">
            <v>14.9</v>
          </cell>
          <cell r="K4061">
            <v>355</v>
          </cell>
          <cell r="L4061" t="str">
            <v>GZQ</v>
          </cell>
          <cell r="N4061">
            <v>64.572047670639193</v>
          </cell>
        </row>
        <row r="4062">
          <cell r="E4062" t="str">
            <v>HGC-Lib-2466738</v>
          </cell>
          <cell r="F4062" t="str">
            <v>Y4</v>
          </cell>
          <cell r="G4062">
            <v>7</v>
          </cell>
          <cell r="H4062" t="str">
            <v>原核RNA文库</v>
          </cell>
          <cell r="I4062" t="str">
            <v>XCL</v>
          </cell>
          <cell r="J4062">
            <v>12.7</v>
          </cell>
          <cell r="K4062">
            <v>363</v>
          </cell>
          <cell r="L4062" t="str">
            <v>GZQ</v>
          </cell>
          <cell r="N4062">
            <v>53.824962915872</v>
          </cell>
        </row>
        <row r="4063">
          <cell r="E4063" t="str">
            <v>HGC-Lib-2466739</v>
          </cell>
          <cell r="F4063" t="str">
            <v>P6-Lung</v>
          </cell>
          <cell r="G4063">
            <v>100</v>
          </cell>
          <cell r="H4063" t="str">
            <v>10x 5'单细胞</v>
          </cell>
          <cell r="I4063" t="str">
            <v>XCL</v>
          </cell>
          <cell r="J4063">
            <v>53.6</v>
          </cell>
          <cell r="K4063">
            <v>497</v>
          </cell>
          <cell r="L4063" t="str">
            <v>GZQ</v>
          </cell>
          <cell r="N4063">
            <v>165.9185884538</v>
          </cell>
        </row>
        <row r="4064">
          <cell r="E4064" t="str">
            <v>HGC-Lib-2466740</v>
          </cell>
          <cell r="F4064" t="str">
            <v>P6-Heart</v>
          </cell>
          <cell r="G4064">
            <v>100</v>
          </cell>
          <cell r="H4064" t="str">
            <v>10x 5'单细胞</v>
          </cell>
          <cell r="I4064" t="str">
            <v>XCL</v>
          </cell>
          <cell r="J4064">
            <v>49.6</v>
          </cell>
          <cell r="K4064">
            <v>475</v>
          </cell>
          <cell r="L4064" t="str">
            <v>GZQ</v>
          </cell>
          <cell r="N4064">
            <v>160.64777327935201</v>
          </cell>
        </row>
        <row r="4065">
          <cell r="E4065" t="str">
            <v>HGC-Lib-2466741</v>
          </cell>
          <cell r="F4065" t="str">
            <v>P6-Ln</v>
          </cell>
          <cell r="G4065">
            <v>100</v>
          </cell>
          <cell r="H4065" t="str">
            <v>10x 5'单细胞</v>
          </cell>
          <cell r="I4065" t="str">
            <v>XCL</v>
          </cell>
          <cell r="J4065">
            <v>40.6</v>
          </cell>
          <cell r="K4065">
            <v>502</v>
          </cell>
          <cell r="L4065" t="str">
            <v>GZQ</v>
          </cell>
          <cell r="N4065">
            <v>124.425375421391</v>
          </cell>
        </row>
        <row r="4066">
          <cell r="E4066" t="str">
            <v>HGC-Lib-2466742</v>
          </cell>
          <cell r="F4066" t="str">
            <v>P6-Thyroid</v>
          </cell>
          <cell r="G4066">
            <v>100</v>
          </cell>
          <cell r="H4066" t="str">
            <v>10x 5'单细胞</v>
          </cell>
          <cell r="I4066" t="str">
            <v>XCL</v>
          </cell>
          <cell r="J4066">
            <v>47.6</v>
          </cell>
          <cell r="K4066">
            <v>495</v>
          </cell>
          <cell r="L4066" t="str">
            <v>GZQ</v>
          </cell>
          <cell r="N4066">
            <v>147.94094794094801</v>
          </cell>
        </row>
        <row r="4067">
          <cell r="E4067" t="str">
            <v>HGC-Lib-2466743</v>
          </cell>
          <cell r="F4067" t="str">
            <v>P6-Liver</v>
          </cell>
          <cell r="G4067">
            <v>100</v>
          </cell>
          <cell r="H4067" t="str">
            <v>10x 5'单细胞</v>
          </cell>
          <cell r="I4067" t="str">
            <v>XCL</v>
          </cell>
          <cell r="J4067">
            <v>45.6</v>
          </cell>
          <cell r="K4067">
            <v>484</v>
          </cell>
          <cell r="L4067" t="str">
            <v>GZQ</v>
          </cell>
          <cell r="N4067">
            <v>144.945963127781</v>
          </cell>
        </row>
        <row r="4068">
          <cell r="E4068" t="str">
            <v>HGC-Lib-2466744</v>
          </cell>
          <cell r="F4068" t="str">
            <v>P6-Skin</v>
          </cell>
          <cell r="G4068">
            <v>100</v>
          </cell>
          <cell r="H4068" t="str">
            <v>10x 5'单细胞</v>
          </cell>
          <cell r="I4068" t="str">
            <v>XCL</v>
          </cell>
          <cell r="J4068">
            <v>55.2</v>
          </cell>
          <cell r="K4068">
            <v>481</v>
          </cell>
          <cell r="L4068" t="str">
            <v>GZQ</v>
          </cell>
          <cell r="N4068">
            <v>176.55525347833</v>
          </cell>
        </row>
        <row r="4069">
          <cell r="E4069" t="str">
            <v>HGC-Lib-2466745</v>
          </cell>
          <cell r="F4069" t="str">
            <v>P6-Gut</v>
          </cell>
          <cell r="G4069">
            <v>100</v>
          </cell>
          <cell r="H4069" t="str">
            <v>10x 5'单细胞</v>
          </cell>
          <cell r="I4069" t="str">
            <v>XCL</v>
          </cell>
          <cell r="J4069">
            <v>65.599999999999994</v>
          </cell>
          <cell r="K4069">
            <v>472</v>
          </cell>
          <cell r="L4069" t="str">
            <v>GZQ</v>
          </cell>
          <cell r="N4069">
            <v>213.82007822685799</v>
          </cell>
        </row>
        <row r="4070">
          <cell r="E4070" t="str">
            <v>HGC-Lib-2466746</v>
          </cell>
          <cell r="F4070" t="str">
            <v>PBS-Blood</v>
          </cell>
          <cell r="G4070">
            <v>100</v>
          </cell>
          <cell r="H4070" t="str">
            <v>10x 5'单细胞</v>
          </cell>
          <cell r="I4070" t="str">
            <v>XCL</v>
          </cell>
          <cell r="J4070">
            <v>61.6</v>
          </cell>
          <cell r="K4070">
            <v>479</v>
          </cell>
          <cell r="L4070" t="str">
            <v>GZQ</v>
          </cell>
          <cell r="N4070">
            <v>197.84808093785099</v>
          </cell>
        </row>
        <row r="4071">
          <cell r="E4071" t="str">
            <v>HGC-Lib-2466747</v>
          </cell>
          <cell r="F4071" t="str">
            <v>P6-Lung-T</v>
          </cell>
          <cell r="G4071">
            <v>10</v>
          </cell>
          <cell r="H4071" t="str">
            <v>10x 5'单细胞</v>
          </cell>
          <cell r="I4071" t="str">
            <v>XCL</v>
          </cell>
          <cell r="J4071">
            <v>73.400000000000006</v>
          </cell>
          <cell r="K4071">
            <v>607</v>
          </cell>
          <cell r="L4071" t="str">
            <v>GZQ</v>
          </cell>
          <cell r="N4071">
            <v>186.034723102268</v>
          </cell>
        </row>
        <row r="4072">
          <cell r="E4072" t="str">
            <v>HGC-Lib-2466748</v>
          </cell>
          <cell r="F4072" t="str">
            <v>P6-Heart-T</v>
          </cell>
          <cell r="G4072">
            <v>10</v>
          </cell>
          <cell r="H4072" t="str">
            <v>10x 5'单细胞</v>
          </cell>
          <cell r="I4072" t="str">
            <v>XCL</v>
          </cell>
          <cell r="J4072">
            <v>86</v>
          </cell>
          <cell r="K4072">
            <v>600</v>
          </cell>
          <cell r="L4072" t="str">
            <v>GZQ</v>
          </cell>
          <cell r="N4072">
            <v>220.51282051282101</v>
          </cell>
        </row>
        <row r="4073">
          <cell r="E4073" t="str">
            <v>HGC-Lib-2466749</v>
          </cell>
          <cell r="F4073" t="str">
            <v>P6-Ln-T</v>
          </cell>
          <cell r="G4073">
            <v>10</v>
          </cell>
          <cell r="H4073" t="str">
            <v>10x 5'单细胞</v>
          </cell>
          <cell r="I4073" t="str">
            <v>XCL</v>
          </cell>
          <cell r="J4073">
            <v>93.4</v>
          </cell>
          <cell r="K4073">
            <v>601</v>
          </cell>
          <cell r="L4073" t="str">
            <v>GZQ</v>
          </cell>
          <cell r="N4073">
            <v>239.088698323307</v>
          </cell>
        </row>
        <row r="4074">
          <cell r="E4074" t="str">
            <v>HGC-Lib-2466750</v>
          </cell>
          <cell r="F4074" t="str">
            <v>P6-Thyroid-T</v>
          </cell>
          <cell r="G4074">
            <v>10</v>
          </cell>
          <cell r="H4074" t="str">
            <v>10x 5'单细胞</v>
          </cell>
          <cell r="I4074" t="str">
            <v>XCL</v>
          </cell>
          <cell r="J4074">
            <v>72.599999999999994</v>
          </cell>
          <cell r="K4074">
            <v>605</v>
          </cell>
          <cell r="L4074" t="str">
            <v>GZQ</v>
          </cell>
          <cell r="N4074">
            <v>184.61538461538501</v>
          </cell>
        </row>
        <row r="4075">
          <cell r="E4075" t="str">
            <v>HGC-Lib-2466751</v>
          </cell>
          <cell r="F4075" t="str">
            <v>P6-Liver-T</v>
          </cell>
          <cell r="G4075">
            <v>10</v>
          </cell>
          <cell r="H4075" t="str">
            <v>10x 5'单细胞</v>
          </cell>
          <cell r="I4075" t="str">
            <v>XCL</v>
          </cell>
          <cell r="J4075">
            <v>54</v>
          </cell>
          <cell r="K4075">
            <v>615</v>
          </cell>
          <cell r="L4075" t="str">
            <v>GZQ</v>
          </cell>
          <cell r="N4075">
            <v>135.08442776735501</v>
          </cell>
        </row>
        <row r="4076">
          <cell r="E4076" t="str">
            <v>HGC-Lib-2466752</v>
          </cell>
          <cell r="F4076" t="str">
            <v>P6-Skin-T</v>
          </cell>
          <cell r="G4076">
            <v>10</v>
          </cell>
          <cell r="H4076" t="str">
            <v>10x 5'单细胞</v>
          </cell>
          <cell r="I4076" t="str">
            <v>XCL</v>
          </cell>
          <cell r="J4076">
            <v>35.4</v>
          </cell>
          <cell r="K4076">
            <v>632</v>
          </cell>
          <cell r="L4076" t="str">
            <v>GZQ</v>
          </cell>
          <cell r="N4076">
            <v>86.173320350535505</v>
          </cell>
        </row>
        <row r="4077">
          <cell r="E4077" t="str">
            <v>HGC-Lib-2466753</v>
          </cell>
          <cell r="F4077" t="str">
            <v>P6-Gut-T</v>
          </cell>
          <cell r="G4077">
            <v>10</v>
          </cell>
          <cell r="H4077" t="str">
            <v>10x 5'单细胞</v>
          </cell>
          <cell r="I4077" t="str">
            <v>XCL</v>
          </cell>
          <cell r="J4077">
            <v>66.400000000000006</v>
          </cell>
          <cell r="K4077">
            <v>592</v>
          </cell>
          <cell r="L4077" t="str">
            <v>GZQ</v>
          </cell>
          <cell r="N4077">
            <v>172.557172557173</v>
          </cell>
        </row>
        <row r="4078">
          <cell r="E4078" t="str">
            <v>HGC-Lib-2466754</v>
          </cell>
          <cell r="F4078" t="str">
            <v>PBS-Blood-T</v>
          </cell>
          <cell r="G4078">
            <v>10</v>
          </cell>
          <cell r="H4078" t="str">
            <v>10x 5'单细胞</v>
          </cell>
          <cell r="I4078" t="str">
            <v>XCL</v>
          </cell>
          <cell r="J4078">
            <v>89.4</v>
          </cell>
          <cell r="K4078">
            <v>591</v>
          </cell>
          <cell r="L4078" t="str">
            <v>GZQ</v>
          </cell>
          <cell r="N4078">
            <v>232.721593127684</v>
          </cell>
        </row>
        <row r="4079">
          <cell r="E4079" t="str">
            <v>HGC-Lib-2466755</v>
          </cell>
          <cell r="F4079" t="str">
            <v>PBS-T</v>
          </cell>
          <cell r="G4079">
            <v>100</v>
          </cell>
          <cell r="H4079" t="str">
            <v>10x 5'单细胞</v>
          </cell>
          <cell r="I4079" t="str">
            <v>XCL</v>
          </cell>
          <cell r="J4079">
            <v>47.4</v>
          </cell>
          <cell r="K4079">
            <v>472</v>
          </cell>
          <cell r="L4079" t="str">
            <v>GZQ</v>
          </cell>
          <cell r="N4079">
            <v>154.49804432855299</v>
          </cell>
        </row>
        <row r="4080">
          <cell r="E4080" t="str">
            <v>HGC-Lib-2466756</v>
          </cell>
          <cell r="F4080" t="str">
            <v>PBS-Lung</v>
          </cell>
          <cell r="G4080">
            <v>100</v>
          </cell>
          <cell r="H4080" t="str">
            <v>10x 5'单细胞</v>
          </cell>
          <cell r="I4080" t="str">
            <v>ZZ</v>
          </cell>
          <cell r="J4080">
            <v>60.4</v>
          </cell>
          <cell r="K4080">
            <v>474</v>
          </cell>
          <cell r="L4080" t="str">
            <v>GZQ</v>
          </cell>
          <cell r="N4080">
            <v>196.04024667315801</v>
          </cell>
        </row>
        <row r="4081">
          <cell r="E4081" t="str">
            <v>HGC-Lib-2466757</v>
          </cell>
          <cell r="F4081" t="str">
            <v>PBS-Heart</v>
          </cell>
          <cell r="G4081">
            <v>100</v>
          </cell>
          <cell r="H4081" t="str">
            <v>10x 5'单细胞</v>
          </cell>
          <cell r="I4081" t="str">
            <v>ZZ</v>
          </cell>
          <cell r="J4081">
            <v>50.2</v>
          </cell>
          <cell r="K4081">
            <v>488</v>
          </cell>
          <cell r="L4081" t="str">
            <v>GZQ</v>
          </cell>
          <cell r="N4081">
            <v>158.25977301387101</v>
          </cell>
        </row>
        <row r="4082">
          <cell r="E4082" t="str">
            <v>HGC-Lib-2466758</v>
          </cell>
          <cell r="F4082" t="str">
            <v>PBS-Ln</v>
          </cell>
          <cell r="G4082">
            <v>100</v>
          </cell>
          <cell r="H4082" t="str">
            <v>10x 5'单细胞</v>
          </cell>
          <cell r="I4082" t="str">
            <v>ZZ</v>
          </cell>
          <cell r="J4082">
            <v>55</v>
          </cell>
          <cell r="K4082">
            <v>508</v>
          </cell>
          <cell r="L4082" t="str">
            <v>GZQ</v>
          </cell>
          <cell r="N4082">
            <v>166.56571774682001</v>
          </cell>
        </row>
        <row r="4083">
          <cell r="E4083" t="str">
            <v>HGC-Lib-2466759</v>
          </cell>
          <cell r="F4083" t="str">
            <v>PBS-Thyroid</v>
          </cell>
          <cell r="G4083">
            <v>100</v>
          </cell>
          <cell r="H4083" t="str">
            <v>10x 5'单细胞</v>
          </cell>
          <cell r="I4083" t="str">
            <v>ZZ</v>
          </cell>
          <cell r="J4083">
            <v>63.4</v>
          </cell>
          <cell r="K4083">
            <v>496</v>
          </cell>
          <cell r="L4083" t="str">
            <v>GZQ</v>
          </cell>
          <cell r="N4083">
            <v>196.65012406947901</v>
          </cell>
        </row>
        <row r="4084">
          <cell r="E4084" t="str">
            <v>HGC-Lib-2466760</v>
          </cell>
          <cell r="F4084" t="str">
            <v>PBS-Liver</v>
          </cell>
          <cell r="G4084">
            <v>100</v>
          </cell>
          <cell r="H4084" t="str">
            <v>10x 5'单细胞</v>
          </cell>
          <cell r="I4084" t="str">
            <v>ZZ</v>
          </cell>
          <cell r="J4084">
            <v>45.6</v>
          </cell>
          <cell r="K4084">
            <v>487</v>
          </cell>
          <cell r="L4084" t="str">
            <v>GZQ</v>
          </cell>
          <cell r="N4084">
            <v>144.053072184489</v>
          </cell>
        </row>
        <row r="4085">
          <cell r="E4085" t="str">
            <v>HGC-Lib-2466761</v>
          </cell>
          <cell r="F4085" t="str">
            <v>PBS-Skin</v>
          </cell>
          <cell r="G4085">
            <v>100</v>
          </cell>
          <cell r="H4085" t="str">
            <v>10x 5'单细胞</v>
          </cell>
          <cell r="I4085" t="str">
            <v>ZZ</v>
          </cell>
          <cell r="J4085">
            <v>56.6</v>
          </cell>
          <cell r="K4085">
            <v>483</v>
          </cell>
          <cell r="L4085" t="str">
            <v>GZQ</v>
          </cell>
          <cell r="N4085">
            <v>180.28348463131101</v>
          </cell>
        </row>
        <row r="4086">
          <cell r="E4086" t="str">
            <v>HGC-Lib-2466762</v>
          </cell>
          <cell r="F4086" t="str">
            <v>PBS-Gut</v>
          </cell>
          <cell r="G4086">
            <v>100</v>
          </cell>
          <cell r="H4086" t="str">
            <v>10x 5'单细胞</v>
          </cell>
          <cell r="I4086" t="str">
            <v>ZZ</v>
          </cell>
          <cell r="J4086">
            <v>63.8</v>
          </cell>
          <cell r="K4086">
            <v>479</v>
          </cell>
          <cell r="L4086" t="str">
            <v>GZQ</v>
          </cell>
          <cell r="N4086">
            <v>204.914083828489</v>
          </cell>
        </row>
        <row r="4087">
          <cell r="E4087" t="str">
            <v>HGC-Lib-2466763</v>
          </cell>
          <cell r="F4087" t="str">
            <v>PBS-T-T</v>
          </cell>
          <cell r="G4087">
            <v>10</v>
          </cell>
          <cell r="H4087" t="str">
            <v>10x 5'单细胞</v>
          </cell>
          <cell r="I4087" t="str">
            <v>ZZ</v>
          </cell>
          <cell r="J4087">
            <v>23.8</v>
          </cell>
          <cell r="K4087">
            <v>644</v>
          </cell>
          <cell r="L4087" t="str">
            <v>GZQ</v>
          </cell>
          <cell r="N4087">
            <v>56.856187290969899</v>
          </cell>
        </row>
        <row r="4088">
          <cell r="E4088" t="str">
            <v>HGC-Lib-2466764</v>
          </cell>
          <cell r="F4088" t="str">
            <v>PBS-Lung-T</v>
          </cell>
          <cell r="G4088">
            <v>10</v>
          </cell>
          <cell r="H4088" t="str">
            <v>10x 5'单细胞</v>
          </cell>
          <cell r="I4088" t="str">
            <v>ZZ</v>
          </cell>
          <cell r="J4088">
            <v>50.4</v>
          </cell>
          <cell r="K4088">
            <v>623</v>
          </cell>
          <cell r="L4088" t="str">
            <v>GZQ</v>
          </cell>
          <cell r="N4088">
            <v>124.45980985306799</v>
          </cell>
        </row>
        <row r="4089">
          <cell r="E4089" t="str">
            <v>HGC-Lib-2466765</v>
          </cell>
          <cell r="F4089" t="str">
            <v>PBS-Heart-T</v>
          </cell>
          <cell r="G4089">
            <v>10</v>
          </cell>
          <cell r="H4089" t="str">
            <v>10x 5'单细胞</v>
          </cell>
          <cell r="I4089" t="str">
            <v>ZZ</v>
          </cell>
          <cell r="J4089">
            <v>50.6</v>
          </cell>
          <cell r="K4089">
            <v>644</v>
          </cell>
          <cell r="L4089" t="str">
            <v>GZQ</v>
          </cell>
          <cell r="N4089">
            <v>120.879120879121</v>
          </cell>
        </row>
        <row r="4090">
          <cell r="E4090" t="str">
            <v>HGC-Lib-2466766</v>
          </cell>
          <cell r="F4090" t="str">
            <v>PBS-Ln-T</v>
          </cell>
          <cell r="G4090">
            <v>10</v>
          </cell>
          <cell r="H4090" t="str">
            <v>10x 5'单细胞</v>
          </cell>
          <cell r="I4090" t="str">
            <v>ZZ</v>
          </cell>
          <cell r="J4090">
            <v>45.8</v>
          </cell>
          <cell r="K4090">
            <v>638</v>
          </cell>
          <cell r="L4090" t="str">
            <v>GZQ</v>
          </cell>
          <cell r="N4090">
            <v>110.441282855076</v>
          </cell>
        </row>
        <row r="4091">
          <cell r="E4091" t="str">
            <v>HGC-Lib-2466767</v>
          </cell>
          <cell r="F4091" t="str">
            <v>PBS-Thyroid-T</v>
          </cell>
          <cell r="G4091">
            <v>10</v>
          </cell>
          <cell r="H4091" t="str">
            <v>10x 5'单细胞</v>
          </cell>
          <cell r="I4091" t="str">
            <v>ZZ</v>
          </cell>
          <cell r="J4091">
            <v>85</v>
          </cell>
          <cell r="K4091">
            <v>622</v>
          </cell>
          <cell r="L4091" t="str">
            <v>GZQ</v>
          </cell>
          <cell r="N4091">
            <v>210.239920850853</v>
          </cell>
        </row>
        <row r="4092">
          <cell r="E4092" t="str">
            <v>HGC-Lib-2466768</v>
          </cell>
          <cell r="F4092" t="str">
            <v>PBS-Liver-T</v>
          </cell>
          <cell r="G4092">
            <v>10</v>
          </cell>
          <cell r="H4092" t="str">
            <v>10x 5'单细胞</v>
          </cell>
          <cell r="I4092" t="str">
            <v>ZZ</v>
          </cell>
          <cell r="J4092">
            <v>59</v>
          </cell>
          <cell r="K4092">
            <v>640</v>
          </cell>
          <cell r="L4092" t="str">
            <v>GZQ</v>
          </cell>
          <cell r="N4092">
            <v>141.82692307692301</v>
          </cell>
        </row>
        <row r="4093">
          <cell r="E4093" t="str">
            <v>HGC-Lib-2466769</v>
          </cell>
          <cell r="F4093" t="str">
            <v>PBS-Skin-T</v>
          </cell>
          <cell r="G4093">
            <v>10</v>
          </cell>
          <cell r="H4093" t="str">
            <v>10x 5'单细胞</v>
          </cell>
          <cell r="I4093" t="str">
            <v>ZZ</v>
          </cell>
          <cell r="J4093">
            <v>25.8</v>
          </cell>
          <cell r="K4093">
            <v>680</v>
          </cell>
          <cell r="L4093" t="str">
            <v>GZQ</v>
          </cell>
          <cell r="N4093">
            <v>58.371040723981899</v>
          </cell>
        </row>
        <row r="4094">
          <cell r="E4094" t="str">
            <v>HGC-Lib-2466770</v>
          </cell>
          <cell r="F4094" t="str">
            <v>PBS-Gut-T</v>
          </cell>
          <cell r="G4094">
            <v>10</v>
          </cell>
          <cell r="H4094" t="str">
            <v>10x 5'单细胞</v>
          </cell>
          <cell r="I4094" t="str">
            <v>ZZ</v>
          </cell>
          <cell r="J4094">
            <v>40.200000000000003</v>
          </cell>
          <cell r="K4094">
            <v>636</v>
          </cell>
          <cell r="L4094" t="str">
            <v>GZQ</v>
          </cell>
          <cell r="N4094">
            <v>97.242380261248201</v>
          </cell>
        </row>
        <row r="4095">
          <cell r="E4095" t="str">
            <v>HGC-Lib-2466771</v>
          </cell>
          <cell r="F4095" t="str">
            <v>PBS-0805</v>
          </cell>
          <cell r="G4095">
            <v>100</v>
          </cell>
          <cell r="H4095" t="str">
            <v>10× 3'单细胞</v>
          </cell>
          <cell r="I4095" t="str">
            <v>ZZ</v>
          </cell>
          <cell r="J4095">
            <v>63.6</v>
          </cell>
          <cell r="K4095">
            <v>533</v>
          </cell>
          <cell r="L4095" t="str">
            <v>GZQ</v>
          </cell>
          <cell r="N4095">
            <v>183.57627363255901</v>
          </cell>
        </row>
        <row r="4096">
          <cell r="E4096" t="str">
            <v>HGC-Lib-2466772</v>
          </cell>
          <cell r="F4096" t="str">
            <v>MI-0805</v>
          </cell>
          <cell r="G4096">
            <v>100</v>
          </cell>
          <cell r="H4096" t="str">
            <v>10× 3'单细胞</v>
          </cell>
          <cell r="I4096" t="str">
            <v>ZZ</v>
          </cell>
          <cell r="J4096">
            <v>58</v>
          </cell>
          <cell r="K4096">
            <v>533</v>
          </cell>
          <cell r="L4096" t="str">
            <v>GZQ</v>
          </cell>
          <cell r="N4096">
            <v>167.41232501082399</v>
          </cell>
        </row>
        <row r="4097">
          <cell r="E4097" t="str">
            <v>HGC-Lib-2466773</v>
          </cell>
          <cell r="F4097" t="str">
            <v>肝1</v>
          </cell>
          <cell r="G4097">
            <v>10</v>
          </cell>
          <cell r="H4097" t="str">
            <v>ATAC-Seq文库</v>
          </cell>
          <cell r="I4097" t="str">
            <v>ZZ</v>
          </cell>
          <cell r="J4097">
            <v>15.8</v>
          </cell>
          <cell r="K4097">
            <v>382</v>
          </cell>
          <cell r="L4097" t="str">
            <v>GZQ</v>
          </cell>
          <cell r="N4097">
            <v>63.632702376157901</v>
          </cell>
        </row>
        <row r="4098">
          <cell r="E4098" t="str">
            <v>HGC-Lib-2466774</v>
          </cell>
          <cell r="F4098" t="str">
            <v>肝2</v>
          </cell>
          <cell r="G4098">
            <v>10</v>
          </cell>
          <cell r="H4098" t="str">
            <v>ATAC-Seq文库</v>
          </cell>
          <cell r="I4098" t="str">
            <v>ZZ</v>
          </cell>
          <cell r="J4098">
            <v>12.4</v>
          </cell>
          <cell r="K4098">
            <v>316</v>
          </cell>
          <cell r="L4098" t="str">
            <v>GZQ</v>
          </cell>
          <cell r="N4098">
            <v>60.3700097370983</v>
          </cell>
        </row>
        <row r="4099">
          <cell r="E4099" t="str">
            <v>HGC-Lib-2466775</v>
          </cell>
          <cell r="F4099">
            <v>1</v>
          </cell>
          <cell r="G4099">
            <v>10</v>
          </cell>
          <cell r="H4099" t="str">
            <v>ATAC-Seq文库</v>
          </cell>
          <cell r="I4099" t="str">
            <v>ZZ</v>
          </cell>
          <cell r="J4099">
            <v>54.2</v>
          </cell>
          <cell r="K4099">
            <v>295</v>
          </cell>
          <cell r="L4099" t="str">
            <v>GZQ</v>
          </cell>
          <cell r="N4099">
            <v>282.65971316818798</v>
          </cell>
        </row>
        <row r="4100">
          <cell r="E4100" t="str">
            <v>HGC-Lib-2466776</v>
          </cell>
          <cell r="F4100">
            <v>2</v>
          </cell>
          <cell r="G4100">
            <v>10</v>
          </cell>
          <cell r="H4100" t="str">
            <v>ATAC-Seq文库</v>
          </cell>
          <cell r="I4100" t="str">
            <v>ZZ</v>
          </cell>
          <cell r="J4100">
            <v>32.6</v>
          </cell>
          <cell r="K4100">
            <v>445</v>
          </cell>
          <cell r="L4100" t="str">
            <v>GZQ</v>
          </cell>
          <cell r="N4100">
            <v>112.705272255834</v>
          </cell>
        </row>
        <row r="4101">
          <cell r="E4101" t="str">
            <v>HGC-Lib-2466777</v>
          </cell>
          <cell r="F4101">
            <v>3</v>
          </cell>
          <cell r="G4101">
            <v>10</v>
          </cell>
          <cell r="H4101" t="str">
            <v>ATAC-Seq文库</v>
          </cell>
          <cell r="I4101" t="str">
            <v>ZZ</v>
          </cell>
          <cell r="J4101">
            <v>30.8</v>
          </cell>
          <cell r="K4101">
            <v>311</v>
          </cell>
          <cell r="L4101" t="str">
            <v>GZQ</v>
          </cell>
          <cell r="N4101">
            <v>152.36210734603</v>
          </cell>
        </row>
        <row r="4102">
          <cell r="E4102" t="str">
            <v>HGC-Lib-2466778</v>
          </cell>
          <cell r="F4102">
            <v>4</v>
          </cell>
          <cell r="G4102">
            <v>10</v>
          </cell>
          <cell r="H4102" t="str">
            <v>ATAC-Seq文库</v>
          </cell>
          <cell r="I4102" t="str">
            <v>ZZ</v>
          </cell>
          <cell r="J4102">
            <v>24.4</v>
          </cell>
          <cell r="K4102">
            <v>253</v>
          </cell>
          <cell r="L4102" t="str">
            <v>GZQ</v>
          </cell>
          <cell r="N4102">
            <v>148.37336576467001</v>
          </cell>
        </row>
        <row r="4103">
          <cell r="E4103" t="str">
            <v>HGC-Lib-2466779</v>
          </cell>
          <cell r="F4103">
            <v>5</v>
          </cell>
          <cell r="G4103">
            <v>10</v>
          </cell>
          <cell r="H4103" t="str">
            <v>ATAC-Seq文库</v>
          </cell>
          <cell r="I4103" t="str">
            <v>ZZ</v>
          </cell>
          <cell r="J4103">
            <v>8.1</v>
          </cell>
          <cell r="K4103">
            <v>293</v>
          </cell>
          <cell r="L4103" t="str">
            <v>HZK</v>
          </cell>
          <cell r="N4103">
            <v>42.530847991598797</v>
          </cell>
        </row>
        <row r="4104">
          <cell r="E4104" t="str">
            <v>HGC-Lib-2466780</v>
          </cell>
          <cell r="F4104" t="str">
            <v>Sub_0820</v>
          </cell>
          <cell r="G4104">
            <v>5</v>
          </cell>
          <cell r="H4104" t="str">
            <v>PCR产物文库</v>
          </cell>
          <cell r="I4104" t="str">
            <v>ZZ</v>
          </cell>
          <cell r="J4104">
            <v>35.299999999999997</v>
          </cell>
          <cell r="K4104">
            <v>516</v>
          </cell>
          <cell r="L4104" t="str">
            <v>GZQ</v>
          </cell>
          <cell r="N4104">
            <v>105.247465712582</v>
          </cell>
        </row>
        <row r="4105">
          <cell r="E4105" t="str">
            <v>HGC-Lib-2466792</v>
          </cell>
          <cell r="F4105" t="str">
            <v>postive-pSTAT1</v>
          </cell>
          <cell r="G4105">
            <v>3</v>
          </cell>
          <cell r="H4105" t="str">
            <v>多重PCR产物文库</v>
          </cell>
          <cell r="I4105" t="str">
            <v>ZZ</v>
          </cell>
          <cell r="J4105">
            <v>55</v>
          </cell>
          <cell r="K4105">
            <v>347</v>
          </cell>
          <cell r="L4105" t="str">
            <v>GZQ</v>
          </cell>
          <cell r="N4105">
            <v>243.84837064952299</v>
          </cell>
        </row>
        <row r="4106">
          <cell r="E4106" t="str">
            <v>HGC-Lib-2466793</v>
          </cell>
          <cell r="F4106" t="str">
            <v>negative-pSTAT1</v>
          </cell>
          <cell r="G4106">
            <v>3</v>
          </cell>
          <cell r="H4106" t="str">
            <v>多重PCR产物文库</v>
          </cell>
          <cell r="I4106" t="str">
            <v>ZZ</v>
          </cell>
          <cell r="J4106">
            <v>79.8</v>
          </cell>
          <cell r="K4106">
            <v>567</v>
          </cell>
          <cell r="L4106" t="str">
            <v>GZQ</v>
          </cell>
          <cell r="N4106">
            <v>216.524216524217</v>
          </cell>
        </row>
        <row r="4107">
          <cell r="E4107" t="str">
            <v>HGC-Lib-2466794</v>
          </cell>
          <cell r="F4107" t="str">
            <v>TJ-0014-RNA-ZYMO-M-库</v>
          </cell>
          <cell r="G4107">
            <v>10</v>
          </cell>
          <cell r="H4107" t="str">
            <v>宏转录组文库</v>
          </cell>
          <cell r="I4107" t="str">
            <v>ZZ</v>
          </cell>
          <cell r="J4107">
            <v>18.899999999999999</v>
          </cell>
          <cell r="K4107">
            <v>558</v>
          </cell>
          <cell r="L4107" t="str">
            <v>GZQ</v>
          </cell>
          <cell r="N4107">
            <v>52.109181141439201</v>
          </cell>
        </row>
        <row r="4108">
          <cell r="E4108" t="str">
            <v>HGC-Lib-2466795</v>
          </cell>
          <cell r="F4108" t="str">
            <v>TJ-0015-RNA-ZYMO-M-库</v>
          </cell>
          <cell r="G4108">
            <v>10</v>
          </cell>
          <cell r="H4108" t="str">
            <v>宏转录组文库</v>
          </cell>
          <cell r="I4108" t="str">
            <v>ZZ</v>
          </cell>
          <cell r="J4108">
            <v>27.4</v>
          </cell>
          <cell r="K4108">
            <v>476</v>
          </cell>
          <cell r="L4108" t="str">
            <v>GZQ</v>
          </cell>
          <cell r="N4108">
            <v>88.558500323206204</v>
          </cell>
        </row>
        <row r="4109">
          <cell r="E4109" t="str">
            <v>HGC-Lib-2466796</v>
          </cell>
          <cell r="F4109" t="str">
            <v>TJ-0018-RNA-ZYMO-M-库</v>
          </cell>
          <cell r="G4109">
            <v>10</v>
          </cell>
          <cell r="H4109" t="str">
            <v>宏转录组文库</v>
          </cell>
          <cell r="I4109" t="str">
            <v>ZZ</v>
          </cell>
          <cell r="J4109">
            <v>52.4</v>
          </cell>
          <cell r="K4109">
            <v>502</v>
          </cell>
          <cell r="L4109" t="str">
            <v>GZQ</v>
          </cell>
          <cell r="N4109">
            <v>160.58841556849501</v>
          </cell>
        </row>
        <row r="4110">
          <cell r="E4110" t="str">
            <v>HGC-Lib-2466797</v>
          </cell>
          <cell r="F4110" t="str">
            <v>TJ-0019-RNA-ZYMO-M-库</v>
          </cell>
          <cell r="G4110">
            <v>10</v>
          </cell>
          <cell r="H4110" t="str">
            <v>宏转录组文库</v>
          </cell>
          <cell r="I4110" t="str">
            <v>ZZ</v>
          </cell>
          <cell r="J4110">
            <v>48</v>
          </cell>
          <cell r="K4110">
            <v>512</v>
          </cell>
          <cell r="L4110" t="str">
            <v>GZQ</v>
          </cell>
          <cell r="N4110">
            <v>144.230769230769</v>
          </cell>
        </row>
        <row r="4111">
          <cell r="E4111" t="str">
            <v>HGC-Lib-2466798</v>
          </cell>
          <cell r="F4111" t="str">
            <v>TJ-0021-RNA-ZYMO-M-库</v>
          </cell>
          <cell r="G4111">
            <v>10</v>
          </cell>
          <cell r="H4111" t="str">
            <v>宏转录组文库</v>
          </cell>
          <cell r="I4111" t="str">
            <v>ZZ</v>
          </cell>
          <cell r="J4111">
            <v>9.74</v>
          </cell>
          <cell r="K4111">
            <v>500</v>
          </cell>
          <cell r="L4111" t="str">
            <v>HZK</v>
          </cell>
          <cell r="N4111">
            <v>29.969230769230801</v>
          </cell>
        </row>
        <row r="4112">
          <cell r="E4112" t="str">
            <v>HGC-Lib-2466799</v>
          </cell>
          <cell r="F4112" t="str">
            <v>TJ-0022-RNA-ZYMO-M-库</v>
          </cell>
          <cell r="G4112">
            <v>10</v>
          </cell>
          <cell r="H4112" t="str">
            <v>宏转录组文库</v>
          </cell>
          <cell r="I4112" t="str">
            <v>ZZ</v>
          </cell>
          <cell r="J4112">
            <v>53</v>
          </cell>
          <cell r="K4112">
            <v>487</v>
          </cell>
          <cell r="L4112" t="str">
            <v>GZQ</v>
          </cell>
          <cell r="N4112">
            <v>167.43010582846301</v>
          </cell>
        </row>
        <row r="4113">
          <cell r="E4113" t="str">
            <v>HGC-Lib-2466800</v>
          </cell>
          <cell r="F4113" t="str">
            <v>TJ-0024-RNA-ZYMO-M-库</v>
          </cell>
          <cell r="G4113">
            <v>10</v>
          </cell>
          <cell r="H4113" t="str">
            <v>宏转录组文库</v>
          </cell>
          <cell r="I4113" t="str">
            <v>ZZ</v>
          </cell>
          <cell r="J4113">
            <v>50.8</v>
          </cell>
          <cell r="K4113">
            <v>537</v>
          </cell>
          <cell r="L4113" t="str">
            <v>GZQ</v>
          </cell>
          <cell r="N4113">
            <v>145.53788855464799</v>
          </cell>
        </row>
        <row r="4114">
          <cell r="E4114" t="str">
            <v>HGC-Lib-2466801</v>
          </cell>
          <cell r="F4114" t="str">
            <v>TJ-0026-RNA-ZYMO-M-库</v>
          </cell>
          <cell r="G4114">
            <v>10</v>
          </cell>
          <cell r="H4114" t="str">
            <v>宏转录组文库</v>
          </cell>
          <cell r="I4114" t="str">
            <v>ZZ</v>
          </cell>
          <cell r="J4114">
            <v>34</v>
          </cell>
          <cell r="K4114">
            <v>510</v>
          </cell>
          <cell r="L4114" t="str">
            <v>GZQ</v>
          </cell>
          <cell r="N4114">
            <v>102.564102564103</v>
          </cell>
        </row>
        <row r="4115">
          <cell r="E4115" t="str">
            <v>HGC-Lib-2466802</v>
          </cell>
          <cell r="F4115" t="str">
            <v>TJ-0047-RNA-ZYMO-M-库</v>
          </cell>
          <cell r="G4115">
            <v>10</v>
          </cell>
          <cell r="H4115" t="str">
            <v>宏转录组文库</v>
          </cell>
          <cell r="I4115" t="str">
            <v>ZZ</v>
          </cell>
          <cell r="J4115">
            <v>47.4</v>
          </cell>
          <cell r="K4115">
            <v>423</v>
          </cell>
          <cell r="L4115" t="str">
            <v>GZQ</v>
          </cell>
          <cell r="N4115">
            <v>172.39498090561901</v>
          </cell>
        </row>
        <row r="4116">
          <cell r="E4116" t="str">
            <v>HGC-Lib-2466803</v>
          </cell>
          <cell r="F4116" t="str">
            <v>TJ-0073-RNA-ZYMO-M-库</v>
          </cell>
          <cell r="G4116">
            <v>10</v>
          </cell>
          <cell r="H4116" t="str">
            <v>宏转录组文库</v>
          </cell>
          <cell r="I4116" t="str">
            <v>ZZ</v>
          </cell>
          <cell r="J4116">
            <v>14.8</v>
          </cell>
          <cell r="K4116">
            <v>466</v>
          </cell>
          <cell r="L4116" t="str">
            <v>GZQ</v>
          </cell>
          <cell r="N4116">
            <v>48.861010234400801</v>
          </cell>
        </row>
        <row r="4117">
          <cell r="E4117" t="str">
            <v>HGC-Lib-2466804</v>
          </cell>
          <cell r="F4117" t="str">
            <v>TJ-0074-RNA-ZYMO-M-库</v>
          </cell>
          <cell r="G4117">
            <v>10</v>
          </cell>
          <cell r="H4117" t="str">
            <v>宏转录组文库</v>
          </cell>
          <cell r="I4117" t="str">
            <v>ZZ</v>
          </cell>
          <cell r="J4117">
            <v>5.54</v>
          </cell>
          <cell r="K4117">
            <v>462</v>
          </cell>
          <cell r="L4117" t="str">
            <v>HZK</v>
          </cell>
          <cell r="N4117">
            <v>18.448218448218402</v>
          </cell>
        </row>
        <row r="4118">
          <cell r="E4118" t="str">
            <v>HGC-Lib-2466805</v>
          </cell>
          <cell r="F4118" t="str">
            <v>TJ-0083-RNA-ZYMO-M-库</v>
          </cell>
          <cell r="G4118">
            <v>10</v>
          </cell>
          <cell r="H4118" t="str">
            <v>宏转录组文库</v>
          </cell>
          <cell r="I4118" t="str">
            <v>ZZ</v>
          </cell>
          <cell r="J4118">
            <v>5.2</v>
          </cell>
          <cell r="K4118">
            <v>551</v>
          </cell>
          <cell r="L4118" t="str">
            <v>HZK</v>
          </cell>
          <cell r="N4118">
            <v>14.519056261343</v>
          </cell>
        </row>
        <row r="4119">
          <cell r="E4119" t="str">
            <v>HGC-Lib-2466806</v>
          </cell>
          <cell r="F4119" t="str">
            <v>TJ-0094-RNA-ZYMO-M-库</v>
          </cell>
          <cell r="G4119">
            <v>10</v>
          </cell>
          <cell r="H4119" t="str">
            <v>宏转录组文库</v>
          </cell>
          <cell r="I4119" t="str">
            <v>ZZ</v>
          </cell>
          <cell r="J4119">
            <v>6</v>
          </cell>
          <cell r="K4119">
            <v>526</v>
          </cell>
          <cell r="L4119" t="str">
            <v>HZK</v>
          </cell>
          <cell r="N4119">
            <v>17.5489909330214</v>
          </cell>
        </row>
        <row r="4120">
          <cell r="E4120" t="str">
            <v>HGC-Lib-2466807</v>
          </cell>
          <cell r="F4120" t="str">
            <v>TJ-0105-RNA-ZYMO-M-库</v>
          </cell>
          <cell r="G4120">
            <v>10</v>
          </cell>
          <cell r="H4120" t="str">
            <v>宏转录组文库</v>
          </cell>
          <cell r="I4120" t="str">
            <v>ZZ</v>
          </cell>
          <cell r="J4120">
            <v>5.48</v>
          </cell>
          <cell r="K4120">
            <v>522</v>
          </cell>
          <cell r="L4120" t="str">
            <v>HZK</v>
          </cell>
          <cell r="N4120">
            <v>16.150898909519601</v>
          </cell>
        </row>
        <row r="4121">
          <cell r="E4121" t="str">
            <v>HGC-Lib-2466808</v>
          </cell>
          <cell r="F4121" t="str">
            <v>TJ-0109-RNA-ZYMO-M-库</v>
          </cell>
          <cell r="G4121">
            <v>10</v>
          </cell>
          <cell r="H4121" t="str">
            <v>宏转录组文库</v>
          </cell>
          <cell r="I4121" t="str">
            <v>ZZ</v>
          </cell>
          <cell r="J4121">
            <v>9.06</v>
          </cell>
          <cell r="K4121">
            <v>522</v>
          </cell>
          <cell r="L4121" t="str">
            <v>HZK</v>
          </cell>
          <cell r="N4121">
            <v>26.702033598585299</v>
          </cell>
        </row>
        <row r="4122">
          <cell r="E4122" t="str">
            <v>HGC-Lib-2466809</v>
          </cell>
          <cell r="F4122" t="str">
            <v>TJ-0111-RNA-ZYMO-M-库</v>
          </cell>
          <cell r="G4122">
            <v>10</v>
          </cell>
          <cell r="H4122" t="str">
            <v>宏转录组文库</v>
          </cell>
          <cell r="I4122" t="str">
            <v>ZZ</v>
          </cell>
          <cell r="J4122">
            <v>83.2</v>
          </cell>
          <cell r="K4122">
            <v>462</v>
          </cell>
          <cell r="L4122" t="str">
            <v>GZQ</v>
          </cell>
          <cell r="N4122">
            <v>277.056277056277</v>
          </cell>
        </row>
        <row r="4123">
          <cell r="E4123" t="str">
            <v>HGC-Lib-2466810</v>
          </cell>
          <cell r="F4123" t="str">
            <v>TJ-0123-RNA-ZYMO-M-库</v>
          </cell>
          <cell r="G4123">
            <v>10</v>
          </cell>
          <cell r="H4123" t="str">
            <v>宏转录组文库</v>
          </cell>
          <cell r="I4123" t="str">
            <v>ZZ</v>
          </cell>
          <cell r="J4123">
            <v>6.46</v>
          </cell>
          <cell r="K4123">
            <v>511</v>
          </cell>
          <cell r="L4123" t="str">
            <v>HZK</v>
          </cell>
          <cell r="N4123">
            <v>19.449044106578398</v>
          </cell>
        </row>
        <row r="4124">
          <cell r="E4124" t="str">
            <v>HGC-Lib-2466811</v>
          </cell>
          <cell r="F4124" t="str">
            <v>TJ-0124-RNA-ZYMO-M-库</v>
          </cell>
          <cell r="G4124">
            <v>10</v>
          </cell>
          <cell r="H4124" t="str">
            <v>宏转录组文库</v>
          </cell>
          <cell r="I4124" t="str">
            <v>ZZ</v>
          </cell>
          <cell r="J4124">
            <v>0.26200000000000001</v>
          </cell>
          <cell r="K4124">
            <v>572</v>
          </cell>
          <cell r="L4124" t="str">
            <v>HZK</v>
          </cell>
          <cell r="N4124">
            <v>0.70467993544916596</v>
          </cell>
        </row>
        <row r="4125">
          <cell r="E4125" t="str">
            <v>HGC-Lib-2466812</v>
          </cell>
          <cell r="F4125" t="str">
            <v>TJ-0125-RNA-ZYMO-M-库</v>
          </cell>
          <cell r="G4125">
            <v>10</v>
          </cell>
          <cell r="H4125" t="str">
            <v>宏转录组文库</v>
          </cell>
          <cell r="I4125" t="str">
            <v>ZZ</v>
          </cell>
          <cell r="J4125">
            <v>1.58</v>
          </cell>
          <cell r="K4125">
            <v>532</v>
          </cell>
          <cell r="L4125" t="str">
            <v>HZK</v>
          </cell>
          <cell r="N4125">
            <v>4.5691150954308899</v>
          </cell>
        </row>
        <row r="4126">
          <cell r="E4126" t="str">
            <v>HGC-Lib-2466813</v>
          </cell>
          <cell r="F4126" t="str">
            <v>TJ-0128-RNA-ZYMO-M-库</v>
          </cell>
          <cell r="G4126">
            <v>10</v>
          </cell>
          <cell r="H4126" t="str">
            <v>宏转录组文库</v>
          </cell>
          <cell r="I4126" t="str">
            <v>ZZ</v>
          </cell>
          <cell r="J4126">
            <v>0.95399999999999996</v>
          </cell>
          <cell r="K4126">
            <v>508</v>
          </cell>
          <cell r="L4126" t="str">
            <v>HZK</v>
          </cell>
          <cell r="N4126">
            <v>2.88915808600848</v>
          </cell>
        </row>
        <row r="4127">
          <cell r="E4127" t="str">
            <v>HGC-Lib-2466814</v>
          </cell>
          <cell r="F4127" t="str">
            <v>TJ-0134-RNA-ZYMO-M-库</v>
          </cell>
          <cell r="G4127">
            <v>10</v>
          </cell>
          <cell r="H4127" t="str">
            <v>宏转录组文库</v>
          </cell>
          <cell r="I4127" t="str">
            <v>ZZ</v>
          </cell>
          <cell r="J4127">
            <v>51.2</v>
          </cell>
          <cell r="K4127">
            <v>420</v>
          </cell>
          <cell r="L4127" t="str">
            <v>GZQ</v>
          </cell>
          <cell r="N4127">
            <v>187.54578754578799</v>
          </cell>
        </row>
        <row r="4128">
          <cell r="E4128" t="str">
            <v>HGC-Lib-2466815</v>
          </cell>
          <cell r="F4128" t="str">
            <v>TJ-0137-RNA-ZYMO-M-库</v>
          </cell>
          <cell r="G4128">
            <v>10</v>
          </cell>
          <cell r="H4128" t="str">
            <v>宏转录组文库</v>
          </cell>
          <cell r="I4128" t="str">
            <v>XCL</v>
          </cell>
          <cell r="J4128">
            <v>2.88</v>
          </cell>
          <cell r="K4128">
            <v>494</v>
          </cell>
          <cell r="L4128" t="str">
            <v>HZK</v>
          </cell>
          <cell r="N4128">
            <v>8.9691684833385192</v>
          </cell>
        </row>
        <row r="4129">
          <cell r="E4129" t="str">
            <v>HGC-Lib-2466816</v>
          </cell>
          <cell r="F4129" t="str">
            <v>TJ-0149-RNA-ZYMO-M-库</v>
          </cell>
          <cell r="G4129">
            <v>10</v>
          </cell>
          <cell r="H4129" t="str">
            <v>宏转录组文库</v>
          </cell>
          <cell r="I4129" t="str">
            <v>XCL</v>
          </cell>
          <cell r="J4129">
            <v>37.200000000000003</v>
          </cell>
          <cell r="K4129">
            <v>487</v>
          </cell>
          <cell r="L4129" t="str">
            <v>GZQ</v>
          </cell>
          <cell r="N4129">
            <v>117.516979939978</v>
          </cell>
        </row>
        <row r="4130">
          <cell r="E4130" t="str">
            <v>HGC-Lib-2466817</v>
          </cell>
          <cell r="F4130" t="str">
            <v>TJ-0155-RNA-ZYMO-M-库</v>
          </cell>
          <cell r="G4130">
            <v>10</v>
          </cell>
          <cell r="H4130" t="str">
            <v>宏转录组文库</v>
          </cell>
          <cell r="I4130" t="str">
            <v>XCL</v>
          </cell>
          <cell r="J4130">
            <v>2.44</v>
          </cell>
          <cell r="K4130">
            <v>498</v>
          </cell>
          <cell r="L4130" t="str">
            <v>HZK</v>
          </cell>
          <cell r="N4130">
            <v>7.5378436824219897</v>
          </cell>
        </row>
        <row r="4131">
          <cell r="E4131" t="str">
            <v>HGC-POOL-2466818</v>
          </cell>
          <cell r="F4131" t="str">
            <v>RX20240820-1</v>
          </cell>
          <cell r="G4131" t="str">
            <v>84</v>
          </cell>
          <cell r="H4131" t="str">
            <v>mRNA文库</v>
          </cell>
          <cell r="I4131" t="str">
            <v>WH</v>
          </cell>
          <cell r="J4131">
            <v>8.4</v>
          </cell>
          <cell r="K4131">
            <v>344</v>
          </cell>
          <cell r="L4131" t="str">
            <v>WH</v>
          </cell>
          <cell r="N4131">
            <v>37.567084078712</v>
          </cell>
        </row>
        <row r="4132">
          <cell r="E4132" t="str">
            <v>HGC-POOL-2466819</v>
          </cell>
          <cell r="F4132" t="str">
            <v>RX20240820-2</v>
          </cell>
          <cell r="G4132">
            <v>63</v>
          </cell>
          <cell r="H4132" t="str">
            <v>mRNA文库</v>
          </cell>
          <cell r="I4132" t="str">
            <v>WH</v>
          </cell>
          <cell r="J4132">
            <v>8.8000000000000007</v>
          </cell>
          <cell r="K4132">
            <v>337</v>
          </cell>
          <cell r="L4132" t="str">
            <v>WH</v>
          </cell>
          <cell r="N4132">
            <v>40.173476375256797</v>
          </cell>
        </row>
        <row r="4133">
          <cell r="E4133" t="str">
            <v>HGC-Lib-2466820</v>
          </cell>
          <cell r="F4133" t="str">
            <v>RX20240820-3</v>
          </cell>
          <cell r="G4133">
            <v>100</v>
          </cell>
          <cell r="H4133" t="str">
            <v>BD-单细胞</v>
          </cell>
          <cell r="I4133" t="str">
            <v>WH</v>
          </cell>
          <cell r="J4133">
            <v>12.4</v>
          </cell>
          <cell r="K4133">
            <v>729</v>
          </cell>
          <cell r="L4133" t="str">
            <v>WH</v>
          </cell>
          <cell r="N4133">
            <v>26.168618761211398</v>
          </cell>
        </row>
        <row r="4134">
          <cell r="E4134" t="str">
            <v>HGC-Lib-2466821</v>
          </cell>
          <cell r="F4134" t="str">
            <v>RX20240820-4</v>
          </cell>
          <cell r="G4134">
            <v>90</v>
          </cell>
          <cell r="H4134" t="str">
            <v>BD-单细胞</v>
          </cell>
          <cell r="I4134" t="str">
            <v>WH</v>
          </cell>
          <cell r="J4134">
            <v>17.600000000000001</v>
          </cell>
          <cell r="K4134">
            <v>690</v>
          </cell>
          <cell r="L4134" t="str">
            <v>WH</v>
          </cell>
          <cell r="N4134">
            <v>39.241917502787103</v>
          </cell>
        </row>
        <row r="4135">
          <cell r="E4135" t="str">
            <v>HGC-Lib-2466822</v>
          </cell>
          <cell r="F4135" t="str">
            <v>RX20240820-5</v>
          </cell>
          <cell r="G4135">
            <v>90</v>
          </cell>
          <cell r="H4135" t="str">
            <v>BD-单细胞</v>
          </cell>
          <cell r="I4135" t="str">
            <v>WH</v>
          </cell>
          <cell r="J4135">
            <v>13.6</v>
          </cell>
          <cell r="K4135">
            <v>716</v>
          </cell>
          <cell r="L4135" t="str">
            <v>WH</v>
          </cell>
          <cell r="N4135">
            <v>29.222174473571101</v>
          </cell>
        </row>
        <row r="4136">
          <cell r="E4136" t="str">
            <v>HGC-Lib-2466823</v>
          </cell>
          <cell r="F4136" t="str">
            <v>RX20240820-6</v>
          </cell>
          <cell r="G4136">
            <v>90</v>
          </cell>
          <cell r="H4136" t="str">
            <v>BD-单细胞</v>
          </cell>
          <cell r="I4136" t="str">
            <v>WH</v>
          </cell>
          <cell r="J4136">
            <v>17.399999999999999</v>
          </cell>
          <cell r="K4136">
            <v>677</v>
          </cell>
          <cell r="L4136" t="str">
            <v>WH</v>
          </cell>
          <cell r="N4136">
            <v>39.540961254402902</v>
          </cell>
        </row>
        <row r="4137">
          <cell r="E4137" t="str">
            <v>HGC-Lib-2466824</v>
          </cell>
          <cell r="F4137" t="str">
            <v>RX20240820-7</v>
          </cell>
          <cell r="G4137">
            <v>100</v>
          </cell>
          <cell r="H4137" t="str">
            <v>BD-单细胞</v>
          </cell>
          <cell r="I4137" t="str">
            <v>WH</v>
          </cell>
          <cell r="J4137">
            <v>19.3</v>
          </cell>
          <cell r="K4137">
            <v>640</v>
          </cell>
          <cell r="L4137" t="str">
            <v>WH</v>
          </cell>
          <cell r="N4137">
            <v>46.394230769230802</v>
          </cell>
        </row>
        <row r="4138">
          <cell r="E4138" t="str">
            <v>HGC-Lib-2466825</v>
          </cell>
          <cell r="F4138" t="str">
            <v>RX20240820-8</v>
          </cell>
          <cell r="G4138">
            <v>100</v>
          </cell>
          <cell r="H4138" t="str">
            <v>BD-单细胞</v>
          </cell>
          <cell r="I4138" t="str">
            <v>WH</v>
          </cell>
          <cell r="J4138">
            <v>14.1</v>
          </cell>
          <cell r="K4138">
            <v>673</v>
          </cell>
          <cell r="L4138" t="str">
            <v>WH</v>
          </cell>
          <cell r="N4138">
            <v>32.232255114870298</v>
          </cell>
        </row>
        <row r="4139">
          <cell r="E4139" t="str">
            <v>HGC-Lib-2466826</v>
          </cell>
          <cell r="F4139" t="str">
            <v>RX20240820-9</v>
          </cell>
          <cell r="G4139">
            <v>100</v>
          </cell>
          <cell r="H4139" t="str">
            <v>BD-单细胞</v>
          </cell>
          <cell r="I4139" t="str">
            <v>WH</v>
          </cell>
          <cell r="J4139">
            <v>14.6</v>
          </cell>
          <cell r="K4139">
            <v>635</v>
          </cell>
          <cell r="L4139" t="str">
            <v>WH</v>
          </cell>
          <cell r="N4139">
            <v>35.372501514233797</v>
          </cell>
        </row>
        <row r="4140">
          <cell r="E4140" t="str">
            <v>HGC-Lib-2466827</v>
          </cell>
          <cell r="F4140" t="str">
            <v>RX20240820-10</v>
          </cell>
          <cell r="G4140">
            <v>100</v>
          </cell>
          <cell r="H4140" t="str">
            <v>BD-单细胞</v>
          </cell>
          <cell r="I4140" t="str">
            <v>WH</v>
          </cell>
          <cell r="J4140">
            <v>19</v>
          </cell>
          <cell r="K4140">
            <v>647</v>
          </cell>
          <cell r="L4140" t="str">
            <v>WH</v>
          </cell>
          <cell r="N4140">
            <v>45.178932350493398</v>
          </cell>
        </row>
        <row r="4141">
          <cell r="E4141" t="str">
            <v>HGC-Lib-2466828</v>
          </cell>
          <cell r="F4141" t="str">
            <v>RX20240820-11</v>
          </cell>
          <cell r="G4141">
            <v>100</v>
          </cell>
          <cell r="H4141" t="str">
            <v>BD-单细胞</v>
          </cell>
          <cell r="I4141" t="str">
            <v>WH</v>
          </cell>
          <cell r="J4141">
            <v>23.2</v>
          </cell>
          <cell r="K4141">
            <v>628</v>
          </cell>
          <cell r="L4141" t="str">
            <v>WH</v>
          </cell>
          <cell r="N4141">
            <v>56.8348848603626</v>
          </cell>
        </row>
        <row r="4142">
          <cell r="E4142" t="str">
            <v>HGC-Lib-2466829</v>
          </cell>
          <cell r="F4142" t="str">
            <v>RX20240820-12</v>
          </cell>
          <cell r="G4142">
            <v>90</v>
          </cell>
          <cell r="H4142" t="str">
            <v>BD-单细胞</v>
          </cell>
          <cell r="I4142" t="str">
            <v>WH</v>
          </cell>
          <cell r="J4142">
            <v>20</v>
          </cell>
          <cell r="K4142">
            <v>594</v>
          </cell>
          <cell r="L4142" t="str">
            <v>WH</v>
          </cell>
          <cell r="N4142">
            <v>51.800051800051797</v>
          </cell>
        </row>
        <row r="4143">
          <cell r="E4143" t="str">
            <v>HGC-Lib-2466830</v>
          </cell>
          <cell r="F4143" t="str">
            <v>RX20240820-13</v>
          </cell>
          <cell r="G4143">
            <v>90</v>
          </cell>
          <cell r="H4143" t="str">
            <v>BD-单细胞</v>
          </cell>
          <cell r="I4143" t="str">
            <v>WH</v>
          </cell>
          <cell r="J4143">
            <v>16.2</v>
          </cell>
          <cell r="K4143">
            <v>626</v>
          </cell>
          <cell r="L4143" t="str">
            <v>WH</v>
          </cell>
          <cell r="N4143">
            <v>39.813221921848097</v>
          </cell>
        </row>
        <row r="4144">
          <cell r="E4144" t="str">
            <v>HGC-Lib-2466831</v>
          </cell>
          <cell r="F4144" t="str">
            <v>RX20240820-14</v>
          </cell>
          <cell r="G4144">
            <v>90</v>
          </cell>
          <cell r="H4144" t="str">
            <v>BD-单细胞</v>
          </cell>
          <cell r="I4144" t="str">
            <v>WH</v>
          </cell>
          <cell r="J4144">
            <v>30</v>
          </cell>
          <cell r="K4144">
            <v>570</v>
          </cell>
          <cell r="L4144" t="str">
            <v>WH</v>
          </cell>
          <cell r="N4144">
            <v>80.971659919028298</v>
          </cell>
        </row>
        <row r="4145">
          <cell r="E4145" t="str">
            <v>HGC-POOL-2466832</v>
          </cell>
          <cell r="F4145" t="str">
            <v>PCRD-240820-001</v>
          </cell>
          <cell r="G4145">
            <v>25</v>
          </cell>
          <cell r="H4145" t="str">
            <v>singleron-3'转录组文库</v>
          </cell>
          <cell r="I4145" t="str">
            <v>WH</v>
          </cell>
          <cell r="J4145">
            <v>10.6</v>
          </cell>
          <cell r="N4145" t="e">
            <v>#DIV/0!</v>
          </cell>
        </row>
        <row r="4146">
          <cell r="E4146" t="str">
            <v>HGC-Lib-2466833</v>
          </cell>
          <cell r="F4146" t="str">
            <v>LC240717055X1</v>
          </cell>
          <cell r="G4146">
            <v>30</v>
          </cell>
          <cell r="H4146" t="str">
            <v>singleron-3'转录组文库</v>
          </cell>
          <cell r="I4146" t="str">
            <v>WH</v>
          </cell>
          <cell r="J4146">
            <v>9.32</v>
          </cell>
          <cell r="N4146" t="e">
            <v>#DIV/0!</v>
          </cell>
        </row>
        <row r="4147">
          <cell r="E4147" t="str">
            <v>HGC-Lib-2466834</v>
          </cell>
          <cell r="F4147" t="str">
            <v>LHC240815011</v>
          </cell>
          <cell r="G4147">
            <v>200</v>
          </cell>
          <cell r="H4147" t="str">
            <v>singleron-3'转录组文库</v>
          </cell>
          <cell r="I4147" t="str">
            <v>WH</v>
          </cell>
          <cell r="J4147">
            <v>7.86</v>
          </cell>
          <cell r="N4147" t="e">
            <v>#DIV/0!</v>
          </cell>
        </row>
        <row r="4148">
          <cell r="E4148" t="str">
            <v>HGC-Lib-2466835</v>
          </cell>
          <cell r="F4148" t="str">
            <v>LC240814037X1</v>
          </cell>
          <cell r="G4148">
            <v>100</v>
          </cell>
          <cell r="H4148" t="str">
            <v>singleron-3'转录组文库</v>
          </cell>
          <cell r="I4148" t="str">
            <v>WH</v>
          </cell>
          <cell r="J4148">
            <v>19.100000000000001</v>
          </cell>
          <cell r="N4148" t="e">
            <v>#DIV/0!</v>
          </cell>
        </row>
        <row r="4149">
          <cell r="E4149" t="str">
            <v>HGC-Lib-2466836</v>
          </cell>
          <cell r="F4149" t="str">
            <v>LC240813009X2</v>
          </cell>
          <cell r="G4149">
            <v>100</v>
          </cell>
          <cell r="H4149" t="str">
            <v>singleron-3'转录组文库</v>
          </cell>
          <cell r="I4149" t="str">
            <v>WH</v>
          </cell>
          <cell r="J4149">
            <v>1.6</v>
          </cell>
          <cell r="N4149" t="e">
            <v>#DIV/0!</v>
          </cell>
        </row>
        <row r="4150">
          <cell r="E4150" t="str">
            <v>HGC-Lib-2466837</v>
          </cell>
          <cell r="F4150" t="str">
            <v>LA240813002</v>
          </cell>
          <cell r="G4150">
            <v>100</v>
          </cell>
          <cell r="H4150" t="str">
            <v>singleron-3'转录组文库</v>
          </cell>
          <cell r="I4150" t="str">
            <v>WH</v>
          </cell>
          <cell r="J4150">
            <v>5.62</v>
          </cell>
          <cell r="N4150" t="e">
            <v>#DIV/0!</v>
          </cell>
        </row>
        <row r="4151">
          <cell r="E4151" t="str">
            <v>HGC-Lib-2466838</v>
          </cell>
          <cell r="F4151" t="str">
            <v>LC240815015</v>
          </cell>
          <cell r="G4151">
            <v>30</v>
          </cell>
          <cell r="H4151" t="str">
            <v>singleron-3'转录组文库</v>
          </cell>
          <cell r="I4151" t="str">
            <v>WH</v>
          </cell>
          <cell r="J4151">
            <v>7.5</v>
          </cell>
          <cell r="N4151" t="e">
            <v>#DIV/0!</v>
          </cell>
        </row>
        <row r="4152">
          <cell r="E4152" t="str">
            <v>HGC-Lib-2466839</v>
          </cell>
          <cell r="F4152" t="str">
            <v>LC240815014</v>
          </cell>
          <cell r="G4152">
            <v>30</v>
          </cell>
          <cell r="H4152" t="str">
            <v>singleron-3'转录组文库</v>
          </cell>
          <cell r="I4152" t="str">
            <v>WH</v>
          </cell>
          <cell r="J4152">
            <v>8.98</v>
          </cell>
          <cell r="N4152" t="e">
            <v>#DIV/0!</v>
          </cell>
        </row>
        <row r="4153">
          <cell r="E4153" t="str">
            <v>HGC-Lib-2466840</v>
          </cell>
          <cell r="F4153" t="str">
            <v>LC240814006</v>
          </cell>
          <cell r="G4153">
            <v>100</v>
          </cell>
          <cell r="H4153" t="str">
            <v>singleron-3'转录组文库</v>
          </cell>
          <cell r="I4153" t="str">
            <v>WH</v>
          </cell>
          <cell r="J4153">
            <v>23.2</v>
          </cell>
          <cell r="N4153" t="e">
            <v>#DIV/0!</v>
          </cell>
        </row>
        <row r="4154">
          <cell r="E4154" t="str">
            <v>HGC-Lib-2466841</v>
          </cell>
          <cell r="F4154" t="str">
            <v>LA240815040X1</v>
          </cell>
          <cell r="G4154">
            <v>100</v>
          </cell>
          <cell r="H4154" t="str">
            <v>singleron-3'转录组文库</v>
          </cell>
          <cell r="I4154" t="str">
            <v>WH</v>
          </cell>
          <cell r="J4154">
            <v>10.1</v>
          </cell>
          <cell r="N4154" t="e">
            <v>#DIV/0!</v>
          </cell>
        </row>
        <row r="4155">
          <cell r="E4155" t="str">
            <v>HGC-Lib-2466842</v>
          </cell>
          <cell r="F4155" t="str">
            <v>LC240812039</v>
          </cell>
          <cell r="G4155">
            <v>100</v>
          </cell>
          <cell r="H4155" t="str">
            <v>singleron-3'转录组文库</v>
          </cell>
          <cell r="I4155" t="str">
            <v>WH</v>
          </cell>
          <cell r="J4155">
            <v>22</v>
          </cell>
          <cell r="N4155" t="e">
            <v>#DIV/0!</v>
          </cell>
        </row>
        <row r="4156">
          <cell r="E4156" t="str">
            <v>HGC-Lib-2466843</v>
          </cell>
          <cell r="F4156" t="str">
            <v>LFTA240814020</v>
          </cell>
          <cell r="G4156">
            <v>100</v>
          </cell>
          <cell r="H4156" t="str">
            <v>singleron-3'全长转录组文库</v>
          </cell>
          <cell r="I4156" t="str">
            <v>WH</v>
          </cell>
          <cell r="J4156">
            <v>20.8</v>
          </cell>
          <cell r="N4156" t="e">
            <v>#DIV/0!</v>
          </cell>
        </row>
        <row r="4157">
          <cell r="E4157" t="str">
            <v>HGC-Lib-2466844</v>
          </cell>
          <cell r="F4157" t="str">
            <v>LFTA240814021</v>
          </cell>
          <cell r="G4157">
            <v>100</v>
          </cell>
          <cell r="H4157" t="str">
            <v>singleron-3'全长转录组文库</v>
          </cell>
          <cell r="I4157" t="str">
            <v>WH</v>
          </cell>
          <cell r="J4157">
            <v>21.2</v>
          </cell>
          <cell r="N4157" t="e">
            <v>#DIV/0!</v>
          </cell>
        </row>
        <row r="4158">
          <cell r="E4158" t="str">
            <v>HGC-Lib-2466845</v>
          </cell>
          <cell r="F4158" t="str">
            <v>LFTBA240814029</v>
          </cell>
          <cell r="G4158">
            <v>100</v>
          </cell>
          <cell r="H4158" t="str">
            <v>singleron-3'全长转录组文库</v>
          </cell>
          <cell r="I4158" t="str">
            <v>WH</v>
          </cell>
          <cell r="J4158">
            <v>20</v>
          </cell>
          <cell r="N4158" t="e">
            <v>#DIV/0!</v>
          </cell>
        </row>
        <row r="4159">
          <cell r="E4159" t="str">
            <v>HGC-Lib-2466846</v>
          </cell>
          <cell r="F4159" t="str">
            <v>LFTBA240814030</v>
          </cell>
          <cell r="G4159">
            <v>100</v>
          </cell>
          <cell r="H4159" t="str">
            <v>singleron-3'全长转录组文库</v>
          </cell>
          <cell r="I4159" t="str">
            <v>WH</v>
          </cell>
          <cell r="J4159">
            <v>20.6</v>
          </cell>
          <cell r="N4159" t="e">
            <v>#DIV/0!</v>
          </cell>
        </row>
        <row r="4160">
          <cell r="E4160" t="str">
            <v>HGC-Lib-2466847</v>
          </cell>
          <cell r="F4160" t="str">
            <v>LFTBA240814028</v>
          </cell>
          <cell r="G4160">
            <v>100</v>
          </cell>
          <cell r="H4160" t="str">
            <v>singleron-3'全长转录组文库</v>
          </cell>
          <cell r="I4160" t="str">
            <v>WH</v>
          </cell>
          <cell r="J4160">
            <v>16.100000000000001</v>
          </cell>
          <cell r="N4160" t="e">
            <v>#DIV/0!</v>
          </cell>
        </row>
        <row r="4161">
          <cell r="E4161" t="str">
            <v>HGC-Lib-2466848</v>
          </cell>
          <cell r="F4161" t="str">
            <v>LFTBA240814031</v>
          </cell>
          <cell r="G4161">
            <v>100</v>
          </cell>
          <cell r="H4161" t="str">
            <v>singleron-3'全长转录组文库</v>
          </cell>
          <cell r="I4161" t="str">
            <v>WH</v>
          </cell>
          <cell r="J4161">
            <v>21.6</v>
          </cell>
          <cell r="N4161" t="e">
            <v>#DIV/0!</v>
          </cell>
        </row>
        <row r="4162">
          <cell r="E4162" t="str">
            <v>HGC-Lib-2466849</v>
          </cell>
          <cell r="F4162" t="str">
            <v>LC240815030</v>
          </cell>
          <cell r="G4162">
            <v>120</v>
          </cell>
          <cell r="H4162" t="str">
            <v>singleron-3'转录组文库</v>
          </cell>
          <cell r="I4162" t="str">
            <v>WH</v>
          </cell>
          <cell r="J4162">
            <v>5.78</v>
          </cell>
          <cell r="N4162" t="e">
            <v>#DIV/0!</v>
          </cell>
        </row>
        <row r="4163">
          <cell r="E4163" t="str">
            <v>HGC-Lib-2466850</v>
          </cell>
          <cell r="F4163" t="str">
            <v>LC240815029</v>
          </cell>
          <cell r="G4163">
            <v>120</v>
          </cell>
          <cell r="H4163" t="str">
            <v>singleron-3'转录组文库</v>
          </cell>
          <cell r="I4163" t="str">
            <v>WH</v>
          </cell>
          <cell r="J4163">
            <v>5.32</v>
          </cell>
          <cell r="N4163" t="e">
            <v>#DIV/0!</v>
          </cell>
        </row>
        <row r="4164">
          <cell r="E4164" t="str">
            <v>HGC-Lib-2466851</v>
          </cell>
          <cell r="F4164" t="str">
            <v>LC240815033</v>
          </cell>
          <cell r="G4164">
            <v>100</v>
          </cell>
          <cell r="H4164" t="str">
            <v>singleron-3'转录组文库</v>
          </cell>
          <cell r="I4164" t="str">
            <v>WH</v>
          </cell>
          <cell r="J4164">
            <v>6.26</v>
          </cell>
          <cell r="N4164" t="e">
            <v>#DIV/0!</v>
          </cell>
        </row>
        <row r="4165">
          <cell r="E4165" t="str">
            <v>HGC-Lib-2466852</v>
          </cell>
          <cell r="F4165" t="str">
            <v>LC240815062</v>
          </cell>
          <cell r="G4165">
            <v>100</v>
          </cell>
          <cell r="H4165" t="str">
            <v>singleron-3'转录组文库</v>
          </cell>
          <cell r="I4165" t="str">
            <v>WH</v>
          </cell>
          <cell r="J4165">
            <v>8.8800000000000008</v>
          </cell>
          <cell r="N4165" t="e">
            <v>#DIV/0!</v>
          </cell>
        </row>
        <row r="4166">
          <cell r="E4166" t="str">
            <v>HGC-Lib-2466853</v>
          </cell>
          <cell r="F4166" t="str">
            <v>LA230315010FS</v>
          </cell>
          <cell r="G4166">
            <v>100</v>
          </cell>
          <cell r="H4166" t="str">
            <v>singleron-3'转录组文库</v>
          </cell>
          <cell r="I4166" t="str">
            <v>WH</v>
          </cell>
          <cell r="J4166">
            <v>5.56</v>
          </cell>
          <cell r="N4166" t="e">
            <v>#DIV/0!</v>
          </cell>
        </row>
        <row r="4167">
          <cell r="E4167" t="str">
            <v>HGC-Lib-2466854</v>
          </cell>
          <cell r="F4167" t="str">
            <v>LA221024042FS</v>
          </cell>
          <cell r="G4167">
            <v>100</v>
          </cell>
          <cell r="H4167" t="str">
            <v>singleron-3'转录组文库</v>
          </cell>
          <cell r="I4167" t="str">
            <v>WH</v>
          </cell>
          <cell r="J4167">
            <v>5.76</v>
          </cell>
          <cell r="N4167" t="e">
            <v>#DIV/0!</v>
          </cell>
        </row>
        <row r="4168">
          <cell r="E4168" t="str">
            <v>HGC-Lib-2466855</v>
          </cell>
          <cell r="F4168" t="str">
            <v>LFTC240817010</v>
          </cell>
          <cell r="G4168">
            <v>100</v>
          </cell>
          <cell r="H4168" t="str">
            <v>singleron-3'全长转录组文库</v>
          </cell>
          <cell r="I4168" t="str">
            <v>WH</v>
          </cell>
          <cell r="J4168">
            <v>16.399999999999999</v>
          </cell>
          <cell r="N4168" t="e">
            <v>#DIV/0!</v>
          </cell>
        </row>
        <row r="4169">
          <cell r="E4169" t="str">
            <v>HGC-Lib-2466856</v>
          </cell>
          <cell r="F4169" t="str">
            <v>LFTBC240817025</v>
          </cell>
          <cell r="G4169">
            <v>70</v>
          </cell>
          <cell r="H4169" t="str">
            <v>singleron-3'全长转录组文库</v>
          </cell>
          <cell r="I4169" t="str">
            <v>WH</v>
          </cell>
          <cell r="J4169">
            <v>21</v>
          </cell>
          <cell r="N4169" t="e">
            <v>#DIV/0!</v>
          </cell>
        </row>
        <row r="4170">
          <cell r="E4170" t="str">
            <v>HGC-Lib-2466857</v>
          </cell>
          <cell r="F4170" t="str">
            <v>LFTA240817044</v>
          </cell>
          <cell r="G4170">
            <v>100</v>
          </cell>
          <cell r="H4170" t="str">
            <v>singleron-3'全长转录组文库</v>
          </cell>
          <cell r="I4170" t="str">
            <v>WH</v>
          </cell>
          <cell r="J4170">
            <v>18.2</v>
          </cell>
          <cell r="N4170" t="e">
            <v>#DIV/0!</v>
          </cell>
        </row>
        <row r="4171">
          <cell r="E4171" t="str">
            <v>HGC-Lib-2466858</v>
          </cell>
          <cell r="F4171" t="str">
            <v>LFTBA240817016</v>
          </cell>
          <cell r="G4171">
            <v>90</v>
          </cell>
          <cell r="H4171" t="str">
            <v>singleron-3'全长转录组文库</v>
          </cell>
          <cell r="I4171" t="str">
            <v>WH</v>
          </cell>
          <cell r="J4171">
            <v>10.9</v>
          </cell>
          <cell r="N4171" t="e">
            <v>#DIV/0!</v>
          </cell>
        </row>
        <row r="4172">
          <cell r="E4172" t="str">
            <v>HGC-Lib-2466859</v>
          </cell>
          <cell r="F4172" t="str">
            <v>L240730085CJ</v>
          </cell>
          <cell r="G4172">
            <v>80</v>
          </cell>
          <cell r="H4172" t="str">
            <v>10X空转文库</v>
          </cell>
          <cell r="I4172" t="str">
            <v>WH</v>
          </cell>
          <cell r="J4172">
            <v>14.9</v>
          </cell>
          <cell r="N4172" t="e">
            <v>#DIV/0!</v>
          </cell>
        </row>
        <row r="4173">
          <cell r="E4173" t="str">
            <v>HGC-Lib-2466860</v>
          </cell>
          <cell r="F4173" t="str">
            <v>L240727102CJ</v>
          </cell>
          <cell r="G4173">
            <v>80</v>
          </cell>
          <cell r="H4173" t="str">
            <v>10X空转文库</v>
          </cell>
          <cell r="I4173" t="str">
            <v>WH</v>
          </cell>
          <cell r="J4173">
            <v>11.9</v>
          </cell>
          <cell r="N4173" t="e">
            <v>#DIV/0!</v>
          </cell>
        </row>
        <row r="4174">
          <cell r="E4174" t="str">
            <v>HGC-Lib-2466861</v>
          </cell>
          <cell r="F4174" t="str">
            <v>LA240816063X1</v>
          </cell>
          <cell r="G4174">
            <v>100</v>
          </cell>
          <cell r="H4174" t="str">
            <v>singleron-3'转录组文库</v>
          </cell>
          <cell r="I4174" t="str">
            <v>WH</v>
          </cell>
          <cell r="J4174">
            <v>7.8</v>
          </cell>
          <cell r="N4174" t="e">
            <v>#DIV/0!</v>
          </cell>
        </row>
        <row r="4175">
          <cell r="E4175" t="str">
            <v>HGC-Lib-2466862</v>
          </cell>
          <cell r="F4175" t="str">
            <v>LA240816062X2</v>
          </cell>
          <cell r="G4175">
            <v>100</v>
          </cell>
          <cell r="H4175" t="str">
            <v>singleron-3'转录组文库</v>
          </cell>
          <cell r="I4175" t="str">
            <v>WH</v>
          </cell>
          <cell r="J4175">
            <v>9.1999999999999993</v>
          </cell>
          <cell r="N4175" t="e">
            <v>#DIV/0!</v>
          </cell>
        </row>
        <row r="4176">
          <cell r="E4176" t="str">
            <v>HGC-Lib-2466863</v>
          </cell>
          <cell r="F4176" t="str">
            <v>LTA240816006</v>
          </cell>
          <cell r="G4176">
            <v>90</v>
          </cell>
          <cell r="H4176" t="str">
            <v>singleron-3'转录组文库</v>
          </cell>
          <cell r="I4176" t="str">
            <v>WH</v>
          </cell>
          <cell r="J4176">
            <v>7.04</v>
          </cell>
          <cell r="N4176" t="e">
            <v>#DIV/0!</v>
          </cell>
        </row>
        <row r="4177">
          <cell r="E4177" t="str">
            <v>HGC-Lib-2466864</v>
          </cell>
          <cell r="F4177" t="str">
            <v>LTA240816005</v>
          </cell>
          <cell r="G4177">
            <v>90</v>
          </cell>
          <cell r="H4177" t="str">
            <v>singleron-3'转录组文库</v>
          </cell>
          <cell r="I4177" t="str">
            <v>WH</v>
          </cell>
          <cell r="J4177">
            <v>9.68</v>
          </cell>
          <cell r="N4177" t="e">
            <v>#DIV/0!</v>
          </cell>
        </row>
        <row r="4178">
          <cell r="E4178" t="str">
            <v>HGC-Lib-2466865</v>
          </cell>
          <cell r="F4178" t="str">
            <v>LTA240814009</v>
          </cell>
          <cell r="G4178">
            <v>90</v>
          </cell>
          <cell r="H4178" t="str">
            <v>singleron-3'转录组文库</v>
          </cell>
          <cell r="I4178" t="str">
            <v>WH</v>
          </cell>
          <cell r="J4178">
            <v>16.600000000000001</v>
          </cell>
          <cell r="N4178" t="e">
            <v>#DIV/0!</v>
          </cell>
        </row>
        <row r="4179">
          <cell r="E4179" t="str">
            <v>HGC-Lib-2466866</v>
          </cell>
          <cell r="F4179" t="str">
            <v>LTA240817057</v>
          </cell>
          <cell r="G4179">
            <v>90</v>
          </cell>
          <cell r="H4179" t="str">
            <v>singleron-3'转录组文库</v>
          </cell>
          <cell r="I4179" t="str">
            <v>ZZ</v>
          </cell>
          <cell r="J4179">
            <v>17.100000000000001</v>
          </cell>
          <cell r="N4179" t="e">
            <v>#DIV/0!</v>
          </cell>
        </row>
        <row r="4180">
          <cell r="E4180" t="str">
            <v>HGC-Lib-2466867</v>
          </cell>
          <cell r="F4180" t="str">
            <v>LC240817058</v>
          </cell>
          <cell r="G4180">
            <v>90</v>
          </cell>
          <cell r="H4180" t="str">
            <v>singleron-3'转录组文库</v>
          </cell>
          <cell r="I4180" t="str">
            <v>ZZ</v>
          </cell>
          <cell r="J4180">
            <v>19.100000000000001</v>
          </cell>
          <cell r="N4180" t="e">
            <v>#DIV/0!</v>
          </cell>
        </row>
        <row r="4181">
          <cell r="E4181" t="str">
            <v>HGC-Lib-2466868</v>
          </cell>
          <cell r="F4181" t="str">
            <v>LA240817038</v>
          </cell>
          <cell r="G4181">
            <v>100</v>
          </cell>
          <cell r="H4181" t="str">
            <v>singleron-3'转录组文库</v>
          </cell>
          <cell r="I4181" t="str">
            <v>ZZ</v>
          </cell>
          <cell r="J4181">
            <v>19</v>
          </cell>
          <cell r="N4181" t="e">
            <v>#DIV/0!</v>
          </cell>
        </row>
        <row r="4182">
          <cell r="E4182" t="str">
            <v>HGC-Lib-2466869</v>
          </cell>
          <cell r="F4182" t="str">
            <v>LC240817021</v>
          </cell>
          <cell r="G4182">
            <v>90</v>
          </cell>
          <cell r="H4182" t="str">
            <v>singleron-3'转录组文库</v>
          </cell>
          <cell r="I4182" t="str">
            <v>ZZ</v>
          </cell>
          <cell r="J4182">
            <v>19.899999999999999</v>
          </cell>
          <cell r="N4182" t="e">
            <v>#DIV/0!</v>
          </cell>
        </row>
        <row r="4183">
          <cell r="E4183" t="str">
            <v>HGC-Lib-2466870</v>
          </cell>
          <cell r="F4183" t="str">
            <v>LC240817023</v>
          </cell>
          <cell r="G4183">
            <v>90</v>
          </cell>
          <cell r="H4183" t="str">
            <v>singleron-3'转录组文库</v>
          </cell>
          <cell r="I4183" t="str">
            <v>ZZ</v>
          </cell>
          <cell r="J4183">
            <v>21.4</v>
          </cell>
          <cell r="N4183" t="e">
            <v>#DIV/0!</v>
          </cell>
        </row>
        <row r="4184">
          <cell r="E4184" t="str">
            <v>HGC-Lib-2466871</v>
          </cell>
          <cell r="F4184" t="str">
            <v>LC240817022</v>
          </cell>
          <cell r="G4184">
            <v>90</v>
          </cell>
          <cell r="H4184" t="str">
            <v>singleron-3'转录组文库</v>
          </cell>
          <cell r="I4184" t="str">
            <v>ZZ</v>
          </cell>
          <cell r="J4184">
            <v>19.8</v>
          </cell>
          <cell r="N4184" t="e">
            <v>#DIV/0!</v>
          </cell>
        </row>
        <row r="4185">
          <cell r="E4185" t="str">
            <v>HGC-Lib-2466872</v>
          </cell>
          <cell r="F4185" t="str">
            <v>LA240817065</v>
          </cell>
          <cell r="G4185">
            <v>100</v>
          </cell>
          <cell r="H4185" t="str">
            <v>singleron-3'转录组文库</v>
          </cell>
          <cell r="I4185" t="str">
            <v>ZZ</v>
          </cell>
          <cell r="J4185">
            <v>25</v>
          </cell>
          <cell r="N4185" t="e">
            <v>#DIV/0!</v>
          </cell>
        </row>
        <row r="4186">
          <cell r="E4186" t="str">
            <v>HGC-Lib-2466873</v>
          </cell>
          <cell r="F4186" t="str">
            <v>LA240817062</v>
          </cell>
          <cell r="G4186">
            <v>100</v>
          </cell>
          <cell r="H4186" t="str">
            <v>singleron-3'转录组文库</v>
          </cell>
          <cell r="I4186" t="str">
            <v>ZZ</v>
          </cell>
          <cell r="J4186">
            <v>21</v>
          </cell>
          <cell r="N4186" t="e">
            <v>#DIV/0!</v>
          </cell>
        </row>
        <row r="4187">
          <cell r="E4187" t="str">
            <v>HGC-Lib-2466874</v>
          </cell>
          <cell r="F4187" t="str">
            <v>LA240817060</v>
          </cell>
          <cell r="G4187">
            <v>100</v>
          </cell>
          <cell r="H4187" t="str">
            <v>singleron-3'转录组文库</v>
          </cell>
          <cell r="I4187" t="str">
            <v>ZZ</v>
          </cell>
          <cell r="J4187">
            <v>24.8</v>
          </cell>
          <cell r="N4187" t="e">
            <v>#DIV/0!</v>
          </cell>
        </row>
        <row r="4188">
          <cell r="E4188" t="str">
            <v>HGC-Lib-2466875</v>
          </cell>
          <cell r="F4188" t="str">
            <v>LA240817066</v>
          </cell>
          <cell r="G4188">
            <v>100</v>
          </cell>
          <cell r="H4188" t="str">
            <v>singleron-3'转录组文库</v>
          </cell>
          <cell r="I4188" t="str">
            <v>ZZ</v>
          </cell>
          <cell r="J4188">
            <v>25.2</v>
          </cell>
          <cell r="N4188" t="e">
            <v>#DIV/0!</v>
          </cell>
        </row>
        <row r="4189">
          <cell r="E4189" t="str">
            <v>HGC-Lib-2466876</v>
          </cell>
          <cell r="F4189" t="str">
            <v>LA240817063</v>
          </cell>
          <cell r="G4189">
            <v>100</v>
          </cell>
          <cell r="H4189" t="str">
            <v>singleron-3'转录组文库</v>
          </cell>
          <cell r="I4189" t="str">
            <v>ZZ</v>
          </cell>
          <cell r="J4189">
            <v>28.8</v>
          </cell>
          <cell r="N4189" t="e">
            <v>#DIV/0!</v>
          </cell>
        </row>
        <row r="4190">
          <cell r="E4190" t="str">
            <v>HGC-Lib-2466877</v>
          </cell>
          <cell r="F4190" t="str">
            <v>LA240817059</v>
          </cell>
          <cell r="G4190">
            <v>100</v>
          </cell>
          <cell r="H4190" t="str">
            <v>singleron-3'转录组文库</v>
          </cell>
          <cell r="I4190" t="str">
            <v>ZZ</v>
          </cell>
          <cell r="J4190">
            <v>25.8</v>
          </cell>
          <cell r="N4190" t="e">
            <v>#DIV/0!</v>
          </cell>
        </row>
        <row r="4191">
          <cell r="E4191" t="str">
            <v>HGC-Lib-2466878</v>
          </cell>
          <cell r="F4191" t="str">
            <v>LA240817067</v>
          </cell>
          <cell r="G4191">
            <v>100</v>
          </cell>
          <cell r="H4191" t="str">
            <v>singleron-3'转录组文库</v>
          </cell>
          <cell r="I4191" t="str">
            <v>ZZ</v>
          </cell>
          <cell r="J4191">
            <v>27.8</v>
          </cell>
          <cell r="N4191" t="e">
            <v>#DIV/0!</v>
          </cell>
        </row>
        <row r="4192">
          <cell r="E4192" t="str">
            <v>HGC-Lib-2466879</v>
          </cell>
          <cell r="F4192" t="str">
            <v>LA240817064</v>
          </cell>
          <cell r="G4192">
            <v>100</v>
          </cell>
          <cell r="H4192" t="str">
            <v>singleron-3'转录组文库</v>
          </cell>
          <cell r="I4192" t="str">
            <v>ZZ</v>
          </cell>
          <cell r="J4192">
            <v>28.4</v>
          </cell>
          <cell r="N4192" t="e">
            <v>#DIV/0!</v>
          </cell>
        </row>
        <row r="4193">
          <cell r="E4193" t="str">
            <v>HGC-Lib-2466880</v>
          </cell>
          <cell r="F4193" t="str">
            <v>LA240817061</v>
          </cell>
          <cell r="G4193">
            <v>100</v>
          </cell>
          <cell r="H4193" t="str">
            <v>singleron-3'转录组文库</v>
          </cell>
          <cell r="I4193" t="str">
            <v>ZZ</v>
          </cell>
          <cell r="J4193">
            <v>21.4</v>
          </cell>
          <cell r="N4193" t="e">
            <v>#DIV/0!</v>
          </cell>
        </row>
        <row r="4194">
          <cell r="E4194" t="str">
            <v>HGC-Lib-2466881</v>
          </cell>
          <cell r="F4194" t="str">
            <v>LA240817048</v>
          </cell>
          <cell r="G4194">
            <v>90</v>
          </cell>
          <cell r="H4194" t="str">
            <v>singleron-3'转录组文库</v>
          </cell>
          <cell r="I4194" t="str">
            <v>ZZ</v>
          </cell>
          <cell r="J4194">
            <v>16.2</v>
          </cell>
          <cell r="N4194" t="e">
            <v>#DIV/0!</v>
          </cell>
        </row>
        <row r="4195">
          <cell r="E4195" t="str">
            <v>HGC-POOL-2466882</v>
          </cell>
          <cell r="F4195" t="str">
            <v>T868pooling</v>
          </cell>
          <cell r="G4195">
            <v>11</v>
          </cell>
          <cell r="H4195" t="str">
            <v>mRNA文库</v>
          </cell>
          <cell r="I4195" t="str">
            <v>GZQ</v>
          </cell>
          <cell r="J4195">
            <v>0.19400000000000001</v>
          </cell>
          <cell r="N4195" t="e">
            <v>#DIV/0!</v>
          </cell>
        </row>
        <row r="4196">
          <cell r="E4196" t="str">
            <v>HGC-Lib-2466883</v>
          </cell>
          <cell r="F4196" t="str">
            <v>T897-1</v>
          </cell>
          <cell r="G4196">
            <v>6</v>
          </cell>
          <cell r="H4196" t="str">
            <v>mRNA文库</v>
          </cell>
          <cell r="I4196" t="str">
            <v>WH</v>
          </cell>
          <cell r="J4196">
            <v>59.4</v>
          </cell>
          <cell r="N4196" t="e">
            <v>#DIV/0!</v>
          </cell>
        </row>
        <row r="4197">
          <cell r="E4197" t="str">
            <v>HGC-Lib-2466884</v>
          </cell>
          <cell r="F4197" t="str">
            <v>T897-2</v>
          </cell>
          <cell r="G4197">
            <v>6</v>
          </cell>
          <cell r="H4197" t="str">
            <v>mRNA文库</v>
          </cell>
          <cell r="I4197" t="str">
            <v>WH</v>
          </cell>
          <cell r="J4197">
            <v>57.6</v>
          </cell>
          <cell r="N4197" t="e">
            <v>#DIV/0!</v>
          </cell>
        </row>
        <row r="4198">
          <cell r="E4198" t="str">
            <v>HGC-Lib-2466885</v>
          </cell>
          <cell r="F4198" t="str">
            <v>T897-3</v>
          </cell>
          <cell r="G4198">
            <v>6</v>
          </cell>
          <cell r="H4198" t="str">
            <v>mRNA文库</v>
          </cell>
          <cell r="I4198" t="str">
            <v>WH</v>
          </cell>
          <cell r="J4198">
            <v>54.8</v>
          </cell>
          <cell r="N4198" t="e">
            <v>#DIV/0!</v>
          </cell>
        </row>
        <row r="4199">
          <cell r="E4199" t="str">
            <v>HGC-Lib-2466886</v>
          </cell>
          <cell r="F4199" t="str">
            <v>T897-4</v>
          </cell>
          <cell r="G4199">
            <v>6</v>
          </cell>
          <cell r="H4199" t="str">
            <v>mRNA文库</v>
          </cell>
          <cell r="I4199" t="str">
            <v>WH</v>
          </cell>
          <cell r="J4199">
            <v>61.6</v>
          </cell>
          <cell r="N4199" t="e">
            <v>#DIV/0!</v>
          </cell>
        </row>
        <row r="4200">
          <cell r="E4200" t="str">
            <v>HGC-Lib-2466887</v>
          </cell>
          <cell r="F4200" t="str">
            <v>T897-5</v>
          </cell>
          <cell r="G4200">
            <v>6</v>
          </cell>
          <cell r="H4200" t="str">
            <v>mRNA文库</v>
          </cell>
          <cell r="I4200" t="str">
            <v>WH</v>
          </cell>
          <cell r="J4200">
            <v>32.6</v>
          </cell>
          <cell r="N4200" t="e">
            <v>#DIV/0!</v>
          </cell>
        </row>
        <row r="4201">
          <cell r="E4201" t="str">
            <v>HGC-Lib-2466888</v>
          </cell>
          <cell r="F4201" t="str">
            <v>T897-6</v>
          </cell>
          <cell r="G4201">
            <v>6</v>
          </cell>
          <cell r="H4201" t="str">
            <v>mRNA文库</v>
          </cell>
          <cell r="I4201" t="str">
            <v>WH</v>
          </cell>
          <cell r="J4201">
            <v>56.6</v>
          </cell>
          <cell r="N4201" t="e">
            <v>#DIV/0!</v>
          </cell>
        </row>
        <row r="4202">
          <cell r="E4202" t="str">
            <v>HGC-Lib-2466889</v>
          </cell>
          <cell r="F4202" t="str">
            <v>T897-7</v>
          </cell>
          <cell r="G4202">
            <v>6</v>
          </cell>
          <cell r="H4202" t="str">
            <v>mRNA文库</v>
          </cell>
          <cell r="I4202" t="str">
            <v>WH</v>
          </cell>
          <cell r="J4202">
            <v>66.400000000000006</v>
          </cell>
          <cell r="N4202" t="e">
            <v>#DIV/0!</v>
          </cell>
        </row>
        <row r="4203">
          <cell r="E4203" t="str">
            <v>HGC-Lib-2466890</v>
          </cell>
          <cell r="F4203" t="str">
            <v>T897-8</v>
          </cell>
          <cell r="G4203">
            <v>6</v>
          </cell>
          <cell r="H4203" t="str">
            <v>mRNA文库</v>
          </cell>
          <cell r="I4203" t="str">
            <v>WH</v>
          </cell>
          <cell r="J4203">
            <v>44.4</v>
          </cell>
          <cell r="N4203" t="e">
            <v>#DIV/0!</v>
          </cell>
        </row>
        <row r="4204">
          <cell r="E4204" t="str">
            <v>HGC-Lib-2466891</v>
          </cell>
          <cell r="F4204" t="str">
            <v>T897-10</v>
          </cell>
          <cell r="G4204">
            <v>6</v>
          </cell>
          <cell r="H4204" t="str">
            <v>mRNA文库</v>
          </cell>
          <cell r="I4204" t="str">
            <v>WH</v>
          </cell>
          <cell r="J4204">
            <v>62</v>
          </cell>
          <cell r="N4204" t="e">
            <v>#DIV/0!</v>
          </cell>
        </row>
        <row r="4205">
          <cell r="E4205" t="str">
            <v>HGC-POOL-2466892</v>
          </cell>
          <cell r="F4205" t="str">
            <v>T891-2</v>
          </cell>
          <cell r="G4205">
            <v>10</v>
          </cell>
          <cell r="H4205" t="str">
            <v>mRNA文库</v>
          </cell>
          <cell r="I4205" t="str">
            <v>WH</v>
          </cell>
          <cell r="J4205">
            <v>20.8</v>
          </cell>
          <cell r="N4205" t="e">
            <v>#DIV/0!</v>
          </cell>
        </row>
        <row r="4206">
          <cell r="E4206" t="str">
            <v>HGC-Lib-2466893</v>
          </cell>
          <cell r="F4206" t="str">
            <v>Pool 820</v>
          </cell>
          <cell r="G4206">
            <v>2</v>
          </cell>
          <cell r="H4206" t="str">
            <v>多重PCR产物文库</v>
          </cell>
          <cell r="I4206" t="str">
            <v>WH</v>
          </cell>
          <cell r="J4206">
            <v>0.8</v>
          </cell>
          <cell r="K4206">
            <v>312</v>
          </cell>
          <cell r="L4206" t="str">
            <v>WH</v>
          </cell>
          <cell r="N4206">
            <v>3.94477317554241</v>
          </cell>
        </row>
        <row r="4207">
          <cell r="E4207" t="str">
            <v>HGC-Lib-2466909</v>
          </cell>
          <cell r="F4207" t="str">
            <v>N_B_N4805-1M-Poly-ACtrl-1_N_B</v>
          </cell>
          <cell r="G4207">
            <v>6</v>
          </cell>
          <cell r="H4207" t="str">
            <v>mRNA文库</v>
          </cell>
          <cell r="I4207" t="str">
            <v>WH</v>
          </cell>
          <cell r="J4207">
            <v>4.9800000000000004</v>
          </cell>
          <cell r="N4207" t="e">
            <v>#DIV/0!</v>
          </cell>
        </row>
        <row r="4208">
          <cell r="E4208" t="str">
            <v>HGC-Lib-2466910</v>
          </cell>
          <cell r="F4208" t="str">
            <v>N_B_N4805-1N-Poly-ACtrl-2_N_B</v>
          </cell>
          <cell r="G4208">
            <v>6</v>
          </cell>
          <cell r="H4208" t="str">
            <v>mRNA文库</v>
          </cell>
          <cell r="I4208" t="str">
            <v>WH</v>
          </cell>
          <cell r="J4208">
            <v>5.62</v>
          </cell>
          <cell r="N4208" t="e">
            <v>#DIV/0!</v>
          </cell>
        </row>
        <row r="4209">
          <cell r="E4209" t="str">
            <v>HGC-Lib-2466911</v>
          </cell>
          <cell r="F4209" t="str">
            <v>N_B_N4805-1P-Poly-ACtrl-3_N_B</v>
          </cell>
          <cell r="G4209">
            <v>6</v>
          </cell>
          <cell r="H4209" t="str">
            <v>mRNA文库</v>
          </cell>
          <cell r="I4209" t="str">
            <v>WH</v>
          </cell>
          <cell r="J4209">
            <v>4.82</v>
          </cell>
          <cell r="N4209" t="e">
            <v>#DIV/0!</v>
          </cell>
        </row>
        <row r="4210">
          <cell r="E4210" t="str">
            <v>HGC-Lib-2466912</v>
          </cell>
          <cell r="F4210" t="str">
            <v>N_B_N4805-1Q-Poly-AsiATF4-1_N_B</v>
          </cell>
          <cell r="G4210">
            <v>6</v>
          </cell>
          <cell r="H4210" t="str">
            <v>mRNA文库</v>
          </cell>
          <cell r="I4210" t="str">
            <v>WH</v>
          </cell>
          <cell r="J4210">
            <v>6.02</v>
          </cell>
          <cell r="N4210" t="e">
            <v>#DIV/0!</v>
          </cell>
        </row>
        <row r="4211">
          <cell r="E4211" t="str">
            <v>HGC-Lib-2466913</v>
          </cell>
          <cell r="F4211" t="str">
            <v>N_B_N4805-1R-Poly-AsiATF4-2_N_B</v>
          </cell>
          <cell r="G4211">
            <v>6</v>
          </cell>
          <cell r="H4211" t="str">
            <v>mRNA文库</v>
          </cell>
          <cell r="I4211" t="str">
            <v>WH</v>
          </cell>
          <cell r="J4211">
            <v>4.18</v>
          </cell>
          <cell r="N4211" t="e">
            <v>#DIV/0!</v>
          </cell>
        </row>
        <row r="4212">
          <cell r="E4212" t="str">
            <v>HGC-Lib-2466914</v>
          </cell>
          <cell r="F4212" t="str">
            <v>N_B_N4805-1S-Poly-AsiATF4-3_N_B</v>
          </cell>
          <cell r="G4212">
            <v>6</v>
          </cell>
          <cell r="H4212" t="str">
            <v>mRNA文库</v>
          </cell>
          <cell r="I4212" t="str">
            <v>WH</v>
          </cell>
          <cell r="J4212">
            <v>4.92</v>
          </cell>
          <cell r="N4212" t="e">
            <v>#DIV/0!</v>
          </cell>
        </row>
        <row r="4213">
          <cell r="E4213" t="str">
            <v>HGC-Lib-2466926</v>
          </cell>
          <cell r="F4213" t="str">
            <v>0821X1</v>
          </cell>
          <cell r="G4213">
            <v>1000</v>
          </cell>
          <cell r="H4213" t="str">
            <v>mRNA文库WES/panel捕获文库small RNA文库</v>
          </cell>
          <cell r="I4213" t="str">
            <v>GZQ</v>
          </cell>
          <cell r="J4213">
            <v>13.75</v>
          </cell>
          <cell r="K4213">
            <v>422</v>
          </cell>
          <cell r="L4213" t="str">
            <v>GZQ</v>
          </cell>
          <cell r="N4213">
            <v>50.127597520962503</v>
          </cell>
        </row>
        <row r="4214">
          <cell r="E4214" t="str">
            <v>HGC-Lib-2466927</v>
          </cell>
          <cell r="F4214" t="str">
            <v>0821X2</v>
          </cell>
          <cell r="G4214">
            <v>1000</v>
          </cell>
          <cell r="H4214" t="str">
            <v>10× 3'单细胞</v>
          </cell>
          <cell r="I4214" t="str">
            <v>GZQ</v>
          </cell>
          <cell r="J4214">
            <v>1.35</v>
          </cell>
          <cell r="K4214">
            <v>461</v>
          </cell>
          <cell r="L4214" t="str">
            <v>GZQ</v>
          </cell>
          <cell r="N4214">
            <v>4.5052561321541802</v>
          </cell>
        </row>
        <row r="4215">
          <cell r="E4215" t="str">
            <v>HGC-Lib-2466980</v>
          </cell>
          <cell r="F4215" t="str">
            <v>OL27897-GW131942</v>
          </cell>
          <cell r="G4215">
            <v>1000</v>
          </cell>
          <cell r="H4215" t="str">
            <v>WES/panel捕获文库</v>
          </cell>
          <cell r="I4215" t="str">
            <v>TY</v>
          </cell>
          <cell r="J4215">
            <v>1.85</v>
          </cell>
          <cell r="K4215">
            <v>405</v>
          </cell>
          <cell r="L4215" t="str">
            <v>HZK</v>
          </cell>
          <cell r="N4215">
            <v>7.0275403608736902</v>
          </cell>
        </row>
        <row r="4216">
          <cell r="E4216" t="str">
            <v>HGC-Lib-2466981</v>
          </cell>
          <cell r="F4216" t="str">
            <v>OL27898-GW131942</v>
          </cell>
          <cell r="G4216">
            <v>1000</v>
          </cell>
          <cell r="H4216" t="str">
            <v>WES/panel捕获文库</v>
          </cell>
          <cell r="I4216" t="str">
            <v>TY</v>
          </cell>
          <cell r="J4216">
            <v>1.74</v>
          </cell>
          <cell r="K4216">
            <v>421</v>
          </cell>
          <cell r="L4216" t="str">
            <v>GZQ</v>
          </cell>
          <cell r="N4216">
            <v>6.3584871185821301</v>
          </cell>
        </row>
        <row r="4217">
          <cell r="E4217" t="str">
            <v>HGC-Lib-2466982</v>
          </cell>
          <cell r="F4217" t="str">
            <v>OL27899-GW132270</v>
          </cell>
          <cell r="G4217">
            <v>1000</v>
          </cell>
          <cell r="H4217" t="str">
            <v>WES/panel捕获文库</v>
          </cell>
          <cell r="I4217" t="str">
            <v>TY</v>
          </cell>
          <cell r="J4217">
            <v>1.64</v>
          </cell>
          <cell r="K4217">
            <v>408</v>
          </cell>
          <cell r="L4217" t="str">
            <v>GZQ</v>
          </cell>
          <cell r="N4217">
            <v>6.1840120663650104</v>
          </cell>
        </row>
        <row r="4218">
          <cell r="E4218" t="str">
            <v>HGC-Lib-2466983</v>
          </cell>
          <cell r="F4218" t="str">
            <v>OL27900-GW132270</v>
          </cell>
          <cell r="G4218">
            <v>1000</v>
          </cell>
          <cell r="H4218" t="str">
            <v>mRNA文库</v>
          </cell>
          <cell r="I4218" t="str">
            <v>TY</v>
          </cell>
          <cell r="J4218">
            <v>2.9</v>
          </cell>
          <cell r="K4218">
            <v>432</v>
          </cell>
          <cell r="L4218" t="str">
            <v>GZQ</v>
          </cell>
          <cell r="N4218">
            <v>10.327635327635299</v>
          </cell>
        </row>
        <row r="4219">
          <cell r="E4219" t="str">
            <v>HGC-Lib-2466984</v>
          </cell>
          <cell r="F4219" t="str">
            <v>OL27902-GW132271</v>
          </cell>
          <cell r="G4219">
            <v>1000</v>
          </cell>
          <cell r="H4219" t="str">
            <v>宏基因组文库</v>
          </cell>
          <cell r="I4219" t="str">
            <v>TY</v>
          </cell>
          <cell r="J4219">
            <v>1.83</v>
          </cell>
          <cell r="K4219">
            <v>447</v>
          </cell>
          <cell r="L4219" t="str">
            <v>GZQ</v>
          </cell>
          <cell r="N4219">
            <v>6.2983995869901896</v>
          </cell>
        </row>
        <row r="4220">
          <cell r="E4220" t="str">
            <v>HGC-Lib-2466928</v>
          </cell>
          <cell r="F4220" t="str">
            <v>HEK11_20K_4SU_rep1</v>
          </cell>
          <cell r="G4220">
            <v>20</v>
          </cell>
          <cell r="H4220" t="str">
            <v>RIP-seq文库</v>
          </cell>
          <cell r="I4220" t="str">
            <v>XCL</v>
          </cell>
          <cell r="J4220">
            <v>13.5</v>
          </cell>
          <cell r="K4220">
            <v>378</v>
          </cell>
          <cell r="L4220" t="str">
            <v>GZQ</v>
          </cell>
          <cell r="N4220">
            <v>54.945054945054899</v>
          </cell>
        </row>
        <row r="4221">
          <cell r="E4221" t="str">
            <v>HGC-POOL-2466929</v>
          </cell>
          <cell r="F4221" t="str">
            <v>ssq_rice_20240819</v>
          </cell>
          <cell r="G4221">
            <v>144</v>
          </cell>
          <cell r="H4221" t="str">
            <v>ChIP-seq</v>
          </cell>
          <cell r="I4221" t="str">
            <v>XCL</v>
          </cell>
          <cell r="J4221">
            <v>5.36</v>
          </cell>
          <cell r="K4221">
            <v>348</v>
          </cell>
          <cell r="L4221" t="str">
            <v>GZQ</v>
          </cell>
          <cell r="N4221">
            <v>23.695844385499601</v>
          </cell>
        </row>
        <row r="4222">
          <cell r="E4222" t="str">
            <v>HGC-Lib-2466930</v>
          </cell>
          <cell r="F4222" t="str">
            <v>TSCIP2</v>
          </cell>
          <cell r="G4222">
            <v>80</v>
          </cell>
          <cell r="H4222" t="str">
            <v>HI-C文库</v>
          </cell>
          <cell r="I4222" t="str">
            <v>XCL</v>
          </cell>
          <cell r="J4222">
            <v>2.5</v>
          </cell>
          <cell r="K4222">
            <v>527</v>
          </cell>
          <cell r="L4222" t="str">
            <v>GZQ</v>
          </cell>
          <cell r="N4222">
            <v>7.2982046416581499</v>
          </cell>
        </row>
        <row r="4223">
          <cell r="E4223" t="str">
            <v>HGC-Lib-2466931</v>
          </cell>
          <cell r="F4223" t="str">
            <v>28-NC</v>
          </cell>
          <cell r="G4223">
            <v>6</v>
          </cell>
          <cell r="H4223" t="str">
            <v>mRNA文库</v>
          </cell>
          <cell r="I4223" t="str">
            <v>XCL</v>
          </cell>
          <cell r="J4223">
            <v>10.1</v>
          </cell>
          <cell r="K4223">
            <v>416</v>
          </cell>
          <cell r="L4223" t="str">
            <v>GZQ</v>
          </cell>
          <cell r="N4223">
            <v>37.352071005917203</v>
          </cell>
        </row>
        <row r="4224">
          <cell r="E4224" t="str">
            <v>HGC-Lib-2466932</v>
          </cell>
          <cell r="F4224" t="str">
            <v>28-Stat1</v>
          </cell>
          <cell r="G4224">
            <v>6</v>
          </cell>
          <cell r="H4224" t="str">
            <v>mRNA文库</v>
          </cell>
          <cell r="I4224" t="str">
            <v>XCL</v>
          </cell>
          <cell r="J4224">
            <v>8.1</v>
          </cell>
          <cell r="K4224">
            <v>394</v>
          </cell>
          <cell r="L4224" t="str">
            <v>GZQ</v>
          </cell>
          <cell r="N4224">
            <v>31.6282702069504</v>
          </cell>
        </row>
        <row r="4225">
          <cell r="E4225" t="str">
            <v>HGC-Lib-2466933</v>
          </cell>
          <cell r="F4225" t="str">
            <v>4-NC</v>
          </cell>
          <cell r="G4225">
            <v>6</v>
          </cell>
          <cell r="H4225" t="str">
            <v>mRNA文库</v>
          </cell>
          <cell r="I4225" t="str">
            <v>XCL</v>
          </cell>
          <cell r="J4225">
            <v>6.1</v>
          </cell>
          <cell r="K4225">
            <v>445</v>
          </cell>
          <cell r="L4225" t="str">
            <v>GZQ</v>
          </cell>
          <cell r="N4225">
            <v>21.0890233362143</v>
          </cell>
        </row>
        <row r="4226">
          <cell r="E4226" t="str">
            <v>HGC-Lib-2466934</v>
          </cell>
          <cell r="F4226" t="str">
            <v>4-Stat1</v>
          </cell>
          <cell r="G4226">
            <v>6</v>
          </cell>
          <cell r="H4226" t="str">
            <v>mRNA文库</v>
          </cell>
          <cell r="I4226" t="str">
            <v>XCL</v>
          </cell>
          <cell r="J4226">
            <v>10.7</v>
          </cell>
          <cell r="K4226">
            <v>363</v>
          </cell>
          <cell r="L4226" t="str">
            <v>GZQ</v>
          </cell>
          <cell r="N4226">
            <v>45.348590803136297</v>
          </cell>
        </row>
        <row r="4227">
          <cell r="E4227" t="str">
            <v>HGC-POOL-2466935</v>
          </cell>
          <cell r="F4227" t="str">
            <v>Library-FGQ-37</v>
          </cell>
          <cell r="G4227">
            <v>12</v>
          </cell>
          <cell r="H4227" t="str">
            <v>多重PCR产物文库</v>
          </cell>
          <cell r="I4227" t="str">
            <v>XCL</v>
          </cell>
          <cell r="J4227">
            <v>24.2</v>
          </cell>
          <cell r="K4227">
            <v>388</v>
          </cell>
          <cell r="L4227" t="str">
            <v>GZQ</v>
          </cell>
          <cell r="N4227">
            <v>95.955590800951597</v>
          </cell>
        </row>
        <row r="4228">
          <cell r="E4228" t="str">
            <v>HGC-Lib-2466936</v>
          </cell>
          <cell r="F4228" t="str">
            <v>hitomcll431</v>
          </cell>
          <cell r="G4228">
            <v>2</v>
          </cell>
          <cell r="H4228" t="str">
            <v>PCR片段文库</v>
          </cell>
          <cell r="I4228" t="str">
            <v>XCL</v>
          </cell>
          <cell r="J4228">
            <v>60.8</v>
          </cell>
          <cell r="K4228">
            <v>412</v>
          </cell>
          <cell r="L4228" t="str">
            <v>GZQ</v>
          </cell>
          <cell r="N4228">
            <v>227.03510082150899</v>
          </cell>
        </row>
        <row r="4229">
          <cell r="E4229" t="str">
            <v>HGC-Lib-2466937</v>
          </cell>
          <cell r="F4229" t="str">
            <v>hitomcll432</v>
          </cell>
          <cell r="G4229">
            <v>2</v>
          </cell>
          <cell r="H4229" t="str">
            <v>PCR片段文库</v>
          </cell>
          <cell r="I4229" t="str">
            <v>XCL</v>
          </cell>
          <cell r="J4229">
            <v>46.8</v>
          </cell>
          <cell r="K4229">
            <v>424</v>
          </cell>
          <cell r="L4229" t="str">
            <v>GZQ</v>
          </cell>
          <cell r="N4229">
            <v>169.811320754717</v>
          </cell>
        </row>
        <row r="4230">
          <cell r="E4230" t="str">
            <v>HGC-Lib-2466938</v>
          </cell>
          <cell r="F4230" t="str">
            <v>hitomcll433</v>
          </cell>
          <cell r="G4230">
            <v>2</v>
          </cell>
          <cell r="H4230" t="str">
            <v>PCR片段文库</v>
          </cell>
          <cell r="I4230" t="str">
            <v>XCL</v>
          </cell>
          <cell r="J4230">
            <v>42.8</v>
          </cell>
          <cell r="K4230">
            <v>467</v>
          </cell>
          <cell r="L4230" t="str">
            <v>GZQ</v>
          </cell>
          <cell r="N4230">
            <v>140.998188107396</v>
          </cell>
        </row>
        <row r="4231">
          <cell r="E4231" t="str">
            <v>HGC-Lib-2466939</v>
          </cell>
          <cell r="F4231" t="str">
            <v>hitomcll434</v>
          </cell>
          <cell r="G4231">
            <v>2</v>
          </cell>
          <cell r="H4231" t="str">
            <v>PCR片段文库</v>
          </cell>
          <cell r="I4231" t="str">
            <v>XCL</v>
          </cell>
          <cell r="J4231">
            <v>62.8</v>
          </cell>
          <cell r="K4231">
            <v>453</v>
          </cell>
          <cell r="L4231" t="str">
            <v>GZQ</v>
          </cell>
          <cell r="N4231">
            <v>213.278994735948</v>
          </cell>
        </row>
        <row r="4232">
          <cell r="E4232" t="str">
            <v>HGC-Lib-2466940</v>
          </cell>
          <cell r="F4232" t="str">
            <v>hitomcll435</v>
          </cell>
          <cell r="G4232">
            <v>2</v>
          </cell>
          <cell r="H4232" t="str">
            <v>PCR片段文库</v>
          </cell>
          <cell r="I4232" t="str">
            <v>XCL</v>
          </cell>
          <cell r="J4232">
            <v>47.2</v>
          </cell>
          <cell r="K4232">
            <v>399</v>
          </cell>
          <cell r="L4232" t="str">
            <v>GZQ</v>
          </cell>
          <cell r="N4232">
            <v>181.99344515134001</v>
          </cell>
        </row>
        <row r="4233">
          <cell r="E4233" t="str">
            <v>HGC-Lib-2466941</v>
          </cell>
          <cell r="F4233" t="str">
            <v>hitomcll436</v>
          </cell>
          <cell r="G4233">
            <v>2</v>
          </cell>
          <cell r="H4233" t="str">
            <v>PCR片段文库</v>
          </cell>
          <cell r="I4233" t="str">
            <v>XCL</v>
          </cell>
          <cell r="J4233">
            <v>47.6</v>
          </cell>
          <cell r="K4233">
            <v>393</v>
          </cell>
          <cell r="L4233" t="str">
            <v>GZQ</v>
          </cell>
          <cell r="N4233">
            <v>186.337835192797</v>
          </cell>
        </row>
        <row r="4234">
          <cell r="E4234" t="str">
            <v>HGC-Lib-2466942</v>
          </cell>
          <cell r="F4234" t="str">
            <v>hitomcll437</v>
          </cell>
          <cell r="G4234">
            <v>2</v>
          </cell>
          <cell r="H4234" t="str">
            <v>PCR片段文库</v>
          </cell>
          <cell r="I4234" t="str">
            <v>XCL</v>
          </cell>
          <cell r="J4234">
            <v>80</v>
          </cell>
          <cell r="K4234">
            <v>442</v>
          </cell>
          <cell r="L4234" t="str">
            <v>GZQ</v>
          </cell>
          <cell r="N4234">
            <v>278.45457709711098</v>
          </cell>
        </row>
        <row r="4235">
          <cell r="E4235" t="str">
            <v>HGC-Lib-2466943</v>
          </cell>
          <cell r="F4235" t="str">
            <v>hitomcll438</v>
          </cell>
          <cell r="G4235">
            <v>2</v>
          </cell>
          <cell r="H4235" t="str">
            <v>PCR片段文库</v>
          </cell>
          <cell r="I4235" t="str">
            <v>XCL</v>
          </cell>
          <cell r="J4235">
            <v>45.2</v>
          </cell>
          <cell r="K4235">
            <v>453</v>
          </cell>
          <cell r="L4235" t="str">
            <v>GZQ</v>
          </cell>
          <cell r="N4235">
            <v>153.50653761249799</v>
          </cell>
        </row>
        <row r="4236">
          <cell r="E4236" t="str">
            <v>HGC-Lib-2466944</v>
          </cell>
          <cell r="F4236" t="str">
            <v>hitomcll439</v>
          </cell>
          <cell r="G4236">
            <v>2</v>
          </cell>
          <cell r="H4236" t="str">
            <v>PCR片段文库</v>
          </cell>
          <cell r="I4236" t="str">
            <v>XCL</v>
          </cell>
          <cell r="J4236">
            <v>74.599999999999994</v>
          </cell>
          <cell r="K4236">
            <v>405</v>
          </cell>
          <cell r="L4236" t="str">
            <v>GZQ</v>
          </cell>
          <cell r="N4236">
            <v>283.38081671415</v>
          </cell>
        </row>
        <row r="4237">
          <cell r="E4237" t="str">
            <v>HGC-Lib-2466945</v>
          </cell>
          <cell r="F4237" t="str">
            <v>hitomcll440</v>
          </cell>
          <cell r="G4237">
            <v>2</v>
          </cell>
          <cell r="H4237" t="str">
            <v>PCR片段文库</v>
          </cell>
          <cell r="I4237" t="str">
            <v>XCL</v>
          </cell>
          <cell r="J4237">
            <v>84.2</v>
          </cell>
          <cell r="K4237">
            <v>407</v>
          </cell>
          <cell r="L4237" t="str">
            <v>GZQ</v>
          </cell>
          <cell r="N4237">
            <v>318.27631827631802</v>
          </cell>
        </row>
        <row r="4238">
          <cell r="E4238" t="str">
            <v>HGC-Lib-2466946</v>
          </cell>
          <cell r="F4238" t="str">
            <v>hitomcll441</v>
          </cell>
          <cell r="G4238">
            <v>2</v>
          </cell>
          <cell r="H4238" t="str">
            <v>PCR片段文库</v>
          </cell>
          <cell r="I4238" t="str">
            <v>XCL</v>
          </cell>
          <cell r="J4238">
            <v>74</v>
          </cell>
          <cell r="K4238">
            <v>423</v>
          </cell>
          <cell r="L4238" t="str">
            <v>GZQ</v>
          </cell>
          <cell r="N4238">
            <v>269.13984360792898</v>
          </cell>
        </row>
        <row r="4239">
          <cell r="E4239" t="str">
            <v>HGC-Lib-2466947</v>
          </cell>
          <cell r="F4239" t="str">
            <v>hitomcll442</v>
          </cell>
          <cell r="G4239">
            <v>2</v>
          </cell>
          <cell r="H4239" t="str">
            <v>PCR片段文库</v>
          </cell>
          <cell r="I4239" t="str">
            <v>XCL</v>
          </cell>
          <cell r="J4239">
            <v>59.4</v>
          </cell>
          <cell r="K4239">
            <v>429</v>
          </cell>
          <cell r="L4239" t="str">
            <v>GZQ</v>
          </cell>
          <cell r="N4239">
            <v>213.01775147929001</v>
          </cell>
        </row>
        <row r="4240">
          <cell r="E4240" t="str">
            <v>HGC-Lib-2466948</v>
          </cell>
          <cell r="F4240" t="str">
            <v>hitomcll443</v>
          </cell>
          <cell r="G4240">
            <v>2</v>
          </cell>
          <cell r="H4240" t="str">
            <v>PCR片段文库</v>
          </cell>
          <cell r="I4240" t="str">
            <v>XCL</v>
          </cell>
          <cell r="J4240">
            <v>48.6</v>
          </cell>
          <cell r="K4240">
            <v>409</v>
          </cell>
          <cell r="L4240" t="str">
            <v>GZQ</v>
          </cell>
          <cell r="N4240">
            <v>182.80985518149299</v>
          </cell>
        </row>
        <row r="4241">
          <cell r="E4241" t="str">
            <v>HGC-Lib-2466949</v>
          </cell>
          <cell r="F4241" t="str">
            <v>hitomcll444</v>
          </cell>
          <cell r="G4241">
            <v>2</v>
          </cell>
          <cell r="H4241" t="str">
            <v>PCR片段文库</v>
          </cell>
          <cell r="I4241" t="str">
            <v>XCL</v>
          </cell>
          <cell r="J4241">
            <v>58.4</v>
          </cell>
          <cell r="K4241">
            <v>406</v>
          </cell>
          <cell r="L4241" t="str">
            <v>GZQ</v>
          </cell>
          <cell r="N4241">
            <v>221.295945433876</v>
          </cell>
        </row>
        <row r="4242">
          <cell r="E4242" t="str">
            <v>HGC-Lib-2466950</v>
          </cell>
          <cell r="F4242" t="str">
            <v>hitomcll445</v>
          </cell>
          <cell r="G4242">
            <v>2</v>
          </cell>
          <cell r="H4242" t="str">
            <v>PCR片段文库</v>
          </cell>
          <cell r="I4242" t="str">
            <v>XCL</v>
          </cell>
          <cell r="J4242">
            <v>27</v>
          </cell>
          <cell r="K4242">
            <v>428</v>
          </cell>
          <cell r="L4242" t="str">
            <v>GZQ</v>
          </cell>
          <cell r="N4242">
            <v>97.052480230050307</v>
          </cell>
        </row>
        <row r="4243">
          <cell r="E4243" t="str">
            <v>HGC-Lib-2466951</v>
          </cell>
          <cell r="F4243" t="str">
            <v>hitomcll446</v>
          </cell>
          <cell r="G4243">
            <v>2</v>
          </cell>
          <cell r="H4243" t="str">
            <v>PCR片段文库</v>
          </cell>
          <cell r="I4243" t="str">
            <v>XCL</v>
          </cell>
          <cell r="J4243">
            <v>52</v>
          </cell>
          <cell r="K4243">
            <v>409</v>
          </cell>
          <cell r="L4243" t="str">
            <v>GZQ</v>
          </cell>
          <cell r="N4243">
            <v>195.59902200489</v>
          </cell>
        </row>
        <row r="4244">
          <cell r="E4244" t="str">
            <v>HGC-Lib-2466952</v>
          </cell>
          <cell r="F4244" t="str">
            <v>hitomcll447</v>
          </cell>
          <cell r="G4244">
            <v>2</v>
          </cell>
          <cell r="H4244" t="str">
            <v>PCR片段文库</v>
          </cell>
          <cell r="I4244" t="str">
            <v>XCL</v>
          </cell>
          <cell r="J4244">
            <v>50.6</v>
          </cell>
          <cell r="K4244">
            <v>448</v>
          </cell>
          <cell r="L4244" t="str">
            <v>GZQ</v>
          </cell>
          <cell r="N4244">
            <v>173.76373626373601</v>
          </cell>
        </row>
        <row r="4245">
          <cell r="E4245" t="str">
            <v>HGC-Lib-2466953</v>
          </cell>
          <cell r="F4245" t="str">
            <v>hitomcll448</v>
          </cell>
          <cell r="G4245">
            <v>2</v>
          </cell>
          <cell r="H4245" t="str">
            <v>PCR片段文库</v>
          </cell>
          <cell r="I4245" t="str">
            <v>XCL</v>
          </cell>
          <cell r="J4245">
            <v>52</v>
          </cell>
          <cell r="K4245">
            <v>447</v>
          </cell>
          <cell r="L4245" t="str">
            <v>GZQ</v>
          </cell>
          <cell r="N4245">
            <v>178.97091722595101</v>
          </cell>
        </row>
        <row r="4246">
          <cell r="E4246" t="str">
            <v>HGC-Lib-2466954</v>
          </cell>
          <cell r="F4246" t="str">
            <v>hitomcll449</v>
          </cell>
          <cell r="G4246">
            <v>2</v>
          </cell>
          <cell r="H4246" t="str">
            <v>PCR片段文库</v>
          </cell>
          <cell r="I4246" t="str">
            <v>XCL</v>
          </cell>
          <cell r="J4246">
            <v>24.6</v>
          </cell>
          <cell r="K4246">
            <v>439</v>
          </cell>
          <cell r="L4246" t="str">
            <v>GZQ</v>
          </cell>
          <cell r="N4246">
            <v>86.209917644997404</v>
          </cell>
        </row>
        <row r="4247">
          <cell r="E4247" t="str">
            <v>HGC-Lib-2466955</v>
          </cell>
          <cell r="F4247" t="str">
            <v>hitomcll450</v>
          </cell>
          <cell r="G4247">
            <v>2</v>
          </cell>
          <cell r="H4247" t="str">
            <v>PCR片段文库</v>
          </cell>
          <cell r="I4247" t="str">
            <v>XCL</v>
          </cell>
          <cell r="J4247">
            <v>26.8</v>
          </cell>
          <cell r="K4247">
            <v>434</v>
          </cell>
          <cell r="L4247" t="str">
            <v>GZQ</v>
          </cell>
          <cell r="N4247">
            <v>95.001772421127299</v>
          </cell>
        </row>
        <row r="4248">
          <cell r="E4248" t="str">
            <v>HGC-Lib-2466956</v>
          </cell>
          <cell r="F4248" t="str">
            <v>hitomcll451</v>
          </cell>
          <cell r="G4248">
            <v>2</v>
          </cell>
          <cell r="H4248" t="str">
            <v>PCR片段文库</v>
          </cell>
          <cell r="I4248" t="str">
            <v>XCL</v>
          </cell>
          <cell r="J4248">
            <v>52.2</v>
          </cell>
          <cell r="K4248">
            <v>417</v>
          </cell>
          <cell r="L4248" t="str">
            <v>GZQ</v>
          </cell>
          <cell r="N4248">
            <v>192.58439402324299</v>
          </cell>
        </row>
        <row r="4249">
          <cell r="E4249" t="str">
            <v>HGC-Lib-2466957</v>
          </cell>
          <cell r="F4249" t="str">
            <v>hitomcll452</v>
          </cell>
          <cell r="G4249">
            <v>2</v>
          </cell>
          <cell r="H4249" t="str">
            <v>PCR片段文库</v>
          </cell>
          <cell r="I4249" t="str">
            <v>XCL</v>
          </cell>
          <cell r="J4249">
            <v>17.8</v>
          </cell>
          <cell r="K4249">
            <v>425</v>
          </cell>
          <cell r="L4249" t="str">
            <v>GZQ</v>
          </cell>
          <cell r="N4249">
            <v>64.434389140271506</v>
          </cell>
        </row>
        <row r="4250">
          <cell r="E4250" t="str">
            <v>HGC-Lib-2466958</v>
          </cell>
          <cell r="F4250" t="str">
            <v>hitomcll453</v>
          </cell>
          <cell r="G4250">
            <v>2</v>
          </cell>
          <cell r="H4250" t="str">
            <v>PCR片段文库</v>
          </cell>
          <cell r="I4250" t="str">
            <v>XCL</v>
          </cell>
          <cell r="J4250">
            <v>52.6</v>
          </cell>
          <cell r="K4250">
            <v>386</v>
          </cell>
          <cell r="L4250" t="str">
            <v>GZQ</v>
          </cell>
          <cell r="N4250">
            <v>209.64527700279001</v>
          </cell>
        </row>
        <row r="4251">
          <cell r="E4251" t="str">
            <v>HGC-Lib-2466959</v>
          </cell>
          <cell r="F4251" t="str">
            <v>hitomcll454</v>
          </cell>
          <cell r="G4251">
            <v>2</v>
          </cell>
          <cell r="H4251" t="str">
            <v>PCR片段文库</v>
          </cell>
          <cell r="I4251" t="str">
            <v>XCL</v>
          </cell>
          <cell r="J4251">
            <v>71.599999999999994</v>
          </cell>
          <cell r="K4251">
            <v>423</v>
          </cell>
          <cell r="L4251" t="str">
            <v>GZQ</v>
          </cell>
          <cell r="N4251">
            <v>260.41098381523898</v>
          </cell>
        </row>
        <row r="4252">
          <cell r="E4252" t="str">
            <v>HGC-Lib-2466960</v>
          </cell>
          <cell r="F4252" t="str">
            <v>hitomcll455</v>
          </cell>
          <cell r="G4252">
            <v>2</v>
          </cell>
          <cell r="H4252" t="str">
            <v>PCR片段文库</v>
          </cell>
          <cell r="I4252" t="str">
            <v>XCL</v>
          </cell>
          <cell r="J4252">
            <v>31.2</v>
          </cell>
          <cell r="K4252">
            <v>424</v>
          </cell>
          <cell r="L4252" t="str">
            <v>GZQ</v>
          </cell>
          <cell r="N4252">
            <v>113.20754716981099</v>
          </cell>
        </row>
        <row r="4253">
          <cell r="E4253" t="str">
            <v>HGC-Lib-2466961</v>
          </cell>
          <cell r="F4253" t="str">
            <v>hitomcll456</v>
          </cell>
          <cell r="G4253">
            <v>2</v>
          </cell>
          <cell r="H4253" t="str">
            <v>PCR片段文库</v>
          </cell>
          <cell r="I4253" t="str">
            <v>XCL</v>
          </cell>
          <cell r="J4253">
            <v>55</v>
          </cell>
          <cell r="K4253">
            <v>412</v>
          </cell>
          <cell r="L4253" t="str">
            <v>GZQ</v>
          </cell>
          <cell r="N4253">
            <v>205.37714712472001</v>
          </cell>
        </row>
        <row r="4254">
          <cell r="E4254" t="str">
            <v>HGC-Lib-2466962</v>
          </cell>
          <cell r="F4254" t="str">
            <v>hitomcll457</v>
          </cell>
          <cell r="G4254">
            <v>2</v>
          </cell>
          <cell r="H4254" t="str">
            <v>PCR片段文库</v>
          </cell>
          <cell r="I4254" t="str">
            <v>XCL</v>
          </cell>
          <cell r="J4254">
            <v>20</v>
          </cell>
          <cell r="K4254">
            <v>432</v>
          </cell>
          <cell r="L4254" t="str">
            <v>GZQ</v>
          </cell>
          <cell r="N4254">
            <v>71.225071225071204</v>
          </cell>
        </row>
        <row r="4255">
          <cell r="E4255" t="str">
            <v>HGC-Lib-2466963</v>
          </cell>
          <cell r="F4255" t="str">
            <v>hitomcll458</v>
          </cell>
          <cell r="G4255">
            <v>2</v>
          </cell>
          <cell r="H4255" t="str">
            <v>PCR片段文库</v>
          </cell>
          <cell r="I4255" t="str">
            <v>XCL</v>
          </cell>
          <cell r="J4255">
            <v>19.899999999999999</v>
          </cell>
          <cell r="K4255">
            <v>437</v>
          </cell>
          <cell r="L4255" t="str">
            <v>GZQ</v>
          </cell>
          <cell r="N4255">
            <v>70.058088364724497</v>
          </cell>
        </row>
        <row r="4256">
          <cell r="E4256" t="str">
            <v>HGC-Lib-2466964</v>
          </cell>
          <cell r="F4256" t="str">
            <v>CtoT-9-2R</v>
          </cell>
          <cell r="G4256">
            <v>2</v>
          </cell>
          <cell r="H4256" t="str">
            <v>PCR片段文库</v>
          </cell>
          <cell r="I4256" t="str">
            <v>XCL</v>
          </cell>
          <cell r="J4256">
            <v>41</v>
          </cell>
          <cell r="K4256">
            <v>382</v>
          </cell>
          <cell r="L4256" t="str">
            <v>GZQ</v>
          </cell>
          <cell r="N4256">
            <v>165.122835279903</v>
          </cell>
        </row>
        <row r="4257">
          <cell r="E4257" t="str">
            <v>HGC-Lib-2466965</v>
          </cell>
          <cell r="F4257" t="str">
            <v>CtoT-10-3R</v>
          </cell>
          <cell r="G4257">
            <v>2</v>
          </cell>
          <cell r="H4257" t="str">
            <v>PCR片段文库</v>
          </cell>
          <cell r="I4257" t="str">
            <v>XCL</v>
          </cell>
          <cell r="J4257">
            <v>21.8</v>
          </cell>
          <cell r="K4257">
            <v>399</v>
          </cell>
          <cell r="L4257" t="str">
            <v>GZQ</v>
          </cell>
          <cell r="N4257">
            <v>84.056294582610406</v>
          </cell>
        </row>
        <row r="4258">
          <cell r="E4258" t="str">
            <v>HGC-Lib-2467032</v>
          </cell>
          <cell r="F4258" t="str">
            <v>DH1_2_R</v>
          </cell>
          <cell r="G4258">
            <v>110</v>
          </cell>
          <cell r="H4258" t="str">
            <v>10× 3' single cell</v>
          </cell>
          <cell r="I4258" t="str">
            <v>XCL</v>
          </cell>
          <cell r="J4258">
            <v>12.8</v>
          </cell>
          <cell r="K4258">
            <v>590</v>
          </cell>
          <cell r="L4258" t="str">
            <v>GZQ</v>
          </cell>
          <cell r="N4258">
            <v>33.376792698826598</v>
          </cell>
        </row>
        <row r="4259">
          <cell r="E4259" t="str">
            <v>HGC-Lib-2467389</v>
          </cell>
          <cell r="F4259" t="str">
            <v>EZS0156-0uM-4</v>
          </cell>
          <cell r="G4259">
            <v>5</v>
          </cell>
          <cell r="H4259" t="str">
            <v>mRNA文库</v>
          </cell>
          <cell r="I4259" t="str">
            <v>XCL</v>
          </cell>
          <cell r="J4259">
            <v>13.6</v>
          </cell>
          <cell r="K4259">
            <v>296</v>
          </cell>
          <cell r="L4259" t="str">
            <v>GZQ</v>
          </cell>
          <cell r="N4259">
            <v>70.686070686070707</v>
          </cell>
        </row>
        <row r="4260">
          <cell r="E4260" t="str">
            <v>HGC-Lib-2467390</v>
          </cell>
          <cell r="F4260" t="str">
            <v>EZS0156-50uM-4</v>
          </cell>
          <cell r="G4260">
            <v>5</v>
          </cell>
          <cell r="H4260" t="str">
            <v>mRNA文库</v>
          </cell>
          <cell r="I4260" t="str">
            <v>XCL</v>
          </cell>
          <cell r="J4260">
            <v>5.66</v>
          </cell>
          <cell r="K4260">
            <v>347</v>
          </cell>
          <cell r="L4260" t="str">
            <v>GZQ</v>
          </cell>
          <cell r="N4260">
            <v>25.094214143205502</v>
          </cell>
        </row>
        <row r="4261">
          <cell r="E4261" t="str">
            <v>HGC-Lib-2467391</v>
          </cell>
          <cell r="F4261" t="str">
            <v>EZS0156-350uM-4</v>
          </cell>
          <cell r="G4261">
            <v>5</v>
          </cell>
          <cell r="H4261" t="str">
            <v>mRNA文库</v>
          </cell>
          <cell r="I4261" t="str">
            <v>XCL</v>
          </cell>
          <cell r="J4261">
            <v>30.8</v>
          </cell>
          <cell r="K4261">
            <v>286</v>
          </cell>
          <cell r="L4261" t="str">
            <v>GZQ</v>
          </cell>
          <cell r="N4261">
            <v>165.68047337278099</v>
          </cell>
        </row>
        <row r="4262">
          <cell r="E4262" t="str">
            <v>HGC-Lib-2467392</v>
          </cell>
          <cell r="F4262" t="str">
            <v>EZS0156-500uM-4</v>
          </cell>
          <cell r="G4262">
            <v>5</v>
          </cell>
          <cell r="H4262" t="str">
            <v>mRNA文库</v>
          </cell>
          <cell r="I4262" t="str">
            <v>XCL</v>
          </cell>
          <cell r="J4262">
            <v>10.6</v>
          </cell>
          <cell r="K4262">
            <v>299</v>
          </cell>
          <cell r="L4262" t="str">
            <v>GZQ</v>
          </cell>
          <cell r="N4262">
            <v>54.540776948803703</v>
          </cell>
        </row>
        <row r="4263">
          <cell r="E4263" t="str">
            <v>HGC-Lib-2467393</v>
          </cell>
          <cell r="F4263" t="str">
            <v>EZS0156-0uM-5</v>
          </cell>
          <cell r="G4263">
            <v>5</v>
          </cell>
          <cell r="H4263" t="str">
            <v>mRNA文库</v>
          </cell>
          <cell r="I4263" t="str">
            <v>XCL</v>
          </cell>
          <cell r="J4263">
            <v>29</v>
          </cell>
          <cell r="K4263">
            <v>300</v>
          </cell>
          <cell r="L4263" t="str">
            <v>GZQ</v>
          </cell>
          <cell r="N4263">
            <v>148.71794871794901</v>
          </cell>
        </row>
        <row r="4264">
          <cell r="E4264" t="str">
            <v>HGC-Lib-2467394</v>
          </cell>
          <cell r="F4264" t="str">
            <v>EZS0156-50uM-5</v>
          </cell>
          <cell r="G4264">
            <v>5</v>
          </cell>
          <cell r="H4264" t="str">
            <v>mRNA文库</v>
          </cell>
          <cell r="I4264" t="str">
            <v>XCL</v>
          </cell>
          <cell r="J4264">
            <v>35.200000000000003</v>
          </cell>
          <cell r="K4264">
            <v>284</v>
          </cell>
          <cell r="L4264" t="str">
            <v>GZQ</v>
          </cell>
          <cell r="N4264">
            <v>190.68255687973999</v>
          </cell>
        </row>
        <row r="4265">
          <cell r="E4265" t="str">
            <v>HGC-Lib-2467395</v>
          </cell>
          <cell r="F4265" t="str">
            <v>EZS0156-350uM-5</v>
          </cell>
          <cell r="G4265">
            <v>5</v>
          </cell>
          <cell r="H4265" t="str">
            <v>mRNA文库</v>
          </cell>
          <cell r="I4265" t="str">
            <v>XCL</v>
          </cell>
          <cell r="J4265">
            <v>5.58</v>
          </cell>
          <cell r="K4265">
            <v>333</v>
          </cell>
          <cell r="L4265" t="str">
            <v>GZQ</v>
          </cell>
          <cell r="N4265">
            <v>25.7796257796258</v>
          </cell>
        </row>
        <row r="4266">
          <cell r="E4266" t="str">
            <v>HGC-Lib-2467396</v>
          </cell>
          <cell r="F4266" t="str">
            <v>EZS0156-500uM-5</v>
          </cell>
          <cell r="G4266">
            <v>5</v>
          </cell>
          <cell r="H4266" t="str">
            <v>mRNA文库</v>
          </cell>
          <cell r="I4266" t="str">
            <v>XCL</v>
          </cell>
          <cell r="J4266">
            <v>36</v>
          </cell>
          <cell r="K4266">
            <v>283</v>
          </cell>
          <cell r="L4266" t="str">
            <v>GZQ</v>
          </cell>
          <cell r="N4266">
            <v>195.705354715955</v>
          </cell>
        </row>
        <row r="4267">
          <cell r="E4267" t="str">
            <v>HGC-POOL-2467397</v>
          </cell>
          <cell r="F4267" t="str">
            <v>CHC10libs</v>
          </cell>
          <cell r="G4267">
            <v>180</v>
          </cell>
          <cell r="H4267" t="str">
            <v>ATAC-Seq文库</v>
          </cell>
          <cell r="I4267" t="str">
            <v>XCL</v>
          </cell>
          <cell r="J4267">
            <v>0.66200000000000003</v>
          </cell>
          <cell r="K4267">
            <v>379</v>
          </cell>
          <cell r="L4267" t="str">
            <v>GZQ</v>
          </cell>
          <cell r="N4267">
            <v>2.6872336107164601</v>
          </cell>
        </row>
        <row r="4268">
          <cell r="E4268" t="str">
            <v>HGC-Lib-2467107</v>
          </cell>
          <cell r="F4268" t="str">
            <v>LFTA240818002</v>
          </cell>
          <cell r="G4268">
            <v>120</v>
          </cell>
          <cell r="H4268" t="str">
            <v>singleron-3'全长转录组文库</v>
          </cell>
          <cell r="I4268" t="str">
            <v>HZK</v>
          </cell>
          <cell r="J4268">
            <v>8.18</v>
          </cell>
          <cell r="N4268" t="e">
            <v>#DIV/0!</v>
          </cell>
        </row>
        <row r="4269">
          <cell r="E4269" t="str">
            <v>HGC-Lib-2467108</v>
          </cell>
          <cell r="F4269" t="str">
            <v>LA240818008</v>
          </cell>
          <cell r="G4269">
            <v>100</v>
          </cell>
          <cell r="H4269" t="str">
            <v>singleron-3'转录组文库</v>
          </cell>
          <cell r="I4269" t="str">
            <v>HZK</v>
          </cell>
          <cell r="J4269">
            <v>8.1</v>
          </cell>
          <cell r="N4269" t="e">
            <v>#DIV/0!</v>
          </cell>
        </row>
        <row r="4270">
          <cell r="E4270" t="str">
            <v>HGC-Lib-2467109</v>
          </cell>
          <cell r="F4270" t="str">
            <v>LA240818009</v>
          </cell>
          <cell r="G4270">
            <v>100</v>
          </cell>
          <cell r="H4270" t="str">
            <v>singleron-3'转录组文库</v>
          </cell>
          <cell r="I4270" t="str">
            <v>HZK</v>
          </cell>
          <cell r="J4270">
            <v>7.22</v>
          </cell>
          <cell r="N4270" t="e">
            <v>#DIV/0!</v>
          </cell>
        </row>
        <row r="4271">
          <cell r="E4271" t="str">
            <v>HGC-Lib-2467110</v>
          </cell>
          <cell r="F4271" t="str">
            <v>LA240818012</v>
          </cell>
          <cell r="G4271">
            <v>100</v>
          </cell>
          <cell r="H4271" t="str">
            <v>singleron-3'转录组文库</v>
          </cell>
          <cell r="I4271" t="str">
            <v>HZK</v>
          </cell>
          <cell r="J4271">
            <v>8.74</v>
          </cell>
          <cell r="N4271" t="e">
            <v>#DIV/0!</v>
          </cell>
        </row>
        <row r="4272">
          <cell r="E4272" t="str">
            <v>HGC-Lib-2467111</v>
          </cell>
          <cell r="F4272" t="str">
            <v>LA240818013</v>
          </cell>
          <cell r="G4272">
            <v>100</v>
          </cell>
          <cell r="H4272" t="str">
            <v>singleron-3'转录组文库</v>
          </cell>
          <cell r="I4272" t="str">
            <v>HZK</v>
          </cell>
          <cell r="J4272">
            <v>9.0399999999999991</v>
          </cell>
          <cell r="N4272" t="e">
            <v>#DIV/0!</v>
          </cell>
        </row>
        <row r="4273">
          <cell r="E4273" t="str">
            <v>HGC-Lib-2467112</v>
          </cell>
          <cell r="F4273" t="str">
            <v>LA240818014</v>
          </cell>
          <cell r="G4273">
            <v>100</v>
          </cell>
          <cell r="H4273" t="str">
            <v>singleron-3'转录组文库</v>
          </cell>
          <cell r="I4273" t="str">
            <v>HZK</v>
          </cell>
          <cell r="J4273">
            <v>7.98</v>
          </cell>
          <cell r="N4273" t="e">
            <v>#DIV/0!</v>
          </cell>
        </row>
        <row r="4274">
          <cell r="E4274" t="str">
            <v>HGC-Lib-2467113</v>
          </cell>
          <cell r="F4274" t="str">
            <v>LA240816069</v>
          </cell>
          <cell r="G4274">
            <v>120</v>
          </cell>
          <cell r="H4274" t="str">
            <v>singleron-3'转录组文库</v>
          </cell>
          <cell r="I4274" t="str">
            <v>HZK</v>
          </cell>
          <cell r="J4274">
            <v>6.78</v>
          </cell>
          <cell r="N4274" t="e">
            <v>#DIV/0!</v>
          </cell>
        </row>
        <row r="4275">
          <cell r="E4275" t="str">
            <v>HGC-Lib-2467114</v>
          </cell>
          <cell r="F4275" t="str">
            <v>LA240816070</v>
          </cell>
          <cell r="G4275">
            <v>120</v>
          </cell>
          <cell r="H4275" t="str">
            <v>singleron-3'转录组文库</v>
          </cell>
          <cell r="I4275" t="str">
            <v>HZK</v>
          </cell>
          <cell r="J4275">
            <v>8.02</v>
          </cell>
          <cell r="N4275" t="e">
            <v>#DIV/0!</v>
          </cell>
        </row>
        <row r="4276">
          <cell r="E4276" t="str">
            <v>HGC-Lib-2467115</v>
          </cell>
          <cell r="F4276" t="str">
            <v>LA240816071</v>
          </cell>
          <cell r="G4276">
            <v>10</v>
          </cell>
          <cell r="H4276" t="str">
            <v>singleron-3'转录组文库</v>
          </cell>
          <cell r="I4276" t="str">
            <v>HZK</v>
          </cell>
          <cell r="J4276">
            <v>7.92</v>
          </cell>
          <cell r="N4276" t="e">
            <v>#DIV/0!</v>
          </cell>
        </row>
        <row r="4277">
          <cell r="E4277" t="str">
            <v>HGC-Lib-2467116</v>
          </cell>
          <cell r="F4277" t="str">
            <v>LA240816071X2</v>
          </cell>
          <cell r="G4277">
            <v>10</v>
          </cell>
          <cell r="H4277" t="str">
            <v>singleron-3'转录组文库</v>
          </cell>
          <cell r="I4277" t="str">
            <v>HZK</v>
          </cell>
          <cell r="J4277">
            <v>17.8</v>
          </cell>
          <cell r="N4277" t="e">
            <v>#DIV/0!</v>
          </cell>
        </row>
        <row r="4278">
          <cell r="E4278" t="str">
            <v>HGC-Lib-2467117</v>
          </cell>
          <cell r="F4278" t="str">
            <v>LC240819008</v>
          </cell>
          <cell r="G4278">
            <v>90</v>
          </cell>
          <cell r="H4278" t="str">
            <v>singleron-3'转录组文库</v>
          </cell>
          <cell r="I4278" t="str">
            <v>HZK</v>
          </cell>
          <cell r="J4278">
            <v>10.3</v>
          </cell>
          <cell r="N4278" t="e">
            <v>#DIV/0!</v>
          </cell>
        </row>
        <row r="4279">
          <cell r="E4279" t="str">
            <v>HGC-Lib-2467118</v>
          </cell>
          <cell r="F4279" t="str">
            <v>LC240819009</v>
          </cell>
          <cell r="G4279">
            <v>90</v>
          </cell>
          <cell r="H4279" t="str">
            <v>singleron-3'转录组文库</v>
          </cell>
          <cell r="I4279" t="str">
            <v>HZK</v>
          </cell>
          <cell r="J4279">
            <v>11.8</v>
          </cell>
          <cell r="N4279" t="e">
            <v>#DIV/0!</v>
          </cell>
        </row>
        <row r="4280">
          <cell r="E4280" t="str">
            <v>HGC-Lib-2467119</v>
          </cell>
          <cell r="F4280" t="str">
            <v>LC240819010</v>
          </cell>
          <cell r="G4280">
            <v>90</v>
          </cell>
          <cell r="H4280" t="str">
            <v>singleron-3'转录组文库</v>
          </cell>
          <cell r="I4280" t="str">
            <v>HZK</v>
          </cell>
          <cell r="J4280">
            <v>10.8</v>
          </cell>
          <cell r="N4280" t="e">
            <v>#DIV/0!</v>
          </cell>
        </row>
        <row r="4281">
          <cell r="E4281" t="str">
            <v>HGC-Lib-2467120</v>
          </cell>
          <cell r="F4281" t="str">
            <v>LC240819011</v>
          </cell>
          <cell r="G4281">
            <v>90</v>
          </cell>
          <cell r="H4281" t="str">
            <v>singleron-3'转录组文库</v>
          </cell>
          <cell r="I4281" t="str">
            <v>HZK</v>
          </cell>
          <cell r="J4281">
            <v>9.7200000000000006</v>
          </cell>
          <cell r="N4281" t="e">
            <v>#DIV/0!</v>
          </cell>
        </row>
        <row r="4282">
          <cell r="E4282" t="str">
            <v>HGC-Lib-2467121</v>
          </cell>
          <cell r="F4282" t="str">
            <v>LC240819013</v>
          </cell>
          <cell r="G4282">
            <v>90</v>
          </cell>
          <cell r="H4282" t="str">
            <v>singleron-3'转录组文库</v>
          </cell>
          <cell r="I4282" t="str">
            <v>HZK</v>
          </cell>
          <cell r="J4282">
            <v>4.9800000000000004</v>
          </cell>
          <cell r="N4282" t="e">
            <v>#DIV/0!</v>
          </cell>
        </row>
        <row r="4283">
          <cell r="E4283" t="str">
            <v>HGC-Lib-2467122</v>
          </cell>
          <cell r="F4283" t="str">
            <v>LC240810036</v>
          </cell>
          <cell r="G4283">
            <v>10</v>
          </cell>
          <cell r="H4283" t="str">
            <v>singleron-3'转录组文库</v>
          </cell>
          <cell r="I4283" t="str">
            <v>HZK</v>
          </cell>
          <cell r="J4283">
            <v>22.8</v>
          </cell>
          <cell r="N4283" t="e">
            <v>#DIV/0!</v>
          </cell>
        </row>
        <row r="4284">
          <cell r="E4284" t="str">
            <v>HGC-Lib-2467123</v>
          </cell>
          <cell r="F4284" t="str">
            <v>LC240810037</v>
          </cell>
          <cell r="G4284">
            <v>10</v>
          </cell>
          <cell r="H4284" t="str">
            <v>singleron-3'转录组文库</v>
          </cell>
          <cell r="I4284" t="str">
            <v>HZK</v>
          </cell>
          <cell r="J4284">
            <v>21.2</v>
          </cell>
          <cell r="N4284" t="e">
            <v>#DIV/0!</v>
          </cell>
        </row>
        <row r="4285">
          <cell r="E4285" t="str">
            <v>HGC-Lib-2467124</v>
          </cell>
          <cell r="F4285" t="str">
            <v>LC240817019</v>
          </cell>
          <cell r="G4285">
            <v>100</v>
          </cell>
          <cell r="H4285" t="str">
            <v>singleron-3'转录组文库</v>
          </cell>
          <cell r="I4285" t="str">
            <v>HZK</v>
          </cell>
          <cell r="J4285">
            <v>17.8</v>
          </cell>
          <cell r="N4285" t="e">
            <v>#DIV/0!</v>
          </cell>
        </row>
        <row r="4286">
          <cell r="E4286" t="str">
            <v>HGC-Lib-2467125</v>
          </cell>
          <cell r="F4286" t="str">
            <v>LFTC240817018</v>
          </cell>
          <cell r="G4286">
            <v>110</v>
          </cell>
          <cell r="H4286" t="str">
            <v>singleron-3'全长转录组文库</v>
          </cell>
          <cell r="I4286" t="str">
            <v>HZK</v>
          </cell>
          <cell r="J4286">
            <v>15.9</v>
          </cell>
          <cell r="N4286" t="e">
            <v>#DIV/0!</v>
          </cell>
        </row>
        <row r="4287">
          <cell r="E4287" t="str">
            <v>HGC-Lib-2467126</v>
          </cell>
          <cell r="F4287" t="str">
            <v>LC240817031</v>
          </cell>
          <cell r="G4287">
            <v>100</v>
          </cell>
          <cell r="H4287" t="str">
            <v>singleron-3'转录组文库</v>
          </cell>
          <cell r="I4287" t="str">
            <v>HZK</v>
          </cell>
          <cell r="J4287">
            <v>14.8</v>
          </cell>
          <cell r="N4287" t="e">
            <v>#DIV/0!</v>
          </cell>
        </row>
        <row r="4288">
          <cell r="E4288" t="str">
            <v>HGC-Lib-2467127</v>
          </cell>
          <cell r="F4288" t="str">
            <v>LC240817033</v>
          </cell>
          <cell r="G4288">
            <v>100</v>
          </cell>
          <cell r="H4288" t="str">
            <v>singleron-3'转录组文库</v>
          </cell>
          <cell r="I4288" t="str">
            <v>HZK</v>
          </cell>
          <cell r="J4288">
            <v>11.9</v>
          </cell>
          <cell r="N4288" t="e">
            <v>#DIV/0!</v>
          </cell>
        </row>
        <row r="4289">
          <cell r="E4289" t="str">
            <v>HGC-Lib-2467128</v>
          </cell>
          <cell r="F4289" t="str">
            <v>LC240817034</v>
          </cell>
          <cell r="G4289">
            <v>100</v>
          </cell>
          <cell r="H4289" t="str">
            <v>singleron-3'转录组文库</v>
          </cell>
          <cell r="I4289" t="str">
            <v>HZK</v>
          </cell>
          <cell r="J4289">
            <v>16.5</v>
          </cell>
          <cell r="N4289" t="e">
            <v>#DIV/0!</v>
          </cell>
        </row>
        <row r="4290">
          <cell r="E4290" t="str">
            <v>HGC-Lib-2467129</v>
          </cell>
          <cell r="F4290" t="str">
            <v>LC240817036</v>
          </cell>
          <cell r="G4290">
            <v>100</v>
          </cell>
          <cell r="H4290" t="str">
            <v>singleron-3'转录组文库</v>
          </cell>
          <cell r="I4290" t="str">
            <v>HZK</v>
          </cell>
          <cell r="J4290">
            <v>14.3</v>
          </cell>
          <cell r="N4290" t="e">
            <v>#DIV/0!</v>
          </cell>
        </row>
        <row r="4291">
          <cell r="E4291" t="str">
            <v>HGC-Lib-2467130</v>
          </cell>
          <cell r="F4291" t="str">
            <v>LC240814093</v>
          </cell>
          <cell r="G4291">
            <v>100</v>
          </cell>
          <cell r="H4291" t="str">
            <v>singleron-3'转录组文库</v>
          </cell>
          <cell r="I4291" t="str">
            <v>HZK</v>
          </cell>
          <cell r="J4291">
            <v>18.600000000000001</v>
          </cell>
          <cell r="N4291" t="e">
            <v>#DIV/0!</v>
          </cell>
        </row>
        <row r="4292">
          <cell r="E4292" t="str">
            <v>HGC-Lib-2467131</v>
          </cell>
          <cell r="F4292" t="str">
            <v>LC240815025</v>
          </cell>
          <cell r="G4292">
            <v>100</v>
          </cell>
          <cell r="H4292" t="str">
            <v>singleron-3'转录组文库</v>
          </cell>
          <cell r="I4292" t="str">
            <v>HZK</v>
          </cell>
          <cell r="J4292">
            <v>6.7</v>
          </cell>
          <cell r="N4292" t="e">
            <v>#DIV/0!</v>
          </cell>
        </row>
        <row r="4293">
          <cell r="E4293" t="str">
            <v>HGC-Lib-2467132</v>
          </cell>
          <cell r="F4293" t="str">
            <v>LC240815028</v>
          </cell>
          <cell r="G4293">
            <v>100</v>
          </cell>
          <cell r="H4293" t="str">
            <v>singleron-3'转录组文库</v>
          </cell>
          <cell r="I4293" t="str">
            <v>HZK</v>
          </cell>
          <cell r="J4293">
            <v>5.44</v>
          </cell>
          <cell r="N4293" t="e">
            <v>#DIV/0!</v>
          </cell>
        </row>
        <row r="4294">
          <cell r="E4294" t="str">
            <v>HGC-Lib-2467133</v>
          </cell>
          <cell r="F4294" t="str">
            <v>LA240815017</v>
          </cell>
          <cell r="G4294">
            <v>120</v>
          </cell>
          <cell r="H4294" t="str">
            <v>singleron-3'转录组文库</v>
          </cell>
          <cell r="I4294" t="str">
            <v>HZK</v>
          </cell>
          <cell r="J4294">
            <v>8.08</v>
          </cell>
          <cell r="N4294" t="e">
            <v>#DIV/0!</v>
          </cell>
        </row>
        <row r="4295">
          <cell r="E4295" t="str">
            <v>HGC-Lib-2467134</v>
          </cell>
          <cell r="F4295" t="str">
            <v>LA240815018</v>
          </cell>
          <cell r="G4295">
            <v>120</v>
          </cell>
          <cell r="H4295" t="str">
            <v>singleron-3'转录组文库</v>
          </cell>
          <cell r="I4295" t="str">
            <v>HZK</v>
          </cell>
          <cell r="J4295">
            <v>4.8</v>
          </cell>
          <cell r="N4295" t="e">
            <v>#DIV/0!</v>
          </cell>
        </row>
        <row r="4296">
          <cell r="E4296" t="str">
            <v>HGC-Lib-2467135</v>
          </cell>
          <cell r="F4296" t="str">
            <v>LC240816023</v>
          </cell>
          <cell r="G4296">
            <v>100</v>
          </cell>
          <cell r="H4296" t="str">
            <v>singleron-3'转录组文库</v>
          </cell>
          <cell r="I4296" t="str">
            <v>HZK</v>
          </cell>
          <cell r="J4296">
            <v>4.34</v>
          </cell>
          <cell r="N4296" t="e">
            <v>#DIV/0!</v>
          </cell>
        </row>
        <row r="4297">
          <cell r="E4297" t="str">
            <v>HGC-Lib-2467136</v>
          </cell>
          <cell r="F4297" t="str">
            <v>LC240816028</v>
          </cell>
          <cell r="G4297">
            <v>100</v>
          </cell>
          <cell r="H4297" t="str">
            <v>singleron-3'转录组文库</v>
          </cell>
          <cell r="I4297" t="str">
            <v>HZK</v>
          </cell>
          <cell r="J4297">
            <v>4.22</v>
          </cell>
          <cell r="N4297" t="e">
            <v>#DIV/0!</v>
          </cell>
        </row>
        <row r="4298">
          <cell r="E4298" t="str">
            <v>HGC-Lib-2467137</v>
          </cell>
          <cell r="F4298" t="str">
            <v>LA240815016</v>
          </cell>
          <cell r="G4298">
            <v>120</v>
          </cell>
          <cell r="H4298" t="str">
            <v>singleron-3'转录组文库</v>
          </cell>
          <cell r="I4298" t="str">
            <v>HZK</v>
          </cell>
          <cell r="J4298">
            <v>16.3</v>
          </cell>
          <cell r="N4298" t="e">
            <v>#DIV/0!</v>
          </cell>
        </row>
        <row r="4299">
          <cell r="E4299" t="str">
            <v>HGC-Lib-2467138</v>
          </cell>
          <cell r="F4299" t="str">
            <v>LC240816025</v>
          </cell>
          <cell r="G4299">
            <v>100</v>
          </cell>
          <cell r="H4299" t="str">
            <v>singleron-3'转录组文库</v>
          </cell>
          <cell r="I4299" t="str">
            <v>HZK</v>
          </cell>
          <cell r="J4299">
            <v>17.2</v>
          </cell>
          <cell r="N4299" t="e">
            <v>#DIV/0!</v>
          </cell>
        </row>
        <row r="4300">
          <cell r="E4300" t="str">
            <v>HGC-Lib-2467139</v>
          </cell>
          <cell r="F4300" t="str">
            <v>LA240816031X1</v>
          </cell>
          <cell r="G4300">
            <v>120</v>
          </cell>
          <cell r="H4300" t="str">
            <v>singleron-3'转录组文库</v>
          </cell>
          <cell r="I4300" t="str">
            <v>HZK</v>
          </cell>
          <cell r="J4300">
            <v>17.100000000000001</v>
          </cell>
          <cell r="N4300" t="e">
            <v>#DIV/0!</v>
          </cell>
        </row>
        <row r="4301">
          <cell r="E4301" t="str">
            <v>HGC-Lib-2467140</v>
          </cell>
          <cell r="F4301" t="str">
            <v>LA240816065</v>
          </cell>
          <cell r="G4301">
            <v>100</v>
          </cell>
          <cell r="H4301" t="str">
            <v>singleron-3'转录组文库</v>
          </cell>
          <cell r="I4301" t="str">
            <v>HZK</v>
          </cell>
          <cell r="J4301">
            <v>18.5</v>
          </cell>
          <cell r="N4301" t="e">
            <v>#DIV/0!</v>
          </cell>
        </row>
        <row r="4302">
          <cell r="E4302" t="str">
            <v>HGC-POOL-2467141</v>
          </cell>
          <cell r="F4302" t="str">
            <v>PCRD-240821-001</v>
          </cell>
          <cell r="G4302">
            <v>10</v>
          </cell>
          <cell r="H4302" t="str">
            <v>singleron-单细胞TCR文库</v>
          </cell>
          <cell r="I4302" t="str">
            <v>HZK</v>
          </cell>
          <cell r="J4302">
            <v>3.86</v>
          </cell>
          <cell r="N4302" t="e">
            <v>#DIV/0!</v>
          </cell>
        </row>
        <row r="4303">
          <cell r="E4303" t="str">
            <v>HGC-POOL-2467142</v>
          </cell>
          <cell r="F4303" t="str">
            <v>PCRD-240821-002</v>
          </cell>
          <cell r="G4303">
            <v>15</v>
          </cell>
          <cell r="H4303" t="str">
            <v>singleron-3'转录组文库</v>
          </cell>
          <cell r="I4303" t="str">
            <v>HZK</v>
          </cell>
          <cell r="J4303">
            <v>7.86</v>
          </cell>
          <cell r="N4303" t="e">
            <v>#DIV/0!</v>
          </cell>
        </row>
        <row r="4304">
          <cell r="E4304" t="str">
            <v>HGC-Lib-2467143</v>
          </cell>
          <cell r="F4304" t="str">
            <v>R240821012</v>
          </cell>
          <cell r="G4304">
            <v>43</v>
          </cell>
          <cell r="H4304" t="str">
            <v>singleron-3'转录组文库</v>
          </cell>
          <cell r="I4304" t="str">
            <v>HZK</v>
          </cell>
          <cell r="J4304">
            <v>10.9</v>
          </cell>
          <cell r="N4304" t="e">
            <v>#DIV/0!</v>
          </cell>
        </row>
        <row r="4305">
          <cell r="E4305" t="str">
            <v>HGC-Lib-2467144</v>
          </cell>
          <cell r="F4305" t="str">
            <v>R240821013</v>
          </cell>
          <cell r="G4305">
            <v>72</v>
          </cell>
          <cell r="H4305" t="str">
            <v>singleron-3'转录组文库</v>
          </cell>
          <cell r="I4305" t="str">
            <v>HZK</v>
          </cell>
          <cell r="J4305">
            <v>11.4</v>
          </cell>
          <cell r="N4305" t="e">
            <v>#DIV/0!</v>
          </cell>
        </row>
        <row r="4306">
          <cell r="E4306" t="str">
            <v>HGC-Lib-2467145</v>
          </cell>
          <cell r="F4306" t="str">
            <v>R240821014</v>
          </cell>
          <cell r="G4306">
            <v>10</v>
          </cell>
          <cell r="H4306" t="str">
            <v>singleron-3'转录组文库</v>
          </cell>
          <cell r="I4306" t="str">
            <v>HZK</v>
          </cell>
          <cell r="J4306">
            <v>7.98</v>
          </cell>
          <cell r="N4306" t="e">
            <v>#DIV/0!</v>
          </cell>
        </row>
        <row r="4307">
          <cell r="E4307" t="str">
            <v>HGC-Lib-2467146</v>
          </cell>
          <cell r="F4307" t="str">
            <v>R240821015</v>
          </cell>
          <cell r="G4307">
            <v>10</v>
          </cell>
          <cell r="H4307" t="str">
            <v>singleron-3'转录组文库</v>
          </cell>
          <cell r="I4307" t="str">
            <v>HZK</v>
          </cell>
          <cell r="J4307">
            <v>8.94</v>
          </cell>
          <cell r="N4307" t="e">
            <v>#DIV/0!</v>
          </cell>
        </row>
        <row r="4308">
          <cell r="E4308" t="str">
            <v>HGC-Lib-2467147</v>
          </cell>
          <cell r="F4308" t="str">
            <v>R240821016</v>
          </cell>
          <cell r="G4308">
            <v>10</v>
          </cell>
          <cell r="H4308" t="str">
            <v>singleron-3'转录组文库</v>
          </cell>
          <cell r="I4308" t="str">
            <v>HZK</v>
          </cell>
          <cell r="J4308">
            <v>9.44</v>
          </cell>
          <cell r="N4308" t="e">
            <v>#DIV/0!</v>
          </cell>
        </row>
        <row r="4309">
          <cell r="E4309" t="str">
            <v>HGC-Lib-2467148</v>
          </cell>
          <cell r="F4309" t="str">
            <v>R240821017</v>
          </cell>
          <cell r="G4309">
            <v>10</v>
          </cell>
          <cell r="H4309" t="str">
            <v>singleron-3'转录组文库</v>
          </cell>
          <cell r="I4309" t="str">
            <v>HZK</v>
          </cell>
          <cell r="J4309">
            <v>9.0399999999999991</v>
          </cell>
          <cell r="N4309" t="e">
            <v>#DIV/0!</v>
          </cell>
        </row>
        <row r="4310">
          <cell r="E4310" t="str">
            <v>HGC-Lib-2467149</v>
          </cell>
          <cell r="F4310" t="str">
            <v>LM240725O-2770A</v>
          </cell>
          <cell r="G4310">
            <v>1</v>
          </cell>
          <cell r="H4310" t="str">
            <v>扩增子文库</v>
          </cell>
          <cell r="I4310" t="str">
            <v>WWH</v>
          </cell>
          <cell r="J4310">
            <v>25.8</v>
          </cell>
          <cell r="N4310" t="e">
            <v>#DIV/0!</v>
          </cell>
        </row>
        <row r="4311">
          <cell r="E4311" t="str">
            <v>HGC-Lib-2467150</v>
          </cell>
          <cell r="F4311" t="str">
            <v>LD240731D-0263B</v>
          </cell>
          <cell r="G4311">
            <v>1</v>
          </cell>
          <cell r="H4311" t="str">
            <v>DNA基因组文库</v>
          </cell>
          <cell r="I4311" t="str">
            <v>WWH</v>
          </cell>
          <cell r="J4311">
            <v>32.6</v>
          </cell>
          <cell r="N4311" t="e">
            <v>#DIV/0!</v>
          </cell>
        </row>
        <row r="4312">
          <cell r="E4312" t="str">
            <v>HGC-Lib-2467151</v>
          </cell>
          <cell r="F4312" t="str">
            <v>LD240729D-0965B</v>
          </cell>
          <cell r="G4312">
            <v>50</v>
          </cell>
          <cell r="H4312" t="str">
            <v>DNA宏基因组文库</v>
          </cell>
          <cell r="I4312" t="str">
            <v>WWH</v>
          </cell>
          <cell r="J4312">
            <v>4.42</v>
          </cell>
          <cell r="N4312" t="e">
            <v>#DIV/0!</v>
          </cell>
        </row>
        <row r="4313">
          <cell r="E4313" t="str">
            <v>HGC-Lib-2467152</v>
          </cell>
          <cell r="F4313" t="str">
            <v>LR240805O-5052A</v>
          </cell>
          <cell r="G4313">
            <v>10</v>
          </cell>
          <cell r="H4313" t="str">
            <v>宏转录组文库</v>
          </cell>
          <cell r="I4313" t="str">
            <v>WWH</v>
          </cell>
          <cell r="J4313">
            <v>57.4</v>
          </cell>
          <cell r="N4313" t="e">
            <v>#DIV/0!</v>
          </cell>
        </row>
        <row r="4314">
          <cell r="E4314" t="str">
            <v>HGC-Lib-2467153</v>
          </cell>
          <cell r="F4314" t="str">
            <v>LR240805O-5053A</v>
          </cell>
          <cell r="G4314">
            <v>10</v>
          </cell>
          <cell r="H4314" t="str">
            <v>宏转录组文库</v>
          </cell>
          <cell r="I4314" t="str">
            <v>WWH</v>
          </cell>
          <cell r="J4314">
            <v>14.4</v>
          </cell>
          <cell r="N4314" t="e">
            <v>#DIV/0!</v>
          </cell>
        </row>
        <row r="4315">
          <cell r="E4315" t="str">
            <v>HGC-Lib-2467154</v>
          </cell>
          <cell r="F4315" t="str">
            <v>LR240805O-5054A</v>
          </cell>
          <cell r="G4315">
            <v>10</v>
          </cell>
          <cell r="H4315" t="str">
            <v>宏转录组文库</v>
          </cell>
          <cell r="I4315" t="str">
            <v>WWH</v>
          </cell>
          <cell r="J4315">
            <v>20.399999999999999</v>
          </cell>
          <cell r="N4315" t="e">
            <v>#DIV/0!</v>
          </cell>
        </row>
        <row r="4316">
          <cell r="E4316" t="str">
            <v>HGC-Lib-2467155</v>
          </cell>
          <cell r="F4316" t="str">
            <v>LR240805O-5055A</v>
          </cell>
          <cell r="G4316">
            <v>10</v>
          </cell>
          <cell r="H4316" t="str">
            <v>宏转录组文库</v>
          </cell>
          <cell r="I4316" t="str">
            <v>WWH</v>
          </cell>
          <cell r="J4316">
            <v>22.2</v>
          </cell>
          <cell r="N4316" t="e">
            <v>#DIV/0!</v>
          </cell>
        </row>
        <row r="4317">
          <cell r="E4317" t="str">
            <v>HGC-Lib-2467156</v>
          </cell>
          <cell r="F4317" t="str">
            <v>LR240805R-0082A</v>
          </cell>
          <cell r="G4317">
            <v>2</v>
          </cell>
          <cell r="H4317" t="str">
            <v>原核链特异性转录组文库</v>
          </cell>
          <cell r="I4317" t="str">
            <v>WWH</v>
          </cell>
          <cell r="J4317">
            <v>79.599999999999994</v>
          </cell>
          <cell r="N4317" t="e">
            <v>#DIV/0!</v>
          </cell>
        </row>
        <row r="4318">
          <cell r="E4318" t="str">
            <v>HGC-Lib-2467157</v>
          </cell>
          <cell r="F4318" t="str">
            <v>LR240805R-0083A</v>
          </cell>
          <cell r="G4318">
            <v>2</v>
          </cell>
          <cell r="H4318" t="str">
            <v>原核链特异性转录组文库</v>
          </cell>
          <cell r="I4318" t="str">
            <v>WWH</v>
          </cell>
          <cell r="J4318">
            <v>12.5</v>
          </cell>
          <cell r="N4318" t="e">
            <v>#DIV/0!</v>
          </cell>
        </row>
        <row r="4319">
          <cell r="E4319" t="str">
            <v>HGC-Lib-2467158</v>
          </cell>
          <cell r="F4319" t="str">
            <v>LR240805R-0084A</v>
          </cell>
          <cell r="G4319">
            <v>2</v>
          </cell>
          <cell r="H4319" t="str">
            <v>原核链特异性转录组文库</v>
          </cell>
          <cell r="I4319" t="str">
            <v>WWH</v>
          </cell>
          <cell r="J4319">
            <v>30.2</v>
          </cell>
          <cell r="N4319" t="e">
            <v>#DIV/0!</v>
          </cell>
        </row>
        <row r="4320">
          <cell r="E4320" t="str">
            <v>HGC-Lib-2467159</v>
          </cell>
          <cell r="F4320" t="str">
            <v>LR240805R-0085A</v>
          </cell>
          <cell r="G4320">
            <v>2</v>
          </cell>
          <cell r="H4320" t="str">
            <v>原核链特异性转录组文库</v>
          </cell>
          <cell r="I4320" t="str">
            <v>WWH</v>
          </cell>
          <cell r="J4320">
            <v>95.2</v>
          </cell>
          <cell r="N4320" t="e">
            <v>#DIV/0!</v>
          </cell>
        </row>
        <row r="4321">
          <cell r="E4321" t="str">
            <v>HGC-Lib-2467160</v>
          </cell>
          <cell r="F4321" t="str">
            <v>LR240805R-0086A</v>
          </cell>
          <cell r="G4321">
            <v>2</v>
          </cell>
          <cell r="H4321" t="str">
            <v>原核链特异性转录组文库</v>
          </cell>
          <cell r="I4321" t="str">
            <v>WWH</v>
          </cell>
          <cell r="J4321">
            <v>94.2</v>
          </cell>
          <cell r="N4321" t="e">
            <v>#DIV/0!</v>
          </cell>
        </row>
        <row r="4322">
          <cell r="E4322" t="str">
            <v>HGC-Lib-2467161</v>
          </cell>
          <cell r="F4322" t="str">
            <v>LR240805R-0087A</v>
          </cell>
          <cell r="G4322">
            <v>2</v>
          </cell>
          <cell r="H4322" t="str">
            <v>原核链特异性转录组文库</v>
          </cell>
          <cell r="I4322" t="str">
            <v>WWH</v>
          </cell>
          <cell r="J4322">
            <v>88.6</v>
          </cell>
          <cell r="N4322" t="e">
            <v>#DIV/0!</v>
          </cell>
        </row>
        <row r="4323">
          <cell r="E4323" t="str">
            <v>HGC-Lib-2467162</v>
          </cell>
          <cell r="F4323" t="str">
            <v>LR240805R-0088A</v>
          </cell>
          <cell r="G4323">
            <v>2</v>
          </cell>
          <cell r="H4323" t="str">
            <v>原核链特异性转录组文库</v>
          </cell>
          <cell r="I4323" t="str">
            <v>WWH</v>
          </cell>
          <cell r="J4323">
            <v>10.5</v>
          </cell>
          <cell r="N4323" t="e">
            <v>#DIV/0!</v>
          </cell>
        </row>
        <row r="4324">
          <cell r="E4324" t="str">
            <v>HGC-Lib-2467163</v>
          </cell>
          <cell r="F4324" t="str">
            <v>LR240805R-0089A</v>
          </cell>
          <cell r="G4324">
            <v>2</v>
          </cell>
          <cell r="H4324" t="str">
            <v>原核链特异性转录组文库</v>
          </cell>
          <cell r="I4324" t="str">
            <v>WWH</v>
          </cell>
          <cell r="J4324">
            <v>6.92</v>
          </cell>
          <cell r="N4324" t="e">
            <v>#DIV/0!</v>
          </cell>
        </row>
        <row r="4325">
          <cell r="E4325" t="str">
            <v>HGC-Lib-2467164</v>
          </cell>
          <cell r="F4325" t="str">
            <v>LR240805R-0090A</v>
          </cell>
          <cell r="G4325">
            <v>2</v>
          </cell>
          <cell r="H4325" t="str">
            <v>原核链特异性转录组文库</v>
          </cell>
          <cell r="I4325" t="str">
            <v>WWH</v>
          </cell>
          <cell r="J4325">
            <v>81</v>
          </cell>
          <cell r="N4325" t="e">
            <v>#DIV/0!</v>
          </cell>
        </row>
        <row r="4326">
          <cell r="E4326" t="str">
            <v>HGC-Lib-2467165</v>
          </cell>
          <cell r="F4326" t="str">
            <v>LR240805R-0091A</v>
          </cell>
          <cell r="G4326">
            <v>2</v>
          </cell>
          <cell r="H4326" t="str">
            <v>原核链特异性转录组文库</v>
          </cell>
          <cell r="I4326" t="str">
            <v>WWH</v>
          </cell>
          <cell r="J4326">
            <v>26.6</v>
          </cell>
          <cell r="N4326" t="e">
            <v>#DIV/0!</v>
          </cell>
        </row>
        <row r="4327">
          <cell r="E4327" t="str">
            <v>HGC-Lib-2467166</v>
          </cell>
          <cell r="F4327" t="str">
            <v>LR240805R-0092A</v>
          </cell>
          <cell r="G4327">
            <v>2</v>
          </cell>
          <cell r="H4327" t="str">
            <v>原核链特异性转录组文库</v>
          </cell>
          <cell r="I4327" t="str">
            <v>WWH</v>
          </cell>
          <cell r="J4327">
            <v>32</v>
          </cell>
          <cell r="N4327" t="e">
            <v>#DIV/0!</v>
          </cell>
        </row>
        <row r="4328">
          <cell r="E4328" t="str">
            <v>HGC-Lib-2467167</v>
          </cell>
          <cell r="F4328" t="str">
            <v>LR240805R-0093A</v>
          </cell>
          <cell r="G4328">
            <v>2</v>
          </cell>
          <cell r="H4328" t="str">
            <v>原核链特异性转录组文库</v>
          </cell>
          <cell r="I4328" t="str">
            <v>WWH</v>
          </cell>
          <cell r="J4328">
            <v>88</v>
          </cell>
          <cell r="N4328" t="e">
            <v>#DIV/0!</v>
          </cell>
        </row>
        <row r="4329">
          <cell r="E4329" t="str">
            <v>HGC-Lib-2467168</v>
          </cell>
          <cell r="F4329" t="str">
            <v>LR240805R-0094A</v>
          </cell>
          <cell r="G4329">
            <v>2</v>
          </cell>
          <cell r="H4329" t="str">
            <v>原核链特异性转录组文库</v>
          </cell>
          <cell r="I4329" t="str">
            <v>WWH</v>
          </cell>
          <cell r="J4329">
            <v>29.4</v>
          </cell>
          <cell r="N4329" t="e">
            <v>#DIV/0!</v>
          </cell>
        </row>
        <row r="4330">
          <cell r="E4330" t="str">
            <v>HGC-Lib-2467169</v>
          </cell>
          <cell r="F4330" t="str">
            <v>LR240805R-0095A</v>
          </cell>
          <cell r="G4330">
            <v>2</v>
          </cell>
          <cell r="H4330" t="str">
            <v>原核链特异性转录组文库</v>
          </cell>
          <cell r="I4330" t="str">
            <v>WWH</v>
          </cell>
          <cell r="J4330">
            <v>7.62</v>
          </cell>
          <cell r="N4330" t="e">
            <v>#DIV/0!</v>
          </cell>
        </row>
        <row r="4331">
          <cell r="E4331" t="str">
            <v>HGC-Lib-2467170</v>
          </cell>
          <cell r="F4331" t="str">
            <v>LR240805R-0096A</v>
          </cell>
          <cell r="G4331">
            <v>2</v>
          </cell>
          <cell r="H4331" t="str">
            <v>原核链特异性转录组文库</v>
          </cell>
          <cell r="I4331" t="str">
            <v>WWH</v>
          </cell>
          <cell r="J4331">
            <v>8.3800000000000008</v>
          </cell>
          <cell r="N4331" t="e">
            <v>#DIV/0!</v>
          </cell>
        </row>
        <row r="4332">
          <cell r="E4332" t="str">
            <v>HGC-Lib-2467171</v>
          </cell>
          <cell r="F4332" t="str">
            <v>LR240805R-0097A</v>
          </cell>
          <cell r="G4332">
            <v>2</v>
          </cell>
          <cell r="H4332" t="str">
            <v>原核链特异性转录组文库</v>
          </cell>
          <cell r="I4332" t="str">
            <v>WWH</v>
          </cell>
          <cell r="J4332">
            <v>2.38</v>
          </cell>
          <cell r="N4332" t="e">
            <v>#DIV/0!</v>
          </cell>
        </row>
        <row r="4333">
          <cell r="E4333" t="str">
            <v>HGC-Lib-2467172</v>
          </cell>
          <cell r="F4333" t="str">
            <v>LR240805R-0098A</v>
          </cell>
          <cell r="G4333">
            <v>2</v>
          </cell>
          <cell r="H4333" t="str">
            <v>原核链特异性转录组文库</v>
          </cell>
          <cell r="I4333" t="str">
            <v>WWH</v>
          </cell>
          <cell r="J4333">
            <v>73</v>
          </cell>
          <cell r="N4333" t="e">
            <v>#DIV/0!</v>
          </cell>
        </row>
        <row r="4334">
          <cell r="E4334" t="str">
            <v>HGC-Lib-2467173</v>
          </cell>
          <cell r="F4334" t="str">
            <v>LR240805R-0099A</v>
          </cell>
          <cell r="G4334">
            <v>2</v>
          </cell>
          <cell r="H4334" t="str">
            <v>原核链特异性转录组文库</v>
          </cell>
          <cell r="I4334" t="str">
            <v>WWH</v>
          </cell>
          <cell r="J4334">
            <v>84.8</v>
          </cell>
          <cell r="N4334" t="e">
            <v>#DIV/0!</v>
          </cell>
        </row>
        <row r="4335">
          <cell r="E4335" t="str">
            <v>HGC-Lib-2467174</v>
          </cell>
          <cell r="F4335" t="str">
            <v>LR240806O-1652A</v>
          </cell>
          <cell r="G4335">
            <v>2</v>
          </cell>
          <cell r="H4335" t="str">
            <v>原核链特异性转录组文库</v>
          </cell>
          <cell r="I4335" t="str">
            <v>WWH</v>
          </cell>
          <cell r="J4335">
            <v>13.7</v>
          </cell>
          <cell r="N4335" t="e">
            <v>#DIV/0!</v>
          </cell>
        </row>
        <row r="4336">
          <cell r="E4336" t="str">
            <v>HGC-Lib-2467175</v>
          </cell>
          <cell r="F4336" t="str">
            <v>LR240806O-1653A</v>
          </cell>
          <cell r="G4336">
            <v>2</v>
          </cell>
          <cell r="H4336" t="str">
            <v>原核链特异性转录组文库</v>
          </cell>
          <cell r="I4336" t="str">
            <v>WWH</v>
          </cell>
          <cell r="J4336">
            <v>14.8</v>
          </cell>
          <cell r="N4336" t="e">
            <v>#DIV/0!</v>
          </cell>
        </row>
        <row r="4337">
          <cell r="E4337" t="str">
            <v>HGC-Lib-2467176</v>
          </cell>
          <cell r="F4337" t="str">
            <v>LR240806O-1654A</v>
          </cell>
          <cell r="G4337">
            <v>2</v>
          </cell>
          <cell r="H4337" t="str">
            <v>原核链特异性转录组文库</v>
          </cell>
          <cell r="I4337" t="str">
            <v>WWH</v>
          </cell>
          <cell r="J4337">
            <v>21.4</v>
          </cell>
          <cell r="N4337" t="e">
            <v>#DIV/0!</v>
          </cell>
        </row>
        <row r="4338">
          <cell r="E4338" t="str">
            <v>HGC-Lib-2467177</v>
          </cell>
          <cell r="F4338" t="str">
            <v>LR240806O-1655A</v>
          </cell>
          <cell r="G4338">
            <v>2</v>
          </cell>
          <cell r="H4338" t="str">
            <v>原核链特异性转录组文库</v>
          </cell>
          <cell r="I4338" t="str">
            <v>WWH</v>
          </cell>
          <cell r="J4338">
            <v>15.7</v>
          </cell>
          <cell r="N4338" t="e">
            <v>#DIV/0!</v>
          </cell>
        </row>
        <row r="4339">
          <cell r="E4339" t="str">
            <v>HGC-Lib-2467178</v>
          </cell>
          <cell r="F4339" t="str">
            <v>LR240806O-1656A</v>
          </cell>
          <cell r="G4339">
            <v>2</v>
          </cell>
          <cell r="H4339" t="str">
            <v>原核链特异性转录组文库</v>
          </cell>
          <cell r="I4339" t="str">
            <v>WWH</v>
          </cell>
          <cell r="J4339">
            <v>12.2</v>
          </cell>
          <cell r="N4339" t="e">
            <v>#DIV/0!</v>
          </cell>
        </row>
        <row r="4340">
          <cell r="E4340" t="str">
            <v>HGC-Lib-2467179</v>
          </cell>
          <cell r="F4340" t="str">
            <v>LR240806O-1657A</v>
          </cell>
          <cell r="G4340">
            <v>2</v>
          </cell>
          <cell r="H4340" t="str">
            <v>原核链特异性转录组文库</v>
          </cell>
          <cell r="I4340" t="str">
            <v>WWH</v>
          </cell>
          <cell r="J4340">
            <v>18.899999999999999</v>
          </cell>
          <cell r="N4340" t="e">
            <v>#DIV/0!</v>
          </cell>
        </row>
        <row r="4341">
          <cell r="E4341" t="str">
            <v>HGC-Lib-2467180</v>
          </cell>
          <cell r="F4341" t="str">
            <v>LR240807O-2106A</v>
          </cell>
          <cell r="G4341">
            <v>10</v>
          </cell>
          <cell r="H4341" t="str">
            <v>宏转录组文库</v>
          </cell>
          <cell r="I4341" t="str">
            <v>WWH</v>
          </cell>
          <cell r="J4341">
            <v>14.9</v>
          </cell>
          <cell r="N4341" t="e">
            <v>#DIV/0!</v>
          </cell>
        </row>
        <row r="4342">
          <cell r="E4342" t="str">
            <v>HGC-Lib-2467181</v>
          </cell>
          <cell r="F4342" t="str">
            <v>LR240812R-0039A</v>
          </cell>
          <cell r="G4342">
            <v>2</v>
          </cell>
          <cell r="H4342" t="str">
            <v>原核链特异性转录组文库</v>
          </cell>
          <cell r="I4342" t="str">
            <v>WWH</v>
          </cell>
          <cell r="J4342">
            <v>16.899999999999999</v>
          </cell>
          <cell r="N4342" t="e">
            <v>#DIV/0!</v>
          </cell>
        </row>
        <row r="4343">
          <cell r="E4343" t="str">
            <v>HGC-Lib-2467182</v>
          </cell>
          <cell r="F4343" t="str">
            <v>LR240812R-0040A</v>
          </cell>
          <cell r="G4343">
            <v>2</v>
          </cell>
          <cell r="H4343" t="str">
            <v>原核链特异性转录组文库</v>
          </cell>
          <cell r="I4343" t="str">
            <v>WWH</v>
          </cell>
          <cell r="J4343">
            <v>47.6</v>
          </cell>
          <cell r="N4343" t="e">
            <v>#DIV/0!</v>
          </cell>
        </row>
        <row r="4344">
          <cell r="E4344" t="str">
            <v>HGC-Lib-2467183</v>
          </cell>
          <cell r="F4344" t="str">
            <v>LR240812R-0041A</v>
          </cell>
          <cell r="G4344">
            <v>2</v>
          </cell>
          <cell r="H4344" t="str">
            <v>原核链特异性转录组文库</v>
          </cell>
          <cell r="I4344" t="str">
            <v>WWH</v>
          </cell>
          <cell r="J4344">
            <v>19.600000000000001</v>
          </cell>
          <cell r="N4344" t="e">
            <v>#DIV/0!</v>
          </cell>
        </row>
        <row r="4345">
          <cell r="E4345" t="str">
            <v>HGC-Lib-2467184</v>
          </cell>
          <cell r="F4345" t="str">
            <v>LR240812R-0042A</v>
          </cell>
          <cell r="G4345">
            <v>2</v>
          </cell>
          <cell r="H4345" t="str">
            <v>原核链特异性转录组文库</v>
          </cell>
          <cell r="I4345" t="str">
            <v>WWH</v>
          </cell>
          <cell r="J4345">
            <v>37.200000000000003</v>
          </cell>
          <cell r="N4345" t="e">
            <v>#DIV/0!</v>
          </cell>
        </row>
        <row r="4346">
          <cell r="E4346" t="str">
            <v>HGC-Lib-2467185</v>
          </cell>
          <cell r="F4346" t="str">
            <v>LR240812R-0043A</v>
          </cell>
          <cell r="G4346">
            <v>2</v>
          </cell>
          <cell r="H4346" t="str">
            <v>原核链特异性转录组文库</v>
          </cell>
          <cell r="I4346" t="str">
            <v>WWH</v>
          </cell>
          <cell r="J4346">
            <v>69.599999999999994</v>
          </cell>
          <cell r="N4346" t="e">
            <v>#DIV/0!</v>
          </cell>
        </row>
        <row r="4347">
          <cell r="E4347" t="str">
            <v>HGC-Lib-2467186</v>
          </cell>
          <cell r="F4347" t="str">
            <v>LR240812R-0044A</v>
          </cell>
          <cell r="G4347">
            <v>2</v>
          </cell>
          <cell r="H4347" t="str">
            <v>原核链特异性转录组文库</v>
          </cell>
          <cell r="I4347" t="str">
            <v>WWH</v>
          </cell>
          <cell r="J4347">
            <v>17.600000000000001</v>
          </cell>
          <cell r="N4347" t="e">
            <v>#DIV/0!</v>
          </cell>
        </row>
        <row r="4348">
          <cell r="E4348" t="str">
            <v>HGC-Lib-2467187</v>
          </cell>
          <cell r="F4348" t="str">
            <v>LR240812R-0045A</v>
          </cell>
          <cell r="G4348">
            <v>2</v>
          </cell>
          <cell r="H4348" t="str">
            <v>原核链特异性转录组文库</v>
          </cell>
          <cell r="I4348" t="str">
            <v>WWH</v>
          </cell>
          <cell r="J4348">
            <v>55.6</v>
          </cell>
          <cell r="N4348" t="e">
            <v>#DIV/0!</v>
          </cell>
        </row>
        <row r="4349">
          <cell r="E4349" t="str">
            <v>HGC-Lib-2467188</v>
          </cell>
          <cell r="F4349" t="str">
            <v>LR240812R-0046A</v>
          </cell>
          <cell r="G4349">
            <v>2</v>
          </cell>
          <cell r="H4349" t="str">
            <v>原核链特异性转录组文库</v>
          </cell>
          <cell r="I4349" t="str">
            <v>WWH</v>
          </cell>
          <cell r="J4349">
            <v>22.6</v>
          </cell>
          <cell r="N4349" t="e">
            <v>#DIV/0!</v>
          </cell>
        </row>
        <row r="4350">
          <cell r="E4350" t="str">
            <v>HGC-Lib-2467189</v>
          </cell>
          <cell r="F4350" t="str">
            <v>LR240812R-0047A</v>
          </cell>
          <cell r="G4350">
            <v>2</v>
          </cell>
          <cell r="H4350" t="str">
            <v>原核链特异性转录组文库</v>
          </cell>
          <cell r="I4350" t="str">
            <v>WWH</v>
          </cell>
          <cell r="J4350">
            <v>37.4</v>
          </cell>
          <cell r="N4350" t="e">
            <v>#DIV/0!</v>
          </cell>
        </row>
        <row r="4351">
          <cell r="E4351" t="str">
            <v>HGC-Lib-2467190</v>
          </cell>
          <cell r="F4351" t="str">
            <v>LR240812R-0048A</v>
          </cell>
          <cell r="G4351">
            <v>2</v>
          </cell>
          <cell r="H4351" t="str">
            <v>原核链特异性转录组文库</v>
          </cell>
          <cell r="I4351" t="str">
            <v>WWH</v>
          </cell>
          <cell r="J4351">
            <v>18.899999999999999</v>
          </cell>
          <cell r="N4351" t="e">
            <v>#DIV/0!</v>
          </cell>
        </row>
        <row r="4352">
          <cell r="E4352" t="str">
            <v>HGC-Lib-2467191</v>
          </cell>
          <cell r="F4352" t="str">
            <v>LR240812R-0049A</v>
          </cell>
          <cell r="G4352">
            <v>2</v>
          </cell>
          <cell r="H4352" t="str">
            <v>原核链特异性转录组文库</v>
          </cell>
          <cell r="I4352" t="str">
            <v>WWH</v>
          </cell>
          <cell r="J4352">
            <v>17.600000000000001</v>
          </cell>
          <cell r="N4352" t="e">
            <v>#DIV/0!</v>
          </cell>
        </row>
        <row r="4353">
          <cell r="E4353" t="str">
            <v>HGC-Lib-2467192</v>
          </cell>
          <cell r="F4353" t="str">
            <v>LR240812R-0050A</v>
          </cell>
          <cell r="G4353">
            <v>2</v>
          </cell>
          <cell r="H4353" t="str">
            <v>原核链特异性转录组文库</v>
          </cell>
          <cell r="I4353" t="str">
            <v>WWH</v>
          </cell>
          <cell r="J4353">
            <v>29.2</v>
          </cell>
          <cell r="N4353" t="e">
            <v>#DIV/0!</v>
          </cell>
        </row>
        <row r="4354">
          <cell r="E4354" t="str">
            <v>HGC-Lib-2467193</v>
          </cell>
          <cell r="F4354" t="str">
            <v>LR240812R-0051A</v>
          </cell>
          <cell r="G4354">
            <v>2</v>
          </cell>
          <cell r="H4354" t="str">
            <v>原核链特异性转录组文库</v>
          </cell>
          <cell r="I4354" t="str">
            <v>WWH</v>
          </cell>
          <cell r="J4354">
            <v>49.8</v>
          </cell>
          <cell r="N4354" t="e">
            <v>#DIV/0!</v>
          </cell>
        </row>
        <row r="4355">
          <cell r="E4355" t="str">
            <v>HGC-Lib-2467194</v>
          </cell>
          <cell r="F4355" t="str">
            <v>LR240812R-0052A</v>
          </cell>
          <cell r="G4355">
            <v>2</v>
          </cell>
          <cell r="H4355" t="str">
            <v>原核链特异性转录组文库</v>
          </cell>
          <cell r="I4355" t="str">
            <v>WWH</v>
          </cell>
          <cell r="J4355">
            <v>82.8</v>
          </cell>
          <cell r="N4355" t="e">
            <v>#DIV/0!</v>
          </cell>
        </row>
        <row r="4356">
          <cell r="E4356" t="str">
            <v>HGC-Lib-2467195</v>
          </cell>
          <cell r="F4356" t="str">
            <v>LR240812R-0053A</v>
          </cell>
          <cell r="G4356">
            <v>2</v>
          </cell>
          <cell r="H4356" t="str">
            <v>原核链特异性转录组文库</v>
          </cell>
          <cell r="I4356" t="str">
            <v>WWH</v>
          </cell>
          <cell r="J4356">
            <v>8.0399999999999991</v>
          </cell>
          <cell r="N4356" t="e">
            <v>#DIV/0!</v>
          </cell>
        </row>
        <row r="4357">
          <cell r="E4357" t="str">
            <v>HGC-Lib-2467196</v>
          </cell>
          <cell r="F4357" t="str">
            <v>LR240812R-0054A</v>
          </cell>
          <cell r="G4357">
            <v>2</v>
          </cell>
          <cell r="H4357" t="str">
            <v>原核链特异性转录组文库</v>
          </cell>
          <cell r="I4357" t="str">
            <v>WWH</v>
          </cell>
          <cell r="J4357">
            <v>16.600000000000001</v>
          </cell>
          <cell r="N4357" t="e">
            <v>#DIV/0!</v>
          </cell>
        </row>
        <row r="4358">
          <cell r="E4358" t="str">
            <v>HGC-Lib-2467197</v>
          </cell>
          <cell r="F4358" t="str">
            <v>LR240812R-0055A</v>
          </cell>
          <cell r="G4358">
            <v>2</v>
          </cell>
          <cell r="H4358" t="str">
            <v>原核链特异性转录组文库</v>
          </cell>
          <cell r="I4358" t="str">
            <v>ZZ</v>
          </cell>
          <cell r="J4358">
            <v>51.2</v>
          </cell>
          <cell r="N4358" t="e">
            <v>#DIV/0!</v>
          </cell>
        </row>
        <row r="4359">
          <cell r="E4359" t="str">
            <v>HGC-Lib-2467198</v>
          </cell>
          <cell r="F4359" t="str">
            <v>LR240812R-0056A</v>
          </cell>
          <cell r="G4359">
            <v>2</v>
          </cell>
          <cell r="H4359" t="str">
            <v>原核链特异性转录组文库</v>
          </cell>
          <cell r="I4359" t="str">
            <v>ZZ</v>
          </cell>
          <cell r="J4359">
            <v>75.8</v>
          </cell>
          <cell r="N4359" t="e">
            <v>#DIV/0!</v>
          </cell>
        </row>
        <row r="4360">
          <cell r="E4360" t="str">
            <v>HGC-Lib-2467199</v>
          </cell>
          <cell r="F4360" t="str">
            <v>LR240716O-5560A</v>
          </cell>
          <cell r="G4360">
            <v>4</v>
          </cell>
          <cell r="H4360" t="str">
            <v>原核链特异性转录组文库</v>
          </cell>
          <cell r="I4360" t="str">
            <v>ZZ</v>
          </cell>
          <cell r="J4360">
            <v>22.6</v>
          </cell>
          <cell r="N4360" t="e">
            <v>#DIV/0!</v>
          </cell>
        </row>
        <row r="4361">
          <cell r="E4361" t="str">
            <v>HGC-Lib-2467200</v>
          </cell>
          <cell r="F4361" t="str">
            <v>LR240716O-5561A</v>
          </cell>
          <cell r="G4361">
            <v>4</v>
          </cell>
          <cell r="H4361" t="str">
            <v>原核链特异性转录组文库</v>
          </cell>
          <cell r="I4361" t="str">
            <v>ZZ</v>
          </cell>
          <cell r="J4361">
            <v>10.5</v>
          </cell>
          <cell r="N4361" t="e">
            <v>#DIV/0!</v>
          </cell>
        </row>
        <row r="4362">
          <cell r="E4362" t="str">
            <v>HGC-Lib-2467201</v>
          </cell>
          <cell r="F4362" t="str">
            <v>LR240809R-0006A</v>
          </cell>
          <cell r="G4362">
            <v>10</v>
          </cell>
          <cell r="H4362" t="str">
            <v>RNA病毒组文库</v>
          </cell>
          <cell r="I4362" t="str">
            <v>ZZ</v>
          </cell>
          <cell r="J4362">
            <v>8.58</v>
          </cell>
          <cell r="N4362" t="e">
            <v>#DIV/0!</v>
          </cell>
        </row>
        <row r="4363">
          <cell r="E4363" t="str">
            <v>HGC-Lib-2467202</v>
          </cell>
          <cell r="F4363" t="str">
            <v>LR240809R-0007A</v>
          </cell>
          <cell r="G4363">
            <v>10</v>
          </cell>
          <cell r="H4363" t="str">
            <v>RNA病毒组文库</v>
          </cell>
          <cell r="I4363" t="str">
            <v>ZZ</v>
          </cell>
          <cell r="J4363">
            <v>25.6</v>
          </cell>
          <cell r="N4363" t="e">
            <v>#DIV/0!</v>
          </cell>
        </row>
        <row r="4364">
          <cell r="E4364" t="str">
            <v>HGC-Lib-2467203</v>
          </cell>
          <cell r="F4364" t="str">
            <v>LD240802O-1051A</v>
          </cell>
          <cell r="G4364">
            <v>10</v>
          </cell>
          <cell r="H4364" t="str">
            <v>DNA宏基因组文库</v>
          </cell>
          <cell r="I4364" t="str">
            <v>ZZ</v>
          </cell>
          <cell r="J4364">
            <v>40.4</v>
          </cell>
          <cell r="N4364" t="e">
            <v>#DIV/0!</v>
          </cell>
        </row>
        <row r="4365">
          <cell r="E4365" t="str">
            <v>HGC-Lib-2467204</v>
          </cell>
          <cell r="F4365" t="str">
            <v>LD240802O-1052A</v>
          </cell>
          <cell r="G4365">
            <v>10</v>
          </cell>
          <cell r="H4365" t="str">
            <v>DNA宏基因组文库</v>
          </cell>
          <cell r="I4365" t="str">
            <v>ZZ</v>
          </cell>
          <cell r="J4365">
            <v>21.4</v>
          </cell>
          <cell r="N4365" t="e">
            <v>#DIV/0!</v>
          </cell>
        </row>
        <row r="4366">
          <cell r="E4366" t="str">
            <v>HGC-Lib-2467205</v>
          </cell>
          <cell r="F4366" t="str">
            <v>LD240802O-1053A</v>
          </cell>
          <cell r="G4366">
            <v>10</v>
          </cell>
          <cell r="H4366" t="str">
            <v>DNA宏基因组文库</v>
          </cell>
          <cell r="I4366" t="str">
            <v>ZZ</v>
          </cell>
          <cell r="J4366">
            <v>96.2</v>
          </cell>
          <cell r="N4366" t="e">
            <v>#DIV/0!</v>
          </cell>
        </row>
        <row r="4367">
          <cell r="E4367" t="str">
            <v>HGC-Lib-2467206</v>
          </cell>
          <cell r="F4367" t="str">
            <v>LD240802O-1054A</v>
          </cell>
          <cell r="G4367">
            <v>10</v>
          </cell>
          <cell r="H4367" t="str">
            <v>DNA宏基因组文库</v>
          </cell>
          <cell r="I4367" t="str">
            <v>ZZ</v>
          </cell>
          <cell r="J4367">
            <v>34.6</v>
          </cell>
          <cell r="N4367" t="e">
            <v>#DIV/0!</v>
          </cell>
        </row>
        <row r="4368">
          <cell r="E4368" t="str">
            <v>HGC-Lib-2467207</v>
          </cell>
          <cell r="F4368" t="str">
            <v>LD240804O-0746A</v>
          </cell>
          <cell r="G4368">
            <v>10</v>
          </cell>
          <cell r="H4368" t="str">
            <v>DNA宏基因组文库</v>
          </cell>
          <cell r="I4368" t="str">
            <v>ZZ</v>
          </cell>
          <cell r="J4368">
            <v>56</v>
          </cell>
          <cell r="N4368" t="e">
            <v>#DIV/0!</v>
          </cell>
        </row>
        <row r="4369">
          <cell r="E4369" t="str">
            <v>HGC-Lib-2467208</v>
          </cell>
          <cell r="F4369" t="str">
            <v>LD240804O-0747A</v>
          </cell>
          <cell r="G4369">
            <v>10</v>
          </cell>
          <cell r="H4369" t="str">
            <v>DNA宏基因组文库</v>
          </cell>
          <cell r="I4369" t="str">
            <v>ZZ</v>
          </cell>
          <cell r="J4369">
            <v>24.6</v>
          </cell>
          <cell r="N4369" t="e">
            <v>#DIV/0!</v>
          </cell>
        </row>
        <row r="4370">
          <cell r="E4370" t="str">
            <v>HGC-Lib-2467209</v>
          </cell>
          <cell r="F4370" t="str">
            <v>LD240804O-0748A</v>
          </cell>
          <cell r="G4370">
            <v>10</v>
          </cell>
          <cell r="H4370" t="str">
            <v>DNA宏基因组文库</v>
          </cell>
          <cell r="I4370" t="str">
            <v>ZZ</v>
          </cell>
          <cell r="J4370">
            <v>32.6</v>
          </cell>
          <cell r="N4370" t="e">
            <v>#DIV/0!</v>
          </cell>
        </row>
        <row r="4371">
          <cell r="E4371" t="str">
            <v>HGC-Lib-2467210</v>
          </cell>
          <cell r="F4371" t="str">
            <v>LD240804O-0749A</v>
          </cell>
          <cell r="G4371">
            <v>10</v>
          </cell>
          <cell r="H4371" t="str">
            <v>DNA宏基因组文库</v>
          </cell>
          <cell r="I4371" t="str">
            <v>ZZ</v>
          </cell>
          <cell r="J4371">
            <v>80.8</v>
          </cell>
          <cell r="N4371" t="e">
            <v>#DIV/0!</v>
          </cell>
        </row>
        <row r="4372">
          <cell r="E4372" t="str">
            <v>HGC-Lib-2467211</v>
          </cell>
          <cell r="F4372" t="str">
            <v>LD240804O-0750A</v>
          </cell>
          <cell r="G4372">
            <v>10</v>
          </cell>
          <cell r="H4372" t="str">
            <v>DNA宏基因组文库</v>
          </cell>
          <cell r="I4372" t="str">
            <v>ZZ</v>
          </cell>
          <cell r="J4372">
            <v>51.4</v>
          </cell>
          <cell r="N4372" t="e">
            <v>#DIV/0!</v>
          </cell>
        </row>
        <row r="4373">
          <cell r="E4373" t="str">
            <v>HGC-Lib-2467212</v>
          </cell>
          <cell r="F4373" t="str">
            <v>LD240804O-0751A</v>
          </cell>
          <cell r="G4373">
            <v>10</v>
          </cell>
          <cell r="H4373" t="str">
            <v>DNA宏基因组文库</v>
          </cell>
          <cell r="I4373" t="str">
            <v>ZZ</v>
          </cell>
          <cell r="J4373">
            <v>31</v>
          </cell>
          <cell r="N4373" t="e">
            <v>#DIV/0!</v>
          </cell>
        </row>
        <row r="4374">
          <cell r="E4374" t="str">
            <v>HGC-Lib-2467213</v>
          </cell>
          <cell r="F4374" t="str">
            <v>LD240804O-0752A</v>
          </cell>
          <cell r="G4374">
            <v>10</v>
          </cell>
          <cell r="H4374" t="str">
            <v>DNA宏基因组文库</v>
          </cell>
          <cell r="I4374" t="str">
            <v>ZZ</v>
          </cell>
          <cell r="J4374">
            <v>45.6</v>
          </cell>
          <cell r="N4374" t="e">
            <v>#DIV/0!</v>
          </cell>
        </row>
        <row r="4375">
          <cell r="E4375" t="str">
            <v>HGC-Lib-2467214</v>
          </cell>
          <cell r="F4375" t="str">
            <v>LD240804O-0753A</v>
          </cell>
          <cell r="G4375">
            <v>10</v>
          </cell>
          <cell r="H4375" t="str">
            <v>DNA宏基因组文库</v>
          </cell>
          <cell r="I4375" t="str">
            <v>ZZ</v>
          </cell>
          <cell r="J4375">
            <v>40</v>
          </cell>
          <cell r="N4375" t="e">
            <v>#DIV/0!</v>
          </cell>
        </row>
        <row r="4376">
          <cell r="E4376" t="str">
            <v>HGC-Lib-2467215</v>
          </cell>
          <cell r="F4376" t="str">
            <v>LD240804O-0754A</v>
          </cell>
          <cell r="G4376">
            <v>10</v>
          </cell>
          <cell r="H4376" t="str">
            <v>DNA宏基因组文库</v>
          </cell>
          <cell r="I4376" t="str">
            <v>ZZ</v>
          </cell>
          <cell r="J4376">
            <v>26.8</v>
          </cell>
          <cell r="N4376" t="e">
            <v>#DIV/0!</v>
          </cell>
        </row>
        <row r="4377">
          <cell r="E4377" t="str">
            <v>HGC-Lib-2467216</v>
          </cell>
          <cell r="F4377" t="str">
            <v>LD240804O-0755A</v>
          </cell>
          <cell r="G4377">
            <v>10</v>
          </cell>
          <cell r="H4377" t="str">
            <v>DNA宏基因组文库</v>
          </cell>
          <cell r="I4377" t="str">
            <v>ZZ</v>
          </cell>
          <cell r="J4377">
            <v>34.6</v>
          </cell>
          <cell r="N4377" t="e">
            <v>#DIV/0!</v>
          </cell>
        </row>
        <row r="4378">
          <cell r="E4378" t="str">
            <v>HGC-Lib-2467217</v>
          </cell>
          <cell r="F4378" t="str">
            <v>LD240723O-5130A</v>
          </cell>
          <cell r="G4378">
            <v>1</v>
          </cell>
          <cell r="H4378" t="str">
            <v>DNA基因组文库</v>
          </cell>
          <cell r="I4378" t="str">
            <v>ZZ</v>
          </cell>
          <cell r="J4378">
            <v>32.200000000000003</v>
          </cell>
          <cell r="N4378" t="e">
            <v>#DIV/0!</v>
          </cell>
        </row>
        <row r="4379">
          <cell r="E4379" t="str">
            <v>HGC-Lib-2467218</v>
          </cell>
          <cell r="F4379" t="str">
            <v>LD240805O-5192A</v>
          </cell>
          <cell r="G4379">
            <v>10</v>
          </cell>
          <cell r="H4379" t="str">
            <v>DNA病毒组文库</v>
          </cell>
          <cell r="I4379" t="str">
            <v>ZZ</v>
          </cell>
          <cell r="J4379">
            <v>23.4</v>
          </cell>
          <cell r="N4379" t="e">
            <v>#DIV/0!</v>
          </cell>
        </row>
        <row r="4380">
          <cell r="E4380" t="str">
            <v>HGC-Lib-2467219</v>
          </cell>
          <cell r="F4380" t="str">
            <v>LD240805O-5193A</v>
          </cell>
          <cell r="G4380">
            <v>10</v>
          </cell>
          <cell r="H4380" t="str">
            <v>DNA病毒组文库</v>
          </cell>
          <cell r="I4380" t="str">
            <v>ZZ</v>
          </cell>
          <cell r="J4380">
            <v>98.8</v>
          </cell>
          <cell r="N4380" t="e">
            <v>#DIV/0!</v>
          </cell>
        </row>
        <row r="4381">
          <cell r="E4381" t="str">
            <v>HGC-Lib-2467220</v>
          </cell>
          <cell r="F4381" t="str">
            <v>LD240805O-5194A</v>
          </cell>
          <cell r="G4381">
            <v>10</v>
          </cell>
          <cell r="H4381" t="str">
            <v>DNA病毒组文库</v>
          </cell>
          <cell r="I4381" t="str">
            <v>ZZ</v>
          </cell>
          <cell r="J4381">
            <v>34</v>
          </cell>
          <cell r="N4381" t="e">
            <v>#DIV/0!</v>
          </cell>
        </row>
        <row r="4382">
          <cell r="E4382" t="str">
            <v>HGC-Lib-2467221</v>
          </cell>
          <cell r="F4382" t="str">
            <v>LD240805O-5195A</v>
          </cell>
          <cell r="G4382">
            <v>10</v>
          </cell>
          <cell r="H4382" t="str">
            <v>DNA病毒组文库</v>
          </cell>
          <cell r="I4382" t="str">
            <v>ZZ</v>
          </cell>
          <cell r="J4382">
            <v>34.799999999999997</v>
          </cell>
          <cell r="N4382" t="e">
            <v>#DIV/0!</v>
          </cell>
        </row>
        <row r="4383">
          <cell r="E4383" t="str">
            <v>HGC-Lib-2467222</v>
          </cell>
          <cell r="F4383" t="str">
            <v>LD240805D-0895A</v>
          </cell>
          <cell r="G4383">
            <v>12</v>
          </cell>
          <cell r="H4383" t="str">
            <v>DNA宏基因组文库</v>
          </cell>
          <cell r="I4383" t="str">
            <v>ZZ</v>
          </cell>
          <cell r="J4383">
            <v>42</v>
          </cell>
          <cell r="N4383" t="e">
            <v>#DIV/0!</v>
          </cell>
        </row>
        <row r="4384">
          <cell r="E4384" t="str">
            <v>HGC-Lib-2467223</v>
          </cell>
          <cell r="F4384" t="str">
            <v>LD240805D-0896A</v>
          </cell>
          <cell r="G4384">
            <v>12</v>
          </cell>
          <cell r="H4384" t="str">
            <v>DNA宏基因组文库</v>
          </cell>
          <cell r="I4384" t="str">
            <v>ZZ</v>
          </cell>
          <cell r="J4384">
            <v>79.400000000000006</v>
          </cell>
          <cell r="N4384" t="e">
            <v>#DIV/0!</v>
          </cell>
        </row>
        <row r="4385">
          <cell r="E4385" t="str">
            <v>HGC-Lib-2467224</v>
          </cell>
          <cell r="F4385" t="str">
            <v>LD240805D-0897A</v>
          </cell>
          <cell r="G4385">
            <v>12</v>
          </cell>
          <cell r="H4385" t="str">
            <v>DNA宏基因组文库</v>
          </cell>
          <cell r="I4385" t="str">
            <v>ZZ</v>
          </cell>
          <cell r="J4385">
            <v>66.2</v>
          </cell>
          <cell r="N4385" t="e">
            <v>#DIV/0!</v>
          </cell>
        </row>
        <row r="4386">
          <cell r="E4386" t="str">
            <v>HGC-Lib-2467225</v>
          </cell>
          <cell r="F4386" t="str">
            <v>LD240805D-0899A</v>
          </cell>
          <cell r="G4386">
            <v>12</v>
          </cell>
          <cell r="H4386" t="str">
            <v>DNA宏基因组文库</v>
          </cell>
          <cell r="I4386" t="str">
            <v>ZZ</v>
          </cell>
          <cell r="J4386">
            <v>82.6</v>
          </cell>
          <cell r="N4386" t="e">
            <v>#DIV/0!</v>
          </cell>
        </row>
        <row r="4387">
          <cell r="E4387" t="str">
            <v>HGC-Lib-2467226</v>
          </cell>
          <cell r="F4387" t="str">
            <v>LD240805D-0900A</v>
          </cell>
          <cell r="G4387">
            <v>12</v>
          </cell>
          <cell r="H4387" t="str">
            <v>DNA宏基因组文库</v>
          </cell>
          <cell r="I4387" t="str">
            <v>ZZ</v>
          </cell>
          <cell r="J4387">
            <v>24.6</v>
          </cell>
          <cell r="N4387" t="e">
            <v>#DIV/0!</v>
          </cell>
        </row>
        <row r="4388">
          <cell r="E4388" t="str">
            <v>HGC-Lib-2467227</v>
          </cell>
          <cell r="F4388" t="str">
            <v>LD240724O-2492A</v>
          </cell>
          <cell r="G4388">
            <v>10</v>
          </cell>
          <cell r="H4388" t="str">
            <v>DNA宏基因组文库</v>
          </cell>
          <cell r="I4388" t="str">
            <v>ZZ</v>
          </cell>
          <cell r="J4388">
            <v>97.2</v>
          </cell>
          <cell r="N4388" t="e">
            <v>#DIV/0!</v>
          </cell>
        </row>
        <row r="4389">
          <cell r="E4389" t="str">
            <v>HGC-Lib-2467228</v>
          </cell>
          <cell r="F4389" t="str">
            <v>LD240724O-2493A</v>
          </cell>
          <cell r="G4389">
            <v>10</v>
          </cell>
          <cell r="H4389" t="str">
            <v>DNA宏基因组文库</v>
          </cell>
          <cell r="I4389" t="str">
            <v>ZZ</v>
          </cell>
          <cell r="J4389">
            <v>31.8</v>
          </cell>
          <cell r="N4389" t="e">
            <v>#DIV/0!</v>
          </cell>
        </row>
        <row r="4390">
          <cell r="E4390" t="str">
            <v>HGC-Lib-2467229</v>
          </cell>
          <cell r="F4390" t="str">
            <v>LD240724O-2495A</v>
          </cell>
          <cell r="G4390">
            <v>10</v>
          </cell>
          <cell r="H4390" t="str">
            <v>DNA宏基因组文库</v>
          </cell>
          <cell r="I4390" t="str">
            <v>ZZ</v>
          </cell>
          <cell r="J4390">
            <v>49.8</v>
          </cell>
          <cell r="N4390" t="e">
            <v>#DIV/0!</v>
          </cell>
        </row>
        <row r="4391">
          <cell r="E4391" t="str">
            <v>HGC-Lib-2467230</v>
          </cell>
          <cell r="F4391" t="str">
            <v>LD240724O-2496A</v>
          </cell>
          <cell r="G4391">
            <v>10</v>
          </cell>
          <cell r="H4391" t="str">
            <v>DNA宏基因组文库</v>
          </cell>
          <cell r="I4391" t="str">
            <v>ZZ</v>
          </cell>
          <cell r="J4391">
            <v>49.8</v>
          </cell>
          <cell r="N4391" t="e">
            <v>#DIV/0!</v>
          </cell>
        </row>
        <row r="4392">
          <cell r="E4392" t="str">
            <v>HGC-Lib-2467231</v>
          </cell>
          <cell r="F4392" t="str">
            <v>LD240724O-2498A</v>
          </cell>
          <cell r="G4392">
            <v>10</v>
          </cell>
          <cell r="H4392" t="str">
            <v>DNA宏基因组文库</v>
          </cell>
          <cell r="I4392" t="str">
            <v>ZZ</v>
          </cell>
          <cell r="J4392">
            <v>44.6</v>
          </cell>
          <cell r="N4392" t="e">
            <v>#DIV/0!</v>
          </cell>
        </row>
        <row r="4393">
          <cell r="E4393" t="str">
            <v>HGC-Lib-2467232</v>
          </cell>
          <cell r="F4393" t="str">
            <v>LD240724O-2499A</v>
          </cell>
          <cell r="G4393">
            <v>10</v>
          </cell>
          <cell r="H4393" t="str">
            <v>DNA宏基因组文库</v>
          </cell>
          <cell r="I4393" t="str">
            <v>ZZ</v>
          </cell>
          <cell r="J4393">
            <v>68</v>
          </cell>
          <cell r="N4393" t="e">
            <v>#DIV/0!</v>
          </cell>
        </row>
        <row r="4394">
          <cell r="E4394" t="str">
            <v>HGC-Lib-2467233</v>
          </cell>
          <cell r="F4394" t="str">
            <v>LD240724O-2501A</v>
          </cell>
          <cell r="G4394">
            <v>10</v>
          </cell>
          <cell r="H4394" t="str">
            <v>DNA宏基因组文库</v>
          </cell>
          <cell r="I4394" t="str">
            <v>ZZ</v>
          </cell>
          <cell r="J4394">
            <v>42.2</v>
          </cell>
          <cell r="N4394" t="e">
            <v>#DIV/0!</v>
          </cell>
        </row>
        <row r="4395">
          <cell r="E4395" t="str">
            <v>HGC-Lib-2467234</v>
          </cell>
          <cell r="F4395" t="str">
            <v>LD240724O-2502A</v>
          </cell>
          <cell r="G4395">
            <v>10</v>
          </cell>
          <cell r="H4395" t="str">
            <v>DNA宏基因组文库</v>
          </cell>
          <cell r="I4395" t="str">
            <v>ZZ</v>
          </cell>
          <cell r="J4395">
            <v>38.799999999999997</v>
          </cell>
          <cell r="N4395" t="e">
            <v>#DIV/0!</v>
          </cell>
        </row>
        <row r="4396">
          <cell r="E4396" t="str">
            <v>HGC-Lib-2467235</v>
          </cell>
          <cell r="F4396" t="str">
            <v>LD240724O-2503A</v>
          </cell>
          <cell r="G4396">
            <v>10</v>
          </cell>
          <cell r="H4396" t="str">
            <v>DNA宏基因组文库</v>
          </cell>
          <cell r="I4396" t="str">
            <v>ZZ</v>
          </cell>
          <cell r="J4396">
            <v>37</v>
          </cell>
          <cell r="N4396" t="e">
            <v>#DIV/0!</v>
          </cell>
        </row>
        <row r="4397">
          <cell r="E4397" t="str">
            <v>HGC-Lib-2467236</v>
          </cell>
          <cell r="F4397" t="str">
            <v>LD240724O-2504A</v>
          </cell>
          <cell r="G4397">
            <v>10</v>
          </cell>
          <cell r="H4397" t="str">
            <v>DNA宏基因组文库</v>
          </cell>
          <cell r="I4397" t="str">
            <v>ZZ</v>
          </cell>
          <cell r="J4397">
            <v>71.2</v>
          </cell>
          <cell r="N4397" t="e">
            <v>#DIV/0!</v>
          </cell>
        </row>
        <row r="4398">
          <cell r="E4398" t="str">
            <v>HGC-Lib-2467237</v>
          </cell>
          <cell r="F4398" t="str">
            <v>LD240724O-2505A</v>
          </cell>
          <cell r="G4398">
            <v>10</v>
          </cell>
          <cell r="H4398" t="str">
            <v>DNA宏基因组文库</v>
          </cell>
          <cell r="I4398" t="str">
            <v>ZZ</v>
          </cell>
          <cell r="J4398">
            <v>10.8</v>
          </cell>
          <cell r="N4398" t="e">
            <v>#DIV/0!</v>
          </cell>
        </row>
        <row r="4399">
          <cell r="E4399" t="str">
            <v>HGC-Lib-2467238</v>
          </cell>
          <cell r="F4399" t="str">
            <v>LD240724O-2506A</v>
          </cell>
          <cell r="G4399">
            <v>10</v>
          </cell>
          <cell r="H4399" t="str">
            <v>DNA宏基因组文库</v>
          </cell>
          <cell r="I4399" t="str">
            <v>ZZ</v>
          </cell>
          <cell r="J4399">
            <v>86.2</v>
          </cell>
          <cell r="N4399" t="e">
            <v>#DIV/0!</v>
          </cell>
        </row>
        <row r="4400">
          <cell r="E4400" t="str">
            <v>HGC-Lib-2467239</v>
          </cell>
          <cell r="F4400" t="str">
            <v>LD240724O-2507A</v>
          </cell>
          <cell r="G4400">
            <v>10</v>
          </cell>
          <cell r="H4400" t="str">
            <v>DNA宏基因组文库</v>
          </cell>
          <cell r="I4400" t="str">
            <v>ZZ</v>
          </cell>
          <cell r="J4400">
            <v>82.4</v>
          </cell>
          <cell r="N4400" t="e">
            <v>#DIV/0!</v>
          </cell>
        </row>
        <row r="4401">
          <cell r="E4401" t="str">
            <v>HGC-Lib-2467240</v>
          </cell>
          <cell r="F4401" t="str">
            <v>LD240724O-2508A</v>
          </cell>
          <cell r="G4401">
            <v>10</v>
          </cell>
          <cell r="H4401" t="str">
            <v>DNA宏基因组文库</v>
          </cell>
          <cell r="I4401" t="str">
            <v>ZZ</v>
          </cell>
          <cell r="J4401">
            <v>39.200000000000003</v>
          </cell>
          <cell r="N4401" t="e">
            <v>#DIV/0!</v>
          </cell>
        </row>
        <row r="4402">
          <cell r="E4402" t="str">
            <v>HGC-Lib-2467241</v>
          </cell>
          <cell r="F4402" t="str">
            <v>LD240724O-2509A</v>
          </cell>
          <cell r="G4402">
            <v>10</v>
          </cell>
          <cell r="H4402" t="str">
            <v>DNA宏基因组文库</v>
          </cell>
          <cell r="I4402" t="str">
            <v>ZZ</v>
          </cell>
          <cell r="J4402">
            <v>96.4</v>
          </cell>
          <cell r="N4402" t="e">
            <v>#DIV/0!</v>
          </cell>
        </row>
        <row r="4403">
          <cell r="E4403" t="str">
            <v>HGC-Lib-2467242</v>
          </cell>
          <cell r="F4403" t="str">
            <v>LD240724O-2510A</v>
          </cell>
          <cell r="G4403">
            <v>10</v>
          </cell>
          <cell r="H4403" t="str">
            <v>DNA宏基因组文库</v>
          </cell>
          <cell r="I4403" t="str">
            <v>ZZ</v>
          </cell>
          <cell r="J4403">
            <v>31</v>
          </cell>
          <cell r="N4403" t="e">
            <v>#DIV/0!</v>
          </cell>
        </row>
        <row r="4404">
          <cell r="E4404" t="str">
            <v>HGC-Lib-2467243</v>
          </cell>
          <cell r="F4404" t="str">
            <v>LD240724O-2511A</v>
          </cell>
          <cell r="G4404">
            <v>10</v>
          </cell>
          <cell r="H4404" t="str">
            <v>DNA宏基因组文库</v>
          </cell>
          <cell r="I4404" t="str">
            <v>ZZ</v>
          </cell>
          <cell r="J4404">
            <v>25.2</v>
          </cell>
          <cell r="N4404" t="e">
            <v>#DIV/0!</v>
          </cell>
        </row>
        <row r="4405">
          <cell r="E4405" t="str">
            <v>HGC-Lib-2467244</v>
          </cell>
          <cell r="F4405" t="str">
            <v>LD240724O-2512A</v>
          </cell>
          <cell r="G4405">
            <v>10</v>
          </cell>
          <cell r="H4405" t="str">
            <v>DNA宏基因组文库</v>
          </cell>
          <cell r="I4405" t="str">
            <v>ZZ</v>
          </cell>
          <cell r="J4405">
            <v>64.599999999999994</v>
          </cell>
          <cell r="N4405" t="e">
            <v>#DIV/0!</v>
          </cell>
        </row>
        <row r="4406">
          <cell r="E4406" t="str">
            <v>HGC-Lib-2467245</v>
          </cell>
          <cell r="F4406" t="str">
            <v>LD240724O-2513A</v>
          </cell>
          <cell r="G4406">
            <v>10</v>
          </cell>
          <cell r="H4406" t="str">
            <v>DNA宏基因组文库</v>
          </cell>
          <cell r="I4406" t="str">
            <v>ZZ</v>
          </cell>
          <cell r="J4406">
            <v>15.9</v>
          </cell>
          <cell r="N4406" t="e">
            <v>#DIV/0!</v>
          </cell>
        </row>
        <row r="4407">
          <cell r="E4407" t="str">
            <v>HGC-Lib-2467246</v>
          </cell>
          <cell r="F4407" t="str">
            <v>LD240731D-0208A</v>
          </cell>
          <cell r="G4407">
            <v>1</v>
          </cell>
          <cell r="H4407" t="str">
            <v>DNA基因组文库</v>
          </cell>
          <cell r="I4407" t="str">
            <v>ZZ</v>
          </cell>
          <cell r="J4407">
            <v>72.400000000000006</v>
          </cell>
          <cell r="N4407" t="e">
            <v>#DIV/0!</v>
          </cell>
        </row>
        <row r="4408">
          <cell r="E4408" t="str">
            <v>HGC-Lib-2467247</v>
          </cell>
          <cell r="F4408" t="str">
            <v>LD240731D-0209A</v>
          </cell>
          <cell r="G4408">
            <v>1</v>
          </cell>
          <cell r="H4408" t="str">
            <v>DNA基因组文库</v>
          </cell>
          <cell r="I4408" t="str">
            <v>ZZ</v>
          </cell>
          <cell r="J4408">
            <v>71</v>
          </cell>
          <cell r="N4408" t="e">
            <v>#DIV/0!</v>
          </cell>
        </row>
        <row r="4409">
          <cell r="E4409" t="str">
            <v>HGC-Lib-2467248</v>
          </cell>
          <cell r="F4409" t="str">
            <v>LD240731D-0211A</v>
          </cell>
          <cell r="G4409">
            <v>1</v>
          </cell>
          <cell r="H4409" t="str">
            <v>DNA基因组文库</v>
          </cell>
          <cell r="I4409" t="str">
            <v>ZZ</v>
          </cell>
          <cell r="J4409">
            <v>38.6</v>
          </cell>
          <cell r="N4409" t="e">
            <v>#DIV/0!</v>
          </cell>
        </row>
        <row r="4410">
          <cell r="E4410" t="str">
            <v>HGC-Lib-2467249</v>
          </cell>
          <cell r="F4410" t="str">
            <v>LD240731D-0212A</v>
          </cell>
          <cell r="G4410">
            <v>1</v>
          </cell>
          <cell r="H4410" t="str">
            <v>DNA基因组文库</v>
          </cell>
          <cell r="I4410" t="str">
            <v>ZZ</v>
          </cell>
          <cell r="J4410">
            <v>46.2</v>
          </cell>
          <cell r="N4410" t="e">
            <v>#DIV/0!</v>
          </cell>
        </row>
        <row r="4411">
          <cell r="E4411" t="str">
            <v>HGC-Lib-2467250</v>
          </cell>
          <cell r="F4411" t="str">
            <v>LD240731D-0213A</v>
          </cell>
          <cell r="G4411">
            <v>1</v>
          </cell>
          <cell r="H4411" t="str">
            <v>DNA基因组文库</v>
          </cell>
          <cell r="I4411" t="str">
            <v>ZZ</v>
          </cell>
          <cell r="J4411">
            <v>24.2</v>
          </cell>
          <cell r="N4411" t="e">
            <v>#DIV/0!</v>
          </cell>
        </row>
        <row r="4412">
          <cell r="E4412" t="str">
            <v>HGC-Lib-2467251</v>
          </cell>
          <cell r="F4412" t="str">
            <v>LD240731D-0214A</v>
          </cell>
          <cell r="G4412">
            <v>1</v>
          </cell>
          <cell r="H4412" t="str">
            <v>DNA基因组文库</v>
          </cell>
          <cell r="I4412" t="str">
            <v>ZZ</v>
          </cell>
          <cell r="J4412">
            <v>24.8</v>
          </cell>
          <cell r="N4412" t="e">
            <v>#DIV/0!</v>
          </cell>
        </row>
        <row r="4413">
          <cell r="E4413" t="str">
            <v>HGC-Lib-2467252</v>
          </cell>
          <cell r="F4413" t="str">
            <v>LD240731D-0215A</v>
          </cell>
          <cell r="G4413">
            <v>1</v>
          </cell>
          <cell r="H4413" t="str">
            <v>DNA基因组文库</v>
          </cell>
          <cell r="I4413" t="str">
            <v>ZZ</v>
          </cell>
          <cell r="J4413">
            <v>22.6</v>
          </cell>
          <cell r="N4413" t="e">
            <v>#DIV/0!</v>
          </cell>
        </row>
        <row r="4414">
          <cell r="E4414" t="str">
            <v>HGC-Lib-2467253</v>
          </cell>
          <cell r="F4414" t="str">
            <v>LD240731D-0216A</v>
          </cell>
          <cell r="G4414">
            <v>1</v>
          </cell>
          <cell r="H4414" t="str">
            <v>DNA基因组文库</v>
          </cell>
          <cell r="I4414" t="str">
            <v>ZZ</v>
          </cell>
          <cell r="J4414">
            <v>10.8</v>
          </cell>
          <cell r="N4414" t="e">
            <v>#DIV/0!</v>
          </cell>
        </row>
        <row r="4415">
          <cell r="E4415" t="str">
            <v>HGC-Lib-2467254</v>
          </cell>
          <cell r="F4415" t="str">
            <v>LD240731D-0217A</v>
          </cell>
          <cell r="G4415">
            <v>1</v>
          </cell>
          <cell r="H4415" t="str">
            <v>DNA基因组文库</v>
          </cell>
          <cell r="I4415" t="str">
            <v>ZZ</v>
          </cell>
          <cell r="J4415">
            <v>18.5</v>
          </cell>
          <cell r="N4415" t="e">
            <v>#DIV/0!</v>
          </cell>
        </row>
        <row r="4416">
          <cell r="E4416" t="str">
            <v>HGC-Lib-2467255</v>
          </cell>
          <cell r="F4416" t="str">
            <v>LD240731D-0218A</v>
          </cell>
          <cell r="G4416">
            <v>1</v>
          </cell>
          <cell r="H4416" t="str">
            <v>DNA基因组文库</v>
          </cell>
          <cell r="I4416" t="str">
            <v>ZZ</v>
          </cell>
          <cell r="J4416">
            <v>27.6</v>
          </cell>
          <cell r="N4416" t="e">
            <v>#DIV/0!</v>
          </cell>
        </row>
        <row r="4417">
          <cell r="E4417" t="str">
            <v>HGC-Lib-2467256</v>
          </cell>
          <cell r="F4417" t="str">
            <v>LD240731D-0219A</v>
          </cell>
          <cell r="G4417">
            <v>1</v>
          </cell>
          <cell r="H4417" t="str">
            <v>DNA基因组文库</v>
          </cell>
          <cell r="I4417" t="str">
            <v>ZZ</v>
          </cell>
          <cell r="J4417">
            <v>16.899999999999999</v>
          </cell>
          <cell r="N4417" t="e">
            <v>#DIV/0!</v>
          </cell>
        </row>
        <row r="4418">
          <cell r="E4418" t="str">
            <v>HGC-Lib-2467257</v>
          </cell>
          <cell r="F4418" t="str">
            <v>LD240731D-0222A</v>
          </cell>
          <cell r="G4418">
            <v>1</v>
          </cell>
          <cell r="H4418" t="str">
            <v>DNA基因组文库</v>
          </cell>
          <cell r="I4418" t="str">
            <v>ZZ</v>
          </cell>
          <cell r="J4418">
            <v>81.8</v>
          </cell>
          <cell r="N4418" t="e">
            <v>#DIV/0!</v>
          </cell>
        </row>
        <row r="4419">
          <cell r="E4419" t="str">
            <v>HGC-Lib-2467258</v>
          </cell>
          <cell r="F4419" t="str">
            <v>LD240731D-0223A</v>
          </cell>
          <cell r="G4419">
            <v>1</v>
          </cell>
          <cell r="H4419" t="str">
            <v>DNA基因组文库</v>
          </cell>
          <cell r="I4419" t="str">
            <v>ZZ</v>
          </cell>
          <cell r="J4419">
            <v>70.599999999999994</v>
          </cell>
          <cell r="N4419" t="e">
            <v>#DIV/0!</v>
          </cell>
        </row>
        <row r="4420">
          <cell r="E4420" t="str">
            <v>HGC-Lib-2467259</v>
          </cell>
          <cell r="F4420" t="str">
            <v>LD240731D-0224A</v>
          </cell>
          <cell r="G4420">
            <v>1</v>
          </cell>
          <cell r="H4420" t="str">
            <v>DNA基因组文库</v>
          </cell>
          <cell r="I4420" t="str">
            <v>ZZ</v>
          </cell>
          <cell r="J4420">
            <v>27.2</v>
          </cell>
          <cell r="N4420" t="e">
            <v>#DIV/0!</v>
          </cell>
        </row>
        <row r="4421">
          <cell r="E4421" t="str">
            <v>HGC-Lib-2467260</v>
          </cell>
          <cell r="F4421" t="str">
            <v>LD240731D-0225A</v>
          </cell>
          <cell r="G4421">
            <v>1</v>
          </cell>
          <cell r="H4421" t="str">
            <v>DNA基因组文库</v>
          </cell>
          <cell r="I4421" t="str">
            <v>ZZ</v>
          </cell>
          <cell r="J4421">
            <v>2.16</v>
          </cell>
          <cell r="N4421" t="e">
            <v>#DIV/0!</v>
          </cell>
        </row>
        <row r="4422">
          <cell r="E4422" t="str">
            <v>HGC-Lib-2467261</v>
          </cell>
          <cell r="F4422" t="str">
            <v>LD240122D-1372A</v>
          </cell>
          <cell r="G4422">
            <v>20</v>
          </cell>
          <cell r="H4422" t="str">
            <v>DNA宏基因组文库</v>
          </cell>
          <cell r="I4422" t="str">
            <v>ZZ</v>
          </cell>
          <cell r="J4422">
            <v>21.6</v>
          </cell>
          <cell r="N4422" t="e">
            <v>#DIV/0!</v>
          </cell>
        </row>
        <row r="4423">
          <cell r="E4423" t="str">
            <v>HGC-Lib-2467262</v>
          </cell>
          <cell r="F4423" t="str">
            <v>LD240122D-1373A</v>
          </cell>
          <cell r="G4423">
            <v>20</v>
          </cell>
          <cell r="H4423" t="str">
            <v>DNA宏基因组文库</v>
          </cell>
          <cell r="I4423" t="str">
            <v>ZZ</v>
          </cell>
          <cell r="J4423">
            <v>4</v>
          </cell>
          <cell r="N4423" t="e">
            <v>#DIV/0!</v>
          </cell>
        </row>
        <row r="4424">
          <cell r="E4424" t="str">
            <v>HGC-Lib-2467263</v>
          </cell>
          <cell r="F4424" t="str">
            <v>LD240122D-1374A</v>
          </cell>
          <cell r="G4424">
            <v>20</v>
          </cell>
          <cell r="H4424" t="str">
            <v>DNA宏基因组文库</v>
          </cell>
          <cell r="I4424" t="str">
            <v>ZZ</v>
          </cell>
          <cell r="J4424">
            <v>15.6</v>
          </cell>
          <cell r="N4424" t="e">
            <v>#DIV/0!</v>
          </cell>
        </row>
        <row r="4425">
          <cell r="E4425" t="str">
            <v>HGC-Lib-2467264</v>
          </cell>
          <cell r="F4425" t="str">
            <v>LD240122D-1377A</v>
          </cell>
          <cell r="G4425">
            <v>20</v>
          </cell>
          <cell r="H4425" t="str">
            <v>DNA宏基因组文库</v>
          </cell>
          <cell r="I4425" t="str">
            <v>ZZ</v>
          </cell>
          <cell r="J4425">
            <v>47.2</v>
          </cell>
          <cell r="N4425" t="e">
            <v>#DIV/0!</v>
          </cell>
        </row>
        <row r="4426">
          <cell r="E4426" t="str">
            <v>HGC-Lib-2467265</v>
          </cell>
          <cell r="F4426" t="str">
            <v>LD240122D-1379A</v>
          </cell>
          <cell r="G4426">
            <v>20</v>
          </cell>
          <cell r="H4426" t="str">
            <v>DNA宏基因组文库</v>
          </cell>
          <cell r="I4426" t="str">
            <v>ZZ</v>
          </cell>
          <cell r="J4426">
            <v>11.2</v>
          </cell>
          <cell r="N4426" t="e">
            <v>#DIV/0!</v>
          </cell>
        </row>
        <row r="4427">
          <cell r="E4427" t="str">
            <v>HGC-Lib-2467266</v>
          </cell>
          <cell r="F4427" t="str">
            <v>LD240801O-3529A</v>
          </cell>
          <cell r="G4427">
            <v>20</v>
          </cell>
          <cell r="H4427" t="str">
            <v>DNA宏基因组文库</v>
          </cell>
          <cell r="I4427" t="str">
            <v>ZZ</v>
          </cell>
          <cell r="J4427">
            <v>10.9</v>
          </cell>
          <cell r="N4427" t="e">
            <v>#DIV/0!</v>
          </cell>
        </row>
        <row r="4428">
          <cell r="E4428" t="str">
            <v>HGC-Lib-2467267</v>
          </cell>
          <cell r="F4428" t="str">
            <v>LD240801O-3530A</v>
          </cell>
          <cell r="G4428">
            <v>20</v>
          </cell>
          <cell r="H4428" t="str">
            <v>DNA宏基因组文库</v>
          </cell>
          <cell r="I4428" t="str">
            <v>ZZ</v>
          </cell>
          <cell r="J4428">
            <v>33.200000000000003</v>
          </cell>
          <cell r="N4428" t="e">
            <v>#DIV/0!</v>
          </cell>
        </row>
        <row r="4429">
          <cell r="E4429" t="str">
            <v>HGC-Lib-2467268</v>
          </cell>
          <cell r="F4429" t="str">
            <v>LD240801O-3531A</v>
          </cell>
          <cell r="G4429">
            <v>20</v>
          </cell>
          <cell r="H4429" t="str">
            <v>DNA宏基因组文库</v>
          </cell>
          <cell r="I4429" t="str">
            <v>ZZ</v>
          </cell>
          <cell r="J4429">
            <v>33</v>
          </cell>
          <cell r="N4429" t="e">
            <v>#DIV/0!</v>
          </cell>
        </row>
        <row r="4430">
          <cell r="E4430" t="str">
            <v>HGC-Lib-2467269</v>
          </cell>
          <cell r="F4430" t="str">
            <v>LD240801O-3532A</v>
          </cell>
          <cell r="G4430">
            <v>20</v>
          </cell>
          <cell r="H4430" t="str">
            <v>DNA宏基因组文库</v>
          </cell>
          <cell r="I4430" t="str">
            <v>ZZ</v>
          </cell>
          <cell r="J4430">
            <v>41.6</v>
          </cell>
          <cell r="N4430" t="e">
            <v>#DIV/0!</v>
          </cell>
        </row>
        <row r="4431">
          <cell r="E4431" t="str">
            <v>HGC-Lib-2467270</v>
          </cell>
          <cell r="F4431" t="str">
            <v>LD240801O-3533A</v>
          </cell>
          <cell r="G4431">
            <v>20</v>
          </cell>
          <cell r="H4431" t="str">
            <v>DNA宏基因组文库</v>
          </cell>
          <cell r="I4431" t="str">
            <v>ZZ</v>
          </cell>
          <cell r="J4431">
            <v>23.6</v>
          </cell>
          <cell r="N4431" t="e">
            <v>#DIV/0!</v>
          </cell>
        </row>
        <row r="4432">
          <cell r="E4432" t="str">
            <v>HGC-Lib-2467271</v>
          </cell>
          <cell r="F4432" t="str">
            <v>LD240801O-3534A</v>
          </cell>
          <cell r="G4432">
            <v>20</v>
          </cell>
          <cell r="H4432" t="str">
            <v>DNA宏基因组文库</v>
          </cell>
          <cell r="I4432" t="str">
            <v>ZZ</v>
          </cell>
          <cell r="J4432">
            <v>32</v>
          </cell>
          <cell r="N4432" t="e">
            <v>#DIV/0!</v>
          </cell>
        </row>
        <row r="4433">
          <cell r="E4433" t="str">
            <v>HGC-Lib-2467272</v>
          </cell>
          <cell r="F4433" t="str">
            <v>LD240801O-3535A</v>
          </cell>
          <cell r="G4433">
            <v>20</v>
          </cell>
          <cell r="H4433" t="str">
            <v>DNA宏基因组文库</v>
          </cell>
          <cell r="I4433" t="str">
            <v>ZZ</v>
          </cell>
          <cell r="J4433">
            <v>20</v>
          </cell>
          <cell r="N4433" t="e">
            <v>#DIV/0!</v>
          </cell>
        </row>
        <row r="4434">
          <cell r="E4434" t="str">
            <v>HGC-Lib-2467273</v>
          </cell>
          <cell r="F4434" t="str">
            <v>LD240801O-3536A</v>
          </cell>
          <cell r="G4434">
            <v>20</v>
          </cell>
          <cell r="H4434" t="str">
            <v>DNA宏基因组文库</v>
          </cell>
          <cell r="I4434" t="str">
            <v>ZZ</v>
          </cell>
          <cell r="J4434">
            <v>41.4</v>
          </cell>
          <cell r="N4434" t="e">
            <v>#DIV/0!</v>
          </cell>
        </row>
        <row r="4435">
          <cell r="E4435" t="str">
            <v>HGC-Lib-2467274</v>
          </cell>
          <cell r="F4435" t="str">
            <v>LD240801O-3537A</v>
          </cell>
          <cell r="G4435">
            <v>20</v>
          </cell>
          <cell r="H4435" t="str">
            <v>DNA宏基因组文库</v>
          </cell>
          <cell r="I4435" t="str">
            <v>ZZ</v>
          </cell>
          <cell r="J4435">
            <v>31.2</v>
          </cell>
          <cell r="N4435" t="e">
            <v>#DIV/0!</v>
          </cell>
        </row>
        <row r="4436">
          <cell r="E4436" t="str">
            <v>HGC-Lib-2467275</v>
          </cell>
          <cell r="F4436" t="str">
            <v>LD240801O-3538A</v>
          </cell>
          <cell r="G4436">
            <v>20</v>
          </cell>
          <cell r="H4436" t="str">
            <v>DNA宏基因组文库</v>
          </cell>
          <cell r="I4436" t="str">
            <v>ZZ</v>
          </cell>
          <cell r="J4436">
            <v>34.4</v>
          </cell>
          <cell r="N4436" t="e">
            <v>#DIV/0!</v>
          </cell>
        </row>
        <row r="4437">
          <cell r="E4437" t="str">
            <v>HGC-Lib-2467276</v>
          </cell>
          <cell r="F4437" t="str">
            <v>LD240801O-3539A</v>
          </cell>
          <cell r="G4437">
            <v>20</v>
          </cell>
          <cell r="H4437" t="str">
            <v>DNA宏基因组文库</v>
          </cell>
          <cell r="I4437" t="str">
            <v>ZZ</v>
          </cell>
          <cell r="J4437">
            <v>29.6</v>
          </cell>
          <cell r="N4437" t="e">
            <v>#DIV/0!</v>
          </cell>
        </row>
        <row r="4438">
          <cell r="E4438" t="str">
            <v>HGC-Lib-2467277</v>
          </cell>
          <cell r="F4438" t="str">
            <v>LD240801O-3540A</v>
          </cell>
          <cell r="G4438">
            <v>20</v>
          </cell>
          <cell r="H4438" t="str">
            <v>DNA宏基因组文库</v>
          </cell>
          <cell r="J4438">
            <v>28</v>
          </cell>
          <cell r="N4438" t="e">
            <v>#DIV/0!</v>
          </cell>
        </row>
        <row r="4439">
          <cell r="E4439" t="str">
            <v>HGC-Lib-2467278</v>
          </cell>
          <cell r="F4439" t="str">
            <v>LD240801O-3541A</v>
          </cell>
          <cell r="G4439">
            <v>20</v>
          </cell>
          <cell r="H4439" t="str">
            <v>DNA宏基因组文库</v>
          </cell>
          <cell r="J4439">
            <v>33.200000000000003</v>
          </cell>
          <cell r="N4439" t="e">
            <v>#DIV/0!</v>
          </cell>
        </row>
        <row r="4440">
          <cell r="E4440" t="str">
            <v>HGC-Lib-2467279</v>
          </cell>
          <cell r="F4440" t="str">
            <v>LD240801O-3542A</v>
          </cell>
          <cell r="G4440">
            <v>20</v>
          </cell>
          <cell r="H4440" t="str">
            <v>DNA宏基因组文库</v>
          </cell>
          <cell r="J4440">
            <v>42.6</v>
          </cell>
          <cell r="N4440" t="e">
            <v>#DIV/0!</v>
          </cell>
        </row>
        <row r="4441">
          <cell r="E4441" t="str">
            <v>HGC-Lib-2467280</v>
          </cell>
          <cell r="F4441" t="str">
            <v>LD240801O-3543A</v>
          </cell>
          <cell r="G4441">
            <v>20</v>
          </cell>
          <cell r="H4441" t="str">
            <v>DNA宏基因组文库</v>
          </cell>
          <cell r="J4441">
            <v>17.5</v>
          </cell>
          <cell r="N4441" t="e">
            <v>#DIV/0!</v>
          </cell>
        </row>
        <row r="4442">
          <cell r="E4442" t="str">
            <v>HGC-Lib-2467281</v>
          </cell>
          <cell r="F4442" t="str">
            <v>LD240801O-3544A</v>
          </cell>
          <cell r="G4442">
            <v>20</v>
          </cell>
          <cell r="H4442" t="str">
            <v>DNA宏基因组文库</v>
          </cell>
          <cell r="J4442">
            <v>27.8</v>
          </cell>
          <cell r="N4442" t="e">
            <v>#DIV/0!</v>
          </cell>
        </row>
        <row r="4443">
          <cell r="E4443" t="str">
            <v>HGC-Lib-2467282</v>
          </cell>
          <cell r="F4443" t="str">
            <v>LD240801O-3545A</v>
          </cell>
          <cell r="G4443">
            <v>20</v>
          </cell>
          <cell r="H4443" t="str">
            <v>DNA宏基因组文库</v>
          </cell>
          <cell r="J4443">
            <v>32.200000000000003</v>
          </cell>
          <cell r="N4443" t="e">
            <v>#DIV/0!</v>
          </cell>
        </row>
        <row r="4444">
          <cell r="E4444" t="str">
            <v>HGC-Lib-2467283</v>
          </cell>
          <cell r="F4444" t="str">
            <v>LD240801O-3546A</v>
          </cell>
          <cell r="G4444">
            <v>20</v>
          </cell>
          <cell r="H4444" t="str">
            <v>DNA宏基因组文库</v>
          </cell>
          <cell r="J4444">
            <v>26.8</v>
          </cell>
          <cell r="N4444" t="e">
            <v>#DIV/0!</v>
          </cell>
        </row>
        <row r="4445">
          <cell r="E4445" t="str">
            <v>HGC-Lib-2467284</v>
          </cell>
          <cell r="F4445" t="str">
            <v>LD240801O-3547A</v>
          </cell>
          <cell r="G4445">
            <v>20</v>
          </cell>
          <cell r="H4445" t="str">
            <v>DNA宏基因组文库</v>
          </cell>
          <cell r="J4445">
            <v>28.8</v>
          </cell>
          <cell r="N4445" t="e">
            <v>#DIV/0!</v>
          </cell>
        </row>
        <row r="4446">
          <cell r="E4446" t="str">
            <v>HGC-Lib-2467285</v>
          </cell>
          <cell r="F4446" t="str">
            <v>LD240801O-3548A</v>
          </cell>
          <cell r="G4446">
            <v>20</v>
          </cell>
          <cell r="H4446" t="str">
            <v>DNA宏基因组文库</v>
          </cell>
          <cell r="J4446">
            <v>31.4</v>
          </cell>
          <cell r="N4446" t="e">
            <v>#DIV/0!</v>
          </cell>
        </row>
        <row r="4447">
          <cell r="E4447" t="str">
            <v>HGC-Lib-2467286</v>
          </cell>
          <cell r="F4447" t="str">
            <v>LD240801O-3549A</v>
          </cell>
          <cell r="G4447">
            <v>20</v>
          </cell>
          <cell r="H4447" t="str">
            <v>DNA宏基因组文库</v>
          </cell>
          <cell r="J4447">
            <v>31.8</v>
          </cell>
          <cell r="N4447" t="e">
            <v>#DIV/0!</v>
          </cell>
        </row>
        <row r="4448">
          <cell r="E4448" t="str">
            <v>HGC-Lib-2467287</v>
          </cell>
          <cell r="F4448" t="str">
            <v>LD240801O-3550A</v>
          </cell>
          <cell r="G4448">
            <v>20</v>
          </cell>
          <cell r="H4448" t="str">
            <v>DNA宏基因组文库</v>
          </cell>
          <cell r="J4448">
            <v>28</v>
          </cell>
          <cell r="N4448" t="e">
            <v>#DIV/0!</v>
          </cell>
        </row>
        <row r="4449">
          <cell r="E4449" t="str">
            <v>HGC-Lib-2467288</v>
          </cell>
          <cell r="F4449" t="str">
            <v>LD240801O-3551A</v>
          </cell>
          <cell r="G4449">
            <v>20</v>
          </cell>
          <cell r="H4449" t="str">
            <v>DNA宏基因组文库</v>
          </cell>
          <cell r="J4449">
            <v>80.2</v>
          </cell>
          <cell r="N4449" t="e">
            <v>#DIV/0!</v>
          </cell>
        </row>
        <row r="4450">
          <cell r="E4450" t="str">
            <v>HGC-Lib-2467289</v>
          </cell>
          <cell r="F4450" t="str">
            <v>LD240801O-3552A</v>
          </cell>
          <cell r="G4450">
            <v>20</v>
          </cell>
          <cell r="H4450" t="str">
            <v>DNA宏基因组文库</v>
          </cell>
          <cell r="J4450">
            <v>28.8</v>
          </cell>
          <cell r="N4450" t="e">
            <v>#DIV/0!</v>
          </cell>
        </row>
        <row r="4451">
          <cell r="E4451" t="str">
            <v>HGC-Lib-2467290</v>
          </cell>
          <cell r="F4451" t="str">
            <v>LD240801O-3553A</v>
          </cell>
          <cell r="G4451">
            <v>20</v>
          </cell>
          <cell r="H4451" t="str">
            <v>DNA宏基因组文库</v>
          </cell>
          <cell r="J4451">
            <v>31.4</v>
          </cell>
          <cell r="N4451" t="e">
            <v>#DIV/0!</v>
          </cell>
        </row>
        <row r="4452">
          <cell r="E4452" t="str">
            <v>HGC-Lib-2467291</v>
          </cell>
          <cell r="F4452" t="str">
            <v>LD240726O-3187A</v>
          </cell>
          <cell r="G4452">
            <v>10</v>
          </cell>
          <cell r="H4452" t="str">
            <v>DNA病毒组文库</v>
          </cell>
          <cell r="J4452">
            <v>17</v>
          </cell>
          <cell r="N4452" t="e">
            <v>#DIV/0!</v>
          </cell>
        </row>
        <row r="4453">
          <cell r="E4453" t="str">
            <v>HGC-Lib-2467292</v>
          </cell>
          <cell r="F4453" t="str">
            <v>LD240726O-3189A</v>
          </cell>
          <cell r="G4453">
            <v>10</v>
          </cell>
          <cell r="H4453" t="str">
            <v>DNA病毒组文库</v>
          </cell>
          <cell r="J4453">
            <v>56.6</v>
          </cell>
          <cell r="N4453" t="e">
            <v>#DIV/0!</v>
          </cell>
        </row>
        <row r="4454">
          <cell r="E4454" t="str">
            <v>HGC-Lib-2467293</v>
          </cell>
          <cell r="F4454" t="str">
            <v>LD240726O-3190A</v>
          </cell>
          <cell r="G4454">
            <v>10</v>
          </cell>
          <cell r="H4454" t="str">
            <v>DNA病毒组文库</v>
          </cell>
          <cell r="J4454">
            <v>12.4</v>
          </cell>
          <cell r="N4454" t="e">
            <v>#DIV/0!</v>
          </cell>
        </row>
        <row r="4455">
          <cell r="E4455" t="str">
            <v>HGC-Lib-2467294</v>
          </cell>
          <cell r="F4455" t="str">
            <v>LD240726O-3191A</v>
          </cell>
          <cell r="G4455">
            <v>10</v>
          </cell>
          <cell r="H4455" t="str">
            <v>DNA病毒组文库</v>
          </cell>
          <cell r="J4455">
            <v>10.5</v>
          </cell>
          <cell r="N4455" t="e">
            <v>#DIV/0!</v>
          </cell>
        </row>
        <row r="4456">
          <cell r="E4456" t="str">
            <v>HGC-Lib-2467295</v>
          </cell>
          <cell r="F4456" t="str">
            <v>LD240726O-3193A</v>
          </cell>
          <cell r="G4456">
            <v>10</v>
          </cell>
          <cell r="H4456" t="str">
            <v>DNA病毒组文库</v>
          </cell>
          <cell r="J4456">
            <v>8</v>
          </cell>
          <cell r="N4456" t="e">
            <v>#DIV/0!</v>
          </cell>
        </row>
        <row r="4457">
          <cell r="E4457" t="str">
            <v>HGC-Lib-2467296</v>
          </cell>
          <cell r="F4457" t="str">
            <v>LD240726O-3194A</v>
          </cell>
          <cell r="G4457">
            <v>10</v>
          </cell>
          <cell r="H4457" t="str">
            <v>DNA病毒组文库</v>
          </cell>
          <cell r="J4457">
            <v>15.3</v>
          </cell>
          <cell r="N4457" t="e">
            <v>#DIV/0!</v>
          </cell>
        </row>
        <row r="4458">
          <cell r="E4458" t="str">
            <v>HGC-Lib-2467297</v>
          </cell>
          <cell r="F4458" t="str">
            <v>LD240726O-3196A</v>
          </cell>
          <cell r="G4458">
            <v>10</v>
          </cell>
          <cell r="H4458" t="str">
            <v>DNA病毒组文库</v>
          </cell>
          <cell r="J4458">
            <v>24</v>
          </cell>
          <cell r="N4458" t="e">
            <v>#DIV/0!</v>
          </cell>
        </row>
        <row r="4459">
          <cell r="E4459" t="str">
            <v>HGC-Lib-2467298</v>
          </cell>
          <cell r="F4459" t="str">
            <v>LD240726O-3197A</v>
          </cell>
          <cell r="G4459">
            <v>10</v>
          </cell>
          <cell r="H4459" t="str">
            <v>DNA病毒组文库</v>
          </cell>
          <cell r="J4459">
            <v>67.400000000000006</v>
          </cell>
          <cell r="N4459" t="e">
            <v>#DIV/0!</v>
          </cell>
        </row>
        <row r="4460">
          <cell r="E4460" t="str">
            <v>HGC-Lib-2467299</v>
          </cell>
          <cell r="F4460" t="str">
            <v>LD240726O-3198A</v>
          </cell>
          <cell r="G4460">
            <v>10</v>
          </cell>
          <cell r="H4460" t="str">
            <v>DNA病毒组文库</v>
          </cell>
          <cell r="J4460">
            <v>82.4</v>
          </cell>
          <cell r="N4460" t="e">
            <v>#DIV/0!</v>
          </cell>
        </row>
        <row r="4461">
          <cell r="E4461" t="str">
            <v>HGC-Lib-2467300</v>
          </cell>
          <cell r="F4461" t="str">
            <v>LD240726O-3199A</v>
          </cell>
          <cell r="G4461">
            <v>10</v>
          </cell>
          <cell r="H4461" t="str">
            <v>DNA病毒组文库</v>
          </cell>
          <cell r="J4461">
            <v>58.2</v>
          </cell>
          <cell r="N4461" t="e">
            <v>#DIV/0!</v>
          </cell>
        </row>
        <row r="4462">
          <cell r="E4462" t="str">
            <v>HGC-Lib-2467301</v>
          </cell>
          <cell r="F4462" t="str">
            <v>LD240726O-3200A</v>
          </cell>
          <cell r="G4462">
            <v>10</v>
          </cell>
          <cell r="H4462" t="str">
            <v>DNA病毒组文库</v>
          </cell>
          <cell r="J4462">
            <v>5.24</v>
          </cell>
          <cell r="N4462" t="e">
            <v>#DIV/0!</v>
          </cell>
        </row>
        <row r="4463">
          <cell r="E4463" t="str">
            <v>HGC-Lib-2467302</v>
          </cell>
          <cell r="F4463" t="str">
            <v>LD240726O-3201A</v>
          </cell>
          <cell r="G4463">
            <v>10</v>
          </cell>
          <cell r="H4463" t="str">
            <v>DNA病毒组文库</v>
          </cell>
          <cell r="J4463">
            <v>14.2</v>
          </cell>
          <cell r="N4463" t="e">
            <v>#DIV/0!</v>
          </cell>
        </row>
        <row r="4464">
          <cell r="E4464" t="str">
            <v>HGC-Lib-2467303</v>
          </cell>
          <cell r="F4464" t="str">
            <v>LD240726O-3202A</v>
          </cell>
          <cell r="G4464">
            <v>10</v>
          </cell>
          <cell r="H4464" t="str">
            <v>DNA病毒组文库</v>
          </cell>
          <cell r="J4464">
            <v>51</v>
          </cell>
          <cell r="N4464" t="e">
            <v>#DIV/0!</v>
          </cell>
        </row>
        <row r="4465">
          <cell r="E4465" t="str">
            <v>HGC-Lib-2467304</v>
          </cell>
          <cell r="F4465" t="str">
            <v>LD240726O-3203A</v>
          </cell>
          <cell r="G4465">
            <v>10</v>
          </cell>
          <cell r="H4465" t="str">
            <v>DNA病毒组文库</v>
          </cell>
          <cell r="J4465">
            <v>5.5</v>
          </cell>
          <cell r="N4465" t="e">
            <v>#DIV/0!</v>
          </cell>
        </row>
        <row r="4466">
          <cell r="E4466" t="str">
            <v>HGC-Lib-2467305</v>
          </cell>
          <cell r="F4466" t="str">
            <v>LD240726O-3204A</v>
          </cell>
          <cell r="G4466">
            <v>10</v>
          </cell>
          <cell r="H4466" t="str">
            <v>DNA病毒组文库</v>
          </cell>
          <cell r="J4466">
            <v>12.3</v>
          </cell>
          <cell r="N4466" t="e">
            <v>#DIV/0!</v>
          </cell>
        </row>
        <row r="4467">
          <cell r="E4467" t="str">
            <v>HGC-Lib-2467306</v>
          </cell>
          <cell r="F4467" t="str">
            <v>LD240726O-3205A</v>
          </cell>
          <cell r="G4467">
            <v>10</v>
          </cell>
          <cell r="H4467" t="str">
            <v>DNA病毒组文库</v>
          </cell>
          <cell r="J4467">
            <v>62.8</v>
          </cell>
          <cell r="N4467" t="e">
            <v>#DIV/0!</v>
          </cell>
        </row>
        <row r="4468">
          <cell r="E4468" t="str">
            <v>HGC-Lib-2467307</v>
          </cell>
          <cell r="F4468" t="str">
            <v>LD240726O-3206A</v>
          </cell>
          <cell r="G4468">
            <v>10</v>
          </cell>
          <cell r="H4468" t="str">
            <v>DNA病毒组文库</v>
          </cell>
          <cell r="J4468">
            <v>18.600000000000001</v>
          </cell>
          <cell r="N4468" t="e">
            <v>#DIV/0!</v>
          </cell>
        </row>
        <row r="4469">
          <cell r="E4469" t="str">
            <v>HGC-Lib-2467308</v>
          </cell>
          <cell r="F4469" t="str">
            <v>LD240726O-3207A</v>
          </cell>
          <cell r="G4469">
            <v>10</v>
          </cell>
          <cell r="H4469" t="str">
            <v>DNA病毒组文库</v>
          </cell>
          <cell r="J4469">
            <v>72.2</v>
          </cell>
          <cell r="N4469" t="e">
            <v>#DIV/0!</v>
          </cell>
        </row>
        <row r="4470">
          <cell r="E4470" t="str">
            <v>HGC-Lib-2467309</v>
          </cell>
          <cell r="F4470" t="str">
            <v>LD240726O-3208A</v>
          </cell>
          <cell r="G4470">
            <v>10</v>
          </cell>
          <cell r="H4470" t="str">
            <v>DNA病毒组文库</v>
          </cell>
          <cell r="I4470" t="str">
            <v>YHT</v>
          </cell>
          <cell r="J4470">
            <v>43.2</v>
          </cell>
          <cell r="N4470" t="e">
            <v>#DIV/0!</v>
          </cell>
        </row>
        <row r="4471">
          <cell r="E4471" t="str">
            <v>HGC-Lib-2467310</v>
          </cell>
          <cell r="F4471" t="str">
            <v>LD240726O-3209A</v>
          </cell>
          <cell r="G4471">
            <v>10</v>
          </cell>
          <cell r="H4471" t="str">
            <v>DNA病毒组文库</v>
          </cell>
          <cell r="I4471" t="str">
            <v>YHT</v>
          </cell>
          <cell r="J4471">
            <v>33.6</v>
          </cell>
          <cell r="N4471" t="e">
            <v>#DIV/0!</v>
          </cell>
        </row>
        <row r="4472">
          <cell r="E4472" t="str">
            <v>HGC-Lib-2467311</v>
          </cell>
          <cell r="F4472" t="str">
            <v>LD240726O-3210A</v>
          </cell>
          <cell r="G4472">
            <v>10</v>
          </cell>
          <cell r="H4472" t="str">
            <v>DNA病毒组文库</v>
          </cell>
          <cell r="I4472" t="str">
            <v>YHT</v>
          </cell>
          <cell r="J4472">
            <v>5.12</v>
          </cell>
          <cell r="N4472" t="e">
            <v>#DIV/0!</v>
          </cell>
        </row>
        <row r="4473">
          <cell r="E4473" t="str">
            <v>HGC-Lib-2467312</v>
          </cell>
          <cell r="F4473" t="str">
            <v>LD240726O-3211A</v>
          </cell>
          <cell r="G4473">
            <v>10</v>
          </cell>
          <cell r="H4473" t="str">
            <v>DNA病毒组文库</v>
          </cell>
          <cell r="I4473" t="str">
            <v>YHT</v>
          </cell>
          <cell r="J4473">
            <v>8.0399999999999991</v>
          </cell>
          <cell r="N4473" t="e">
            <v>#DIV/0!</v>
          </cell>
        </row>
        <row r="4474">
          <cell r="E4474" t="str">
            <v>HGC-Lib-2467313</v>
          </cell>
          <cell r="F4474" t="str">
            <v>LD240726O-3212A</v>
          </cell>
          <cell r="G4474">
            <v>10</v>
          </cell>
          <cell r="H4474" t="str">
            <v>DNA病毒组文库</v>
          </cell>
          <cell r="I4474" t="str">
            <v>YHT</v>
          </cell>
          <cell r="J4474">
            <v>6.54</v>
          </cell>
          <cell r="N4474" t="e">
            <v>#DIV/0!</v>
          </cell>
        </row>
        <row r="4475">
          <cell r="E4475" t="str">
            <v>HGC-Lib-2467314</v>
          </cell>
          <cell r="F4475" t="str">
            <v>LD240726O-3213A</v>
          </cell>
          <cell r="G4475">
            <v>10</v>
          </cell>
          <cell r="H4475" t="str">
            <v>DNA病毒组文库</v>
          </cell>
          <cell r="I4475" t="str">
            <v>YHT</v>
          </cell>
          <cell r="J4475">
            <v>49</v>
          </cell>
          <cell r="N4475" t="e">
            <v>#DIV/0!</v>
          </cell>
        </row>
        <row r="4476">
          <cell r="E4476" t="str">
            <v>HGC-Lib-2467315</v>
          </cell>
          <cell r="F4476" t="str">
            <v>LD240726O-3214A</v>
          </cell>
          <cell r="G4476">
            <v>10</v>
          </cell>
          <cell r="H4476" t="str">
            <v>DNA病毒组文库</v>
          </cell>
          <cell r="I4476" t="str">
            <v>YHT</v>
          </cell>
          <cell r="J4476">
            <v>48.6</v>
          </cell>
          <cell r="N4476" t="e">
            <v>#DIV/0!</v>
          </cell>
        </row>
        <row r="4477">
          <cell r="E4477" t="str">
            <v>HGC-Lib-2467316</v>
          </cell>
          <cell r="F4477" t="str">
            <v>LD240726O-3215A</v>
          </cell>
          <cell r="G4477">
            <v>10</v>
          </cell>
          <cell r="H4477" t="str">
            <v>DNA病毒组文库</v>
          </cell>
          <cell r="I4477" t="str">
            <v>YHT</v>
          </cell>
          <cell r="J4477">
            <v>71.8</v>
          </cell>
          <cell r="N4477" t="e">
            <v>#DIV/0!</v>
          </cell>
        </row>
        <row r="4478">
          <cell r="E4478" t="str">
            <v>HGC-Lib-2467317</v>
          </cell>
          <cell r="F4478" t="str">
            <v>LD240726O-3216A</v>
          </cell>
          <cell r="G4478">
            <v>10</v>
          </cell>
          <cell r="H4478" t="str">
            <v>DNA病毒组文库</v>
          </cell>
          <cell r="I4478" t="str">
            <v>YHT</v>
          </cell>
          <cell r="J4478">
            <v>6.02</v>
          </cell>
          <cell r="N4478" t="e">
            <v>#DIV/0!</v>
          </cell>
        </row>
        <row r="4479">
          <cell r="E4479" t="str">
            <v>HGC-Lib-2467318</v>
          </cell>
          <cell r="F4479" t="str">
            <v>LD240726O-3217A</v>
          </cell>
          <cell r="G4479">
            <v>10</v>
          </cell>
          <cell r="H4479" t="str">
            <v>DNA病毒组文库</v>
          </cell>
          <cell r="I4479" t="str">
            <v>YHT</v>
          </cell>
          <cell r="J4479">
            <v>20.399999999999999</v>
          </cell>
          <cell r="N4479" t="e">
            <v>#DIV/0!</v>
          </cell>
        </row>
        <row r="4480">
          <cell r="E4480" t="str">
            <v>HGC-Lib-2467319</v>
          </cell>
          <cell r="F4480" t="str">
            <v>LD240726O-3218A</v>
          </cell>
          <cell r="G4480">
            <v>10</v>
          </cell>
          <cell r="H4480" t="str">
            <v>DNA病毒组文库</v>
          </cell>
          <cell r="I4480" t="str">
            <v>YHT</v>
          </cell>
          <cell r="J4480">
            <v>7.92</v>
          </cell>
          <cell r="N4480" t="e">
            <v>#DIV/0!</v>
          </cell>
        </row>
        <row r="4481">
          <cell r="E4481" t="str">
            <v>HGC-Lib-2467320</v>
          </cell>
          <cell r="F4481" t="str">
            <v>LD240726O-3219A</v>
          </cell>
          <cell r="G4481">
            <v>10</v>
          </cell>
          <cell r="H4481" t="str">
            <v>DNA病毒组文库</v>
          </cell>
          <cell r="I4481" t="str">
            <v>YHT</v>
          </cell>
          <cell r="J4481">
            <v>28.4</v>
          </cell>
          <cell r="N4481" t="e">
            <v>#DIV/0!</v>
          </cell>
        </row>
        <row r="4482">
          <cell r="E4482" t="str">
            <v>HGC-Lib-2467321</v>
          </cell>
          <cell r="F4482" t="str">
            <v>LD240726O-3220A</v>
          </cell>
          <cell r="G4482">
            <v>10</v>
          </cell>
          <cell r="H4482" t="str">
            <v>DNA病毒组文库</v>
          </cell>
          <cell r="I4482" t="str">
            <v>YHT</v>
          </cell>
          <cell r="J4482">
            <v>95.6</v>
          </cell>
          <cell r="N4482" t="e">
            <v>#DIV/0!</v>
          </cell>
        </row>
        <row r="4483">
          <cell r="E4483" t="str">
            <v>HGC-Lib-2467322</v>
          </cell>
          <cell r="F4483" t="str">
            <v>LD240726O-3221A</v>
          </cell>
          <cell r="G4483">
            <v>10</v>
          </cell>
          <cell r="H4483" t="str">
            <v>DNA病毒组文库</v>
          </cell>
          <cell r="I4483" t="str">
            <v>YHT</v>
          </cell>
          <cell r="J4483">
            <v>12.7</v>
          </cell>
          <cell r="N4483" t="e">
            <v>#DIV/0!</v>
          </cell>
        </row>
        <row r="4484">
          <cell r="E4484" t="str">
            <v>HGC-Lib-2467323</v>
          </cell>
          <cell r="F4484" t="str">
            <v>LD240726O-3222A</v>
          </cell>
          <cell r="G4484">
            <v>10</v>
          </cell>
          <cell r="H4484" t="str">
            <v>DNA病毒组文库</v>
          </cell>
          <cell r="I4484" t="str">
            <v>YHT</v>
          </cell>
          <cell r="J4484">
            <v>5.68</v>
          </cell>
          <cell r="N4484" t="e">
            <v>#DIV/0!</v>
          </cell>
        </row>
        <row r="4485">
          <cell r="E4485" t="str">
            <v>HGC-Lib-2467324</v>
          </cell>
          <cell r="F4485" t="str">
            <v>LD240801O-3254A</v>
          </cell>
          <cell r="G4485">
            <v>20</v>
          </cell>
          <cell r="H4485" t="str">
            <v>DNA宏基因组文库</v>
          </cell>
          <cell r="I4485" t="str">
            <v>YHT</v>
          </cell>
          <cell r="J4485">
            <v>29.6</v>
          </cell>
          <cell r="N4485" t="e">
            <v>#DIV/0!</v>
          </cell>
        </row>
        <row r="4486">
          <cell r="E4486" t="str">
            <v>HGC-Lib-2467325</v>
          </cell>
          <cell r="F4486" t="str">
            <v>LD240801O-3255A</v>
          </cell>
          <cell r="G4486">
            <v>20</v>
          </cell>
          <cell r="H4486" t="str">
            <v>DNA宏基因组文库</v>
          </cell>
          <cell r="I4486" t="str">
            <v>YHT</v>
          </cell>
          <cell r="J4486">
            <v>40.6</v>
          </cell>
          <cell r="N4486" t="e">
            <v>#DIV/0!</v>
          </cell>
        </row>
        <row r="4487">
          <cell r="E4487" t="str">
            <v>HGC-Lib-2467326</v>
          </cell>
          <cell r="F4487" t="str">
            <v>LD240801O-3256A</v>
          </cell>
          <cell r="G4487">
            <v>20</v>
          </cell>
          <cell r="H4487" t="str">
            <v>DNA宏基因组文库</v>
          </cell>
          <cell r="I4487" t="str">
            <v>YHT</v>
          </cell>
          <cell r="J4487">
            <v>37.799999999999997</v>
          </cell>
          <cell r="N4487" t="e">
            <v>#DIV/0!</v>
          </cell>
        </row>
        <row r="4488">
          <cell r="E4488" t="str">
            <v>HGC-Lib-2467327</v>
          </cell>
          <cell r="F4488" t="str">
            <v>LD240801O-3257A</v>
          </cell>
          <cell r="G4488">
            <v>20</v>
          </cell>
          <cell r="H4488" t="str">
            <v>DNA宏基因组文库</v>
          </cell>
          <cell r="I4488" t="str">
            <v>YHT</v>
          </cell>
          <cell r="J4488">
            <v>22.6</v>
          </cell>
          <cell r="N4488" t="e">
            <v>#DIV/0!</v>
          </cell>
        </row>
        <row r="4489">
          <cell r="E4489" t="str">
            <v>HGC-Lib-2467328</v>
          </cell>
          <cell r="F4489" t="str">
            <v>LD240801O-3258A</v>
          </cell>
          <cell r="G4489">
            <v>20</v>
          </cell>
          <cell r="H4489" t="str">
            <v>DNA宏基因组文库</v>
          </cell>
          <cell r="I4489" t="str">
            <v>YHT</v>
          </cell>
          <cell r="J4489">
            <v>40.4</v>
          </cell>
          <cell r="N4489" t="e">
            <v>#DIV/0!</v>
          </cell>
        </row>
        <row r="4490">
          <cell r="E4490" t="str">
            <v>HGC-Lib-2467329</v>
          </cell>
          <cell r="F4490" t="str">
            <v>LD240801O-3259A</v>
          </cell>
          <cell r="G4490">
            <v>20</v>
          </cell>
          <cell r="H4490" t="str">
            <v>DNA宏基因组文库</v>
          </cell>
          <cell r="I4490" t="str">
            <v>YHT</v>
          </cell>
          <cell r="J4490">
            <v>31.8</v>
          </cell>
          <cell r="N4490" t="e">
            <v>#DIV/0!</v>
          </cell>
        </row>
        <row r="4491">
          <cell r="E4491" t="str">
            <v>HGC-Lib-2467330</v>
          </cell>
          <cell r="F4491" t="str">
            <v>LD240801O-3260A</v>
          </cell>
          <cell r="G4491">
            <v>20</v>
          </cell>
          <cell r="H4491" t="str">
            <v>DNA宏基因组文库</v>
          </cell>
          <cell r="I4491" t="str">
            <v>YHT</v>
          </cell>
          <cell r="J4491">
            <v>15.4</v>
          </cell>
          <cell r="N4491" t="e">
            <v>#DIV/0!</v>
          </cell>
        </row>
        <row r="4492">
          <cell r="E4492" t="str">
            <v>HGC-Lib-2467331</v>
          </cell>
          <cell r="F4492" t="str">
            <v>LD240801O-3261A</v>
          </cell>
          <cell r="G4492">
            <v>20</v>
          </cell>
          <cell r="H4492" t="str">
            <v>DNA宏基因组文库</v>
          </cell>
          <cell r="I4492" t="str">
            <v>YHT</v>
          </cell>
          <cell r="J4492">
            <v>21.4</v>
          </cell>
          <cell r="N4492" t="e">
            <v>#DIV/0!</v>
          </cell>
        </row>
        <row r="4493">
          <cell r="E4493" t="str">
            <v>HGC-Lib-2467332</v>
          </cell>
          <cell r="F4493" t="str">
            <v>LD240801O-3262A</v>
          </cell>
          <cell r="G4493">
            <v>20</v>
          </cell>
          <cell r="H4493" t="str">
            <v>DNA宏基因组文库</v>
          </cell>
          <cell r="I4493" t="str">
            <v>YHT</v>
          </cell>
          <cell r="J4493">
            <v>48.2</v>
          </cell>
          <cell r="N4493" t="e">
            <v>#DIV/0!</v>
          </cell>
        </row>
        <row r="4494">
          <cell r="E4494" t="str">
            <v>HGC-Lib-2467333</v>
          </cell>
          <cell r="F4494" t="str">
            <v>LD240801O-3263A</v>
          </cell>
          <cell r="G4494">
            <v>20</v>
          </cell>
          <cell r="H4494" t="str">
            <v>DNA宏基因组文库</v>
          </cell>
          <cell r="I4494" t="str">
            <v>YHT</v>
          </cell>
          <cell r="J4494">
            <v>17.399999999999999</v>
          </cell>
          <cell r="N4494" t="e">
            <v>#DIV/0!</v>
          </cell>
        </row>
        <row r="4495">
          <cell r="E4495" t="str">
            <v>HGC-Lib-2467334</v>
          </cell>
          <cell r="F4495" t="str">
            <v>LD240801O-3264A</v>
          </cell>
          <cell r="G4495">
            <v>20</v>
          </cell>
          <cell r="H4495" t="str">
            <v>DNA宏基因组文库</v>
          </cell>
          <cell r="I4495" t="str">
            <v>YHT</v>
          </cell>
          <cell r="J4495">
            <v>3.88</v>
          </cell>
          <cell r="N4495" t="e">
            <v>#DIV/0!</v>
          </cell>
        </row>
        <row r="4496">
          <cell r="E4496" t="str">
            <v>HGC-Lib-2467335</v>
          </cell>
          <cell r="F4496" t="str">
            <v>LD240801O-3265A</v>
          </cell>
          <cell r="G4496">
            <v>20</v>
          </cell>
          <cell r="H4496" t="str">
            <v>DNA宏基因组文库</v>
          </cell>
          <cell r="I4496" t="str">
            <v>YHT</v>
          </cell>
          <cell r="J4496">
            <v>20.2</v>
          </cell>
          <cell r="N4496" t="e">
            <v>#DIV/0!</v>
          </cell>
        </row>
        <row r="4497">
          <cell r="E4497" t="str">
            <v>HGC-Lib-2467336</v>
          </cell>
          <cell r="F4497" t="str">
            <v>LD240801O-3266A</v>
          </cell>
          <cell r="G4497">
            <v>20</v>
          </cell>
          <cell r="H4497" t="str">
            <v>DNA宏基因组文库</v>
          </cell>
          <cell r="I4497" t="str">
            <v>YHT</v>
          </cell>
          <cell r="J4497">
            <v>10.8</v>
          </cell>
          <cell r="N4497" t="e">
            <v>#DIV/0!</v>
          </cell>
        </row>
        <row r="4498">
          <cell r="E4498" t="str">
            <v>HGC-Lib-2467337</v>
          </cell>
          <cell r="F4498" t="str">
            <v>LD240801O-3267A</v>
          </cell>
          <cell r="G4498">
            <v>20</v>
          </cell>
          <cell r="H4498" t="str">
            <v>DNA宏基因组文库</v>
          </cell>
          <cell r="I4498" t="str">
            <v>YHT</v>
          </cell>
          <cell r="J4498">
            <v>22.6</v>
          </cell>
          <cell r="N4498" t="e">
            <v>#DIV/0!</v>
          </cell>
        </row>
        <row r="4499">
          <cell r="E4499" t="str">
            <v>HGC-Lib-2467338</v>
          </cell>
          <cell r="F4499" t="str">
            <v>LM240725O-2764A</v>
          </cell>
          <cell r="G4499">
            <v>1</v>
          </cell>
          <cell r="H4499" t="str">
            <v>扩增子文库</v>
          </cell>
          <cell r="I4499" t="str">
            <v>YHT</v>
          </cell>
          <cell r="J4499">
            <v>19.3</v>
          </cell>
          <cell r="N4499" t="e">
            <v>#DIV/0!</v>
          </cell>
        </row>
        <row r="4500">
          <cell r="E4500" t="str">
            <v>HGC-Lib-2467339</v>
          </cell>
          <cell r="F4500" t="str">
            <v>LM240725O-2765A</v>
          </cell>
          <cell r="G4500">
            <v>1</v>
          </cell>
          <cell r="H4500" t="str">
            <v>扩增子文库</v>
          </cell>
          <cell r="I4500" t="str">
            <v>YHT</v>
          </cell>
          <cell r="J4500">
            <v>31</v>
          </cell>
          <cell r="N4500" t="e">
            <v>#DIV/0!</v>
          </cell>
        </row>
        <row r="4501">
          <cell r="E4501" t="str">
            <v>HGC-Lib-2467340</v>
          </cell>
          <cell r="F4501" t="str">
            <v>LR240801O-3563A</v>
          </cell>
          <cell r="G4501">
            <v>30</v>
          </cell>
          <cell r="H4501" t="str">
            <v>宏转录组文库</v>
          </cell>
          <cell r="I4501" t="str">
            <v>YHT</v>
          </cell>
          <cell r="J4501">
            <v>13.9</v>
          </cell>
          <cell r="N4501" t="e">
            <v>#DIV/0!</v>
          </cell>
        </row>
        <row r="4502">
          <cell r="E4502" t="str">
            <v>HGC-Lib-2467341</v>
          </cell>
          <cell r="F4502" t="str">
            <v>LR240801O-3564A</v>
          </cell>
          <cell r="G4502">
            <v>30</v>
          </cell>
          <cell r="H4502" t="str">
            <v>宏转录组文库</v>
          </cell>
          <cell r="I4502" t="str">
            <v>YHT</v>
          </cell>
          <cell r="J4502">
            <v>31.6</v>
          </cell>
          <cell r="N4502" t="e">
            <v>#DIV/0!</v>
          </cell>
        </row>
        <row r="4503">
          <cell r="E4503" t="str">
            <v>HGC-Lib-2467342</v>
          </cell>
          <cell r="F4503" t="str">
            <v>LR240801O-3565A</v>
          </cell>
          <cell r="G4503">
            <v>30</v>
          </cell>
          <cell r="H4503" t="str">
            <v>宏转录组文库</v>
          </cell>
          <cell r="I4503" t="str">
            <v>YHT</v>
          </cell>
          <cell r="J4503">
            <v>7</v>
          </cell>
          <cell r="N4503" t="e">
            <v>#DIV/0!</v>
          </cell>
        </row>
        <row r="4504">
          <cell r="E4504" t="str">
            <v>HGC-Lib-2467343</v>
          </cell>
          <cell r="F4504" t="str">
            <v>LR240801O-3566A</v>
          </cell>
          <cell r="G4504">
            <v>30</v>
          </cell>
          <cell r="H4504" t="str">
            <v>宏转录组文库</v>
          </cell>
          <cell r="I4504" t="str">
            <v>YHT</v>
          </cell>
          <cell r="J4504">
            <v>11.3</v>
          </cell>
          <cell r="N4504" t="e">
            <v>#DIV/0!</v>
          </cell>
        </row>
        <row r="4505">
          <cell r="E4505" t="str">
            <v>HGC-Lib-2467344</v>
          </cell>
          <cell r="F4505" t="str">
            <v>LR240801O-3567A</v>
          </cell>
          <cell r="G4505">
            <v>30</v>
          </cell>
          <cell r="H4505" t="str">
            <v>宏转录组文库</v>
          </cell>
          <cell r="I4505" t="str">
            <v>YHT</v>
          </cell>
          <cell r="J4505">
            <v>16.399999999999999</v>
          </cell>
          <cell r="N4505" t="e">
            <v>#DIV/0!</v>
          </cell>
        </row>
        <row r="4506">
          <cell r="E4506" t="str">
            <v>HGC-Lib-2467345</v>
          </cell>
          <cell r="F4506" t="str">
            <v>LR240801O-3568A</v>
          </cell>
          <cell r="G4506">
            <v>30</v>
          </cell>
          <cell r="H4506" t="str">
            <v>宏转录组文库</v>
          </cell>
          <cell r="I4506" t="str">
            <v>YHT</v>
          </cell>
          <cell r="J4506">
            <v>14.7</v>
          </cell>
          <cell r="N4506" t="e">
            <v>#DIV/0!</v>
          </cell>
        </row>
        <row r="4507">
          <cell r="E4507" t="str">
            <v>HGC-Lib-2467346</v>
          </cell>
          <cell r="F4507" t="str">
            <v>LR240801O-3569A</v>
          </cell>
          <cell r="G4507">
            <v>4</v>
          </cell>
          <cell r="H4507" t="str">
            <v>原核链特异性转录组文库</v>
          </cell>
          <cell r="I4507" t="str">
            <v>YHT</v>
          </cell>
          <cell r="J4507">
            <v>30</v>
          </cell>
          <cell r="N4507" t="e">
            <v>#DIV/0!</v>
          </cell>
        </row>
        <row r="4508">
          <cell r="E4508" t="str">
            <v>HGC-Lib-2467347</v>
          </cell>
          <cell r="F4508" t="str">
            <v>LR240801O-3570A</v>
          </cell>
          <cell r="G4508">
            <v>4</v>
          </cell>
          <cell r="H4508" t="str">
            <v>原核链特异性转录组文库</v>
          </cell>
          <cell r="I4508" t="str">
            <v>YHT</v>
          </cell>
          <cell r="J4508">
            <v>31</v>
          </cell>
          <cell r="N4508" t="e">
            <v>#DIV/0!</v>
          </cell>
        </row>
        <row r="4509">
          <cell r="E4509" t="str">
            <v>HGC-Lib-2467348</v>
          </cell>
          <cell r="F4509" t="str">
            <v>LR240801O-3571A</v>
          </cell>
          <cell r="G4509">
            <v>4</v>
          </cell>
          <cell r="H4509" t="str">
            <v>原核链特异性转录组文库</v>
          </cell>
          <cell r="I4509" t="str">
            <v>YHT</v>
          </cell>
          <cell r="J4509">
            <v>21.2</v>
          </cell>
          <cell r="N4509" t="e">
            <v>#DIV/0!</v>
          </cell>
        </row>
        <row r="4510">
          <cell r="E4510" t="str">
            <v>HGC-Lib-2467349</v>
          </cell>
          <cell r="F4510" t="str">
            <v>LR240801O-3572A</v>
          </cell>
          <cell r="G4510">
            <v>4</v>
          </cell>
          <cell r="H4510" t="str">
            <v>原核链特异性转录组文库</v>
          </cell>
          <cell r="I4510" t="str">
            <v>YHT</v>
          </cell>
          <cell r="J4510">
            <v>24.8</v>
          </cell>
          <cell r="N4510" t="e">
            <v>#DIV/0!</v>
          </cell>
        </row>
        <row r="4511">
          <cell r="E4511" t="str">
            <v>HGC-Lib-2467350</v>
          </cell>
          <cell r="F4511" t="str">
            <v>LR240801O-3573A</v>
          </cell>
          <cell r="G4511">
            <v>4</v>
          </cell>
          <cell r="H4511" t="str">
            <v>原核链特异性转录组文库</v>
          </cell>
          <cell r="I4511" t="str">
            <v>YHT</v>
          </cell>
          <cell r="J4511">
            <v>19.7</v>
          </cell>
          <cell r="N4511" t="e">
            <v>#DIV/0!</v>
          </cell>
        </row>
        <row r="4512">
          <cell r="E4512" t="str">
            <v>HGC-Lib-2467351</v>
          </cell>
          <cell r="F4512" t="str">
            <v>LR240801O-3574A</v>
          </cell>
          <cell r="G4512">
            <v>4</v>
          </cell>
          <cell r="H4512" t="str">
            <v>原核链特异性转录组文库</v>
          </cell>
          <cell r="I4512" t="str">
            <v>YHT</v>
          </cell>
          <cell r="J4512">
            <v>22.2</v>
          </cell>
          <cell r="N4512" t="e">
            <v>#DIV/0!</v>
          </cell>
        </row>
        <row r="4513">
          <cell r="E4513" t="str">
            <v>HGC-Lib-2467352</v>
          </cell>
          <cell r="F4513" t="str">
            <v>LR240801O-3575A</v>
          </cell>
          <cell r="G4513">
            <v>4</v>
          </cell>
          <cell r="H4513" t="str">
            <v>原核链特异性转录组文库</v>
          </cell>
          <cell r="I4513" t="str">
            <v>YHT</v>
          </cell>
          <cell r="J4513">
            <v>23.4</v>
          </cell>
          <cell r="N4513" t="e">
            <v>#DIV/0!</v>
          </cell>
        </row>
        <row r="4514">
          <cell r="E4514" t="str">
            <v>HGC-Lib-2467353</v>
          </cell>
          <cell r="F4514" t="str">
            <v>LR240801O-3576A</v>
          </cell>
          <cell r="G4514">
            <v>4</v>
          </cell>
          <cell r="H4514" t="str">
            <v>原核链特异性转录组文库</v>
          </cell>
          <cell r="I4514" t="str">
            <v>YHT</v>
          </cell>
          <cell r="J4514">
            <v>18.899999999999999</v>
          </cell>
          <cell r="N4514" t="e">
            <v>#DIV/0!</v>
          </cell>
        </row>
        <row r="4515">
          <cell r="E4515" t="str">
            <v>HGC-Lib-2467354</v>
          </cell>
          <cell r="F4515" t="str">
            <v>LR240801O-3577A</v>
          </cell>
          <cell r="G4515">
            <v>4</v>
          </cell>
          <cell r="H4515" t="str">
            <v>原核链特异性转录组文库</v>
          </cell>
          <cell r="I4515" t="str">
            <v>YHT</v>
          </cell>
          <cell r="J4515">
            <v>27</v>
          </cell>
          <cell r="N4515" t="e">
            <v>#DIV/0!</v>
          </cell>
        </row>
        <row r="4516">
          <cell r="E4516" t="str">
            <v>HGC-Lib-2467355</v>
          </cell>
          <cell r="F4516" t="str">
            <v>LR240801O-3578A</v>
          </cell>
          <cell r="G4516">
            <v>4</v>
          </cell>
          <cell r="H4516" t="str">
            <v>原核链特异性转录组文库</v>
          </cell>
          <cell r="I4516" t="str">
            <v>YHT</v>
          </cell>
          <cell r="J4516">
            <v>25.4</v>
          </cell>
          <cell r="N4516" t="e">
            <v>#DIV/0!</v>
          </cell>
        </row>
        <row r="4517">
          <cell r="E4517" t="str">
            <v>HGC-Lib-2467356</v>
          </cell>
          <cell r="F4517" t="str">
            <v>LR240801O-3579A</v>
          </cell>
          <cell r="G4517">
            <v>4</v>
          </cell>
          <cell r="H4517" t="str">
            <v>原核链特异性转录组文库</v>
          </cell>
          <cell r="I4517" t="str">
            <v>YHT</v>
          </cell>
          <cell r="J4517">
            <v>20</v>
          </cell>
          <cell r="N4517" t="e">
            <v>#DIV/0!</v>
          </cell>
        </row>
        <row r="4518">
          <cell r="E4518" t="str">
            <v>HGC-Lib-2467357</v>
          </cell>
          <cell r="F4518" t="str">
            <v>LR240801O-3580A</v>
          </cell>
          <cell r="G4518">
            <v>4</v>
          </cell>
          <cell r="H4518" t="str">
            <v>原核链特异性转录组文库</v>
          </cell>
          <cell r="J4518">
            <v>25.6</v>
          </cell>
          <cell r="N4518" t="e">
            <v>#DIV/0!</v>
          </cell>
        </row>
        <row r="4519">
          <cell r="E4519" t="str">
            <v>HGC-Lib-2467358</v>
          </cell>
          <cell r="F4519" t="str">
            <v>LR240801O-3581A</v>
          </cell>
          <cell r="G4519">
            <v>4</v>
          </cell>
          <cell r="H4519" t="str">
            <v>原核链特异性转录组文库</v>
          </cell>
          <cell r="J4519">
            <v>24.8</v>
          </cell>
          <cell r="N4519" t="e">
            <v>#DIV/0!</v>
          </cell>
        </row>
        <row r="4520">
          <cell r="E4520" t="str">
            <v>HGC-Lib-2467359</v>
          </cell>
          <cell r="F4520" t="str">
            <v>LR240801O-3582A</v>
          </cell>
          <cell r="G4520">
            <v>4</v>
          </cell>
          <cell r="H4520" t="str">
            <v>原核链特异性转录组文库</v>
          </cell>
          <cell r="J4520">
            <v>20</v>
          </cell>
          <cell r="N4520" t="e">
            <v>#DIV/0!</v>
          </cell>
        </row>
        <row r="4521">
          <cell r="E4521" t="str">
            <v>HGC-Lib-2467360</v>
          </cell>
          <cell r="F4521" t="str">
            <v>LR240801O-3583A</v>
          </cell>
          <cell r="G4521">
            <v>4</v>
          </cell>
          <cell r="H4521" t="str">
            <v>原核链特异性转录组文库</v>
          </cell>
          <cell r="J4521">
            <v>18.7</v>
          </cell>
          <cell r="N4521" t="e">
            <v>#DIV/0!</v>
          </cell>
        </row>
        <row r="4522">
          <cell r="E4522" t="str">
            <v>HGC-Lib-2467361</v>
          </cell>
          <cell r="F4522" t="str">
            <v>LR240802O-1021A</v>
          </cell>
          <cell r="G4522">
            <v>2</v>
          </cell>
          <cell r="H4522" t="str">
            <v>原核链特异性转录组文库</v>
          </cell>
          <cell r="J4522">
            <v>31.2</v>
          </cell>
          <cell r="N4522" t="e">
            <v>#DIV/0!</v>
          </cell>
        </row>
        <row r="4523">
          <cell r="E4523" t="str">
            <v>HGC-Lib-2467362</v>
          </cell>
          <cell r="F4523" t="str">
            <v>LR240802O-1022A</v>
          </cell>
          <cell r="G4523">
            <v>2</v>
          </cell>
          <cell r="H4523" t="str">
            <v>原核链特异性转录组文库</v>
          </cell>
          <cell r="J4523">
            <v>31.6</v>
          </cell>
          <cell r="N4523" t="e">
            <v>#DIV/0!</v>
          </cell>
        </row>
        <row r="4524">
          <cell r="E4524" t="str">
            <v>HGC-Lib-2467363</v>
          </cell>
          <cell r="F4524" t="str">
            <v>LR240802O-1023A</v>
          </cell>
          <cell r="G4524">
            <v>2</v>
          </cell>
          <cell r="H4524" t="str">
            <v>原核链特异性转录组文库</v>
          </cell>
          <cell r="J4524">
            <v>29.8</v>
          </cell>
          <cell r="N4524" t="e">
            <v>#DIV/0!</v>
          </cell>
        </row>
        <row r="4525">
          <cell r="E4525" t="str">
            <v>HGC-Lib-2467364</v>
          </cell>
          <cell r="F4525" t="str">
            <v>LR240802O-1024A</v>
          </cell>
          <cell r="G4525">
            <v>2</v>
          </cell>
          <cell r="H4525" t="str">
            <v>原核链特异性转录组文库</v>
          </cell>
          <cell r="J4525">
            <v>28.6</v>
          </cell>
          <cell r="N4525" t="e">
            <v>#DIV/0!</v>
          </cell>
        </row>
        <row r="4526">
          <cell r="E4526" t="str">
            <v>HGC-Lib-2467365</v>
          </cell>
          <cell r="F4526" t="str">
            <v>LR240802O-1025A</v>
          </cell>
          <cell r="G4526">
            <v>2</v>
          </cell>
          <cell r="H4526" t="str">
            <v>原核链特异性转录组文库</v>
          </cell>
          <cell r="J4526">
            <v>27.8</v>
          </cell>
          <cell r="N4526" t="e">
            <v>#DIV/0!</v>
          </cell>
        </row>
        <row r="4527">
          <cell r="E4527" t="str">
            <v>HGC-Lib-2467366</v>
          </cell>
          <cell r="F4527" t="str">
            <v>LR240802O-1026A</v>
          </cell>
          <cell r="G4527">
            <v>2</v>
          </cell>
          <cell r="H4527" t="str">
            <v>原核链特异性转录组文库</v>
          </cell>
          <cell r="J4527">
            <v>29.8</v>
          </cell>
          <cell r="N4527" t="e">
            <v>#DIV/0!</v>
          </cell>
        </row>
        <row r="4528">
          <cell r="E4528" t="str">
            <v>HGC-Lib-2467367</v>
          </cell>
          <cell r="F4528" t="str">
            <v>LR240802O-1027A</v>
          </cell>
          <cell r="G4528">
            <v>2</v>
          </cell>
          <cell r="H4528" t="str">
            <v>原核链特异性转录组文库</v>
          </cell>
          <cell r="J4528">
            <v>37.4</v>
          </cell>
          <cell r="N4528" t="e">
            <v>#DIV/0!</v>
          </cell>
        </row>
        <row r="4529">
          <cell r="E4529" t="str">
            <v>HGC-Lib-2467368</v>
          </cell>
          <cell r="F4529" t="str">
            <v>LR240802O-1028A</v>
          </cell>
          <cell r="G4529">
            <v>2</v>
          </cell>
          <cell r="H4529" t="str">
            <v>原核链特异性转录组文库</v>
          </cell>
          <cell r="J4529">
            <v>55.2</v>
          </cell>
          <cell r="N4529" t="e">
            <v>#DIV/0!</v>
          </cell>
        </row>
        <row r="4530">
          <cell r="E4530" t="str">
            <v>HGC-Lib-2467369</v>
          </cell>
          <cell r="F4530" t="str">
            <v>LR240802O-1029A</v>
          </cell>
          <cell r="G4530">
            <v>2</v>
          </cell>
          <cell r="H4530" t="str">
            <v>原核链特异性转录组文库</v>
          </cell>
          <cell r="J4530">
            <v>26.6</v>
          </cell>
          <cell r="N4530" t="e">
            <v>#DIV/0!</v>
          </cell>
        </row>
        <row r="4531">
          <cell r="E4531" t="str">
            <v>HGC-Lib-2467370</v>
          </cell>
          <cell r="F4531" t="str">
            <v>LR240802O-1030A</v>
          </cell>
          <cell r="G4531">
            <v>2</v>
          </cell>
          <cell r="H4531" t="str">
            <v>原核链特异性转录组文库</v>
          </cell>
          <cell r="J4531">
            <v>10.5</v>
          </cell>
          <cell r="N4531" t="e">
            <v>#DIV/0!</v>
          </cell>
        </row>
        <row r="4532">
          <cell r="E4532" t="str">
            <v>HGC-Lib-2467371</v>
          </cell>
          <cell r="F4532" t="str">
            <v>LR240802O-1031A</v>
          </cell>
          <cell r="G4532">
            <v>2</v>
          </cell>
          <cell r="H4532" t="str">
            <v>原核链特异性转录组文库</v>
          </cell>
          <cell r="J4532">
            <v>32.200000000000003</v>
          </cell>
          <cell r="N4532" t="e">
            <v>#DIV/0!</v>
          </cell>
        </row>
        <row r="4533">
          <cell r="E4533" t="str">
            <v>HGC-Lib-2467372</v>
          </cell>
          <cell r="F4533" t="str">
            <v>LR240806O-1164A</v>
          </cell>
          <cell r="G4533">
            <v>2</v>
          </cell>
          <cell r="H4533" t="str">
            <v>原核链特异性转录组文库</v>
          </cell>
          <cell r="J4533">
            <v>6.08</v>
          </cell>
          <cell r="N4533" t="e">
            <v>#DIV/0!</v>
          </cell>
        </row>
        <row r="4534">
          <cell r="E4534" t="str">
            <v>HGC-Lib-2467373</v>
          </cell>
          <cell r="F4534" t="str">
            <v>LR240806O-1165A</v>
          </cell>
          <cell r="G4534">
            <v>2</v>
          </cell>
          <cell r="H4534" t="str">
            <v>原核链特异性转录组文库</v>
          </cell>
          <cell r="J4534">
            <v>9.02</v>
          </cell>
          <cell r="N4534" t="e">
            <v>#DIV/0!</v>
          </cell>
        </row>
        <row r="4535">
          <cell r="E4535" t="str">
            <v>HGC-Lib-2467374</v>
          </cell>
          <cell r="F4535" t="str">
            <v>LR240806O-1166A</v>
          </cell>
          <cell r="G4535">
            <v>2</v>
          </cell>
          <cell r="H4535" t="str">
            <v>原核链特异性转录组文库</v>
          </cell>
          <cell r="J4535">
            <v>13.2</v>
          </cell>
          <cell r="N4535" t="e">
            <v>#DIV/0!</v>
          </cell>
        </row>
        <row r="4536">
          <cell r="E4536" t="str">
            <v>HGC-Lib-2467375</v>
          </cell>
          <cell r="F4536" t="str">
            <v>LR240806O-1167A</v>
          </cell>
          <cell r="G4536">
            <v>2</v>
          </cell>
          <cell r="H4536" t="str">
            <v>原核链特异性转录组文库</v>
          </cell>
          <cell r="J4536">
            <v>10.4</v>
          </cell>
          <cell r="N4536" t="e">
            <v>#DIV/0!</v>
          </cell>
        </row>
        <row r="4537">
          <cell r="E4537" t="str">
            <v>HGC-Lib-2467376</v>
          </cell>
          <cell r="F4537" t="str">
            <v>LR240806O-1168A</v>
          </cell>
          <cell r="G4537">
            <v>2</v>
          </cell>
          <cell r="H4537" t="str">
            <v>原核链特异性转录组文库</v>
          </cell>
          <cell r="J4537">
            <v>7.22</v>
          </cell>
          <cell r="N4537" t="e">
            <v>#DIV/0!</v>
          </cell>
        </row>
        <row r="4538">
          <cell r="E4538" t="str">
            <v>HGC-Lib-2467377</v>
          </cell>
          <cell r="F4538" t="str">
            <v>LR240806O-1169A</v>
          </cell>
          <cell r="G4538">
            <v>2</v>
          </cell>
          <cell r="H4538" t="str">
            <v>原核链特异性转录组文库</v>
          </cell>
          <cell r="J4538">
            <v>8.1999999999999993</v>
          </cell>
          <cell r="N4538" t="e">
            <v>#DIV/0!</v>
          </cell>
        </row>
        <row r="4539">
          <cell r="E4539" t="str">
            <v>HGC-Lib-2467378</v>
          </cell>
          <cell r="F4539" t="str">
            <v>LR240809R-0004A</v>
          </cell>
          <cell r="G4539">
            <v>2</v>
          </cell>
          <cell r="H4539" t="str">
            <v>原核链特异性转录组文库</v>
          </cell>
          <cell r="J4539">
            <v>39</v>
          </cell>
          <cell r="N4539" t="e">
            <v>#DIV/0!</v>
          </cell>
        </row>
        <row r="4540">
          <cell r="E4540" t="str">
            <v>HGC-Lib-2467379</v>
          </cell>
          <cell r="F4540" t="str">
            <v>LR240809R-0005A</v>
          </cell>
          <cell r="G4540">
            <v>2</v>
          </cell>
          <cell r="H4540" t="str">
            <v>原核链特异性转录组文库</v>
          </cell>
          <cell r="J4540">
            <v>33.799999999999997</v>
          </cell>
          <cell r="N4540" t="e">
            <v>#DIV/0!</v>
          </cell>
        </row>
        <row r="4541">
          <cell r="E4541" t="str">
            <v>HGC-Lib-2467380</v>
          </cell>
          <cell r="F4541" t="str">
            <v>LD240122D-1390B</v>
          </cell>
          <cell r="G4541">
            <v>20</v>
          </cell>
          <cell r="H4541" t="str">
            <v>DNA宏基因组文库</v>
          </cell>
          <cell r="J4541">
            <v>15.2</v>
          </cell>
          <cell r="N4541" t="e">
            <v>#DIV/0!</v>
          </cell>
        </row>
        <row r="4542">
          <cell r="E4542" t="str">
            <v>HGC-Lib-2467381</v>
          </cell>
          <cell r="F4542" t="str">
            <v>LD240122D-1391B</v>
          </cell>
          <cell r="G4542">
            <v>20</v>
          </cell>
          <cell r="H4542" t="str">
            <v>DNA宏基因组文库</v>
          </cell>
          <cell r="J4542">
            <v>42.8</v>
          </cell>
          <cell r="N4542" t="e">
            <v>#DIV/0!</v>
          </cell>
        </row>
        <row r="4543">
          <cell r="E4543" t="str">
            <v>HGC-Lib-2467382</v>
          </cell>
          <cell r="F4543" t="str">
            <v>LD240122D-1392B</v>
          </cell>
          <cell r="G4543">
            <v>20</v>
          </cell>
          <cell r="H4543" t="str">
            <v>DNA宏基因组文库</v>
          </cell>
          <cell r="J4543">
            <v>14.9</v>
          </cell>
          <cell r="N4543" t="e">
            <v>#DIV/0!</v>
          </cell>
        </row>
        <row r="4544">
          <cell r="E4544" t="str">
            <v>HGC-Lib-2467383</v>
          </cell>
          <cell r="F4544" t="str">
            <v>LD240724O-2601B</v>
          </cell>
          <cell r="G4544">
            <v>10</v>
          </cell>
          <cell r="H4544" t="str">
            <v>DNA宏基因组文库</v>
          </cell>
          <cell r="J4544">
            <v>34.799999999999997</v>
          </cell>
          <cell r="N4544" t="e">
            <v>#DIV/0!</v>
          </cell>
        </row>
        <row r="4545">
          <cell r="E4545" t="str">
            <v>HGC-Lib-2467384</v>
          </cell>
          <cell r="F4545" t="str">
            <v>LD240724O-2602B</v>
          </cell>
          <cell r="G4545">
            <v>10</v>
          </cell>
          <cell r="H4545" t="str">
            <v>DNA宏基因组文库</v>
          </cell>
          <cell r="J4545">
            <v>27.2</v>
          </cell>
          <cell r="N4545" t="e">
            <v>#DIV/0!</v>
          </cell>
        </row>
        <row r="4546">
          <cell r="E4546" t="str">
            <v>HGC-Lib-2467385</v>
          </cell>
          <cell r="F4546" t="str">
            <v>LD240724O-2603B</v>
          </cell>
          <cell r="G4546">
            <v>10</v>
          </cell>
          <cell r="H4546" t="str">
            <v>DNA宏基因组文库</v>
          </cell>
          <cell r="J4546">
            <v>9.9600000000000009</v>
          </cell>
          <cell r="N4546" t="e">
            <v>#DIV/0!</v>
          </cell>
        </row>
        <row r="4547">
          <cell r="E4547" t="str">
            <v>HGC-Lib-2467386</v>
          </cell>
          <cell r="F4547" t="str">
            <v>LD240731D-0259B</v>
          </cell>
          <cell r="G4547">
            <v>1</v>
          </cell>
          <cell r="H4547" t="str">
            <v>DNA基因组文库</v>
          </cell>
          <cell r="J4547">
            <v>13.3</v>
          </cell>
          <cell r="N4547" t="e">
            <v>#DIV/0!</v>
          </cell>
        </row>
        <row r="4548">
          <cell r="E4548" t="str">
            <v>HGC-Lib-2467387</v>
          </cell>
          <cell r="F4548" t="str">
            <v>LD240731D-0260B</v>
          </cell>
          <cell r="G4548">
            <v>1</v>
          </cell>
          <cell r="H4548" t="str">
            <v>DNA基因组文库</v>
          </cell>
          <cell r="J4548">
            <v>19.7</v>
          </cell>
          <cell r="N4548" t="e">
            <v>#DIV/0!</v>
          </cell>
        </row>
        <row r="4549">
          <cell r="E4549" t="str">
            <v>HGC-Lib-2467388</v>
          </cell>
          <cell r="F4549" t="str">
            <v>LD240731D-0262B</v>
          </cell>
          <cell r="G4549">
            <v>1</v>
          </cell>
          <cell r="H4549" t="str">
            <v>DNA基因组文库</v>
          </cell>
          <cell r="J4549">
            <v>42.6</v>
          </cell>
          <cell r="N4549" t="e">
            <v>#DIV/0!</v>
          </cell>
        </row>
        <row r="4550">
          <cell r="E4550" t="str">
            <v>HGC-POOL-2467105</v>
          </cell>
          <cell r="F4550" t="str">
            <v>Pool_2_Library_Dna_Prep_Kit</v>
          </cell>
          <cell r="G4550">
            <v>20</v>
          </cell>
          <cell r="H4550" t="str">
            <v>WGS library</v>
          </cell>
          <cell r="I4550" t="str">
            <v>GZQ</v>
          </cell>
          <cell r="J4550">
            <v>0.504</v>
          </cell>
          <cell r="K4550">
            <v>462</v>
          </cell>
          <cell r="N4550">
            <v>1.6783216783216801</v>
          </cell>
        </row>
        <row r="4551">
          <cell r="E4551" t="str">
            <v>HGC-POOL-2467106</v>
          </cell>
          <cell r="F4551" t="str">
            <v>Pool_1_Library_Nextera_XT_Kit</v>
          </cell>
          <cell r="G4551">
            <v>6</v>
          </cell>
          <cell r="H4551" t="str">
            <v>WGS library</v>
          </cell>
          <cell r="I4551" t="str">
            <v>GZQ</v>
          </cell>
          <cell r="J4551" t="str">
            <v>/</v>
          </cell>
          <cell r="K4551" t="str">
            <v>/</v>
          </cell>
          <cell r="N4551" t="e">
            <v>#VALUE!</v>
          </cell>
        </row>
        <row r="4552">
          <cell r="E4552" t="str">
            <v>HGC-Lib-2467593</v>
          </cell>
          <cell r="F4552" t="str">
            <v>20240820-WTA-188</v>
          </cell>
          <cell r="G4552">
            <v>100</v>
          </cell>
          <cell r="H4552" t="str">
            <v>BD-单细胞</v>
          </cell>
          <cell r="I4552" t="str">
            <v>GZQ</v>
          </cell>
          <cell r="J4552">
            <v>18.3</v>
          </cell>
          <cell r="K4552">
            <v>567</v>
          </cell>
          <cell r="L4552" t="str">
            <v>GZQ</v>
          </cell>
          <cell r="N4552">
            <v>49.6540496540497</v>
          </cell>
        </row>
        <row r="4553">
          <cell r="E4553" t="str">
            <v>HGC-Lib-2467594</v>
          </cell>
          <cell r="F4553" t="str">
            <v>20240820-WTA-282</v>
          </cell>
          <cell r="G4553">
            <v>100</v>
          </cell>
          <cell r="H4553" t="str">
            <v>BD-单细胞</v>
          </cell>
          <cell r="I4553" t="str">
            <v>GZQ</v>
          </cell>
          <cell r="J4553">
            <v>16.399999999999999</v>
          </cell>
          <cell r="K4553">
            <v>534</v>
          </cell>
          <cell r="L4553" t="str">
            <v>GZQ</v>
          </cell>
          <cell r="N4553">
            <v>47.248631518294403</v>
          </cell>
        </row>
        <row r="4554">
          <cell r="E4554" t="str">
            <v>HGC-Lib-2467595</v>
          </cell>
          <cell r="F4554" t="str">
            <v>20240820-WTA-255</v>
          </cell>
          <cell r="G4554">
            <v>100</v>
          </cell>
          <cell r="H4554" t="str">
            <v>BD-单细胞</v>
          </cell>
          <cell r="I4554" t="str">
            <v>GZQ</v>
          </cell>
          <cell r="J4554">
            <v>16.600000000000001</v>
          </cell>
          <cell r="K4554">
            <v>535</v>
          </cell>
          <cell r="L4554" t="str">
            <v>GZQ</v>
          </cell>
          <cell r="N4554">
            <v>47.735442127965499</v>
          </cell>
        </row>
        <row r="4555">
          <cell r="E4555" t="str">
            <v>HGC-Lib-2467596</v>
          </cell>
          <cell r="F4555" t="str">
            <v>Blood-1</v>
          </cell>
          <cell r="G4555">
            <v>10</v>
          </cell>
          <cell r="H4555" t="str">
            <v>ATAC-Seq文库</v>
          </cell>
          <cell r="I4555" t="str">
            <v>GZQ</v>
          </cell>
          <cell r="J4555">
            <v>28</v>
          </cell>
          <cell r="K4555">
            <v>267</v>
          </cell>
          <cell r="L4555" t="str">
            <v>GZQ</v>
          </cell>
          <cell r="N4555">
            <v>161.336790550274</v>
          </cell>
        </row>
        <row r="4556">
          <cell r="E4556" t="str">
            <v>HGC-Lib-2467597</v>
          </cell>
          <cell r="F4556" t="str">
            <v>Blood-2</v>
          </cell>
          <cell r="G4556">
            <v>10</v>
          </cell>
          <cell r="H4556" t="str">
            <v>ATAC-Seq文库</v>
          </cell>
          <cell r="I4556" t="str">
            <v>GZQ</v>
          </cell>
          <cell r="J4556">
            <v>29</v>
          </cell>
          <cell r="K4556">
            <v>262</v>
          </cell>
          <cell r="L4556" t="str">
            <v>GZQ</v>
          </cell>
          <cell r="N4556">
            <v>170.28772753963599</v>
          </cell>
        </row>
        <row r="4557">
          <cell r="E4557" t="str">
            <v>HGC-Lib-2467598</v>
          </cell>
          <cell r="F4557" t="str">
            <v>2 FAP01 N2-1</v>
          </cell>
          <cell r="G4557">
            <v>10</v>
          </cell>
          <cell r="H4557" t="str">
            <v>ATAC-Seq文库</v>
          </cell>
          <cell r="I4557" t="str">
            <v>GZQ</v>
          </cell>
          <cell r="J4557">
            <v>21</v>
          </cell>
          <cell r="K4557">
            <v>335</v>
          </cell>
          <cell r="L4557" t="str">
            <v>GZQ</v>
          </cell>
          <cell r="N4557">
            <v>96.440872560275494</v>
          </cell>
        </row>
        <row r="4558">
          <cell r="E4558" t="str">
            <v>HGC-Lib-2467599</v>
          </cell>
          <cell r="F4558" t="str">
            <v>2 FAP01 N2-2</v>
          </cell>
          <cell r="G4558">
            <v>10</v>
          </cell>
          <cell r="H4558" t="str">
            <v>ATAC-Seq文库</v>
          </cell>
          <cell r="I4558" t="str">
            <v>GZQ</v>
          </cell>
          <cell r="J4558">
            <v>27.4</v>
          </cell>
          <cell r="K4558">
            <v>279</v>
          </cell>
          <cell r="L4558" t="str">
            <v>GZQ</v>
          </cell>
          <cell r="N4558">
            <v>151.08905431486099</v>
          </cell>
        </row>
        <row r="4559">
          <cell r="E4559" t="str">
            <v>HGC-Lib-2467600</v>
          </cell>
          <cell r="F4559" t="str">
            <v>15 FAP01 P6-1</v>
          </cell>
          <cell r="G4559">
            <v>10</v>
          </cell>
          <cell r="H4559" t="str">
            <v>ATAC-Seq文库</v>
          </cell>
          <cell r="I4559" t="str">
            <v>GZQ</v>
          </cell>
          <cell r="J4559">
            <v>31.4</v>
          </cell>
          <cell r="K4559">
            <v>277</v>
          </cell>
          <cell r="L4559" t="str">
            <v>GZQ</v>
          </cell>
          <cell r="N4559">
            <v>174.39600111080301</v>
          </cell>
        </row>
        <row r="4560">
          <cell r="E4560" t="str">
            <v>HGC-Lib-2467601</v>
          </cell>
          <cell r="F4560" t="str">
            <v>15 FAP01 P6-2</v>
          </cell>
          <cell r="G4560">
            <v>10</v>
          </cell>
          <cell r="H4560" t="str">
            <v>ATAC-Seq文库</v>
          </cell>
          <cell r="I4560" t="str">
            <v>GZQ</v>
          </cell>
          <cell r="J4560">
            <v>27.2</v>
          </cell>
          <cell r="K4560">
            <v>282</v>
          </cell>
          <cell r="L4560" t="str">
            <v>GZQ</v>
          </cell>
          <cell r="N4560">
            <v>148.39061647572299</v>
          </cell>
        </row>
        <row r="4561">
          <cell r="E4561" t="str">
            <v>HGC-Lib-2467602</v>
          </cell>
          <cell r="F4561" t="str">
            <v>10 FAP01 T3-1</v>
          </cell>
          <cell r="G4561">
            <v>10</v>
          </cell>
          <cell r="H4561" t="str">
            <v>ATAC-Seq文库</v>
          </cell>
          <cell r="I4561" t="str">
            <v>GZQ</v>
          </cell>
          <cell r="J4561">
            <v>27.8</v>
          </cell>
          <cell r="K4561">
            <v>284</v>
          </cell>
          <cell r="L4561" t="str">
            <v>GZQ</v>
          </cell>
          <cell r="N4561">
            <v>150.59588299024901</v>
          </cell>
        </row>
        <row r="4562">
          <cell r="E4562" t="str">
            <v>HGC-Lib-2467603</v>
          </cell>
          <cell r="F4562" t="str">
            <v>10 FAP01 T3-2</v>
          </cell>
          <cell r="G4562">
            <v>10</v>
          </cell>
          <cell r="H4562" t="str">
            <v>ATAC-Seq文库</v>
          </cell>
          <cell r="I4562" t="str">
            <v>GZQ</v>
          </cell>
          <cell r="J4562">
            <v>30.6</v>
          </cell>
          <cell r="K4562">
            <v>297</v>
          </cell>
          <cell r="L4562" t="str">
            <v>GZQ</v>
          </cell>
          <cell r="N4562">
            <v>158.508158508159</v>
          </cell>
        </row>
        <row r="4563">
          <cell r="E4563" t="str">
            <v>HGC-Lib-2467604</v>
          </cell>
          <cell r="F4563" t="str">
            <v>Ti 05-1</v>
          </cell>
          <cell r="G4563">
            <v>10</v>
          </cell>
          <cell r="H4563" t="str">
            <v>ATAC-Seq文库</v>
          </cell>
          <cell r="I4563" t="str">
            <v>GZQ</v>
          </cell>
          <cell r="J4563">
            <v>27.4</v>
          </cell>
          <cell r="K4563">
            <v>285</v>
          </cell>
          <cell r="L4563" t="str">
            <v>GZQ</v>
          </cell>
          <cell r="N4563">
            <v>147.90823211875801</v>
          </cell>
        </row>
        <row r="4564">
          <cell r="E4564" t="str">
            <v>HGC-Lib-2467605</v>
          </cell>
          <cell r="F4564" t="str">
            <v>Ti 05-2</v>
          </cell>
          <cell r="G4564">
            <v>10</v>
          </cell>
          <cell r="H4564" t="str">
            <v>ATAC-Seq文库</v>
          </cell>
          <cell r="I4564" t="str">
            <v>GZQ</v>
          </cell>
          <cell r="J4564">
            <v>25.8</v>
          </cell>
          <cell r="K4564">
            <v>290</v>
          </cell>
          <cell r="L4564" t="str">
            <v>GZQ</v>
          </cell>
          <cell r="N4564">
            <v>136.87002652519899</v>
          </cell>
        </row>
        <row r="4565">
          <cell r="E4565" t="str">
            <v>HGC-Lib-2467606</v>
          </cell>
          <cell r="F4565" t="str">
            <v>Ti 06-1</v>
          </cell>
          <cell r="G4565">
            <v>10</v>
          </cell>
          <cell r="H4565" t="str">
            <v>ATAC-Seq文库</v>
          </cell>
          <cell r="I4565" t="str">
            <v>GZQ</v>
          </cell>
          <cell r="J4565">
            <v>22.2</v>
          </cell>
          <cell r="K4565">
            <v>278</v>
          </cell>
          <cell r="L4565" t="str">
            <v>GZQ</v>
          </cell>
          <cell r="N4565">
            <v>122.85556170448299</v>
          </cell>
        </row>
        <row r="4566">
          <cell r="E4566" t="str">
            <v>HGC-Lib-2467607</v>
          </cell>
          <cell r="F4566" t="str">
            <v>Ti 06-2</v>
          </cell>
          <cell r="G4566">
            <v>10</v>
          </cell>
          <cell r="H4566" t="str">
            <v>ATAC-Seq文库</v>
          </cell>
          <cell r="I4566" t="str">
            <v>GZQ</v>
          </cell>
          <cell r="J4566">
            <v>24.4</v>
          </cell>
          <cell r="K4566">
            <v>283</v>
          </cell>
          <cell r="L4566" t="str">
            <v>GZQ</v>
          </cell>
          <cell r="N4566">
            <v>132.64474041859199</v>
          </cell>
        </row>
        <row r="4567">
          <cell r="E4567" t="str">
            <v>HGC-Lib-2467608</v>
          </cell>
          <cell r="F4567" t="str">
            <v>05 400-1</v>
          </cell>
          <cell r="G4567">
            <v>10</v>
          </cell>
          <cell r="H4567" t="str">
            <v>ATAC-Seq文库</v>
          </cell>
          <cell r="I4567" t="str">
            <v>GZQ</v>
          </cell>
          <cell r="J4567">
            <v>26</v>
          </cell>
          <cell r="K4567">
            <v>274</v>
          </cell>
          <cell r="L4567" t="str">
            <v>GZQ</v>
          </cell>
          <cell r="N4567">
            <v>145.98540145985399</v>
          </cell>
        </row>
        <row r="4568">
          <cell r="E4568" t="str">
            <v>HGC-Lib-2467609</v>
          </cell>
          <cell r="F4568" t="str">
            <v>05 400-2</v>
          </cell>
          <cell r="G4568">
            <v>10</v>
          </cell>
          <cell r="H4568" t="str">
            <v>ATAC-Seq文库</v>
          </cell>
          <cell r="I4568" t="str">
            <v>GZQ</v>
          </cell>
          <cell r="J4568">
            <v>22.8</v>
          </cell>
          <cell r="K4568">
            <v>286</v>
          </cell>
          <cell r="L4568" t="str">
            <v>GZQ</v>
          </cell>
          <cell r="N4568">
            <v>122.646584185046</v>
          </cell>
        </row>
        <row r="4569">
          <cell r="E4569" t="str">
            <v>HGC-Lib-2467610</v>
          </cell>
          <cell r="F4569" t="str">
            <v>05 500-1</v>
          </cell>
          <cell r="G4569">
            <v>10</v>
          </cell>
          <cell r="H4569" t="str">
            <v>ATAC-Seq文库</v>
          </cell>
          <cell r="I4569" t="str">
            <v>GZQ</v>
          </cell>
          <cell r="J4569">
            <v>22.8</v>
          </cell>
          <cell r="K4569">
            <v>272</v>
          </cell>
          <cell r="L4569" t="str">
            <v>GZQ</v>
          </cell>
          <cell r="N4569">
            <v>128.95927601810001</v>
          </cell>
        </row>
        <row r="4570">
          <cell r="E4570" t="str">
            <v>HGC-Lib-2467611</v>
          </cell>
          <cell r="F4570" t="str">
            <v>05 500-2</v>
          </cell>
          <cell r="G4570">
            <v>10</v>
          </cell>
          <cell r="H4570" t="str">
            <v>ATAC-Seq文库</v>
          </cell>
          <cell r="I4570" t="str">
            <v>GZQ</v>
          </cell>
          <cell r="J4570">
            <v>23</v>
          </cell>
          <cell r="K4570">
            <v>273</v>
          </cell>
          <cell r="L4570" t="str">
            <v>GZQ</v>
          </cell>
          <cell r="N4570">
            <v>129.61397576782201</v>
          </cell>
        </row>
        <row r="4571">
          <cell r="E4571" t="str">
            <v>HGC-Lib-2467612</v>
          </cell>
          <cell r="F4571" t="str">
            <v>05 600-1</v>
          </cell>
          <cell r="G4571">
            <v>10</v>
          </cell>
          <cell r="H4571" t="str">
            <v>ATAC-Seq文库</v>
          </cell>
          <cell r="I4571" t="str">
            <v>GZQ</v>
          </cell>
          <cell r="J4571">
            <v>23.2</v>
          </cell>
          <cell r="K4571">
            <v>275</v>
          </cell>
          <cell r="L4571" t="str">
            <v>GZQ</v>
          </cell>
          <cell r="N4571">
            <v>129.79020979021001</v>
          </cell>
        </row>
        <row r="4572">
          <cell r="E4572" t="str">
            <v>HGC-Lib-2467613</v>
          </cell>
          <cell r="F4572" t="str">
            <v>05 600-2</v>
          </cell>
          <cell r="G4572">
            <v>10</v>
          </cell>
          <cell r="H4572" t="str">
            <v>ATAC-Seq文库</v>
          </cell>
          <cell r="I4572" t="str">
            <v>GZQ</v>
          </cell>
          <cell r="J4572">
            <v>23.4</v>
          </cell>
          <cell r="K4572">
            <v>273</v>
          </cell>
          <cell r="L4572" t="str">
            <v>GZQ</v>
          </cell>
          <cell r="N4572">
            <v>131.868131868132</v>
          </cell>
        </row>
        <row r="4573">
          <cell r="E4573" t="str">
            <v>HGC-Lib-2467614</v>
          </cell>
          <cell r="F4573" t="str">
            <v>06 400 1-1</v>
          </cell>
          <cell r="G4573">
            <v>10</v>
          </cell>
          <cell r="H4573" t="str">
            <v>ATAC-Seq文库</v>
          </cell>
          <cell r="I4573" t="str">
            <v>GZQ</v>
          </cell>
          <cell r="J4573">
            <v>19.899999999999999</v>
          </cell>
          <cell r="K4573">
            <v>265</v>
          </cell>
          <cell r="L4573" t="str">
            <v>GZQ</v>
          </cell>
          <cell r="N4573">
            <v>115.529753265602</v>
          </cell>
        </row>
        <row r="4574">
          <cell r="E4574" t="str">
            <v>HGC-Lib-2467615</v>
          </cell>
          <cell r="F4574" t="str">
            <v>06 400 1-2</v>
          </cell>
          <cell r="G4574">
            <v>10</v>
          </cell>
          <cell r="H4574" t="str">
            <v>ATAC-Seq文库</v>
          </cell>
          <cell r="I4574" t="str">
            <v>GZQ</v>
          </cell>
          <cell r="J4574">
            <v>23.8</v>
          </cell>
          <cell r="K4574">
            <v>259</v>
          </cell>
          <cell r="L4574" t="str">
            <v>GZQ</v>
          </cell>
          <cell r="N4574">
            <v>141.37214137214099</v>
          </cell>
        </row>
        <row r="4575">
          <cell r="E4575" t="str">
            <v>HGC-Lib-2467616</v>
          </cell>
          <cell r="F4575" t="str">
            <v>06 400 2-1</v>
          </cell>
          <cell r="G4575">
            <v>10</v>
          </cell>
          <cell r="H4575" t="str">
            <v>ATAC-Seq文库</v>
          </cell>
          <cell r="I4575" t="str">
            <v>GZQ</v>
          </cell>
          <cell r="J4575">
            <v>27.8</v>
          </cell>
          <cell r="K4575">
            <v>276</v>
          </cell>
          <cell r="L4575" t="str">
            <v>GZQ</v>
          </cell>
          <cell r="N4575">
            <v>154.96098104793799</v>
          </cell>
        </row>
        <row r="4576">
          <cell r="E4576" t="str">
            <v>HGC-Lib-2467617</v>
          </cell>
          <cell r="F4576" t="str">
            <v>06 400 2-2</v>
          </cell>
          <cell r="G4576">
            <v>10</v>
          </cell>
          <cell r="H4576" t="str">
            <v>ATAC-Seq文库</v>
          </cell>
          <cell r="I4576" t="str">
            <v>GZQ</v>
          </cell>
          <cell r="J4576">
            <v>25</v>
          </cell>
          <cell r="K4576">
            <v>276</v>
          </cell>
          <cell r="L4576" t="str">
            <v>GZQ</v>
          </cell>
          <cell r="N4576">
            <v>139.35340022296501</v>
          </cell>
        </row>
        <row r="4577">
          <cell r="E4577" t="str">
            <v>HGC-Lib-2467618</v>
          </cell>
          <cell r="F4577" t="str">
            <v>06 500-1</v>
          </cell>
          <cell r="G4577">
            <v>10</v>
          </cell>
          <cell r="H4577" t="str">
            <v>ATAC-Seq文库</v>
          </cell>
          <cell r="I4577" t="str">
            <v>GZQ</v>
          </cell>
          <cell r="J4577">
            <v>18.8</v>
          </cell>
          <cell r="K4577">
            <v>281</v>
          </cell>
          <cell r="L4577" t="str">
            <v>GZQ</v>
          </cell>
          <cell r="N4577">
            <v>102.929099370381</v>
          </cell>
        </row>
        <row r="4578">
          <cell r="E4578" t="str">
            <v>HGC-Lib-2467619</v>
          </cell>
          <cell r="F4578" t="str">
            <v>06 500-2</v>
          </cell>
          <cell r="G4578">
            <v>10</v>
          </cell>
          <cell r="H4578" t="str">
            <v>ATAC-Seq文库</v>
          </cell>
          <cell r="I4578" t="str">
            <v>GZQ</v>
          </cell>
          <cell r="J4578">
            <v>6.94</v>
          </cell>
          <cell r="K4578" t="str">
            <v>/</v>
          </cell>
          <cell r="L4578" t="str">
            <v>GZQ</v>
          </cell>
          <cell r="N4578" t="e">
            <v>#VALUE!</v>
          </cell>
        </row>
        <row r="4579">
          <cell r="E4579" t="str">
            <v>HGC-Lib-2467620</v>
          </cell>
          <cell r="F4579" t="str">
            <v>06 600-1</v>
          </cell>
          <cell r="G4579">
            <v>10</v>
          </cell>
          <cell r="H4579" t="str">
            <v>ATAC-Seq文库</v>
          </cell>
          <cell r="I4579" t="str">
            <v>GZQ</v>
          </cell>
          <cell r="J4579">
            <v>24.2</v>
          </cell>
          <cell r="K4579">
            <v>271</v>
          </cell>
          <cell r="L4579" t="str">
            <v>GZQ</v>
          </cell>
          <cell r="N4579">
            <v>137.38291229066101</v>
          </cell>
        </row>
        <row r="4580">
          <cell r="E4580" t="str">
            <v>HGC-Lib-2467621</v>
          </cell>
          <cell r="F4580" t="str">
            <v>06 600-2</v>
          </cell>
          <cell r="G4580">
            <v>10</v>
          </cell>
          <cell r="H4580" t="str">
            <v>ATAC-Seq文库</v>
          </cell>
          <cell r="I4580" t="str">
            <v>GZQ</v>
          </cell>
          <cell r="J4580">
            <v>21.6</v>
          </cell>
          <cell r="K4580">
            <v>282</v>
          </cell>
          <cell r="L4580" t="str">
            <v>GZQ</v>
          </cell>
          <cell r="N4580">
            <v>117.83960720130899</v>
          </cell>
        </row>
        <row r="4581">
          <cell r="E4581" t="str">
            <v>HGC-Lib-2467622</v>
          </cell>
          <cell r="F4581" t="str">
            <v>06 700-1</v>
          </cell>
          <cell r="G4581">
            <v>10</v>
          </cell>
          <cell r="H4581" t="str">
            <v>ATAC-Seq文库</v>
          </cell>
          <cell r="I4581" t="str">
            <v>GZQ</v>
          </cell>
          <cell r="J4581">
            <v>23.6</v>
          </cell>
          <cell r="K4581">
            <v>268</v>
          </cell>
          <cell r="L4581" t="str">
            <v>GZQ</v>
          </cell>
          <cell r="N4581">
            <v>135.47646383467301</v>
          </cell>
        </row>
        <row r="4582">
          <cell r="E4582" t="str">
            <v>HGC-Lib-2467623</v>
          </cell>
          <cell r="F4582" t="str">
            <v>06 700-2</v>
          </cell>
          <cell r="G4582">
            <v>10</v>
          </cell>
          <cell r="H4582" t="str">
            <v>ATAC-Seq文库</v>
          </cell>
          <cell r="I4582" t="str">
            <v>GZQ</v>
          </cell>
          <cell r="J4582">
            <v>24.2</v>
          </cell>
          <cell r="K4582">
            <v>264</v>
          </cell>
          <cell r="L4582" t="str">
            <v>GZQ</v>
          </cell>
          <cell r="N4582">
            <v>141.02564102564099</v>
          </cell>
        </row>
        <row r="4583">
          <cell r="E4583" t="str">
            <v>HGC-Lib-2467624</v>
          </cell>
          <cell r="F4583">
            <v>1</v>
          </cell>
          <cell r="G4583">
            <v>10</v>
          </cell>
          <cell r="H4583" t="str">
            <v>ATAC-Seq文库</v>
          </cell>
          <cell r="I4583" t="str">
            <v>GZQ</v>
          </cell>
          <cell r="J4583">
            <v>11.7</v>
          </cell>
          <cell r="K4583">
            <v>263</v>
          </cell>
          <cell r="L4583" t="str">
            <v>GZQ</v>
          </cell>
          <cell r="N4583">
            <v>68.441064638783303</v>
          </cell>
        </row>
        <row r="4584">
          <cell r="E4584" t="str">
            <v>HGC-Lib-2467625</v>
          </cell>
          <cell r="F4584">
            <v>2</v>
          </cell>
          <cell r="G4584">
            <v>10</v>
          </cell>
          <cell r="H4584" t="str">
            <v>ATAC-Seq文库</v>
          </cell>
          <cell r="I4584" t="str">
            <v>GZQ</v>
          </cell>
          <cell r="J4584">
            <v>10.7</v>
          </cell>
          <cell r="K4584">
            <v>261</v>
          </cell>
          <cell r="L4584" t="str">
            <v>GZQ</v>
          </cell>
          <cell r="N4584">
            <v>63.071028588270003</v>
          </cell>
        </row>
        <row r="4585">
          <cell r="E4585" t="str">
            <v>HGC-Lib-2467626</v>
          </cell>
          <cell r="F4585">
            <v>3</v>
          </cell>
          <cell r="G4585">
            <v>10</v>
          </cell>
          <cell r="H4585" t="str">
            <v>ATAC-Seq文库</v>
          </cell>
          <cell r="I4585" t="str">
            <v>GZQ</v>
          </cell>
          <cell r="J4585">
            <v>12</v>
          </cell>
          <cell r="K4585">
            <v>268</v>
          </cell>
          <cell r="L4585" t="str">
            <v>GZQ</v>
          </cell>
          <cell r="N4585">
            <v>68.886337543053997</v>
          </cell>
        </row>
        <row r="4586">
          <cell r="E4586" t="str">
            <v>HGC-Lib-2467627</v>
          </cell>
          <cell r="F4586">
            <v>4</v>
          </cell>
          <cell r="G4586">
            <v>10</v>
          </cell>
          <cell r="H4586" t="str">
            <v>ATAC-Seq文库</v>
          </cell>
          <cell r="I4586" t="str">
            <v>YHT</v>
          </cell>
          <cell r="J4586">
            <v>10.9</v>
          </cell>
          <cell r="K4586">
            <v>250</v>
          </cell>
          <cell r="L4586" t="str">
            <v>GZQ</v>
          </cell>
          <cell r="N4586">
            <v>67.076923076923094</v>
          </cell>
        </row>
        <row r="4587">
          <cell r="E4587" t="str">
            <v>HGC-Lib-2467628</v>
          </cell>
          <cell r="F4587" t="str">
            <v>T905-1</v>
          </cell>
          <cell r="G4587">
            <v>6</v>
          </cell>
          <cell r="H4587" t="str">
            <v>mRNA文库</v>
          </cell>
          <cell r="I4587" t="str">
            <v>YHT</v>
          </cell>
          <cell r="J4587">
            <v>58</v>
          </cell>
          <cell r="N4587" t="e">
            <v>#DIV/0!</v>
          </cell>
        </row>
        <row r="4588">
          <cell r="E4588" t="str">
            <v>HGC-Lib-2467629</v>
          </cell>
          <cell r="F4588" t="str">
            <v>T905-2</v>
          </cell>
          <cell r="G4588">
            <v>6</v>
          </cell>
          <cell r="H4588" t="str">
            <v>mRNA文库</v>
          </cell>
          <cell r="I4588" t="str">
            <v>YHT</v>
          </cell>
          <cell r="J4588">
            <v>56.4</v>
          </cell>
          <cell r="N4588" t="e">
            <v>#DIV/0!</v>
          </cell>
        </row>
        <row r="4589">
          <cell r="E4589" t="str">
            <v>HGC-Lib-2467630</v>
          </cell>
          <cell r="F4589" t="str">
            <v>T905-3</v>
          </cell>
          <cell r="G4589">
            <v>6</v>
          </cell>
          <cell r="H4589" t="str">
            <v>mRNA文库</v>
          </cell>
          <cell r="I4589" t="str">
            <v>YHT</v>
          </cell>
          <cell r="J4589">
            <v>56.2</v>
          </cell>
          <cell r="N4589" t="e">
            <v>#DIV/0!</v>
          </cell>
        </row>
        <row r="4590">
          <cell r="E4590" t="str">
            <v>HGC-Lib-2467631</v>
          </cell>
          <cell r="F4590" t="str">
            <v>T905-4</v>
          </cell>
          <cell r="G4590">
            <v>6</v>
          </cell>
          <cell r="H4590" t="str">
            <v>mRNA文库</v>
          </cell>
          <cell r="I4590" t="str">
            <v>YHT</v>
          </cell>
          <cell r="J4590">
            <v>46.4</v>
          </cell>
          <cell r="N4590" t="e">
            <v>#DIV/0!</v>
          </cell>
        </row>
        <row r="4591">
          <cell r="E4591" t="str">
            <v>HGC-Lib-2467632</v>
          </cell>
          <cell r="F4591" t="str">
            <v>T905-5</v>
          </cell>
          <cell r="G4591">
            <v>6</v>
          </cell>
          <cell r="H4591" t="str">
            <v>mRNA文库</v>
          </cell>
          <cell r="I4591" t="str">
            <v>YHT</v>
          </cell>
          <cell r="J4591">
            <v>50.8</v>
          </cell>
          <cell r="N4591" t="e">
            <v>#DIV/0!</v>
          </cell>
        </row>
        <row r="4592">
          <cell r="E4592" t="str">
            <v>HGC-Lib-2467633</v>
          </cell>
          <cell r="F4592" t="str">
            <v>T905-6</v>
          </cell>
          <cell r="G4592">
            <v>6</v>
          </cell>
          <cell r="H4592" t="str">
            <v>mRNA文库</v>
          </cell>
          <cell r="I4592" t="str">
            <v>YHT</v>
          </cell>
          <cell r="J4592">
            <v>58</v>
          </cell>
          <cell r="N4592" t="e">
            <v>#DIV/0!</v>
          </cell>
        </row>
        <row r="4593">
          <cell r="E4593" t="str">
            <v>HGC-Lib-2467634</v>
          </cell>
          <cell r="F4593" t="str">
            <v>T905-7</v>
          </cell>
          <cell r="G4593">
            <v>6</v>
          </cell>
          <cell r="H4593" t="str">
            <v>mRNA文库</v>
          </cell>
          <cell r="I4593" t="str">
            <v>YHT</v>
          </cell>
          <cell r="J4593">
            <v>58.8</v>
          </cell>
          <cell r="N4593" t="e">
            <v>#DIV/0!</v>
          </cell>
        </row>
        <row r="4594">
          <cell r="E4594" t="str">
            <v>HGC-Lib-2467635</v>
          </cell>
          <cell r="F4594" t="str">
            <v>T905-8</v>
          </cell>
          <cell r="G4594">
            <v>6</v>
          </cell>
          <cell r="H4594" t="str">
            <v>mRNA文库</v>
          </cell>
          <cell r="I4594" t="str">
            <v>YHT</v>
          </cell>
          <cell r="J4594">
            <v>59.2</v>
          </cell>
          <cell r="N4594" t="e">
            <v>#DIV/0!</v>
          </cell>
        </row>
        <row r="4595">
          <cell r="E4595" t="str">
            <v>HGC-Lib-2467636</v>
          </cell>
          <cell r="F4595" t="str">
            <v>T780-45</v>
          </cell>
          <cell r="G4595">
            <v>3</v>
          </cell>
          <cell r="H4595" t="str">
            <v>mRNA文库</v>
          </cell>
          <cell r="I4595" t="str">
            <v>YHT</v>
          </cell>
          <cell r="J4595">
            <v>2.2400000000000002</v>
          </cell>
          <cell r="N4595" t="e">
            <v>#DIV/0!</v>
          </cell>
        </row>
        <row r="4596">
          <cell r="E4596" t="str">
            <v>HGC-Lib-2467637</v>
          </cell>
          <cell r="F4596" t="str">
            <v>K5816KOSG-PZF2 lib PCR</v>
          </cell>
          <cell r="G4596">
            <v>2</v>
          </cell>
          <cell r="H4596" t="str">
            <v>PCR产物文库</v>
          </cell>
          <cell r="I4596" t="str">
            <v>YHT</v>
          </cell>
          <cell r="J4596">
            <v>28.6</v>
          </cell>
          <cell r="N4596" t="e">
            <v>#DIV/0!</v>
          </cell>
        </row>
        <row r="4597">
          <cell r="E4597" t="str">
            <v>HGC-POOL-2467638</v>
          </cell>
          <cell r="F4597" t="str">
            <v>FIS-DM4_lib_rep_1</v>
          </cell>
          <cell r="G4597">
            <v>130</v>
          </cell>
          <cell r="H4597" t="str">
            <v>WES/panel capture libraries</v>
          </cell>
          <cell r="I4597" t="str">
            <v>YHT</v>
          </cell>
          <cell r="J4597">
            <v>2.76</v>
          </cell>
          <cell r="K4597">
            <v>396</v>
          </cell>
          <cell r="L4597" t="str">
            <v>YHT</v>
          </cell>
          <cell r="N4597">
            <v>10.7226107226107</v>
          </cell>
        </row>
        <row r="4598">
          <cell r="E4598" t="str">
            <v>HGC-POOL-2467639</v>
          </cell>
          <cell r="F4598" t="str">
            <v>FIS-DM4_lib_rep_2</v>
          </cell>
          <cell r="G4598">
            <v>100</v>
          </cell>
          <cell r="H4598" t="str">
            <v>WES/panel capture libraries</v>
          </cell>
          <cell r="I4598" t="str">
            <v>YHT</v>
          </cell>
          <cell r="J4598">
            <v>3.82</v>
          </cell>
          <cell r="K4598">
            <v>393</v>
          </cell>
          <cell r="L4598" t="str">
            <v>YHT</v>
          </cell>
          <cell r="N4598">
            <v>14.9540027402623</v>
          </cell>
        </row>
        <row r="4599">
          <cell r="E4599" t="str">
            <v>HGC-POOL-2467640</v>
          </cell>
          <cell r="F4599" t="str">
            <v>FIS-DM4_lib_rep_3</v>
          </cell>
          <cell r="G4599">
            <v>105</v>
          </cell>
          <cell r="H4599" t="str">
            <v>WES/panel capture libraries</v>
          </cell>
          <cell r="I4599" t="str">
            <v>YHT</v>
          </cell>
          <cell r="J4599">
            <v>3.34</v>
          </cell>
          <cell r="K4599">
            <v>384</v>
          </cell>
          <cell r="L4599" t="str">
            <v>YHT</v>
          </cell>
          <cell r="N4599">
            <v>13.3814102564103</v>
          </cell>
        </row>
        <row r="4600">
          <cell r="E4600" t="str">
            <v>HGC-POOL-2467641</v>
          </cell>
          <cell r="F4600" t="str">
            <v>FIS-DM4_lib_rep_4</v>
          </cell>
          <cell r="G4600">
            <v>130</v>
          </cell>
          <cell r="H4600" t="str">
            <v>WES/panel capture libraries</v>
          </cell>
          <cell r="I4600" t="str">
            <v>YHT</v>
          </cell>
          <cell r="J4600">
            <v>3.24</v>
          </cell>
          <cell r="K4600">
            <v>354</v>
          </cell>
          <cell r="L4600" t="str">
            <v>YHT</v>
          </cell>
          <cell r="N4600">
            <v>14.080834419817499</v>
          </cell>
        </row>
        <row r="4601">
          <cell r="E4601" t="str">
            <v>HGC-POOL-2467642</v>
          </cell>
          <cell r="F4601" t="str">
            <v>FIS-DM4_lib_rep_5</v>
          </cell>
          <cell r="G4601">
            <v>132</v>
          </cell>
          <cell r="H4601" t="str">
            <v>WES/panel capture libraries</v>
          </cell>
          <cell r="I4601" t="str">
            <v>YHT</v>
          </cell>
          <cell r="J4601">
            <v>4.5199999999999996</v>
          </cell>
          <cell r="K4601">
            <v>403</v>
          </cell>
          <cell r="L4601" t="str">
            <v>YHT</v>
          </cell>
          <cell r="N4601">
            <v>17.255201374308101</v>
          </cell>
        </row>
        <row r="4602">
          <cell r="E4602" t="str">
            <v>HGC-POOL-2467643</v>
          </cell>
          <cell r="F4602" t="str">
            <v>FIS-DM4_lib_rep_6</v>
          </cell>
          <cell r="G4602">
            <v>120</v>
          </cell>
          <cell r="H4602" t="str">
            <v>WES/panel capture libraries</v>
          </cell>
          <cell r="I4602" t="str">
            <v>YHT</v>
          </cell>
          <cell r="J4602">
            <v>2.38</v>
          </cell>
          <cell r="K4602">
            <v>359</v>
          </cell>
          <cell r="L4602" t="str">
            <v>YHT</v>
          </cell>
          <cell r="N4602">
            <v>10.1992714806085</v>
          </cell>
        </row>
        <row r="4603">
          <cell r="E4603" t="str">
            <v>HGC-POOL-2467644</v>
          </cell>
          <cell r="F4603" t="str">
            <v>FIS-DM4_lib_rep_7</v>
          </cell>
          <cell r="G4603">
            <v>90</v>
          </cell>
          <cell r="H4603" t="str">
            <v>WES/panel capture libraries</v>
          </cell>
          <cell r="I4603" t="str">
            <v>YHT</v>
          </cell>
          <cell r="J4603">
            <v>4.5999999999999996</v>
          </cell>
          <cell r="K4603">
            <v>378</v>
          </cell>
          <cell r="L4603" t="str">
            <v>YHT</v>
          </cell>
          <cell r="N4603">
            <v>18.722018722018699</v>
          </cell>
        </row>
        <row r="4604">
          <cell r="E4604" t="str">
            <v>HGC-POOL-2467645</v>
          </cell>
          <cell r="F4604" t="str">
            <v>FIS-DM4_lib_rep_8</v>
          </cell>
          <cell r="G4604">
            <v>175</v>
          </cell>
          <cell r="H4604" t="str">
            <v>WES/panel capture libraries</v>
          </cell>
          <cell r="I4604" t="str">
            <v>YHT</v>
          </cell>
          <cell r="J4604">
            <v>2.44</v>
          </cell>
          <cell r="K4604">
            <v>362</v>
          </cell>
          <cell r="L4604" t="str">
            <v>YHT</v>
          </cell>
          <cell r="N4604">
            <v>10.3697407564811</v>
          </cell>
        </row>
        <row r="4605">
          <cell r="E4605" t="str">
            <v>HGC-POOL-2467646</v>
          </cell>
          <cell r="F4605" t="str">
            <v>FIS-DM4_lib_rep_9</v>
          </cell>
          <cell r="G4605">
            <v>90</v>
          </cell>
          <cell r="H4605" t="str">
            <v>WES/panel capture libraries</v>
          </cell>
          <cell r="I4605" t="str">
            <v>YHT</v>
          </cell>
          <cell r="J4605">
            <v>2.76</v>
          </cell>
          <cell r="K4605">
            <v>351</v>
          </cell>
          <cell r="L4605" t="str">
            <v>YHT</v>
          </cell>
          <cell r="N4605">
            <v>12.0973044049967</v>
          </cell>
        </row>
        <row r="4606">
          <cell r="E4606" t="str">
            <v>HGC-POOL-2467647</v>
          </cell>
          <cell r="F4606" t="str">
            <v>FIS-DM4_lib_rep_10</v>
          </cell>
          <cell r="G4606">
            <v>85</v>
          </cell>
          <cell r="H4606" t="str">
            <v>WES/panel capture libraries</v>
          </cell>
          <cell r="I4606" t="str">
            <v>YHT</v>
          </cell>
          <cell r="J4606">
            <v>3.96</v>
          </cell>
          <cell r="K4606">
            <v>388</v>
          </cell>
          <cell r="L4606" t="str">
            <v>YHT</v>
          </cell>
          <cell r="N4606">
            <v>15.701823949246601</v>
          </cell>
        </row>
        <row r="4607">
          <cell r="E4607" t="str">
            <v>HGC-POOL-2467648</v>
          </cell>
          <cell r="F4607" t="str">
            <v>FIS-DM4_lib_rep_11</v>
          </cell>
          <cell r="G4607">
            <v>70</v>
          </cell>
          <cell r="H4607" t="str">
            <v>WES/panel capture libraries</v>
          </cell>
          <cell r="I4607" t="str">
            <v>YHT</v>
          </cell>
          <cell r="J4607">
            <v>4.1399999999999997</v>
          </cell>
          <cell r="K4607">
            <v>354</v>
          </cell>
          <cell r="L4607" t="str">
            <v>YHT</v>
          </cell>
          <cell r="N4607">
            <v>17.992177314211201</v>
          </cell>
        </row>
        <row r="4608">
          <cell r="E4608" t="str">
            <v>HGC-POOL-2467649</v>
          </cell>
          <cell r="F4608" t="str">
            <v>FIS-DM4_lib_rep_12</v>
          </cell>
          <cell r="G4608">
            <v>55</v>
          </cell>
          <cell r="H4608" t="str">
            <v>WES/panel capture libraries</v>
          </cell>
          <cell r="I4608" t="str">
            <v>YHT</v>
          </cell>
          <cell r="J4608">
            <v>6.56</v>
          </cell>
          <cell r="K4608">
            <v>372</v>
          </cell>
          <cell r="L4608" t="str">
            <v>YHT</v>
          </cell>
          <cell r="N4608">
            <v>27.129859387923901</v>
          </cell>
        </row>
        <row r="4609">
          <cell r="E4609" t="str">
            <v>HGC-POOL-2467650</v>
          </cell>
          <cell r="F4609" t="str">
            <v>FIS-DM4_lib_rep_13</v>
          </cell>
          <cell r="G4609">
            <v>65</v>
          </cell>
          <cell r="H4609" t="str">
            <v>WES/panel capture libraries</v>
          </cell>
          <cell r="I4609" t="str">
            <v>YHT</v>
          </cell>
          <cell r="J4609">
            <v>3.96</v>
          </cell>
          <cell r="K4609">
            <v>380</v>
          </cell>
          <cell r="L4609" t="str">
            <v>YHT</v>
          </cell>
          <cell r="N4609">
            <v>16.032388663967598</v>
          </cell>
        </row>
        <row r="4610">
          <cell r="E4610" t="str">
            <v>HGC-POOL-2467651</v>
          </cell>
          <cell r="F4610" t="str">
            <v>FIS-DM4_lib_rep_14</v>
          </cell>
          <cell r="G4610">
            <v>35</v>
          </cell>
          <cell r="H4610" t="str">
            <v>WES/panel capture libraries</v>
          </cell>
          <cell r="I4610" t="str">
            <v>YHT</v>
          </cell>
          <cell r="J4610">
            <v>5.04</v>
          </cell>
          <cell r="K4610">
            <v>379</v>
          </cell>
          <cell r="L4610" t="str">
            <v>YHT</v>
          </cell>
          <cell r="N4610">
            <v>20.458696975847399</v>
          </cell>
        </row>
        <row r="4611">
          <cell r="E4611" t="str">
            <v>HGC-POOL-2467652</v>
          </cell>
          <cell r="F4611" t="str">
            <v>FIS-DM4_lib_rep_15</v>
          </cell>
          <cell r="G4611">
            <v>260</v>
          </cell>
          <cell r="H4611" t="str">
            <v>WES/panel capture libraries</v>
          </cell>
          <cell r="I4611" t="str">
            <v>YHT</v>
          </cell>
          <cell r="J4611">
            <v>4.42</v>
          </cell>
          <cell r="K4611">
            <v>418</v>
          </cell>
          <cell r="L4611" t="str">
            <v>YHT</v>
          </cell>
          <cell r="N4611">
            <v>16.267942583732101</v>
          </cell>
        </row>
        <row r="4612">
          <cell r="E4612" t="str">
            <v>HGC-POOL-2467653</v>
          </cell>
          <cell r="F4612" t="str">
            <v>FIS-DM4_lib_rep_16</v>
          </cell>
          <cell r="G4612">
            <v>60</v>
          </cell>
          <cell r="H4612" t="str">
            <v>WES/panel capture libraries</v>
          </cell>
          <cell r="I4612" t="str">
            <v>YHT</v>
          </cell>
          <cell r="J4612">
            <v>8.2799999999999994</v>
          </cell>
          <cell r="K4612">
            <v>391</v>
          </cell>
          <cell r="L4612" t="str">
            <v>YHT</v>
          </cell>
          <cell r="N4612">
            <v>32.579185520362003</v>
          </cell>
        </row>
        <row r="4613">
          <cell r="E4613" t="str">
            <v>HGC-POOL-2467654</v>
          </cell>
          <cell r="F4613" t="str">
            <v>FIS-DM4_lib_rep_17</v>
          </cell>
          <cell r="G4613">
            <v>120</v>
          </cell>
          <cell r="H4613" t="str">
            <v>WES/panel capture libraries</v>
          </cell>
          <cell r="I4613" t="str">
            <v>YHT</v>
          </cell>
          <cell r="J4613">
            <v>0.56599999999999995</v>
          </cell>
          <cell r="K4613">
            <v>323</v>
          </cell>
          <cell r="L4613" t="str">
            <v>YHT</v>
          </cell>
          <cell r="N4613">
            <v>2.6958799714217698</v>
          </cell>
        </row>
        <row r="4614">
          <cell r="E4614" t="str">
            <v>HGC-Lib-2467655</v>
          </cell>
          <cell r="F4614">
            <v>1</v>
          </cell>
          <cell r="G4614">
            <v>10</v>
          </cell>
          <cell r="H4614" t="str">
            <v>mRNA文库</v>
          </cell>
          <cell r="I4614" t="str">
            <v>YHT</v>
          </cell>
          <cell r="J4614">
            <v>0.108</v>
          </cell>
          <cell r="K4614">
            <v>238</v>
          </cell>
          <cell r="L4614" t="str">
            <v>YHT</v>
          </cell>
          <cell r="N4614">
            <v>0.69812540400775702</v>
          </cell>
        </row>
        <row r="4615">
          <cell r="E4615" t="str">
            <v>HGC-Lib-2467656</v>
          </cell>
          <cell r="F4615" t="str">
            <v>2</v>
          </cell>
          <cell r="G4615">
            <v>10</v>
          </cell>
          <cell r="H4615" t="str">
            <v>mRNA文库</v>
          </cell>
          <cell r="I4615" t="str">
            <v>YHT</v>
          </cell>
          <cell r="J4615">
            <v>0.16600000000000001</v>
          </cell>
          <cell r="K4615">
            <v>240</v>
          </cell>
          <cell r="L4615" t="str">
            <v>YHT</v>
          </cell>
          <cell r="N4615">
            <v>1.0641025641025601</v>
          </cell>
        </row>
        <row r="4616">
          <cell r="E4616" t="str">
            <v>HGC-Lib-2467657</v>
          </cell>
          <cell r="F4616" t="str">
            <v>6</v>
          </cell>
          <cell r="G4616">
            <v>10</v>
          </cell>
          <cell r="H4616" t="str">
            <v>mRNA文库</v>
          </cell>
          <cell r="I4616" t="str">
            <v>YHT</v>
          </cell>
          <cell r="J4616">
            <v>0.124</v>
          </cell>
          <cell r="K4616">
            <v>409</v>
          </cell>
          <cell r="L4616" t="str">
            <v>YHT</v>
          </cell>
          <cell r="N4616">
            <v>0.466428437088584</v>
          </cell>
        </row>
        <row r="4617">
          <cell r="E4617" t="str">
            <v>HGC-Lib-2467658</v>
          </cell>
          <cell r="F4617" t="str">
            <v>7</v>
          </cell>
          <cell r="G4617">
            <v>10</v>
          </cell>
          <cell r="H4617" t="str">
            <v>mRNA文库</v>
          </cell>
          <cell r="I4617" t="str">
            <v>YHT</v>
          </cell>
          <cell r="J4617" t="str">
            <v>/</v>
          </cell>
          <cell r="K4617">
            <v>375</v>
          </cell>
          <cell r="L4617" t="str">
            <v>YHT</v>
          </cell>
          <cell r="N4617" t="e">
            <v>#VALUE!</v>
          </cell>
        </row>
        <row r="4618">
          <cell r="E4618" t="str">
            <v>HGC-Lib-2467659</v>
          </cell>
          <cell r="F4618" t="str">
            <v>8</v>
          </cell>
          <cell r="G4618">
            <v>10</v>
          </cell>
          <cell r="H4618" t="str">
            <v>mRNA文库</v>
          </cell>
          <cell r="I4618" t="str">
            <v>YHT</v>
          </cell>
          <cell r="J4618">
            <v>0.27400000000000002</v>
          </cell>
          <cell r="K4618">
            <v>197</v>
          </cell>
          <cell r="L4618" t="str">
            <v>YHT</v>
          </cell>
          <cell r="N4618">
            <v>2.1397891448652899</v>
          </cell>
        </row>
        <row r="4619">
          <cell r="E4619" t="str">
            <v>HGC-Lib-2467660</v>
          </cell>
          <cell r="F4619" t="str">
            <v>12</v>
          </cell>
          <cell r="G4619">
            <v>10</v>
          </cell>
          <cell r="H4619" t="str">
            <v>mRNA文库</v>
          </cell>
          <cell r="I4619" t="str">
            <v>YHT</v>
          </cell>
          <cell r="J4619">
            <v>0.15</v>
          </cell>
          <cell r="K4619">
            <v>235</v>
          </cell>
          <cell r="L4619" t="str">
            <v>YHT</v>
          </cell>
          <cell r="N4619">
            <v>0.98199672667757798</v>
          </cell>
        </row>
        <row r="4620">
          <cell r="E4620" t="str">
            <v>HGC-Lib-2467661</v>
          </cell>
          <cell r="F4620">
            <v>19</v>
          </cell>
          <cell r="G4620">
            <v>10</v>
          </cell>
          <cell r="H4620" t="str">
            <v>mRNA文库</v>
          </cell>
          <cell r="I4620" t="str">
            <v>YHT</v>
          </cell>
          <cell r="J4620">
            <v>1.68</v>
          </cell>
          <cell r="K4620">
            <v>215</v>
          </cell>
          <cell r="L4620" t="str">
            <v>YHT</v>
          </cell>
          <cell r="N4620">
            <v>12.0214669051878</v>
          </cell>
        </row>
        <row r="4621">
          <cell r="E4621" t="str">
            <v>HGC-Lib-2467663</v>
          </cell>
          <cell r="F4621" t="str">
            <v>0822X1</v>
          </cell>
          <cell r="G4621">
            <v>1000</v>
          </cell>
          <cell r="H4621" t="str">
            <v>10x 5'单细胞</v>
          </cell>
          <cell r="I4621" t="str">
            <v>GZQ</v>
          </cell>
          <cell r="J4621">
            <v>26</v>
          </cell>
          <cell r="K4621">
            <v>442</v>
          </cell>
          <cell r="L4621" t="str">
            <v>GZQ</v>
          </cell>
          <cell r="N4621">
            <v>90.497737556561106</v>
          </cell>
        </row>
        <row r="4622">
          <cell r="E4622" t="str">
            <v>HGC-Lib-2467662</v>
          </cell>
          <cell r="F4622" t="str">
            <v>haplox-1</v>
          </cell>
          <cell r="G4622">
            <v>100</v>
          </cell>
          <cell r="H4622" t="str">
            <v>10x 5'单细胞</v>
          </cell>
          <cell r="I4622" t="str">
            <v>WWH</v>
          </cell>
          <cell r="J4622">
            <v>52.4</v>
          </cell>
          <cell r="K4622">
            <v>461</v>
          </cell>
          <cell r="L4622" t="str">
            <v>WH</v>
          </cell>
          <cell r="N4622">
            <v>174.87068246287299</v>
          </cell>
        </row>
        <row r="4623">
          <cell r="E4623" t="str">
            <v>HGC-Lib-2467664</v>
          </cell>
          <cell r="F4623" t="str">
            <v>STAD-1</v>
          </cell>
          <cell r="G4623">
            <v>18</v>
          </cell>
          <cell r="H4623" t="str">
            <v>ATAC-Seq文库</v>
          </cell>
          <cell r="I4623" t="str">
            <v>WWH</v>
          </cell>
          <cell r="J4623">
            <v>6.56</v>
          </cell>
          <cell r="K4623">
            <v>324</v>
          </cell>
          <cell r="L4623" t="str">
            <v>WWH</v>
          </cell>
          <cell r="N4623">
            <v>31.149097815764499</v>
          </cell>
        </row>
        <row r="4624">
          <cell r="E4624" t="str">
            <v>HGC-Lib-2467665</v>
          </cell>
          <cell r="F4624" t="str">
            <v>STAD-2</v>
          </cell>
          <cell r="G4624">
            <v>18</v>
          </cell>
          <cell r="H4624" t="str">
            <v>ATAC-Seq文库</v>
          </cell>
          <cell r="I4624" t="str">
            <v>WWH</v>
          </cell>
          <cell r="J4624">
            <v>21</v>
          </cell>
          <cell r="K4624">
            <v>281</v>
          </cell>
          <cell r="L4624" t="str">
            <v>WH</v>
          </cell>
          <cell r="N4624">
            <v>114.97399397755299</v>
          </cell>
        </row>
        <row r="4625">
          <cell r="E4625" t="str">
            <v>HGC-Lib-2467666</v>
          </cell>
          <cell r="F4625" t="str">
            <v>STAD-3</v>
          </cell>
          <cell r="G4625">
            <v>18</v>
          </cell>
          <cell r="H4625" t="str">
            <v>ATAC-Seq文库</v>
          </cell>
          <cell r="I4625" t="str">
            <v>WWH</v>
          </cell>
          <cell r="J4625">
            <v>19.2</v>
          </cell>
          <cell r="K4625">
            <v>329</v>
          </cell>
          <cell r="L4625" t="str">
            <v>WH</v>
          </cell>
          <cell r="N4625">
            <v>89.782557867664195</v>
          </cell>
        </row>
        <row r="4626">
          <cell r="E4626" t="str">
            <v>HGC-Lib-2467667</v>
          </cell>
          <cell r="F4626" t="str">
            <v>STAD-1-cfDNA</v>
          </cell>
          <cell r="G4626">
            <v>100</v>
          </cell>
          <cell r="H4626" t="str">
            <v>全基因组文库</v>
          </cell>
          <cell r="I4626" t="str">
            <v>WWH</v>
          </cell>
          <cell r="J4626">
            <v>16.7</v>
          </cell>
          <cell r="K4626">
            <v>327</v>
          </cell>
          <cell r="L4626" t="str">
            <v>WH</v>
          </cell>
          <cell r="N4626">
            <v>78.569748294518902</v>
          </cell>
        </row>
        <row r="4627">
          <cell r="E4627" t="str">
            <v>HGC-Lib-2467668</v>
          </cell>
          <cell r="F4627" t="str">
            <v>STAD-2-cfDNA</v>
          </cell>
          <cell r="G4627">
            <v>100</v>
          </cell>
          <cell r="H4627" t="str">
            <v>全基因组文库</v>
          </cell>
          <cell r="I4627" t="str">
            <v>WWH</v>
          </cell>
          <cell r="J4627">
            <v>25.4</v>
          </cell>
          <cell r="K4627">
            <v>303</v>
          </cell>
          <cell r="L4627" t="str">
            <v>WH</v>
          </cell>
          <cell r="N4627">
            <v>128.96674282812899</v>
          </cell>
        </row>
        <row r="4628">
          <cell r="E4628" t="str">
            <v>HGC-Lib-2467669</v>
          </cell>
          <cell r="F4628" t="str">
            <v>STAD-3-cfDNA</v>
          </cell>
          <cell r="G4628">
            <v>100</v>
          </cell>
          <cell r="H4628" t="str">
            <v>全基因组文库</v>
          </cell>
          <cell r="I4628" t="str">
            <v>WWH</v>
          </cell>
          <cell r="J4628">
            <v>21</v>
          </cell>
          <cell r="K4628">
            <v>321</v>
          </cell>
          <cell r="L4628" t="str">
            <v>WH</v>
          </cell>
          <cell r="N4628">
            <v>100.64701653486701</v>
          </cell>
        </row>
        <row r="4629">
          <cell r="E4629" t="str">
            <v>HGC-Lib-2467670</v>
          </cell>
          <cell r="F4629" t="str">
            <v>STAD-4-cfDNA</v>
          </cell>
          <cell r="G4629">
            <v>100</v>
          </cell>
          <cell r="H4629" t="str">
            <v>全基因组文库</v>
          </cell>
          <cell r="I4629" t="str">
            <v>WWH</v>
          </cell>
          <cell r="J4629">
            <v>17.5</v>
          </cell>
          <cell r="K4629">
            <v>322</v>
          </cell>
          <cell r="L4629" t="str">
            <v>WH</v>
          </cell>
          <cell r="N4629">
            <v>83.612040133779303</v>
          </cell>
        </row>
        <row r="4630">
          <cell r="E4630" t="str">
            <v>HGC-Lib-2467671</v>
          </cell>
          <cell r="F4630" t="str">
            <v>ZGA-TRA</v>
          </cell>
          <cell r="G4630">
            <v>2</v>
          </cell>
          <cell r="H4630" t="str">
            <v>免疫组库</v>
          </cell>
          <cell r="I4630" t="str">
            <v>WWH</v>
          </cell>
          <cell r="J4630">
            <v>6.8</v>
          </cell>
          <cell r="K4630">
            <v>393</v>
          </cell>
          <cell r="L4630" t="str">
            <v>WWH</v>
          </cell>
          <cell r="N4630">
            <v>26.619690741828101</v>
          </cell>
        </row>
        <row r="4631">
          <cell r="E4631" t="str">
            <v>HGC-Lib-2467672</v>
          </cell>
          <cell r="F4631" t="str">
            <v>ZGA-TRB</v>
          </cell>
          <cell r="G4631">
            <v>2</v>
          </cell>
          <cell r="H4631" t="str">
            <v>免疫组库</v>
          </cell>
          <cell r="I4631" t="str">
            <v>WWH</v>
          </cell>
          <cell r="J4631">
            <v>10.3</v>
          </cell>
          <cell r="K4631">
            <v>360</v>
          </cell>
          <cell r="L4631" t="str">
            <v>WWH</v>
          </cell>
          <cell r="N4631">
            <v>44.017094017094003</v>
          </cell>
        </row>
        <row r="4632">
          <cell r="E4632" t="str">
            <v>HGC-Lib-2467673</v>
          </cell>
          <cell r="F4632" t="str">
            <v>ZGA-TRD</v>
          </cell>
          <cell r="G4632">
            <v>2</v>
          </cell>
          <cell r="H4632" t="str">
            <v>免疫组库</v>
          </cell>
          <cell r="I4632" t="str">
            <v>WWH</v>
          </cell>
          <cell r="J4632">
            <v>1.0900000000000001</v>
          </cell>
          <cell r="K4632">
            <v>359</v>
          </cell>
          <cell r="L4632" t="str">
            <v>WWH</v>
          </cell>
          <cell r="N4632">
            <v>4.6710949217913003</v>
          </cell>
        </row>
        <row r="4633">
          <cell r="E4633" t="str">
            <v>HGC-Lib-2467674</v>
          </cell>
          <cell r="F4633" t="str">
            <v>ZGA-TRG</v>
          </cell>
          <cell r="G4633">
            <v>2</v>
          </cell>
          <cell r="H4633" t="str">
            <v>免疫组库</v>
          </cell>
          <cell r="I4633" t="str">
            <v>WWH</v>
          </cell>
          <cell r="J4633">
            <v>30.2</v>
          </cell>
          <cell r="K4633">
            <v>342</v>
          </cell>
          <cell r="L4633" t="str">
            <v>WH</v>
          </cell>
          <cell r="N4633">
            <v>135.852451641925</v>
          </cell>
        </row>
        <row r="4634">
          <cell r="E4634" t="str">
            <v>HGC-Lib-2467675</v>
          </cell>
          <cell r="F4634" t="str">
            <v>SLH-TRA</v>
          </cell>
          <cell r="G4634">
            <v>2</v>
          </cell>
          <cell r="H4634" t="str">
            <v>免疫组库</v>
          </cell>
          <cell r="I4634" t="str">
            <v>WWH</v>
          </cell>
          <cell r="J4634">
            <v>20.399999999999999</v>
          </cell>
          <cell r="K4634">
            <v>326</v>
          </cell>
          <cell r="L4634" t="str">
            <v>WH</v>
          </cell>
          <cell r="N4634">
            <v>96.271826333175994</v>
          </cell>
        </row>
        <row r="4635">
          <cell r="E4635" t="str">
            <v>HGC-Lib-2467676</v>
          </cell>
          <cell r="F4635" t="str">
            <v>SLH-TRB</v>
          </cell>
          <cell r="G4635">
            <v>2</v>
          </cell>
          <cell r="H4635" t="str">
            <v>免疫组库</v>
          </cell>
          <cell r="I4635" t="str">
            <v>WWH</v>
          </cell>
          <cell r="J4635">
            <v>21.8</v>
          </cell>
          <cell r="K4635">
            <v>346</v>
          </cell>
          <cell r="L4635" t="str">
            <v>WH</v>
          </cell>
          <cell r="N4635">
            <v>96.931969764339698</v>
          </cell>
        </row>
        <row r="4636">
          <cell r="E4636" t="str">
            <v>HGC-Lib-2467677</v>
          </cell>
          <cell r="F4636" t="str">
            <v>SLH-TRD</v>
          </cell>
          <cell r="G4636">
            <v>2</v>
          </cell>
          <cell r="H4636" t="str">
            <v>免疫组库</v>
          </cell>
          <cell r="I4636" t="str">
            <v>WWH</v>
          </cell>
          <cell r="N4636" t="e">
            <v>#DIV/0!</v>
          </cell>
        </row>
        <row r="4637">
          <cell r="E4637" t="str">
            <v>HGC-Lib-2467678</v>
          </cell>
          <cell r="F4637" t="str">
            <v>SLH-TRG</v>
          </cell>
          <cell r="G4637">
            <v>2</v>
          </cell>
          <cell r="H4637" t="str">
            <v>免疫组库</v>
          </cell>
          <cell r="I4637" t="str">
            <v>WWH</v>
          </cell>
          <cell r="J4637">
            <v>34.799999999999997</v>
          </cell>
          <cell r="K4637">
            <v>353</v>
          </cell>
          <cell r="L4637" t="str">
            <v>WH</v>
          </cell>
          <cell r="N4637">
            <v>151.667029853999</v>
          </cell>
        </row>
        <row r="4638">
          <cell r="E4638" t="str">
            <v>HGC-Lib-2467679</v>
          </cell>
          <cell r="F4638" t="str">
            <v>WHK-TRA</v>
          </cell>
          <cell r="G4638">
            <v>2</v>
          </cell>
          <cell r="H4638" t="str">
            <v>免疫组库</v>
          </cell>
          <cell r="I4638" t="str">
            <v>WWH</v>
          </cell>
          <cell r="J4638">
            <v>30.8</v>
          </cell>
          <cell r="K4638">
            <v>533</v>
          </cell>
          <cell r="L4638" t="str">
            <v>WH</v>
          </cell>
          <cell r="N4638">
            <v>88.9017174195411</v>
          </cell>
        </row>
        <row r="4639">
          <cell r="E4639" t="str">
            <v>HGC-Lib-2467680</v>
          </cell>
          <cell r="F4639" t="str">
            <v>WHK-TRB</v>
          </cell>
          <cell r="G4639">
            <v>2</v>
          </cell>
          <cell r="H4639" t="str">
            <v>免疫组库</v>
          </cell>
          <cell r="I4639" t="str">
            <v>WWH</v>
          </cell>
          <cell r="J4639">
            <v>22.8</v>
          </cell>
          <cell r="K4639">
            <v>418</v>
          </cell>
          <cell r="L4639" t="str">
            <v>WH</v>
          </cell>
          <cell r="N4639">
            <v>83.916083916083906</v>
          </cell>
        </row>
        <row r="4640">
          <cell r="E4640" t="str">
            <v>HGC-Lib-2467681</v>
          </cell>
          <cell r="F4640" t="str">
            <v>WHK-TRD</v>
          </cell>
          <cell r="G4640">
            <v>2</v>
          </cell>
          <cell r="H4640" t="str">
            <v>免疫组库</v>
          </cell>
          <cell r="I4640" t="str">
            <v>WWH</v>
          </cell>
          <cell r="J4640">
            <v>29.2</v>
          </cell>
          <cell r="K4640">
            <v>389</v>
          </cell>
          <cell r="L4640" t="str">
            <v>WH</v>
          </cell>
          <cell r="N4640">
            <v>115.483488234131</v>
          </cell>
        </row>
        <row r="4641">
          <cell r="E4641" t="str">
            <v>HGC-Lib-2467682</v>
          </cell>
          <cell r="F4641" t="str">
            <v>WHK-TRG</v>
          </cell>
          <cell r="G4641" t="str">
            <v>2</v>
          </cell>
          <cell r="H4641" t="str">
            <v>免疫组库</v>
          </cell>
          <cell r="I4641" t="str">
            <v>WWH</v>
          </cell>
          <cell r="J4641">
            <v>71.599999999999994</v>
          </cell>
          <cell r="K4641">
            <v>541</v>
          </cell>
          <cell r="L4641" t="str">
            <v>WH</v>
          </cell>
          <cell r="N4641">
            <v>203.61154557088</v>
          </cell>
        </row>
        <row r="4642">
          <cell r="E4642" t="str">
            <v>HGC-Lib-2467683</v>
          </cell>
          <cell r="F4642" t="str">
            <v>YSM-24</v>
          </cell>
          <cell r="G4642">
            <v>2</v>
          </cell>
          <cell r="H4642" t="str">
            <v>PCR片段文库</v>
          </cell>
          <cell r="I4642" t="str">
            <v>WWH</v>
          </cell>
          <cell r="J4642">
            <v>77.2</v>
          </cell>
          <cell r="K4642">
            <v>503</v>
          </cell>
          <cell r="L4642" t="str">
            <v>WH</v>
          </cell>
          <cell r="N4642">
            <v>236.12173115155201</v>
          </cell>
        </row>
        <row r="4643">
          <cell r="E4643" t="str">
            <v>HGC-Lib-2467684</v>
          </cell>
          <cell r="F4643" t="str">
            <v>HitomXNN403</v>
          </cell>
          <cell r="G4643">
            <v>2</v>
          </cell>
          <cell r="H4643" t="str">
            <v>PCR片段文库</v>
          </cell>
          <cell r="I4643" t="str">
            <v>WWH</v>
          </cell>
          <cell r="J4643">
            <v>78.599999999999994</v>
          </cell>
          <cell r="K4643">
            <v>495</v>
          </cell>
          <cell r="L4643" t="str">
            <v>WH</v>
          </cell>
          <cell r="N4643">
            <v>244.289044289044</v>
          </cell>
        </row>
        <row r="4644">
          <cell r="E4644" t="str">
            <v>HGC-Lib-2467685</v>
          </cell>
          <cell r="F4644" t="str">
            <v>HitomXNN404</v>
          </cell>
          <cell r="G4644">
            <v>2</v>
          </cell>
          <cell r="H4644" t="str">
            <v>PCR片段文库</v>
          </cell>
          <cell r="I4644" t="str">
            <v>WWH</v>
          </cell>
          <cell r="J4644">
            <v>40.799999999999997</v>
          </cell>
          <cell r="K4644">
            <v>476</v>
          </cell>
          <cell r="L4644" t="str">
            <v>WH</v>
          </cell>
          <cell r="N4644">
            <v>131.868131868132</v>
          </cell>
        </row>
        <row r="4645">
          <cell r="E4645" t="str">
            <v>HGC-Lib-2467686</v>
          </cell>
          <cell r="F4645" t="str">
            <v>HitomXNN405</v>
          </cell>
          <cell r="G4645">
            <v>2</v>
          </cell>
          <cell r="H4645" t="str">
            <v>PCR片段文库</v>
          </cell>
          <cell r="I4645" t="str">
            <v>WWH</v>
          </cell>
          <cell r="J4645">
            <v>67.8</v>
          </cell>
          <cell r="K4645">
            <v>604</v>
          </cell>
          <cell r="L4645" t="str">
            <v>WH</v>
          </cell>
          <cell r="N4645">
            <v>172.69485481405999</v>
          </cell>
        </row>
        <row r="4646">
          <cell r="E4646" t="str">
            <v>HGC-Lib-2467687</v>
          </cell>
          <cell r="F4646" t="str">
            <v>HitomXNN406</v>
          </cell>
          <cell r="G4646">
            <v>2</v>
          </cell>
          <cell r="H4646" t="str">
            <v>PCR片段文库</v>
          </cell>
          <cell r="I4646" t="str">
            <v>WWH</v>
          </cell>
          <cell r="J4646">
            <v>91</v>
          </cell>
          <cell r="K4646">
            <v>622</v>
          </cell>
          <cell r="L4646" t="str">
            <v>WH</v>
          </cell>
          <cell r="N4646">
            <v>225.08038585208999</v>
          </cell>
        </row>
        <row r="4647">
          <cell r="E4647" t="str">
            <v>HGC-Lib-2467706</v>
          </cell>
          <cell r="F4647" t="str">
            <v>L240713041</v>
          </cell>
          <cell r="G4647">
            <v>75</v>
          </cell>
          <cell r="H4647" t="str">
            <v>10X空转文库</v>
          </cell>
          <cell r="I4647" t="str">
            <v>WWH</v>
          </cell>
          <cell r="J4647">
            <v>22</v>
          </cell>
          <cell r="N4647" t="e">
            <v>#DIV/0!</v>
          </cell>
        </row>
        <row r="4648">
          <cell r="E4648" t="str">
            <v>HGC-Lib-2467707</v>
          </cell>
          <cell r="F4648" t="str">
            <v>L240713036</v>
          </cell>
          <cell r="G4648">
            <v>75</v>
          </cell>
          <cell r="H4648" t="str">
            <v>10X空转文库</v>
          </cell>
          <cell r="I4648" t="str">
            <v>WWH</v>
          </cell>
          <cell r="J4648">
            <v>22</v>
          </cell>
          <cell r="N4648" t="e">
            <v>#DIV/0!</v>
          </cell>
        </row>
        <row r="4649">
          <cell r="E4649" t="str">
            <v>HGC-Lib-2467708</v>
          </cell>
          <cell r="F4649" t="str">
            <v>L240420026</v>
          </cell>
          <cell r="G4649">
            <v>75</v>
          </cell>
          <cell r="H4649" t="str">
            <v>10X空转文库</v>
          </cell>
          <cell r="I4649" t="str">
            <v>WWH</v>
          </cell>
          <cell r="J4649">
            <v>13.4</v>
          </cell>
          <cell r="N4649" t="e">
            <v>#DIV/0!</v>
          </cell>
        </row>
        <row r="4650">
          <cell r="E4650" t="str">
            <v>HGC-Lib-2467709</v>
          </cell>
          <cell r="F4650" t="str">
            <v>L240801077</v>
          </cell>
          <cell r="G4650">
            <v>75</v>
          </cell>
          <cell r="H4650" t="str">
            <v>10X空转文库</v>
          </cell>
          <cell r="I4650" t="str">
            <v>WWH</v>
          </cell>
          <cell r="J4650">
            <v>21</v>
          </cell>
          <cell r="N4650" t="e">
            <v>#DIV/0!</v>
          </cell>
        </row>
        <row r="4651">
          <cell r="E4651" t="str">
            <v>HGC-Lib-2467710</v>
          </cell>
          <cell r="F4651" t="str">
            <v>L240713039</v>
          </cell>
          <cell r="G4651">
            <v>75</v>
          </cell>
          <cell r="H4651" t="str">
            <v>10X空转文库</v>
          </cell>
          <cell r="I4651" t="str">
            <v>WWH</v>
          </cell>
          <cell r="J4651">
            <v>15.7</v>
          </cell>
          <cell r="N4651" t="e">
            <v>#DIV/0!</v>
          </cell>
        </row>
        <row r="4652">
          <cell r="E4652" t="str">
            <v>HGC-Lib-2467711</v>
          </cell>
          <cell r="F4652" t="str">
            <v>L240801086</v>
          </cell>
          <cell r="G4652">
            <v>75</v>
          </cell>
          <cell r="H4652" t="str">
            <v>10X空转文库</v>
          </cell>
          <cell r="I4652" t="str">
            <v>WWH</v>
          </cell>
          <cell r="J4652">
            <v>22.2</v>
          </cell>
          <cell r="N4652" t="e">
            <v>#DIV/0!</v>
          </cell>
        </row>
        <row r="4653">
          <cell r="E4653" t="str">
            <v>HGC-Lib-2467712</v>
          </cell>
          <cell r="F4653" t="str">
            <v>L240731081</v>
          </cell>
          <cell r="G4653">
            <v>75</v>
          </cell>
          <cell r="H4653" t="str">
            <v>10X空转文库</v>
          </cell>
          <cell r="I4653" t="str">
            <v>WWH</v>
          </cell>
          <cell r="J4653">
            <v>25.2</v>
          </cell>
          <cell r="N4653" t="e">
            <v>#DIV/0!</v>
          </cell>
        </row>
        <row r="4654">
          <cell r="E4654" t="str">
            <v>HGC-Lib-2467713</v>
          </cell>
          <cell r="F4654" t="str">
            <v>L240803032</v>
          </cell>
          <cell r="G4654">
            <v>75</v>
          </cell>
          <cell r="H4654" t="str">
            <v>10X空转文库</v>
          </cell>
          <cell r="I4654" t="str">
            <v>WWH</v>
          </cell>
          <cell r="J4654">
            <v>24</v>
          </cell>
          <cell r="N4654" t="e">
            <v>#DIV/0!</v>
          </cell>
        </row>
        <row r="4655">
          <cell r="E4655" t="str">
            <v>HGC-Lib-2467714</v>
          </cell>
          <cell r="F4655" t="str">
            <v>L240713038</v>
          </cell>
          <cell r="G4655">
            <v>75</v>
          </cell>
          <cell r="H4655" t="str">
            <v>10X空转文库</v>
          </cell>
          <cell r="I4655" t="str">
            <v>WWH</v>
          </cell>
          <cell r="J4655">
            <v>21</v>
          </cell>
          <cell r="N4655" t="e">
            <v>#DIV/0!</v>
          </cell>
        </row>
        <row r="4656">
          <cell r="E4656" t="str">
            <v>HGC-Lib-2467715</v>
          </cell>
          <cell r="F4656" t="str">
            <v>L240729039</v>
          </cell>
          <cell r="G4656">
            <v>75</v>
          </cell>
          <cell r="H4656" t="str">
            <v>10X空转文库</v>
          </cell>
          <cell r="I4656" t="str">
            <v>WWH</v>
          </cell>
          <cell r="J4656">
            <v>20.6</v>
          </cell>
          <cell r="N4656" t="e">
            <v>#DIV/0!</v>
          </cell>
        </row>
        <row r="4657">
          <cell r="E4657" t="str">
            <v>HGC-Lib-2467716</v>
          </cell>
          <cell r="F4657" t="str">
            <v>L240801078</v>
          </cell>
          <cell r="G4657">
            <v>75</v>
          </cell>
          <cell r="H4657" t="str">
            <v>10X空转文库</v>
          </cell>
          <cell r="I4657" t="str">
            <v>WWH</v>
          </cell>
          <cell r="J4657">
            <v>6.88</v>
          </cell>
          <cell r="N4657" t="e">
            <v>#DIV/0!</v>
          </cell>
        </row>
        <row r="4658">
          <cell r="E4658" t="str">
            <v>HGC-Lib-2467717</v>
          </cell>
          <cell r="F4658" t="str">
            <v>L240523050</v>
          </cell>
          <cell r="G4658">
            <v>75</v>
          </cell>
          <cell r="H4658" t="str">
            <v>10X空转文库</v>
          </cell>
          <cell r="I4658" t="str">
            <v>WWH</v>
          </cell>
          <cell r="J4658">
            <v>29</v>
          </cell>
          <cell r="N4658" t="e">
            <v>#DIV/0!</v>
          </cell>
        </row>
        <row r="4659">
          <cell r="E4659" t="str">
            <v>HGC-Lib-2467718</v>
          </cell>
          <cell r="F4659" t="str">
            <v>Th1-1</v>
          </cell>
          <cell r="G4659">
            <v>8</v>
          </cell>
          <cell r="H4659" t="str">
            <v>Cut&amp;Tag文库</v>
          </cell>
          <cell r="I4659" t="str">
            <v>WWH</v>
          </cell>
          <cell r="J4659">
            <v>68.599999999999994</v>
          </cell>
          <cell r="K4659">
            <v>410</v>
          </cell>
          <cell r="L4659" t="str">
            <v>WH</v>
          </cell>
          <cell r="M4659" t="str">
            <v>加水30ul</v>
          </cell>
          <cell r="N4659">
            <v>257.41088180112598</v>
          </cell>
        </row>
        <row r="4660">
          <cell r="E4660" t="str">
            <v>HGC-Lib-2467719</v>
          </cell>
          <cell r="F4660" t="str">
            <v>Th1-2</v>
          </cell>
          <cell r="G4660">
            <v>8</v>
          </cell>
          <cell r="H4660" t="str">
            <v>Cut&amp;Tag文库</v>
          </cell>
          <cell r="I4660" t="str">
            <v>WWH</v>
          </cell>
          <cell r="J4660">
            <v>97.6</v>
          </cell>
          <cell r="K4660">
            <v>408</v>
          </cell>
          <cell r="L4660" t="str">
            <v>WH</v>
          </cell>
          <cell r="N4660">
            <v>368.02413273001503</v>
          </cell>
        </row>
        <row r="4661">
          <cell r="E4661" t="str">
            <v>HGC-Lib-2467720</v>
          </cell>
          <cell r="F4661" t="str">
            <v>Th1-3</v>
          </cell>
          <cell r="G4661">
            <v>8</v>
          </cell>
          <cell r="H4661" t="str">
            <v>Cut&amp;Tag文库</v>
          </cell>
          <cell r="I4661" t="str">
            <v>WWH</v>
          </cell>
          <cell r="J4661">
            <v>82.4</v>
          </cell>
          <cell r="K4661">
            <v>409</v>
          </cell>
          <cell r="L4661" t="str">
            <v>WH</v>
          </cell>
          <cell r="N4661">
            <v>309.94921948467203</v>
          </cell>
        </row>
        <row r="4662">
          <cell r="E4662" t="str">
            <v>HGC-Lib-2467721</v>
          </cell>
          <cell r="F4662" t="str">
            <v>Tfh-1</v>
          </cell>
          <cell r="G4662">
            <v>8</v>
          </cell>
          <cell r="H4662" t="str">
            <v>Cut&amp;Tag文库</v>
          </cell>
          <cell r="I4662" t="str">
            <v>WWH</v>
          </cell>
          <cell r="J4662">
            <v>80</v>
          </cell>
          <cell r="K4662">
            <v>410</v>
          </cell>
          <cell r="L4662" t="str">
            <v>WH</v>
          </cell>
          <cell r="N4662">
            <v>300.18761726078799</v>
          </cell>
        </row>
        <row r="4663">
          <cell r="E4663" t="str">
            <v>HGC-Lib-2467722</v>
          </cell>
          <cell r="F4663" t="str">
            <v>Tfh-2</v>
          </cell>
          <cell r="G4663">
            <v>8</v>
          </cell>
          <cell r="H4663" t="str">
            <v>Cut&amp;Tag文库</v>
          </cell>
          <cell r="I4663" t="str">
            <v>WWH</v>
          </cell>
          <cell r="J4663">
            <v>76.8</v>
          </cell>
          <cell r="K4663">
            <v>423</v>
          </cell>
          <cell r="L4663" t="str">
            <v>WH</v>
          </cell>
          <cell r="N4663">
            <v>279.323513366067</v>
          </cell>
        </row>
        <row r="4664">
          <cell r="E4664" t="str">
            <v>HGC-Lib-2467723</v>
          </cell>
          <cell r="F4664" t="str">
            <v>Tfh-3</v>
          </cell>
          <cell r="G4664">
            <v>8</v>
          </cell>
          <cell r="H4664" t="str">
            <v>Cut&amp;Tag文库</v>
          </cell>
          <cell r="I4664" t="str">
            <v>WWH</v>
          </cell>
          <cell r="J4664">
            <v>53.2</v>
          </cell>
          <cell r="K4664">
            <v>421</v>
          </cell>
          <cell r="L4664" t="str">
            <v>WH</v>
          </cell>
          <cell r="N4664">
            <v>194.40891649917799</v>
          </cell>
        </row>
        <row r="4665">
          <cell r="E4665" t="str">
            <v>HGC-Lib-2467724</v>
          </cell>
          <cell r="F4665" t="str">
            <v>N</v>
          </cell>
          <cell r="G4665">
            <v>8</v>
          </cell>
          <cell r="H4665" t="str">
            <v>Cut&amp;Tag文库</v>
          </cell>
          <cell r="I4665" t="str">
            <v>WWH</v>
          </cell>
          <cell r="J4665">
            <v>42.4</v>
          </cell>
          <cell r="K4665">
            <v>422</v>
          </cell>
          <cell r="L4665" t="str">
            <v>WH</v>
          </cell>
          <cell r="N4665">
            <v>154.575282537368</v>
          </cell>
        </row>
        <row r="4666">
          <cell r="E4666" t="str">
            <v>HGC-Lib-2467725</v>
          </cell>
          <cell r="F4666" t="str">
            <v>L1</v>
          </cell>
          <cell r="G4666">
            <v>5</v>
          </cell>
          <cell r="H4666" t="str">
            <v>lncRNA文库</v>
          </cell>
          <cell r="I4666" t="str">
            <v>WWH</v>
          </cell>
          <cell r="J4666">
            <v>9.58</v>
          </cell>
          <cell r="N4666" t="e">
            <v>#DIV/0!</v>
          </cell>
        </row>
        <row r="4667">
          <cell r="E4667" t="str">
            <v>HGC-Lib-2467726</v>
          </cell>
          <cell r="F4667" t="str">
            <v>L2</v>
          </cell>
          <cell r="G4667">
            <v>5</v>
          </cell>
          <cell r="H4667" t="str">
            <v>lncRNA文库</v>
          </cell>
          <cell r="I4667" t="str">
            <v>WWH</v>
          </cell>
          <cell r="J4667">
            <v>7.18</v>
          </cell>
          <cell r="N4667" t="e">
            <v>#DIV/0!</v>
          </cell>
        </row>
        <row r="4668">
          <cell r="E4668" t="str">
            <v>HGC-Lib-2467727</v>
          </cell>
          <cell r="F4668" t="str">
            <v>L3</v>
          </cell>
          <cell r="G4668">
            <v>5</v>
          </cell>
          <cell r="H4668" t="str">
            <v>lncRNA文库</v>
          </cell>
          <cell r="I4668" t="str">
            <v>WWH</v>
          </cell>
          <cell r="J4668">
            <v>7.14</v>
          </cell>
          <cell r="K4668">
            <v>633</v>
          </cell>
          <cell r="N4668">
            <v>17.353262850893199</v>
          </cell>
        </row>
        <row r="4669">
          <cell r="E4669" t="str">
            <v>HGC-Lib-2467728</v>
          </cell>
          <cell r="F4669" t="str">
            <v>L4</v>
          </cell>
          <cell r="G4669">
            <v>5</v>
          </cell>
          <cell r="H4669" t="str">
            <v>lncRNA文库</v>
          </cell>
          <cell r="I4669" t="str">
            <v>WWH</v>
          </cell>
          <cell r="J4669">
            <v>8.5</v>
          </cell>
          <cell r="N4669" t="e">
            <v>#DIV/0!</v>
          </cell>
        </row>
        <row r="4670">
          <cell r="E4670" t="str">
            <v>HGC-Lib-2467729</v>
          </cell>
          <cell r="F4670" t="str">
            <v>L5</v>
          </cell>
          <cell r="G4670">
            <v>5</v>
          </cell>
          <cell r="H4670" t="str">
            <v>lncRNA文库</v>
          </cell>
          <cell r="I4670" t="str">
            <v>WWH</v>
          </cell>
          <cell r="J4670">
            <v>11.4</v>
          </cell>
          <cell r="N4670" t="e">
            <v>#DIV/0!</v>
          </cell>
        </row>
        <row r="4671">
          <cell r="E4671" t="str">
            <v>HGC-Lib-2467730</v>
          </cell>
          <cell r="F4671" t="str">
            <v>L6</v>
          </cell>
          <cell r="G4671">
            <v>5</v>
          </cell>
          <cell r="H4671" t="str">
            <v>lncRNA文库</v>
          </cell>
          <cell r="I4671" t="str">
            <v>WWH</v>
          </cell>
          <cell r="J4671">
            <v>1.84</v>
          </cell>
          <cell r="N4671" t="e">
            <v>#DIV/0!</v>
          </cell>
        </row>
        <row r="4672">
          <cell r="E4672" t="str">
            <v>HGC-Lib-2467731</v>
          </cell>
          <cell r="F4672" t="str">
            <v>L7</v>
          </cell>
          <cell r="G4672">
            <v>5</v>
          </cell>
          <cell r="H4672" t="str">
            <v>lncRNA文库</v>
          </cell>
          <cell r="I4672" t="str">
            <v>WWH</v>
          </cell>
          <cell r="J4672">
            <v>1.7</v>
          </cell>
          <cell r="N4672" t="e">
            <v>#DIV/0!</v>
          </cell>
        </row>
        <row r="4673">
          <cell r="E4673" t="str">
            <v>HGC-Lib-2467732</v>
          </cell>
          <cell r="F4673" t="str">
            <v>L8</v>
          </cell>
          <cell r="G4673">
            <v>5</v>
          </cell>
          <cell r="H4673" t="str">
            <v>lncRNA文库</v>
          </cell>
          <cell r="I4673" t="str">
            <v>WWH</v>
          </cell>
          <cell r="J4673">
            <v>1.06</v>
          </cell>
          <cell r="K4673">
            <v>305</v>
          </cell>
          <cell r="N4673">
            <v>5.34678436317781</v>
          </cell>
        </row>
        <row r="4674">
          <cell r="E4674" t="str">
            <v>HGC-Lib-2467733</v>
          </cell>
          <cell r="F4674" t="str">
            <v>L9</v>
          </cell>
          <cell r="G4674">
            <v>5</v>
          </cell>
          <cell r="H4674" t="str">
            <v>lncRNA文库</v>
          </cell>
          <cell r="I4674" t="str">
            <v>WWH</v>
          </cell>
          <cell r="J4674">
            <v>1</v>
          </cell>
          <cell r="N4674" t="e">
            <v>#DIV/0!</v>
          </cell>
        </row>
        <row r="4675">
          <cell r="E4675" t="str">
            <v>HGC-Lib-2467734</v>
          </cell>
          <cell r="F4675" t="str">
            <v>L10</v>
          </cell>
          <cell r="G4675">
            <v>5</v>
          </cell>
          <cell r="H4675" t="str">
            <v>lncRNA文库</v>
          </cell>
          <cell r="I4675" t="str">
            <v>WWH</v>
          </cell>
          <cell r="J4675">
            <v>1.97</v>
          </cell>
          <cell r="N4675" t="e">
            <v>#DIV/0!</v>
          </cell>
        </row>
        <row r="4676">
          <cell r="E4676" t="str">
            <v>HGC-Lib-2467735</v>
          </cell>
          <cell r="F4676" t="str">
            <v>L11</v>
          </cell>
          <cell r="G4676">
            <v>5</v>
          </cell>
          <cell r="H4676" t="str">
            <v>lncRNA文库</v>
          </cell>
          <cell r="I4676" t="str">
            <v>WWH</v>
          </cell>
          <cell r="J4676">
            <v>1.48</v>
          </cell>
          <cell r="N4676" t="e">
            <v>#DIV/0!</v>
          </cell>
        </row>
        <row r="4677">
          <cell r="E4677" t="str">
            <v>HGC-Lib-2467736</v>
          </cell>
          <cell r="F4677" t="str">
            <v>L12</v>
          </cell>
          <cell r="G4677">
            <v>5</v>
          </cell>
          <cell r="H4677" t="str">
            <v>lncRNA文库</v>
          </cell>
          <cell r="I4677" t="str">
            <v>WWH</v>
          </cell>
          <cell r="J4677">
            <v>1</v>
          </cell>
          <cell r="K4677">
            <v>288</v>
          </cell>
          <cell r="N4677">
            <v>5.3418803418803398</v>
          </cell>
        </row>
        <row r="4678">
          <cell r="E4678" t="str">
            <v>HGC-Lib-2467737</v>
          </cell>
          <cell r="F4678" t="str">
            <v>ATAC-5-1</v>
          </cell>
          <cell r="G4678">
            <v>10</v>
          </cell>
          <cell r="H4678" t="str">
            <v>ATAC-Seq文库</v>
          </cell>
          <cell r="I4678" t="str">
            <v>WWH</v>
          </cell>
          <cell r="J4678">
            <v>41.4</v>
          </cell>
          <cell r="K4678">
            <v>388</v>
          </cell>
          <cell r="L4678" t="str">
            <v>WH</v>
          </cell>
          <cell r="N4678">
            <v>164.15543219666901</v>
          </cell>
        </row>
        <row r="4679">
          <cell r="E4679" t="str">
            <v>HGC-Lib-2467738</v>
          </cell>
          <cell r="F4679" t="str">
            <v>ATAC-5-2</v>
          </cell>
          <cell r="G4679">
            <v>10</v>
          </cell>
          <cell r="H4679" t="str">
            <v>ATAC-Seq文库</v>
          </cell>
          <cell r="I4679" t="str">
            <v>WWH</v>
          </cell>
          <cell r="J4679">
            <v>38.6</v>
          </cell>
          <cell r="K4679">
            <v>382</v>
          </cell>
          <cell r="L4679" t="str">
            <v>WH</v>
          </cell>
          <cell r="N4679">
            <v>155.457108336689</v>
          </cell>
        </row>
        <row r="4680">
          <cell r="E4680" t="str">
            <v>HGC-Lib-2467739</v>
          </cell>
          <cell r="F4680" t="str">
            <v>ATAC-5-3</v>
          </cell>
          <cell r="G4680">
            <v>10</v>
          </cell>
          <cell r="H4680" t="str">
            <v>ATAC-Seq文库</v>
          </cell>
          <cell r="I4680" t="str">
            <v>WWH</v>
          </cell>
          <cell r="J4680">
            <v>36</v>
          </cell>
          <cell r="K4680">
            <v>361</v>
          </cell>
          <cell r="L4680" t="str">
            <v>WH</v>
          </cell>
          <cell r="N4680">
            <v>153.41998721500099</v>
          </cell>
        </row>
        <row r="4681">
          <cell r="E4681" t="str">
            <v>HGC-Lib-2467740</v>
          </cell>
          <cell r="F4681" t="str">
            <v>ATAC-5-4</v>
          </cell>
          <cell r="G4681">
            <v>10</v>
          </cell>
          <cell r="H4681" t="str">
            <v>ATAC-Seq文库</v>
          </cell>
          <cell r="I4681" t="str">
            <v>WWH</v>
          </cell>
          <cell r="J4681">
            <v>30.8</v>
          </cell>
          <cell r="K4681">
            <v>363</v>
          </cell>
          <cell r="L4681" t="str">
            <v>WH</v>
          </cell>
          <cell r="N4681">
            <v>130.536130536131</v>
          </cell>
        </row>
        <row r="4682">
          <cell r="E4682" t="str">
            <v>HGC-Lib-2467741</v>
          </cell>
          <cell r="F4682" t="str">
            <v>ATAC-5-5</v>
          </cell>
          <cell r="G4682">
            <v>10</v>
          </cell>
          <cell r="H4682" t="str">
            <v>ATAC-Seq文库</v>
          </cell>
          <cell r="I4682" t="str">
            <v>WWH</v>
          </cell>
          <cell r="J4682">
            <v>33.200000000000003</v>
          </cell>
          <cell r="K4682">
            <v>329</v>
          </cell>
          <cell r="L4682" t="str">
            <v>WH</v>
          </cell>
          <cell r="N4682">
            <v>155.249006312836</v>
          </cell>
        </row>
        <row r="4683">
          <cell r="E4683" t="str">
            <v>HGC-Lib-2467742</v>
          </cell>
          <cell r="F4683" t="str">
            <v>ATAC-5-6</v>
          </cell>
          <cell r="G4683">
            <v>10</v>
          </cell>
          <cell r="H4683" t="str">
            <v>ATAC-Seq文库</v>
          </cell>
          <cell r="I4683" t="str">
            <v>WWH</v>
          </cell>
          <cell r="J4683">
            <v>35</v>
          </cell>
          <cell r="K4683">
            <v>346</v>
          </cell>
          <cell r="L4683" t="str">
            <v>WH</v>
          </cell>
          <cell r="N4683">
            <v>155.624722098711</v>
          </cell>
        </row>
        <row r="4684">
          <cell r="E4684" t="str">
            <v>HGC-Lib-2467743</v>
          </cell>
          <cell r="F4684" t="str">
            <v>ATAC-5-7</v>
          </cell>
          <cell r="G4684">
            <v>10</v>
          </cell>
          <cell r="H4684" t="str">
            <v>ATAC-Seq文库</v>
          </cell>
          <cell r="I4684" t="str">
            <v>WWH</v>
          </cell>
          <cell r="J4684">
            <v>40</v>
          </cell>
          <cell r="K4684">
            <v>349</v>
          </cell>
          <cell r="L4684" t="str">
            <v>WH</v>
          </cell>
          <cell r="N4684">
            <v>176.32797002424499</v>
          </cell>
        </row>
        <row r="4685">
          <cell r="E4685" t="str">
            <v>HGC-Lib-2467744</v>
          </cell>
          <cell r="F4685" t="str">
            <v>ATAC-5-8</v>
          </cell>
          <cell r="G4685">
            <v>10</v>
          </cell>
          <cell r="H4685" t="str">
            <v>ATAC-Seq文库</v>
          </cell>
          <cell r="I4685" t="str">
            <v>WWH</v>
          </cell>
          <cell r="J4685">
            <v>39.799999999999997</v>
          </cell>
          <cell r="K4685">
            <v>312</v>
          </cell>
          <cell r="L4685" t="str">
            <v>WH</v>
          </cell>
          <cell r="N4685">
            <v>196.252465483235</v>
          </cell>
        </row>
        <row r="4686">
          <cell r="E4686" t="str">
            <v>HGC-Lib-2467745</v>
          </cell>
          <cell r="F4686" t="str">
            <v>LA240818007</v>
          </cell>
          <cell r="G4686">
            <v>100</v>
          </cell>
          <cell r="H4686" t="str">
            <v>singleron-3'转录组文库</v>
          </cell>
          <cell r="I4686" t="str">
            <v>WWH</v>
          </cell>
          <cell r="J4686">
            <v>12</v>
          </cell>
          <cell r="N4686" t="e">
            <v>#DIV/0!</v>
          </cell>
        </row>
        <row r="4687">
          <cell r="E4687" t="str">
            <v>HGC-Lib-2467746</v>
          </cell>
          <cell r="F4687" t="str">
            <v>LC240819012</v>
          </cell>
          <cell r="G4687">
            <v>90</v>
          </cell>
          <cell r="H4687" t="str">
            <v>singleron-3'转录组文库</v>
          </cell>
          <cell r="I4687" t="str">
            <v>WWH</v>
          </cell>
          <cell r="J4687">
            <v>14.6</v>
          </cell>
          <cell r="N4687" t="e">
            <v>#DIV/0!</v>
          </cell>
        </row>
        <row r="4688">
          <cell r="E4688" t="str">
            <v>HGC-Lib-2467747</v>
          </cell>
          <cell r="F4688" t="str">
            <v>LA240816002</v>
          </cell>
          <cell r="G4688">
            <v>100</v>
          </cell>
          <cell r="H4688" t="str">
            <v>singleron-3'转录组文库</v>
          </cell>
          <cell r="I4688" t="str">
            <v>WWH</v>
          </cell>
          <cell r="J4688">
            <v>14.7</v>
          </cell>
          <cell r="N4688" t="e">
            <v>#DIV/0!</v>
          </cell>
        </row>
        <row r="4689">
          <cell r="E4689" t="str">
            <v>HGC-Lib-2467748</v>
          </cell>
          <cell r="F4689" t="str">
            <v>LA240816001</v>
          </cell>
          <cell r="G4689">
            <v>100</v>
          </cell>
          <cell r="H4689" t="str">
            <v>singleron-3'转录组文库</v>
          </cell>
          <cell r="I4689" t="str">
            <v>WWH</v>
          </cell>
          <cell r="J4689">
            <v>10.5</v>
          </cell>
          <cell r="N4689" t="e">
            <v>#DIV/0!</v>
          </cell>
        </row>
        <row r="4690">
          <cell r="E4690" t="str">
            <v>HGC-Lib-2467749</v>
          </cell>
          <cell r="F4690" t="str">
            <v>LC240819017</v>
          </cell>
          <cell r="G4690">
            <v>96</v>
          </cell>
          <cell r="H4690" t="str">
            <v>singleron-3'转录组文库</v>
          </cell>
          <cell r="I4690" t="str">
            <v>WWH</v>
          </cell>
          <cell r="J4690">
            <v>28.6</v>
          </cell>
          <cell r="N4690" t="e">
            <v>#DIV/0!</v>
          </cell>
        </row>
        <row r="4691">
          <cell r="E4691" t="str">
            <v>HGC-Lib-2467750</v>
          </cell>
          <cell r="F4691" t="str">
            <v>LFTBA240818003</v>
          </cell>
          <cell r="G4691">
            <v>100</v>
          </cell>
          <cell r="H4691" t="str">
            <v>singleron-3'全长转录组文库</v>
          </cell>
          <cell r="I4691" t="str">
            <v>WWH</v>
          </cell>
          <cell r="J4691">
            <v>16.2</v>
          </cell>
          <cell r="N4691" t="e">
            <v>#DIV/0!</v>
          </cell>
        </row>
        <row r="4692">
          <cell r="E4692" t="str">
            <v>HGC-Lib-2467751</v>
          </cell>
          <cell r="F4692" t="str">
            <v>LA240818006</v>
          </cell>
          <cell r="G4692">
            <v>20</v>
          </cell>
          <cell r="H4692" t="str">
            <v>singleron-3'转录组文库</v>
          </cell>
          <cell r="I4692" t="str">
            <v>WWH</v>
          </cell>
          <cell r="J4692">
            <v>12.6</v>
          </cell>
          <cell r="N4692" t="e">
            <v>#DIV/0!</v>
          </cell>
        </row>
        <row r="4693">
          <cell r="E4693" t="str">
            <v>HGC-POOL-2467752</v>
          </cell>
          <cell r="F4693" t="str">
            <v>PCRD-240822-001</v>
          </cell>
          <cell r="G4693">
            <v>25</v>
          </cell>
          <cell r="H4693" t="str">
            <v>singleron-3'转录组文库</v>
          </cell>
          <cell r="I4693" t="str">
            <v>WWH</v>
          </cell>
          <cell r="J4693">
            <v>10.7</v>
          </cell>
          <cell r="N4693" t="e">
            <v>#DIV/0!</v>
          </cell>
        </row>
        <row r="4694">
          <cell r="E4694" t="str">
            <v>HGC-POOL-2467753</v>
          </cell>
          <cell r="F4694" t="str">
            <v>PCRD-240822-003</v>
          </cell>
          <cell r="G4694">
            <v>30</v>
          </cell>
          <cell r="H4694" t="str">
            <v>singleron-3'转录组文库</v>
          </cell>
          <cell r="I4694" t="str">
            <v>WWH</v>
          </cell>
          <cell r="J4694">
            <v>6.84</v>
          </cell>
          <cell r="N4694" t="e">
            <v>#DIV/0!</v>
          </cell>
        </row>
        <row r="4695">
          <cell r="E4695" t="str">
            <v>HGC-Lib-2467754</v>
          </cell>
          <cell r="F4695" t="str">
            <v>CHKPE85224080074</v>
          </cell>
          <cell r="I4695" t="str">
            <v>WWH</v>
          </cell>
          <cell r="J4695">
            <v>6.42</v>
          </cell>
          <cell r="K4695">
            <v>440</v>
          </cell>
          <cell r="L4695" t="str">
            <v>WWH</v>
          </cell>
          <cell r="N4695">
            <v>22.4475524475524</v>
          </cell>
        </row>
        <row r="4696">
          <cell r="E4696" t="str">
            <v>HGC-Lib-2467755</v>
          </cell>
          <cell r="F4696" t="str">
            <v>CHKPE85224080075</v>
          </cell>
          <cell r="I4696" t="str">
            <v>WWH</v>
          </cell>
          <cell r="J4696">
            <v>6.46</v>
          </cell>
          <cell r="K4696">
            <v>411</v>
          </cell>
          <cell r="L4696" t="str">
            <v>WWH</v>
          </cell>
          <cell r="N4696">
            <v>24.181171626427101</v>
          </cell>
        </row>
        <row r="4697">
          <cell r="E4697" t="str">
            <v>HGC-POOL-2467756</v>
          </cell>
          <cell r="F4697" t="str">
            <v>PLN241</v>
          </cell>
          <cell r="G4697">
            <v>90</v>
          </cell>
          <cell r="H4697" t="str">
            <v>DAP-Seq文库</v>
          </cell>
          <cell r="I4697" t="str">
            <v>WWH</v>
          </cell>
          <cell r="J4697">
            <v>14.2</v>
          </cell>
          <cell r="K4697">
            <v>324</v>
          </cell>
          <cell r="L4697" t="str">
            <v>WH</v>
          </cell>
          <cell r="N4697">
            <v>67.426400759734094</v>
          </cell>
        </row>
        <row r="4698">
          <cell r="E4698" t="str">
            <v>HGC-Lib-2467805</v>
          </cell>
          <cell r="F4698" t="str">
            <v>0823X1</v>
          </cell>
          <cell r="G4698">
            <v>1000</v>
          </cell>
          <cell r="H4698" t="str">
            <v>10x 5'单细胞</v>
          </cell>
          <cell r="I4698" t="str">
            <v>WH</v>
          </cell>
          <cell r="J4698">
            <v>19</v>
          </cell>
          <cell r="K4698">
            <v>475</v>
          </cell>
          <cell r="L4698" t="str">
            <v>WH</v>
          </cell>
          <cell r="N4698">
            <v>61.538461538461497</v>
          </cell>
        </row>
        <row r="4699">
          <cell r="E4699" t="str">
            <v>HGC-Lib-2467806</v>
          </cell>
          <cell r="F4699" t="str">
            <v>0823X2</v>
          </cell>
          <cell r="G4699">
            <v>1000</v>
          </cell>
          <cell r="H4699" t="str">
            <v>10x 5'单细胞</v>
          </cell>
          <cell r="I4699" t="str">
            <v>WH</v>
          </cell>
          <cell r="J4699">
            <v>19.850000000000001</v>
          </cell>
          <cell r="K4699">
            <v>446</v>
          </cell>
          <cell r="L4699" t="str">
            <v>WH</v>
          </cell>
          <cell r="N4699">
            <v>68.4718868575371</v>
          </cell>
        </row>
        <row r="4700">
          <cell r="E4700" t="str">
            <v>HGC-Lib-2467807</v>
          </cell>
          <cell r="F4700" t="str">
            <v>0823X3</v>
          </cell>
          <cell r="G4700">
            <v>1000</v>
          </cell>
          <cell r="H4700" t="str">
            <v>10x 5'单细胞</v>
          </cell>
          <cell r="I4700" t="str">
            <v>WH</v>
          </cell>
          <cell r="J4700">
            <v>20.2</v>
          </cell>
          <cell r="K4700">
            <v>454</v>
          </cell>
          <cell r="L4700" t="str">
            <v>WH</v>
          </cell>
          <cell r="N4700">
            <v>68.451372416130098</v>
          </cell>
        </row>
        <row r="4701">
          <cell r="E4701" t="str">
            <v>HGC-Lib-2467808</v>
          </cell>
          <cell r="F4701" t="str">
            <v>lave-1593</v>
          </cell>
          <cell r="G4701">
            <v>3</v>
          </cell>
          <cell r="H4701" t="str">
            <v>mRNA文库</v>
          </cell>
          <cell r="I4701" t="str">
            <v>WH</v>
          </cell>
          <cell r="J4701">
            <v>17.2</v>
          </cell>
          <cell r="K4701">
            <v>335</v>
          </cell>
          <cell r="L4701" t="str">
            <v>WH</v>
          </cell>
          <cell r="N4701">
            <v>78.989667049368506</v>
          </cell>
        </row>
        <row r="4702">
          <cell r="E4702" t="str">
            <v>HGC-Lib-2467809</v>
          </cell>
          <cell r="F4702" t="str">
            <v>lave-1408</v>
          </cell>
          <cell r="G4702">
            <v>3</v>
          </cell>
          <cell r="H4702" t="str">
            <v>mRNA文库</v>
          </cell>
          <cell r="I4702" t="str">
            <v>WH</v>
          </cell>
          <cell r="J4702">
            <v>12.4</v>
          </cell>
          <cell r="K4702">
            <v>368</v>
          </cell>
          <cell r="L4702" t="str">
            <v>WH</v>
          </cell>
          <cell r="N4702">
            <v>51.839464882943098</v>
          </cell>
        </row>
        <row r="4703">
          <cell r="E4703" t="str">
            <v>HGC-Lib-2467810</v>
          </cell>
          <cell r="F4703" t="str">
            <v>adult-3420</v>
          </cell>
          <cell r="G4703">
            <v>3</v>
          </cell>
          <cell r="H4703" t="str">
            <v>mRNA文库</v>
          </cell>
          <cell r="I4703" t="str">
            <v>WH</v>
          </cell>
          <cell r="J4703">
            <v>10.3</v>
          </cell>
          <cell r="K4703">
            <v>369</v>
          </cell>
          <cell r="L4703" t="str">
            <v>WH</v>
          </cell>
          <cell r="N4703">
            <v>42.943506358140503</v>
          </cell>
        </row>
        <row r="4704">
          <cell r="E4704" t="str">
            <v>HGC-Lib-2467811</v>
          </cell>
          <cell r="F4704" t="str">
            <v>wk0823-1</v>
          </cell>
          <cell r="G4704">
            <v>90</v>
          </cell>
          <cell r="H4704" t="str">
            <v>全基因组文库</v>
          </cell>
          <cell r="I4704" t="str">
            <v>WH</v>
          </cell>
          <cell r="J4704">
            <v>25.4</v>
          </cell>
          <cell r="K4704">
            <v>317</v>
          </cell>
          <cell r="L4704" t="str">
            <v>WH</v>
          </cell>
          <cell r="N4704">
            <v>123.271050715846</v>
          </cell>
        </row>
        <row r="4705">
          <cell r="E4705" t="str">
            <v>HGC-Lib-2467812</v>
          </cell>
          <cell r="F4705" t="str">
            <v>wk0823-2</v>
          </cell>
          <cell r="G4705">
            <v>30</v>
          </cell>
          <cell r="H4705" t="str">
            <v>WES/panel捕获文库</v>
          </cell>
          <cell r="I4705" t="str">
            <v>WH</v>
          </cell>
          <cell r="J4705">
            <v>1.1299999999999999</v>
          </cell>
          <cell r="K4705">
            <v>378</v>
          </cell>
          <cell r="L4705" t="str">
            <v>WWH</v>
          </cell>
          <cell r="N4705">
            <v>4.5991045991046002</v>
          </cell>
        </row>
        <row r="4706">
          <cell r="E4706" t="str">
            <v>HGC-Lib-2467813</v>
          </cell>
          <cell r="F4706" t="str">
            <v>CB-T31</v>
          </cell>
          <cell r="G4706">
            <v>5</v>
          </cell>
          <cell r="H4706" t="str">
            <v>PCR产物文库</v>
          </cell>
          <cell r="I4706" t="str">
            <v>WH</v>
          </cell>
          <cell r="J4706">
            <v>35.6</v>
          </cell>
          <cell r="K4706">
            <v>464</v>
          </cell>
          <cell r="L4706" t="str">
            <v>WH</v>
          </cell>
          <cell r="N4706">
            <v>118.037135278515</v>
          </cell>
        </row>
        <row r="4707">
          <cell r="E4707" t="str">
            <v>HGC-Lib-2467814</v>
          </cell>
          <cell r="F4707" t="str">
            <v>NC</v>
          </cell>
          <cell r="G4707">
            <v>5</v>
          </cell>
          <cell r="H4707" t="str">
            <v>PCR产物文库</v>
          </cell>
          <cell r="I4707" t="str">
            <v>WH</v>
          </cell>
          <cell r="J4707">
            <v>10.9</v>
          </cell>
          <cell r="K4707">
            <v>324</v>
          </cell>
          <cell r="L4707" t="str">
            <v>WH</v>
          </cell>
          <cell r="N4707">
            <v>51.756885090218397</v>
          </cell>
        </row>
        <row r="4708">
          <cell r="E4708" t="str">
            <v>HGC-Lib-2467815</v>
          </cell>
          <cell r="F4708" t="str">
            <v>K0</v>
          </cell>
          <cell r="G4708">
            <v>5</v>
          </cell>
          <cell r="H4708" t="str">
            <v>PCR产物文库</v>
          </cell>
          <cell r="I4708" t="str">
            <v>WH</v>
          </cell>
          <cell r="J4708">
            <v>9.92</v>
          </cell>
          <cell r="K4708">
            <v>344</v>
          </cell>
          <cell r="L4708" t="str">
            <v>WWH</v>
          </cell>
          <cell r="N4708">
            <v>44.364937388193198</v>
          </cell>
        </row>
        <row r="4709">
          <cell r="E4709" t="str">
            <v>HGC-Lib-2467816</v>
          </cell>
          <cell r="F4709" t="str">
            <v>KI-2</v>
          </cell>
          <cell r="G4709">
            <v>5</v>
          </cell>
          <cell r="H4709" t="str">
            <v>PCR产物文库</v>
          </cell>
          <cell r="I4709" t="str">
            <v>WH</v>
          </cell>
          <cell r="J4709">
            <v>15.8</v>
          </cell>
          <cell r="K4709">
            <v>363</v>
          </cell>
          <cell r="L4709" t="str">
            <v>WH</v>
          </cell>
          <cell r="N4709">
            <v>66.963339690612401</v>
          </cell>
        </row>
        <row r="4710">
          <cell r="E4710" t="str">
            <v>HGC-Lib-2467817</v>
          </cell>
          <cell r="F4710" t="str">
            <v>KI-3</v>
          </cell>
          <cell r="G4710">
            <v>5</v>
          </cell>
          <cell r="H4710" t="str">
            <v>PCR产物文库</v>
          </cell>
          <cell r="I4710" t="str">
            <v>WH</v>
          </cell>
          <cell r="J4710">
            <v>8.1199999999999992</v>
          </cell>
          <cell r="K4710">
            <v>393</v>
          </cell>
          <cell r="L4710" t="str">
            <v>WWH</v>
          </cell>
          <cell r="N4710">
            <v>31.787042474065402</v>
          </cell>
        </row>
        <row r="4711">
          <cell r="E4711" t="str">
            <v>HGC-Lib-2467818</v>
          </cell>
          <cell r="F4711" t="str">
            <v>A8-3</v>
          </cell>
          <cell r="G4711">
            <v>5</v>
          </cell>
          <cell r="H4711" t="str">
            <v>PCR产物文库</v>
          </cell>
          <cell r="I4711" t="str">
            <v>WH</v>
          </cell>
          <cell r="J4711">
            <v>37</v>
          </cell>
          <cell r="K4711">
            <v>438</v>
          </cell>
          <cell r="L4711" t="str">
            <v>WH</v>
          </cell>
          <cell r="N4711">
            <v>129.96136283807499</v>
          </cell>
        </row>
        <row r="4712">
          <cell r="E4712" t="str">
            <v>HGC-Lib-2467819</v>
          </cell>
          <cell r="F4712" t="str">
            <v>NGS-0823</v>
          </cell>
          <cell r="G4712">
            <v>5</v>
          </cell>
          <cell r="H4712" t="str">
            <v>PCR产物文库</v>
          </cell>
          <cell r="I4712" t="str">
            <v>WH</v>
          </cell>
          <cell r="J4712">
            <v>61.8</v>
          </cell>
          <cell r="K4712">
            <v>509</v>
          </cell>
          <cell r="L4712" t="str">
            <v>WH</v>
          </cell>
          <cell r="N4712">
            <v>186.791597400635</v>
          </cell>
        </row>
        <row r="4713">
          <cell r="E4713" t="str">
            <v>HGC-POOL-2467820</v>
          </cell>
          <cell r="F4713" t="str">
            <v>PCRD-240823-001</v>
          </cell>
          <cell r="G4713">
            <v>15</v>
          </cell>
          <cell r="H4713" t="str">
            <v>singleron-单细胞TCR文库</v>
          </cell>
          <cell r="I4713" t="str">
            <v>WH</v>
          </cell>
          <cell r="J4713">
            <v>8.6</v>
          </cell>
          <cell r="N4713" t="e">
            <v>#DIV/0!</v>
          </cell>
        </row>
        <row r="4714">
          <cell r="E4714" t="str">
            <v>HGC-Lib-2467821</v>
          </cell>
          <cell r="F4714" t="str">
            <v>R240823060</v>
          </cell>
          <cell r="G4714">
            <v>10</v>
          </cell>
          <cell r="H4714" t="str">
            <v>singleron-3'转录组文库</v>
          </cell>
          <cell r="I4714" t="str">
            <v>WH</v>
          </cell>
          <cell r="J4714">
            <v>5.88</v>
          </cell>
          <cell r="N4714" t="e">
            <v>#DIV/0!</v>
          </cell>
        </row>
        <row r="4715">
          <cell r="E4715" t="str">
            <v>HGC-Lib-2467822</v>
          </cell>
          <cell r="F4715" t="str">
            <v>R240823061</v>
          </cell>
          <cell r="G4715">
            <v>5</v>
          </cell>
          <cell r="H4715" t="str">
            <v>其他碱基不平衡文库</v>
          </cell>
          <cell r="I4715" t="str">
            <v>WH</v>
          </cell>
          <cell r="J4715">
            <v>36.6</v>
          </cell>
          <cell r="N4715" t="e">
            <v>#DIV/0!</v>
          </cell>
        </row>
        <row r="4716">
          <cell r="E4716" t="str">
            <v>HGC-Lib-2467823</v>
          </cell>
          <cell r="F4716" t="str">
            <v>R240823062</v>
          </cell>
          <cell r="G4716">
            <v>5</v>
          </cell>
          <cell r="H4716" t="str">
            <v>其他碱基不平衡文库</v>
          </cell>
          <cell r="I4716" t="str">
            <v>WH</v>
          </cell>
          <cell r="J4716">
            <v>50.6</v>
          </cell>
          <cell r="N4716" t="e">
            <v>#DIV/0!</v>
          </cell>
        </row>
        <row r="4717">
          <cell r="E4717" t="str">
            <v>HGC-Lib-2467824</v>
          </cell>
          <cell r="F4717" t="str">
            <v>R240823063</v>
          </cell>
          <cell r="G4717">
            <v>5</v>
          </cell>
          <cell r="H4717" t="str">
            <v>其他碱基不平衡文库</v>
          </cell>
          <cell r="I4717" t="str">
            <v>WH</v>
          </cell>
          <cell r="J4717">
            <v>10.4</v>
          </cell>
          <cell r="N4717" t="e">
            <v>#DIV/0!</v>
          </cell>
        </row>
        <row r="4718">
          <cell r="E4718" t="str">
            <v>HGC-Lib-2467825</v>
          </cell>
          <cell r="F4718" t="str">
            <v>LC240816032</v>
          </cell>
          <cell r="G4718">
            <v>90</v>
          </cell>
          <cell r="H4718" t="str">
            <v>singleron-3'转录组文库</v>
          </cell>
          <cell r="I4718" t="str">
            <v>WH</v>
          </cell>
          <cell r="J4718">
            <v>10.199999999999999</v>
          </cell>
          <cell r="N4718" t="e">
            <v>#DIV/0!</v>
          </cell>
        </row>
        <row r="4719">
          <cell r="E4719" t="str">
            <v>HGC-Lib-2467826</v>
          </cell>
          <cell r="F4719" t="str">
            <v>LC240820010</v>
          </cell>
          <cell r="G4719">
            <v>30</v>
          </cell>
          <cell r="H4719" t="str">
            <v>singleron-3'转录组文库</v>
          </cell>
          <cell r="I4719" t="str">
            <v>WH</v>
          </cell>
          <cell r="J4719">
            <v>6.06</v>
          </cell>
          <cell r="N4719" t="e">
            <v>#DIV/0!</v>
          </cell>
        </row>
        <row r="4720">
          <cell r="E4720" t="str">
            <v>HGC-Lib-2467827</v>
          </cell>
          <cell r="F4720" t="str">
            <v>LA240817029FS</v>
          </cell>
          <cell r="G4720">
            <v>100</v>
          </cell>
          <cell r="H4720" t="str">
            <v>singleron-3'转录组文库</v>
          </cell>
          <cell r="I4720" t="str">
            <v>WH</v>
          </cell>
          <cell r="J4720">
            <v>8.94</v>
          </cell>
          <cell r="N4720" t="e">
            <v>#DIV/0!</v>
          </cell>
        </row>
        <row r="4721">
          <cell r="E4721" t="str">
            <v>HGC-Lib-2467828</v>
          </cell>
          <cell r="F4721" t="str">
            <v>LFTBHC240820012</v>
          </cell>
          <cell r="G4721">
            <v>180</v>
          </cell>
          <cell r="H4721" t="str">
            <v>singleron-3'全长转录组文库</v>
          </cell>
          <cell r="I4721" t="str">
            <v>WH</v>
          </cell>
          <cell r="J4721">
            <v>5.92</v>
          </cell>
          <cell r="N4721" t="e">
            <v>#DIV/0!</v>
          </cell>
        </row>
        <row r="4722">
          <cell r="E4722" t="str">
            <v>HGC-Lib-2467829</v>
          </cell>
          <cell r="F4722" t="str">
            <v>LFTBHC240820011</v>
          </cell>
          <cell r="G4722">
            <v>180</v>
          </cell>
          <cell r="H4722" t="str">
            <v>singleron-3'全长转录组文库</v>
          </cell>
          <cell r="I4722" t="str">
            <v>WH</v>
          </cell>
          <cell r="J4722">
            <v>5.32</v>
          </cell>
          <cell r="N4722" t="e">
            <v>#DIV/0!</v>
          </cell>
        </row>
        <row r="4723">
          <cell r="E4723" t="str">
            <v>HGC-Lib-2467830</v>
          </cell>
          <cell r="F4723" t="str">
            <v>LHC240817015</v>
          </cell>
          <cell r="G4723">
            <v>10</v>
          </cell>
          <cell r="H4723" t="str">
            <v>singleron-3'转录组文库</v>
          </cell>
          <cell r="I4723" t="str">
            <v>WH</v>
          </cell>
          <cell r="J4723">
            <v>8.8000000000000007</v>
          </cell>
          <cell r="N4723" t="e">
            <v>#DIV/0!</v>
          </cell>
        </row>
        <row r="4724">
          <cell r="E4724" t="str">
            <v>HGC-Lib-2467831</v>
          </cell>
          <cell r="F4724" t="str">
            <v>LHC240817013</v>
          </cell>
          <cell r="G4724">
            <v>10</v>
          </cell>
          <cell r="H4724" t="str">
            <v>singleron-3'转录组文库</v>
          </cell>
          <cell r="I4724" t="str">
            <v>WH</v>
          </cell>
          <cell r="J4724">
            <v>9.6999999999999993</v>
          </cell>
          <cell r="N4724" t="e">
            <v>#DIV/0!</v>
          </cell>
        </row>
        <row r="4725">
          <cell r="E4725" t="str">
            <v>HGC-Lib-2467832</v>
          </cell>
          <cell r="F4725" t="str">
            <v>LA240820016</v>
          </cell>
          <cell r="G4725">
            <v>90</v>
          </cell>
          <cell r="H4725" t="str">
            <v>singleron-3'转录组文库</v>
          </cell>
          <cell r="I4725" t="str">
            <v>WH</v>
          </cell>
          <cell r="J4725">
            <v>7.92</v>
          </cell>
          <cell r="N4725" t="e">
            <v>#DIV/0!</v>
          </cell>
        </row>
        <row r="4726">
          <cell r="E4726" t="str">
            <v>HGC-Lib-2467833</v>
          </cell>
          <cell r="F4726" t="str">
            <v>LA240820013</v>
          </cell>
          <cell r="G4726">
            <v>100</v>
          </cell>
          <cell r="H4726" t="str">
            <v>singleron-3'转录组文库</v>
          </cell>
          <cell r="I4726" t="str">
            <v>WH</v>
          </cell>
          <cell r="J4726">
            <v>9.66</v>
          </cell>
          <cell r="N4726" t="e">
            <v>#DIV/0!</v>
          </cell>
        </row>
        <row r="4727">
          <cell r="E4727" t="str">
            <v>HGC-Lib-2467834</v>
          </cell>
          <cell r="F4727" t="str">
            <v>LC240820008</v>
          </cell>
          <cell r="G4727">
            <v>100</v>
          </cell>
          <cell r="H4727" t="str">
            <v>singleron-3'转录组文库</v>
          </cell>
          <cell r="I4727" t="str">
            <v>WH</v>
          </cell>
          <cell r="J4727">
            <v>9.6</v>
          </cell>
          <cell r="N4727" t="e">
            <v>#DIV/0!</v>
          </cell>
        </row>
        <row r="4728">
          <cell r="E4728" t="str">
            <v>HGC-Lib-2467835</v>
          </cell>
          <cell r="F4728" t="str">
            <v>LC240820009</v>
          </cell>
          <cell r="G4728">
            <v>100</v>
          </cell>
          <cell r="H4728" t="str">
            <v>singleron-3'转录组文库</v>
          </cell>
          <cell r="I4728" t="str">
            <v>WH</v>
          </cell>
          <cell r="J4728">
            <v>8.24</v>
          </cell>
          <cell r="N4728" t="e">
            <v>#DIV/0!</v>
          </cell>
        </row>
        <row r="4729">
          <cell r="E4729" t="str">
            <v>HGC-Lib-2467836</v>
          </cell>
          <cell r="F4729" t="str">
            <v>LGH15376</v>
          </cell>
          <cell r="G4729">
            <v>20</v>
          </cell>
          <cell r="H4729" t="str">
            <v>甲基化文库</v>
          </cell>
          <cell r="I4729" t="str">
            <v>WH</v>
          </cell>
          <cell r="J4729">
            <v>5.22</v>
          </cell>
          <cell r="K4729">
            <v>333</v>
          </cell>
          <cell r="L4729" t="str">
            <v>WWH</v>
          </cell>
          <cell r="N4729">
            <v>24.116424116424099</v>
          </cell>
        </row>
        <row r="4730">
          <cell r="E4730" t="str">
            <v>HGC-Lib-2467837</v>
          </cell>
          <cell r="F4730" t="str">
            <v>LGH15377</v>
          </cell>
          <cell r="G4730">
            <v>20</v>
          </cell>
          <cell r="H4730" t="str">
            <v>甲基化文库</v>
          </cell>
          <cell r="I4730" t="str">
            <v>WH</v>
          </cell>
          <cell r="J4730">
            <v>7.44</v>
          </cell>
          <cell r="K4730">
            <v>369</v>
          </cell>
          <cell r="L4730" t="str">
            <v>WWH</v>
          </cell>
          <cell r="N4730">
            <v>31.019387116948099</v>
          </cell>
        </row>
        <row r="4731">
          <cell r="E4731" t="str">
            <v>HGC-Lib-2467838</v>
          </cell>
          <cell r="F4731" t="str">
            <v>LGH15378</v>
          </cell>
          <cell r="G4731">
            <v>20</v>
          </cell>
          <cell r="H4731" t="str">
            <v>甲基化文库</v>
          </cell>
          <cell r="I4731" t="str">
            <v>WH</v>
          </cell>
          <cell r="J4731">
            <v>7.12</v>
          </cell>
          <cell r="K4731">
            <v>362</v>
          </cell>
          <cell r="L4731" t="str">
            <v>WWH</v>
          </cell>
          <cell r="N4731">
            <v>30.259243518912001</v>
          </cell>
        </row>
        <row r="4732">
          <cell r="E4732" t="str">
            <v>HGC-Lib-2467839</v>
          </cell>
          <cell r="F4732" t="str">
            <v>LGH15379</v>
          </cell>
          <cell r="G4732">
            <v>20</v>
          </cell>
          <cell r="H4732" t="str">
            <v>甲基化文库</v>
          </cell>
          <cell r="I4732" t="str">
            <v>WH</v>
          </cell>
          <cell r="J4732">
            <v>7.46</v>
          </cell>
          <cell r="K4732">
            <v>343</v>
          </cell>
          <cell r="L4732" t="str">
            <v>WWH</v>
          </cell>
          <cell r="N4732">
            <v>33.460417133886502</v>
          </cell>
        </row>
        <row r="4733">
          <cell r="E4733" t="str">
            <v>HGC-Lib-2467840</v>
          </cell>
          <cell r="F4733" t="str">
            <v>LGH15380</v>
          </cell>
          <cell r="G4733">
            <v>20</v>
          </cell>
          <cell r="H4733" t="str">
            <v>甲基化文库</v>
          </cell>
          <cell r="I4733" t="str">
            <v>WH</v>
          </cell>
          <cell r="J4733">
            <v>6.3</v>
          </cell>
          <cell r="K4733">
            <v>377</v>
          </cell>
          <cell r="L4733" t="str">
            <v>WWH</v>
          </cell>
          <cell r="N4733">
            <v>25.7090389716384</v>
          </cell>
        </row>
        <row r="4734">
          <cell r="E4734" t="str">
            <v>HGC-Lib-2467841</v>
          </cell>
          <cell r="F4734" t="str">
            <v>LGH15381</v>
          </cell>
          <cell r="G4734">
            <v>20</v>
          </cell>
          <cell r="H4734" t="str">
            <v>甲基化文库</v>
          </cell>
          <cell r="I4734" t="str">
            <v>WH</v>
          </cell>
          <cell r="J4734">
            <v>5.74</v>
          </cell>
          <cell r="K4734">
            <v>382</v>
          </cell>
          <cell r="L4734" t="str">
            <v>WWH</v>
          </cell>
          <cell r="N4734">
            <v>23.117196939186499</v>
          </cell>
        </row>
        <row r="4735">
          <cell r="E4735" t="str">
            <v>HGC-Lib-2467842</v>
          </cell>
          <cell r="F4735" t="str">
            <v>LGH15382</v>
          </cell>
          <cell r="G4735">
            <v>20</v>
          </cell>
          <cell r="H4735" t="str">
            <v>甲基化文库</v>
          </cell>
          <cell r="I4735" t="str">
            <v>WH</v>
          </cell>
          <cell r="J4735">
            <v>7.1</v>
          </cell>
          <cell r="K4735">
            <v>380</v>
          </cell>
          <cell r="L4735" t="str">
            <v>WWH</v>
          </cell>
          <cell r="N4735">
            <v>28.744939271255099</v>
          </cell>
        </row>
        <row r="4736">
          <cell r="E4736" t="str">
            <v>HGC-Lib-2467843</v>
          </cell>
          <cell r="F4736" t="str">
            <v>LGH15383</v>
          </cell>
          <cell r="G4736">
            <v>20</v>
          </cell>
          <cell r="H4736" t="str">
            <v>甲基化文库</v>
          </cell>
          <cell r="I4736" t="str">
            <v>WH</v>
          </cell>
          <cell r="J4736">
            <v>5.38</v>
          </cell>
          <cell r="K4736">
            <v>375</v>
          </cell>
          <cell r="L4736" t="str">
            <v>WWH</v>
          </cell>
          <cell r="N4736">
            <v>22.0717948717949</v>
          </cell>
        </row>
        <row r="4737">
          <cell r="E4737" t="str">
            <v>HGC-Lib-2467844</v>
          </cell>
          <cell r="F4737" t="str">
            <v>LGH15384</v>
          </cell>
          <cell r="G4737">
            <v>20</v>
          </cell>
          <cell r="H4737" t="str">
            <v>甲基化文库</v>
          </cell>
          <cell r="I4737" t="str">
            <v>WH</v>
          </cell>
          <cell r="J4737">
            <v>6.1</v>
          </cell>
          <cell r="K4737">
            <v>363</v>
          </cell>
          <cell r="L4737" t="str">
            <v>WWH</v>
          </cell>
          <cell r="N4737">
            <v>25.852934943844001</v>
          </cell>
        </row>
        <row r="4738">
          <cell r="E4738" t="str">
            <v>HGC-Lib-2467845</v>
          </cell>
          <cell r="F4738" t="str">
            <v>LGH15385</v>
          </cell>
          <cell r="G4738">
            <v>20</v>
          </cell>
          <cell r="H4738" t="str">
            <v>甲基化文库</v>
          </cell>
          <cell r="I4738" t="str">
            <v>WH</v>
          </cell>
          <cell r="J4738">
            <v>8.52</v>
          </cell>
          <cell r="K4738">
            <v>380</v>
          </cell>
          <cell r="L4738" t="str">
            <v>WWH</v>
          </cell>
          <cell r="N4738">
            <v>34.493927125506097</v>
          </cell>
        </row>
        <row r="4739">
          <cell r="E4739" t="str">
            <v>HGC-Lib-2467846</v>
          </cell>
          <cell r="F4739" t="str">
            <v>LGH15386</v>
          </cell>
          <cell r="G4739">
            <v>20</v>
          </cell>
          <cell r="H4739" t="str">
            <v>甲基化文库</v>
          </cell>
          <cell r="I4739" t="str">
            <v>WH</v>
          </cell>
          <cell r="J4739">
            <v>7.76</v>
          </cell>
          <cell r="K4739">
            <v>380</v>
          </cell>
          <cell r="L4739" t="str">
            <v>WWH</v>
          </cell>
          <cell r="N4739">
            <v>31.417004048582999</v>
          </cell>
        </row>
        <row r="4740">
          <cell r="E4740" t="str">
            <v>HGC-Lib-2467847</v>
          </cell>
          <cell r="F4740" t="str">
            <v>LGH15387</v>
          </cell>
          <cell r="G4740">
            <v>20</v>
          </cell>
          <cell r="H4740" t="str">
            <v>甲基化文库</v>
          </cell>
          <cell r="I4740" t="str">
            <v>WH</v>
          </cell>
          <cell r="J4740">
            <v>7.76</v>
          </cell>
          <cell r="K4740">
            <v>369</v>
          </cell>
          <cell r="L4740" t="str">
            <v>WWH</v>
          </cell>
          <cell r="N4740">
            <v>32.353554304773802</v>
          </cell>
        </row>
        <row r="4741">
          <cell r="E4741" t="str">
            <v>HGC-Lib-2467848</v>
          </cell>
          <cell r="F4741" t="str">
            <v>LGH15388</v>
          </cell>
          <cell r="G4741">
            <v>20</v>
          </cell>
          <cell r="H4741" t="str">
            <v>甲基化文库</v>
          </cell>
          <cell r="I4741" t="str">
            <v>WH</v>
          </cell>
          <cell r="J4741">
            <v>6.92</v>
          </cell>
          <cell r="K4741">
            <v>400</v>
          </cell>
          <cell r="L4741" t="str">
            <v>WWH</v>
          </cell>
          <cell r="N4741">
            <v>26.615384615384599</v>
          </cell>
        </row>
        <row r="4742">
          <cell r="E4742" t="str">
            <v>HGC-Lib-2467849</v>
          </cell>
          <cell r="F4742" t="str">
            <v>LGH15389</v>
          </cell>
          <cell r="G4742">
            <v>20</v>
          </cell>
          <cell r="H4742" t="str">
            <v>甲基化文库</v>
          </cell>
          <cell r="I4742" t="str">
            <v>WH</v>
          </cell>
          <cell r="J4742">
            <v>7.5</v>
          </cell>
          <cell r="K4742">
            <v>406</v>
          </cell>
          <cell r="L4742" t="str">
            <v>WWH</v>
          </cell>
          <cell r="N4742">
            <v>28.419856006062901</v>
          </cell>
        </row>
        <row r="4743">
          <cell r="E4743" t="str">
            <v>HGC-Lib-2467850</v>
          </cell>
          <cell r="F4743" t="str">
            <v>LGH15390</v>
          </cell>
          <cell r="G4743">
            <v>20</v>
          </cell>
          <cell r="H4743" t="str">
            <v>甲基化文库</v>
          </cell>
          <cell r="I4743" t="str">
            <v>WH</v>
          </cell>
          <cell r="J4743">
            <v>8.44</v>
          </cell>
          <cell r="K4743">
            <v>386</v>
          </cell>
          <cell r="L4743" t="str">
            <v>WWH</v>
          </cell>
          <cell r="N4743">
            <v>33.638899960143497</v>
          </cell>
        </row>
        <row r="4744">
          <cell r="E4744" t="str">
            <v>HGC-Lib-2467851</v>
          </cell>
          <cell r="F4744" t="str">
            <v>LGH15391</v>
          </cell>
          <cell r="G4744">
            <v>20</v>
          </cell>
          <cell r="H4744" t="str">
            <v>甲基化文库</v>
          </cell>
          <cell r="I4744" t="str">
            <v>WH</v>
          </cell>
          <cell r="J4744">
            <v>7.38</v>
          </cell>
          <cell r="K4744">
            <v>393</v>
          </cell>
          <cell r="L4744" t="str">
            <v>WWH</v>
          </cell>
          <cell r="N4744">
            <v>28.890193775690001</v>
          </cell>
        </row>
        <row r="4745">
          <cell r="E4745" t="str">
            <v>HGC-Lib-2467852</v>
          </cell>
          <cell r="F4745" t="str">
            <v>LGH15392</v>
          </cell>
          <cell r="G4745">
            <v>20</v>
          </cell>
          <cell r="H4745" t="str">
            <v>甲基化文库</v>
          </cell>
          <cell r="I4745" t="str">
            <v>WH</v>
          </cell>
          <cell r="J4745">
            <v>7.6</v>
          </cell>
          <cell r="K4745">
            <v>379</v>
          </cell>
          <cell r="L4745" t="str">
            <v>WWH</v>
          </cell>
          <cell r="N4745">
            <v>30.8504160746905</v>
          </cell>
        </row>
        <row r="4746">
          <cell r="E4746" t="str">
            <v>HGC-Lib-2467853</v>
          </cell>
          <cell r="F4746" t="str">
            <v>LGH15393</v>
          </cell>
          <cell r="G4746">
            <v>20</v>
          </cell>
          <cell r="H4746" t="str">
            <v>甲基化文库</v>
          </cell>
          <cell r="I4746" t="str">
            <v>WH</v>
          </cell>
          <cell r="J4746">
            <v>8.7200000000000006</v>
          </cell>
          <cell r="K4746">
            <v>378</v>
          </cell>
          <cell r="L4746" t="str">
            <v>WWH</v>
          </cell>
          <cell r="N4746">
            <v>35.490435490435502</v>
          </cell>
        </row>
        <row r="4747">
          <cell r="E4747" t="str">
            <v>HGC-POOL-2467854</v>
          </cell>
          <cell r="F4747" t="str">
            <v>LGH15121</v>
          </cell>
          <cell r="G4747">
            <v>18</v>
          </cell>
          <cell r="H4747" t="str">
            <v>PCR产物文库</v>
          </cell>
          <cell r="I4747" t="str">
            <v>WH</v>
          </cell>
          <cell r="J4747">
            <v>0.318</v>
          </cell>
          <cell r="K4747">
            <v>345</v>
          </cell>
          <cell r="L4747" t="str">
            <v>WH</v>
          </cell>
          <cell r="N4747">
            <v>1.4180602006689</v>
          </cell>
        </row>
        <row r="4748">
          <cell r="E4748" t="str">
            <v>HGC-Lib-2467855</v>
          </cell>
          <cell r="F4748" t="str">
            <v>LGH15927</v>
          </cell>
          <cell r="G4748">
            <v>15</v>
          </cell>
          <cell r="H4748" t="str">
            <v>mRNA文库</v>
          </cell>
          <cell r="I4748" t="str">
            <v>WH</v>
          </cell>
          <cell r="J4748">
            <v>6.66</v>
          </cell>
          <cell r="K4748">
            <v>432</v>
          </cell>
          <cell r="L4748" t="str">
            <v>WWH</v>
          </cell>
          <cell r="N4748">
            <v>23.717948717948701</v>
          </cell>
        </row>
        <row r="4749">
          <cell r="E4749" t="str">
            <v>HGC-Lib-2467856</v>
          </cell>
          <cell r="F4749" t="str">
            <v>LGH15928</v>
          </cell>
          <cell r="G4749">
            <v>15</v>
          </cell>
          <cell r="H4749" t="str">
            <v>mRNA文库</v>
          </cell>
          <cell r="I4749" t="str">
            <v>WH</v>
          </cell>
          <cell r="J4749">
            <v>5.42</v>
          </cell>
          <cell r="K4749">
            <v>428</v>
          </cell>
          <cell r="L4749" t="str">
            <v>WWH</v>
          </cell>
          <cell r="N4749">
            <v>19.482386772106398</v>
          </cell>
        </row>
        <row r="4750">
          <cell r="E4750" t="str">
            <v>HGC-Lib-2467857</v>
          </cell>
          <cell r="F4750" t="str">
            <v>LGH15929</v>
          </cell>
          <cell r="G4750">
            <v>15</v>
          </cell>
          <cell r="H4750" t="str">
            <v>mRNA文库</v>
          </cell>
          <cell r="I4750" t="str">
            <v>WH</v>
          </cell>
          <cell r="J4750">
            <v>9.56</v>
          </cell>
          <cell r="K4750">
            <v>447</v>
          </cell>
          <cell r="L4750" t="str">
            <v>WWH</v>
          </cell>
          <cell r="N4750">
            <v>32.903114782309402</v>
          </cell>
        </row>
        <row r="4751">
          <cell r="E4751" t="str">
            <v>HGC-Lib-2467858</v>
          </cell>
          <cell r="F4751" t="str">
            <v>LGH15930</v>
          </cell>
          <cell r="G4751">
            <v>15</v>
          </cell>
          <cell r="H4751" t="str">
            <v>mRNA文库</v>
          </cell>
          <cell r="I4751" t="str">
            <v>WH</v>
          </cell>
          <cell r="J4751">
            <v>4.9800000000000004</v>
          </cell>
          <cell r="K4751">
            <v>435</v>
          </cell>
          <cell r="L4751" t="str">
            <v>WWH</v>
          </cell>
          <cell r="N4751">
            <v>17.612732095490699</v>
          </cell>
        </row>
        <row r="4752">
          <cell r="E4752" t="str">
            <v>HGC-POOL-2467859</v>
          </cell>
          <cell r="F4752" t="str">
            <v>WT2422</v>
          </cell>
          <cell r="G4752">
            <v>40</v>
          </cell>
          <cell r="H4752" t="str">
            <v>Hic</v>
          </cell>
          <cell r="I4752" t="str">
            <v>WH</v>
          </cell>
          <cell r="J4752">
            <v>1.81</v>
          </cell>
          <cell r="K4752">
            <v>276</v>
          </cell>
          <cell r="L4752" t="str">
            <v>WWH</v>
          </cell>
          <cell r="N4752">
            <v>10.0891861761427</v>
          </cell>
        </row>
        <row r="4753">
          <cell r="E4753" t="str">
            <v>HGC-Lib-2467860</v>
          </cell>
          <cell r="F4753" t="str">
            <v>L-N</v>
          </cell>
          <cell r="G4753">
            <v>5</v>
          </cell>
          <cell r="H4753" t="str">
            <v>PCR产物文库</v>
          </cell>
          <cell r="I4753" t="str">
            <v>WH</v>
          </cell>
          <cell r="J4753">
            <v>45.8</v>
          </cell>
          <cell r="K4753">
            <v>428</v>
          </cell>
          <cell r="L4753" t="str">
            <v>WH</v>
          </cell>
          <cell r="N4753">
            <v>164.629762760604</v>
          </cell>
        </row>
        <row r="4754">
          <cell r="E4754" t="str">
            <v>HGC-Lib-2467954</v>
          </cell>
          <cell r="F4754" t="str">
            <v>OL27932</v>
          </cell>
          <cell r="G4754">
            <v>1000</v>
          </cell>
          <cell r="H4754" t="str">
            <v>mRNA文库</v>
          </cell>
          <cell r="I4754" t="str">
            <v>WH</v>
          </cell>
          <cell r="J4754">
            <v>2.56</v>
          </cell>
          <cell r="K4754">
            <v>425</v>
          </cell>
          <cell r="L4754" t="str">
            <v>TY</v>
          </cell>
          <cell r="N4754">
            <v>9.2669683257918596</v>
          </cell>
        </row>
        <row r="4755">
          <cell r="E4755" t="str">
            <v>HGC-Lib-2467955</v>
          </cell>
          <cell r="F4755" t="str">
            <v>OL27933</v>
          </cell>
          <cell r="G4755">
            <v>1000</v>
          </cell>
          <cell r="H4755" t="str">
            <v>mRNA文库</v>
          </cell>
          <cell r="I4755" t="str">
            <v>WH</v>
          </cell>
          <cell r="J4755">
            <v>2.31</v>
          </cell>
          <cell r="K4755">
            <v>409</v>
          </cell>
          <cell r="L4755" t="str">
            <v>TY</v>
          </cell>
          <cell r="N4755">
            <v>8.6891104006018391</v>
          </cell>
        </row>
        <row r="4756">
          <cell r="E4756" t="str">
            <v>HGC-Lib-2467861</v>
          </cell>
          <cell r="F4756" t="str">
            <v>C1</v>
          </cell>
          <cell r="G4756">
            <v>10</v>
          </cell>
          <cell r="H4756" t="str">
            <v>circRNA文库</v>
          </cell>
          <cell r="I4756" t="str">
            <v>HZK</v>
          </cell>
          <cell r="J4756">
            <v>36</v>
          </cell>
          <cell r="N4756" t="e">
            <v>#DIV/0!</v>
          </cell>
        </row>
        <row r="4757">
          <cell r="E4757" t="str">
            <v>HGC-Lib-2467862</v>
          </cell>
          <cell r="F4757" t="str">
            <v>C2</v>
          </cell>
          <cell r="G4757">
            <v>10</v>
          </cell>
          <cell r="H4757" t="str">
            <v>circRNA文库</v>
          </cell>
          <cell r="I4757" t="str">
            <v>HZK</v>
          </cell>
          <cell r="J4757">
            <v>49.4</v>
          </cell>
          <cell r="N4757" t="e">
            <v>#DIV/0!</v>
          </cell>
        </row>
        <row r="4758">
          <cell r="E4758" t="str">
            <v>HGC-Lib-2467863</v>
          </cell>
          <cell r="F4758" t="str">
            <v>C3</v>
          </cell>
          <cell r="G4758">
            <v>10</v>
          </cell>
          <cell r="H4758" t="str">
            <v>circRNA文库</v>
          </cell>
          <cell r="I4758" t="str">
            <v>HZK</v>
          </cell>
          <cell r="J4758">
            <v>30</v>
          </cell>
          <cell r="N4758" t="e">
            <v>#DIV/0!</v>
          </cell>
        </row>
        <row r="4759">
          <cell r="E4759" t="str">
            <v>HGC-Lib-2467864</v>
          </cell>
          <cell r="F4759" t="str">
            <v>C4</v>
          </cell>
          <cell r="G4759">
            <v>10</v>
          </cell>
          <cell r="H4759" t="str">
            <v>circRNA文库</v>
          </cell>
          <cell r="I4759" t="str">
            <v>HZK</v>
          </cell>
          <cell r="J4759">
            <v>25.8</v>
          </cell>
          <cell r="N4759" t="e">
            <v>#DIV/0!</v>
          </cell>
        </row>
        <row r="4760">
          <cell r="E4760" t="str">
            <v>HGC-Lib-2467865</v>
          </cell>
          <cell r="F4760" t="str">
            <v>C5</v>
          </cell>
          <cell r="G4760">
            <v>10</v>
          </cell>
          <cell r="H4760" t="str">
            <v>circRNA文库</v>
          </cell>
          <cell r="I4760" t="str">
            <v>HZK</v>
          </cell>
          <cell r="J4760">
            <v>41.4</v>
          </cell>
          <cell r="N4760" t="e">
            <v>#DIV/0!</v>
          </cell>
        </row>
        <row r="4761">
          <cell r="E4761" t="str">
            <v>HGC-Lib-2467866</v>
          </cell>
          <cell r="F4761" t="str">
            <v>C6</v>
          </cell>
          <cell r="G4761">
            <v>10</v>
          </cell>
          <cell r="H4761" t="str">
            <v>circRNA文库</v>
          </cell>
          <cell r="I4761" t="str">
            <v>HZK</v>
          </cell>
          <cell r="J4761">
            <v>30.2</v>
          </cell>
          <cell r="N4761" t="e">
            <v>#DIV/0!</v>
          </cell>
        </row>
        <row r="4762">
          <cell r="E4762" t="str">
            <v>HGC-Lib-2467867</v>
          </cell>
          <cell r="F4762" t="str">
            <v>C7</v>
          </cell>
          <cell r="G4762">
            <v>10</v>
          </cell>
          <cell r="H4762" t="str">
            <v>circRNA文库</v>
          </cell>
          <cell r="I4762" t="str">
            <v>HZK</v>
          </cell>
          <cell r="J4762">
            <v>18.100000000000001</v>
          </cell>
          <cell r="N4762" t="e">
            <v>#DIV/0!</v>
          </cell>
        </row>
        <row r="4763">
          <cell r="E4763" t="str">
            <v>HGC-Lib-2467868</v>
          </cell>
          <cell r="F4763" t="str">
            <v>C8</v>
          </cell>
          <cell r="G4763">
            <v>10</v>
          </cell>
          <cell r="H4763" t="str">
            <v>circRNA文库</v>
          </cell>
          <cell r="I4763" t="str">
            <v>HZK</v>
          </cell>
          <cell r="J4763">
            <v>42</v>
          </cell>
          <cell r="N4763" t="e">
            <v>#DIV/0!</v>
          </cell>
        </row>
        <row r="4764">
          <cell r="E4764" t="str">
            <v>HGC-Lib-2467869</v>
          </cell>
          <cell r="F4764" t="str">
            <v>C9</v>
          </cell>
          <cell r="G4764">
            <v>10</v>
          </cell>
          <cell r="H4764" t="str">
            <v>circRNA文库</v>
          </cell>
          <cell r="I4764" t="str">
            <v>HZK</v>
          </cell>
          <cell r="J4764">
            <v>32.200000000000003</v>
          </cell>
          <cell r="N4764" t="e">
            <v>#DIV/0!</v>
          </cell>
        </row>
        <row r="4765">
          <cell r="E4765" t="str">
            <v>HGC-Lib-2467870</v>
          </cell>
          <cell r="F4765" t="str">
            <v>C10</v>
          </cell>
          <cell r="G4765">
            <v>10</v>
          </cell>
          <cell r="H4765" t="str">
            <v>circRNA文库</v>
          </cell>
          <cell r="I4765" t="str">
            <v>HZK</v>
          </cell>
          <cell r="J4765">
            <v>52.6</v>
          </cell>
          <cell r="N4765" t="e">
            <v>#DIV/0!</v>
          </cell>
        </row>
        <row r="4766">
          <cell r="E4766" t="str">
            <v>HGC-Lib-2467871</v>
          </cell>
          <cell r="F4766" t="str">
            <v>C11</v>
          </cell>
          <cell r="G4766">
            <v>10</v>
          </cell>
          <cell r="H4766" t="str">
            <v>circRNA文库</v>
          </cell>
          <cell r="I4766" t="str">
            <v>HZK</v>
          </cell>
          <cell r="J4766">
            <v>45.8</v>
          </cell>
          <cell r="N4766" t="e">
            <v>#DIV/0!</v>
          </cell>
        </row>
        <row r="4767">
          <cell r="E4767" t="str">
            <v>HGC-Lib-2467872</v>
          </cell>
          <cell r="F4767" t="str">
            <v>C12</v>
          </cell>
          <cell r="G4767">
            <v>10</v>
          </cell>
          <cell r="H4767" t="str">
            <v>circRNA文库</v>
          </cell>
          <cell r="I4767" t="str">
            <v>HZK</v>
          </cell>
          <cell r="J4767">
            <v>26.8</v>
          </cell>
          <cell r="N4767" t="e">
            <v>#DIV/0!</v>
          </cell>
        </row>
        <row r="4768">
          <cell r="E4768" t="str">
            <v>HGC-Lib-2467873</v>
          </cell>
          <cell r="F4768" t="str">
            <v>C13</v>
          </cell>
          <cell r="G4768">
            <v>10</v>
          </cell>
          <cell r="H4768" t="str">
            <v>circRNA文库</v>
          </cell>
          <cell r="I4768" t="str">
            <v>HZK</v>
          </cell>
          <cell r="J4768">
            <v>27.8</v>
          </cell>
          <cell r="N4768" t="e">
            <v>#DIV/0!</v>
          </cell>
        </row>
        <row r="4769">
          <cell r="E4769" t="str">
            <v>HGC-Lib-2467874</v>
          </cell>
          <cell r="F4769" t="str">
            <v>C14</v>
          </cell>
          <cell r="G4769">
            <v>10</v>
          </cell>
          <cell r="H4769" t="str">
            <v>circRNA文库</v>
          </cell>
          <cell r="I4769" t="str">
            <v>HZK</v>
          </cell>
          <cell r="J4769">
            <v>34.799999999999997</v>
          </cell>
          <cell r="N4769" t="e">
            <v>#DIV/0!</v>
          </cell>
        </row>
        <row r="4770">
          <cell r="E4770" t="str">
            <v>HGC-Lib-2467875</v>
          </cell>
          <cell r="F4770" t="str">
            <v>C15</v>
          </cell>
          <cell r="G4770">
            <v>10</v>
          </cell>
          <cell r="H4770" t="str">
            <v>circRNA文库</v>
          </cell>
          <cell r="I4770" t="str">
            <v>HZK</v>
          </cell>
          <cell r="J4770">
            <v>26.4</v>
          </cell>
          <cell r="N4770" t="e">
            <v>#DIV/0!</v>
          </cell>
        </row>
        <row r="4771">
          <cell r="E4771" t="str">
            <v>HGC-Lib-2467876</v>
          </cell>
          <cell r="F4771" t="str">
            <v>C16</v>
          </cell>
          <cell r="G4771">
            <v>10</v>
          </cell>
          <cell r="H4771" t="str">
            <v>circRNA文库</v>
          </cell>
          <cell r="I4771" t="str">
            <v>HZK</v>
          </cell>
          <cell r="J4771">
            <v>44</v>
          </cell>
          <cell r="N4771" t="e">
            <v>#DIV/0!</v>
          </cell>
        </row>
        <row r="4772">
          <cell r="E4772" t="str">
            <v>HGC-Lib-2467877</v>
          </cell>
          <cell r="F4772" t="str">
            <v>AH-1-24728</v>
          </cell>
          <cell r="G4772">
            <v>20</v>
          </cell>
          <cell r="H4772" t="str">
            <v>甲基化文库</v>
          </cell>
          <cell r="I4772" t="str">
            <v>HZK</v>
          </cell>
          <cell r="J4772">
            <v>4.82</v>
          </cell>
          <cell r="N4772" t="e">
            <v>#DIV/0!</v>
          </cell>
        </row>
        <row r="4773">
          <cell r="E4773" t="str">
            <v>HGC-Lib-2467878</v>
          </cell>
          <cell r="F4773" t="str">
            <v>SH-3-2481</v>
          </cell>
          <cell r="G4773">
            <v>20</v>
          </cell>
          <cell r="H4773" t="str">
            <v>甲基化文库</v>
          </cell>
          <cell r="I4773" t="str">
            <v>HZK</v>
          </cell>
          <cell r="J4773">
            <v>7.2</v>
          </cell>
          <cell r="N4773" t="e">
            <v>#DIV/0!</v>
          </cell>
        </row>
        <row r="4774">
          <cell r="E4774" t="str">
            <v>HGC-Lib-2467879</v>
          </cell>
          <cell r="F4774" t="str">
            <v>T888-1</v>
          </cell>
          <cell r="G4774">
            <v>6</v>
          </cell>
          <cell r="H4774" t="str">
            <v>mRNA文库</v>
          </cell>
          <cell r="I4774" t="str">
            <v>HZK</v>
          </cell>
          <cell r="J4774">
            <v>10.7</v>
          </cell>
          <cell r="N4774" t="e">
            <v>#DIV/0!</v>
          </cell>
        </row>
        <row r="4775">
          <cell r="E4775" t="str">
            <v>HGC-Lib-2467880</v>
          </cell>
          <cell r="F4775" t="str">
            <v>T888-2</v>
          </cell>
          <cell r="G4775">
            <v>6</v>
          </cell>
          <cell r="H4775" t="str">
            <v>mRNA文库</v>
          </cell>
          <cell r="I4775" t="str">
            <v>HZK</v>
          </cell>
          <cell r="J4775">
            <v>8</v>
          </cell>
          <cell r="N4775" t="e">
            <v>#DIV/0!</v>
          </cell>
        </row>
        <row r="4776">
          <cell r="E4776" t="str">
            <v>HGC-Lib-2467881</v>
          </cell>
          <cell r="F4776" t="str">
            <v>T888-3</v>
          </cell>
          <cell r="G4776">
            <v>6</v>
          </cell>
          <cell r="H4776" t="str">
            <v>mRNA文库</v>
          </cell>
          <cell r="I4776" t="str">
            <v>HZK</v>
          </cell>
          <cell r="J4776">
            <v>7.58</v>
          </cell>
          <cell r="N4776" t="e">
            <v>#DIV/0!</v>
          </cell>
        </row>
        <row r="4777">
          <cell r="E4777" t="str">
            <v>HGC-Lib-2467882</v>
          </cell>
          <cell r="F4777" t="str">
            <v>T888-4</v>
          </cell>
          <cell r="G4777">
            <v>6</v>
          </cell>
          <cell r="H4777" t="str">
            <v>mRNA文库</v>
          </cell>
          <cell r="I4777" t="str">
            <v>HZK</v>
          </cell>
          <cell r="J4777">
            <v>16.5</v>
          </cell>
          <cell r="N4777" t="e">
            <v>#DIV/0!</v>
          </cell>
        </row>
        <row r="4778">
          <cell r="E4778" t="str">
            <v>HGC-Lib-2467883</v>
          </cell>
          <cell r="F4778" t="str">
            <v>T888-5</v>
          </cell>
          <cell r="G4778">
            <v>6</v>
          </cell>
          <cell r="H4778" t="str">
            <v>mRNA文库</v>
          </cell>
          <cell r="I4778" t="str">
            <v>HZK</v>
          </cell>
          <cell r="J4778">
            <v>6.82</v>
          </cell>
          <cell r="N4778" t="e">
            <v>#DIV/0!</v>
          </cell>
        </row>
        <row r="4779">
          <cell r="E4779" t="str">
            <v>HGC-Lib-2467884</v>
          </cell>
          <cell r="F4779" t="str">
            <v>T888-6</v>
          </cell>
          <cell r="G4779">
            <v>6</v>
          </cell>
          <cell r="H4779" t="str">
            <v>mRNA文库</v>
          </cell>
          <cell r="I4779" t="str">
            <v>HZK</v>
          </cell>
          <cell r="J4779">
            <v>7.86</v>
          </cell>
          <cell r="N4779" t="e">
            <v>#DIV/0!</v>
          </cell>
        </row>
        <row r="4780">
          <cell r="E4780" t="str">
            <v>HGC-Lib-2467885</v>
          </cell>
          <cell r="F4780" t="str">
            <v>c1-1</v>
          </cell>
          <cell r="G4780">
            <v>10</v>
          </cell>
          <cell r="H4780" t="str">
            <v>cut&amp;tag文库</v>
          </cell>
          <cell r="I4780" t="str">
            <v>HZK</v>
          </cell>
          <cell r="J4780">
            <v>32.4</v>
          </cell>
          <cell r="K4780">
            <v>403</v>
          </cell>
          <cell r="L4780" t="str">
            <v>HZK</v>
          </cell>
          <cell r="N4780">
            <v>123.687726665394</v>
          </cell>
        </row>
        <row r="4781">
          <cell r="E4781" t="str">
            <v>HGC-Lib-2467886</v>
          </cell>
          <cell r="F4781" t="str">
            <v>c2-1</v>
          </cell>
          <cell r="G4781">
            <v>10</v>
          </cell>
          <cell r="H4781" t="str">
            <v>cut&amp;tag文库</v>
          </cell>
          <cell r="I4781" t="str">
            <v>HZK</v>
          </cell>
          <cell r="J4781">
            <v>32.4</v>
          </cell>
          <cell r="K4781">
            <v>411</v>
          </cell>
          <cell r="L4781" t="str">
            <v>HZK</v>
          </cell>
          <cell r="N4781">
            <v>121.28017967434</v>
          </cell>
        </row>
        <row r="4782">
          <cell r="E4782" t="str">
            <v>HGC-Lib-2467887</v>
          </cell>
          <cell r="F4782" t="str">
            <v>c3-1</v>
          </cell>
          <cell r="G4782">
            <v>10</v>
          </cell>
          <cell r="H4782" t="str">
            <v>cut&amp;tag文库</v>
          </cell>
          <cell r="I4782" t="str">
            <v>HZK</v>
          </cell>
          <cell r="J4782">
            <v>35.6</v>
          </cell>
          <cell r="K4782">
            <v>410</v>
          </cell>
          <cell r="L4782" t="str">
            <v>HZK</v>
          </cell>
          <cell r="N4782">
            <v>133.58348968105099</v>
          </cell>
        </row>
        <row r="4783">
          <cell r="E4783" t="str">
            <v>HGC-Lib-2467888</v>
          </cell>
          <cell r="F4783" t="str">
            <v>c4-1</v>
          </cell>
          <cell r="G4783">
            <v>10</v>
          </cell>
          <cell r="H4783" t="str">
            <v>cut&amp;tag文库</v>
          </cell>
          <cell r="I4783" t="str">
            <v>HZK</v>
          </cell>
          <cell r="J4783">
            <v>21</v>
          </cell>
          <cell r="K4783">
            <v>408</v>
          </cell>
          <cell r="L4783" t="str">
            <v>HZK</v>
          </cell>
          <cell r="N4783">
            <v>79.185520361990896</v>
          </cell>
        </row>
        <row r="4784">
          <cell r="E4784" t="str">
            <v>HGC-Lib-2467889</v>
          </cell>
          <cell r="F4784" t="str">
            <v>c5-1</v>
          </cell>
          <cell r="G4784">
            <v>10</v>
          </cell>
          <cell r="H4784" t="str">
            <v>cut&amp;tag文库</v>
          </cell>
          <cell r="I4784" t="str">
            <v>HZK</v>
          </cell>
          <cell r="J4784">
            <v>45.2</v>
          </cell>
          <cell r="K4784">
            <v>393</v>
          </cell>
          <cell r="L4784" t="str">
            <v>HZK</v>
          </cell>
          <cell r="N4784">
            <v>176.94265022509299</v>
          </cell>
        </row>
        <row r="4785">
          <cell r="E4785" t="str">
            <v>HGC-Lib-2467890</v>
          </cell>
          <cell r="F4785" t="str">
            <v>c6-1</v>
          </cell>
          <cell r="G4785">
            <v>10</v>
          </cell>
          <cell r="H4785" t="str">
            <v>cut&amp;tag文库</v>
          </cell>
          <cell r="I4785" t="str">
            <v>HZK</v>
          </cell>
          <cell r="J4785">
            <v>26</v>
          </cell>
          <cell r="K4785">
            <v>395</v>
          </cell>
          <cell r="L4785" t="str">
            <v>HZK</v>
          </cell>
          <cell r="N4785">
            <v>101.26582278481</v>
          </cell>
        </row>
        <row r="4786">
          <cell r="E4786" t="str">
            <v>HGC-Lib-2467891</v>
          </cell>
          <cell r="F4786" t="str">
            <v>c1-2</v>
          </cell>
          <cell r="G4786">
            <v>10</v>
          </cell>
          <cell r="H4786" t="str">
            <v>cut&amp;tag文库</v>
          </cell>
          <cell r="I4786" t="str">
            <v>HZK</v>
          </cell>
          <cell r="J4786">
            <v>12.7</v>
          </cell>
          <cell r="K4786">
            <v>399</v>
          </cell>
          <cell r="L4786" t="str">
            <v>HZK</v>
          </cell>
          <cell r="N4786">
            <v>48.968575284364803</v>
          </cell>
        </row>
        <row r="4787">
          <cell r="E4787" t="str">
            <v>HGC-Lib-2467892</v>
          </cell>
          <cell r="F4787" t="str">
            <v>c2-2</v>
          </cell>
          <cell r="G4787">
            <v>10</v>
          </cell>
          <cell r="H4787" t="str">
            <v>cut&amp;tag文库</v>
          </cell>
          <cell r="I4787" t="str">
            <v>HZK</v>
          </cell>
          <cell r="J4787">
            <v>19</v>
          </cell>
          <cell r="K4787">
            <v>403</v>
          </cell>
          <cell r="L4787" t="str">
            <v>HZK</v>
          </cell>
          <cell r="N4787">
            <v>72.532926130940993</v>
          </cell>
        </row>
        <row r="4788">
          <cell r="E4788" t="str">
            <v>HGC-Lib-2467893</v>
          </cell>
          <cell r="F4788" t="str">
            <v>c3-2</v>
          </cell>
          <cell r="G4788">
            <v>10</v>
          </cell>
          <cell r="H4788" t="str">
            <v>cut&amp;tag文库</v>
          </cell>
          <cell r="I4788" t="str">
            <v>HZK</v>
          </cell>
          <cell r="J4788">
            <v>24</v>
          </cell>
          <cell r="K4788">
            <v>427</v>
          </cell>
          <cell r="L4788" t="str">
            <v>HZK</v>
          </cell>
          <cell r="N4788">
            <v>86.470906143037297</v>
          </cell>
        </row>
        <row r="4789">
          <cell r="E4789" t="str">
            <v>HGC-Lib-2467894</v>
          </cell>
          <cell r="F4789" t="str">
            <v>c4-2</v>
          </cell>
          <cell r="G4789">
            <v>10</v>
          </cell>
          <cell r="H4789" t="str">
            <v>cut&amp;tag文库</v>
          </cell>
          <cell r="I4789" t="str">
            <v>HZK</v>
          </cell>
          <cell r="J4789">
            <v>9.52</v>
          </cell>
          <cell r="K4789">
            <v>436</v>
          </cell>
          <cell r="L4789" t="str">
            <v>HZK</v>
          </cell>
          <cell r="N4789">
            <v>33.592095977417102</v>
          </cell>
        </row>
        <row r="4790">
          <cell r="E4790" t="str">
            <v>HGC-Lib-2467895</v>
          </cell>
          <cell r="F4790" t="str">
            <v>c5-2</v>
          </cell>
          <cell r="G4790">
            <v>10</v>
          </cell>
          <cell r="H4790" t="str">
            <v>cut&amp;tag文库</v>
          </cell>
          <cell r="I4790" t="str">
            <v>HZK</v>
          </cell>
          <cell r="J4790">
            <v>33.200000000000003</v>
          </cell>
          <cell r="K4790">
            <v>438</v>
          </cell>
          <cell r="L4790" t="str">
            <v>HZK</v>
          </cell>
          <cell r="N4790">
            <v>116.61397962767801</v>
          </cell>
        </row>
        <row r="4791">
          <cell r="E4791" t="str">
            <v>HGC-Lib-2467896</v>
          </cell>
          <cell r="F4791" t="str">
            <v>c6-2</v>
          </cell>
          <cell r="G4791">
            <v>10</v>
          </cell>
          <cell r="H4791" t="str">
            <v>cut&amp;tag文库</v>
          </cell>
          <cell r="I4791" t="str">
            <v>HZK</v>
          </cell>
          <cell r="J4791">
            <v>19.600000000000001</v>
          </cell>
          <cell r="K4791">
            <v>430</v>
          </cell>
          <cell r="L4791" t="str">
            <v>HZK</v>
          </cell>
          <cell r="N4791">
            <v>70.125223613595693</v>
          </cell>
        </row>
        <row r="4792">
          <cell r="E4792" t="str">
            <v>HGC-Lib-2467897</v>
          </cell>
          <cell r="F4792" t="str">
            <v>c7-1</v>
          </cell>
          <cell r="G4792">
            <v>10</v>
          </cell>
          <cell r="H4792" t="str">
            <v>cut&amp;tag文库</v>
          </cell>
          <cell r="I4792" t="str">
            <v>HZK</v>
          </cell>
          <cell r="J4792">
            <v>8.68</v>
          </cell>
          <cell r="K4792">
            <v>421</v>
          </cell>
          <cell r="L4792" t="str">
            <v>HZK</v>
          </cell>
          <cell r="N4792">
            <v>31.7193495340764</v>
          </cell>
        </row>
        <row r="4793">
          <cell r="E4793" t="str">
            <v>HGC-Lib-2467898</v>
          </cell>
          <cell r="F4793" t="str">
            <v>c8-1</v>
          </cell>
          <cell r="G4793">
            <v>10</v>
          </cell>
          <cell r="H4793" t="str">
            <v>cut&amp;tag文库</v>
          </cell>
          <cell r="I4793" t="str">
            <v>HZK</v>
          </cell>
          <cell r="J4793">
            <v>11.2</v>
          </cell>
          <cell r="K4793">
            <v>449</v>
          </cell>
          <cell r="L4793" t="str">
            <v>HZK</v>
          </cell>
          <cell r="N4793">
            <v>38.375878019530603</v>
          </cell>
        </row>
        <row r="4794">
          <cell r="E4794" t="str">
            <v>HGC-Lib-2467899</v>
          </cell>
          <cell r="F4794" t="str">
            <v>c9-1</v>
          </cell>
          <cell r="G4794">
            <v>10</v>
          </cell>
          <cell r="H4794" t="str">
            <v>cut&amp;tag文库</v>
          </cell>
          <cell r="I4794" t="str">
            <v>HZK</v>
          </cell>
          <cell r="J4794">
            <v>3.58</v>
          </cell>
          <cell r="K4794">
            <v>441</v>
          </cell>
          <cell r="L4794" t="str">
            <v>HZK</v>
          </cell>
          <cell r="N4794">
            <v>12.4890982033839</v>
          </cell>
        </row>
        <row r="4795">
          <cell r="E4795" t="str">
            <v>HGC-Lib-2467900</v>
          </cell>
          <cell r="F4795" t="str">
            <v>c10-1</v>
          </cell>
          <cell r="G4795">
            <v>10</v>
          </cell>
          <cell r="H4795" t="str">
            <v>cut&amp;tag文库</v>
          </cell>
          <cell r="I4795" t="str">
            <v>HZK</v>
          </cell>
          <cell r="J4795">
            <v>6.84</v>
          </cell>
          <cell r="K4795">
            <v>415</v>
          </cell>
          <cell r="L4795" t="str">
            <v>HZK</v>
          </cell>
          <cell r="N4795">
            <v>25.356811862836</v>
          </cell>
        </row>
        <row r="4796">
          <cell r="E4796" t="str">
            <v>HGC-Lib-2467901</v>
          </cell>
          <cell r="F4796" t="str">
            <v>c11-1</v>
          </cell>
          <cell r="G4796">
            <v>10</v>
          </cell>
          <cell r="H4796" t="str">
            <v>cut&amp;tag文库</v>
          </cell>
          <cell r="I4796" t="str">
            <v>HZK</v>
          </cell>
          <cell r="J4796">
            <v>23.8</v>
          </cell>
          <cell r="K4796">
            <v>420</v>
          </cell>
          <cell r="L4796" t="str">
            <v>HZK</v>
          </cell>
          <cell r="N4796">
            <v>87.179487179487197</v>
          </cell>
        </row>
        <row r="4797">
          <cell r="E4797" t="str">
            <v>HGC-Lib-2467902</v>
          </cell>
          <cell r="F4797" t="str">
            <v>c12-1</v>
          </cell>
          <cell r="G4797">
            <v>10</v>
          </cell>
          <cell r="H4797" t="str">
            <v>cut&amp;tag文库</v>
          </cell>
          <cell r="I4797" t="str">
            <v>HZK</v>
          </cell>
          <cell r="J4797">
            <v>30.6</v>
          </cell>
          <cell r="K4797">
            <v>402</v>
          </cell>
          <cell r="L4797" t="str">
            <v>HZK</v>
          </cell>
          <cell r="N4797">
            <v>117.106773823192</v>
          </cell>
        </row>
        <row r="4798">
          <cell r="E4798" t="str">
            <v>HGC-Lib-2467903</v>
          </cell>
          <cell r="F4798" t="str">
            <v>c7-2</v>
          </cell>
          <cell r="G4798">
            <v>10</v>
          </cell>
          <cell r="H4798" t="str">
            <v>cut&amp;tag文库</v>
          </cell>
          <cell r="I4798" t="str">
            <v>HZK</v>
          </cell>
          <cell r="J4798">
            <v>18.3</v>
          </cell>
          <cell r="K4798">
            <v>417</v>
          </cell>
          <cell r="L4798" t="str">
            <v>HZK</v>
          </cell>
          <cell r="N4798">
            <v>67.515218594355304</v>
          </cell>
        </row>
        <row r="4799">
          <cell r="E4799" t="str">
            <v>HGC-Lib-2467904</v>
          </cell>
          <cell r="F4799" t="str">
            <v>c8-2</v>
          </cell>
          <cell r="G4799">
            <v>10</v>
          </cell>
          <cell r="H4799" t="str">
            <v>cut&amp;tag文库</v>
          </cell>
          <cell r="I4799" t="str">
            <v>HZK</v>
          </cell>
          <cell r="J4799">
            <v>11.6</v>
          </cell>
          <cell r="K4799">
            <v>415</v>
          </cell>
          <cell r="L4799" t="str">
            <v>HZK</v>
          </cell>
          <cell r="N4799">
            <v>43.002780352177901</v>
          </cell>
        </row>
        <row r="4800">
          <cell r="E4800" t="str">
            <v>HGC-Lib-2467905</v>
          </cell>
          <cell r="F4800" t="str">
            <v>c9-2</v>
          </cell>
          <cell r="G4800">
            <v>10</v>
          </cell>
          <cell r="H4800" t="str">
            <v>cut&amp;tag文库</v>
          </cell>
          <cell r="I4800" t="str">
            <v>HZK</v>
          </cell>
          <cell r="J4800">
            <v>13.9</v>
          </cell>
          <cell r="K4800">
            <v>431</v>
          </cell>
          <cell r="L4800" t="str">
            <v>HZK</v>
          </cell>
          <cell r="N4800">
            <v>49.616276994467299</v>
          </cell>
        </row>
        <row r="4801">
          <cell r="E4801" t="str">
            <v>HGC-Lib-2467906</v>
          </cell>
          <cell r="F4801" t="str">
            <v>c10-2</v>
          </cell>
          <cell r="G4801">
            <v>10</v>
          </cell>
          <cell r="H4801" t="str">
            <v>cut&amp;tag文库</v>
          </cell>
          <cell r="I4801" t="str">
            <v>HZK</v>
          </cell>
          <cell r="J4801">
            <v>6.8</v>
          </cell>
          <cell r="K4801">
            <v>406</v>
          </cell>
          <cell r="L4801" t="str">
            <v>HZK</v>
          </cell>
          <cell r="N4801">
            <v>25.767336112163701</v>
          </cell>
        </row>
        <row r="4802">
          <cell r="E4802" t="str">
            <v>HGC-Lib-2467907</v>
          </cell>
          <cell r="F4802" t="str">
            <v>c11-2</v>
          </cell>
          <cell r="G4802">
            <v>10</v>
          </cell>
          <cell r="H4802" t="str">
            <v>cut&amp;tag文库</v>
          </cell>
          <cell r="I4802" t="str">
            <v>HZK</v>
          </cell>
          <cell r="J4802">
            <v>10.4</v>
          </cell>
          <cell r="K4802">
            <v>462</v>
          </cell>
          <cell r="L4802" t="str">
            <v>HZK</v>
          </cell>
          <cell r="N4802">
            <v>34.632034632034603</v>
          </cell>
        </row>
        <row r="4803">
          <cell r="E4803" t="str">
            <v>HGC-Lib-2467908</v>
          </cell>
          <cell r="F4803" t="str">
            <v>c12-2</v>
          </cell>
          <cell r="G4803">
            <v>10</v>
          </cell>
          <cell r="H4803" t="str">
            <v>cut&amp;tag文库</v>
          </cell>
          <cell r="I4803" t="str">
            <v>HZK</v>
          </cell>
          <cell r="J4803">
            <v>36.6</v>
          </cell>
          <cell r="K4803">
            <v>389</v>
          </cell>
          <cell r="L4803" t="str">
            <v>HZK</v>
          </cell>
          <cell r="N4803">
            <v>144.74985169072599</v>
          </cell>
        </row>
        <row r="4804">
          <cell r="E4804" t="str">
            <v>HGC-Lib-2467931</v>
          </cell>
          <cell r="F4804" t="str">
            <v>HitomXNN407</v>
          </cell>
          <cell r="G4804">
            <v>2</v>
          </cell>
          <cell r="H4804" t="str">
            <v>PCR片段文库</v>
          </cell>
          <cell r="I4804" t="str">
            <v>XCL</v>
          </cell>
          <cell r="J4804">
            <v>43.4</v>
          </cell>
          <cell r="K4804">
            <v>449</v>
          </cell>
          <cell r="L4804" t="str">
            <v>HZK</v>
          </cell>
          <cell r="N4804">
            <v>148.70652732568101</v>
          </cell>
        </row>
        <row r="4805">
          <cell r="E4805" t="str">
            <v>HGC-Lib-2467932</v>
          </cell>
          <cell r="F4805" t="str">
            <v>HitomXNN408</v>
          </cell>
          <cell r="G4805">
            <v>2</v>
          </cell>
          <cell r="H4805" t="str">
            <v>PCR片段文库</v>
          </cell>
          <cell r="I4805" t="str">
            <v>XCL</v>
          </cell>
          <cell r="J4805">
            <v>58.8</v>
          </cell>
          <cell r="K4805">
            <v>525</v>
          </cell>
          <cell r="L4805" t="str">
            <v>HZK</v>
          </cell>
          <cell r="N4805">
            <v>172.30769230769201</v>
          </cell>
        </row>
        <row r="4806">
          <cell r="E4806" t="str">
            <v>HGC-Lib-2467933</v>
          </cell>
          <cell r="F4806" t="str">
            <v>HitomXNN409</v>
          </cell>
          <cell r="G4806">
            <v>2</v>
          </cell>
          <cell r="H4806" t="str">
            <v>PCR片段文库</v>
          </cell>
          <cell r="I4806" t="str">
            <v>XCL</v>
          </cell>
          <cell r="J4806">
            <v>67.2</v>
          </cell>
          <cell r="K4806">
            <v>541</v>
          </cell>
          <cell r="L4806" t="str">
            <v>HZK</v>
          </cell>
          <cell r="N4806">
            <v>191.09910422294899</v>
          </cell>
        </row>
        <row r="4807">
          <cell r="E4807" t="str">
            <v>HGC-Lib-2467934</v>
          </cell>
          <cell r="F4807" t="str">
            <v>HitomXNN410</v>
          </cell>
          <cell r="G4807">
            <v>2</v>
          </cell>
          <cell r="H4807" t="str">
            <v>PCR片段文库</v>
          </cell>
          <cell r="I4807" t="str">
            <v>XCL</v>
          </cell>
          <cell r="J4807">
            <v>73</v>
          </cell>
          <cell r="K4807">
            <v>503</v>
          </cell>
          <cell r="L4807" t="str">
            <v>HZK</v>
          </cell>
          <cell r="N4807">
            <v>223.27573023398099</v>
          </cell>
        </row>
        <row r="4808">
          <cell r="E4808" t="str">
            <v>HGC-Lib-2467935</v>
          </cell>
          <cell r="F4808" t="str">
            <v>HitomXNN411</v>
          </cell>
          <cell r="G4808">
            <v>2</v>
          </cell>
          <cell r="H4808" t="str">
            <v>PCR片段文库</v>
          </cell>
          <cell r="I4808" t="str">
            <v>XCL</v>
          </cell>
          <cell r="J4808">
            <v>56.6</v>
          </cell>
          <cell r="K4808">
            <v>504</v>
          </cell>
          <cell r="L4808" t="str">
            <v>HZK</v>
          </cell>
          <cell r="N4808">
            <v>172.771672771673</v>
          </cell>
        </row>
        <row r="4809">
          <cell r="E4809" t="str">
            <v>HGC-Lib-2467936</v>
          </cell>
          <cell r="F4809" t="str">
            <v>HitomXNN412</v>
          </cell>
          <cell r="G4809">
            <v>2</v>
          </cell>
          <cell r="H4809" t="str">
            <v>PCR片段文库</v>
          </cell>
          <cell r="I4809" t="str">
            <v>XCL</v>
          </cell>
          <cell r="J4809">
            <v>44.6</v>
          </cell>
          <cell r="K4809">
            <v>486</v>
          </cell>
          <cell r="L4809" t="str">
            <v>HZK</v>
          </cell>
          <cell r="N4809">
            <v>141.183918961697</v>
          </cell>
        </row>
        <row r="4810">
          <cell r="E4810" t="str">
            <v>HGC-Lib-2467937</v>
          </cell>
          <cell r="F4810" t="str">
            <v>P8-C</v>
          </cell>
          <cell r="G4810">
            <v>80</v>
          </cell>
          <cell r="H4810" t="str">
            <v>10× 3'单细胞</v>
          </cell>
          <cell r="I4810" t="str">
            <v>YHT</v>
          </cell>
          <cell r="J4810">
            <v>11.4</v>
          </cell>
          <cell r="K4810">
            <v>505</v>
          </cell>
          <cell r="L4810" t="str">
            <v>HZK</v>
          </cell>
          <cell r="N4810">
            <v>34.729626808834702</v>
          </cell>
        </row>
        <row r="4811">
          <cell r="E4811" t="str">
            <v>HGC-Lib-2467938</v>
          </cell>
          <cell r="F4811" t="str">
            <v>P8-L</v>
          </cell>
          <cell r="G4811">
            <v>100</v>
          </cell>
          <cell r="H4811" t="str">
            <v>10× 3'单细胞</v>
          </cell>
          <cell r="I4811" t="str">
            <v>YHT</v>
          </cell>
          <cell r="J4811">
            <v>31.6</v>
          </cell>
          <cell r="K4811">
            <v>469</v>
          </cell>
          <cell r="L4811" t="str">
            <v>HZK</v>
          </cell>
          <cell r="N4811">
            <v>103.657536493357</v>
          </cell>
        </row>
        <row r="4812">
          <cell r="E4812" t="str">
            <v>HGC-Lib-2467939</v>
          </cell>
          <cell r="F4812" t="str">
            <v>P8-B</v>
          </cell>
          <cell r="G4812">
            <v>100</v>
          </cell>
          <cell r="H4812" t="str">
            <v>10× 3'单细胞</v>
          </cell>
          <cell r="I4812" t="str">
            <v>YHT</v>
          </cell>
          <cell r="J4812">
            <v>24</v>
          </cell>
          <cell r="K4812">
            <v>476</v>
          </cell>
          <cell r="L4812" t="str">
            <v>HZK</v>
          </cell>
          <cell r="N4812">
            <v>77.569489334195197</v>
          </cell>
        </row>
        <row r="4813">
          <cell r="E4813" t="str">
            <v>HGC-Lib-2467940</v>
          </cell>
          <cell r="F4813" t="str">
            <v>HT-1</v>
          </cell>
          <cell r="G4813">
            <v>100</v>
          </cell>
          <cell r="H4813" t="str">
            <v>10× 3'单细胞</v>
          </cell>
          <cell r="I4813" t="str">
            <v>YHT</v>
          </cell>
          <cell r="J4813">
            <v>44.6</v>
          </cell>
          <cell r="K4813">
            <v>478</v>
          </cell>
          <cell r="L4813" t="str">
            <v>HZK</v>
          </cell>
          <cell r="N4813">
            <v>143.546829739298</v>
          </cell>
        </row>
        <row r="4814">
          <cell r="E4814" t="str">
            <v>HGC-Lib-2467941</v>
          </cell>
          <cell r="F4814" t="str">
            <v>ZCM-Ca</v>
          </cell>
          <cell r="G4814">
            <v>80</v>
          </cell>
          <cell r="H4814" t="str">
            <v>10× 3'单细胞</v>
          </cell>
          <cell r="I4814" t="str">
            <v>YHT</v>
          </cell>
          <cell r="J4814">
            <v>22.4</v>
          </cell>
          <cell r="K4814">
            <v>494</v>
          </cell>
          <cell r="L4814" t="str">
            <v>HZK</v>
          </cell>
          <cell r="N4814">
            <v>69.7601993148552</v>
          </cell>
        </row>
        <row r="4815">
          <cell r="E4815" t="str">
            <v>HGC-Lib-2467942</v>
          </cell>
          <cell r="F4815" t="str">
            <v>240809XYL-N</v>
          </cell>
          <cell r="G4815">
            <v>80</v>
          </cell>
          <cell r="H4815" t="str">
            <v>10× 3'单细胞</v>
          </cell>
          <cell r="I4815" t="str">
            <v>YHT</v>
          </cell>
          <cell r="J4815">
            <v>18.5</v>
          </cell>
          <cell r="K4815">
            <v>504</v>
          </cell>
          <cell r="L4815" t="str">
            <v>HZK</v>
          </cell>
          <cell r="N4815">
            <v>56.471306471306498</v>
          </cell>
        </row>
        <row r="4816">
          <cell r="E4816" t="str">
            <v>HGC-Lib-2467943</v>
          </cell>
          <cell r="F4816">
            <v>13730102</v>
          </cell>
          <cell r="G4816">
            <v>100</v>
          </cell>
          <cell r="H4816" t="str">
            <v>10× 3'单细胞</v>
          </cell>
          <cell r="I4816" t="str">
            <v>YHT</v>
          </cell>
          <cell r="J4816">
            <v>43.2</v>
          </cell>
          <cell r="K4816">
            <v>478</v>
          </cell>
          <cell r="L4816" t="str">
            <v>HZK</v>
          </cell>
          <cell r="N4816">
            <v>139.04087544254901</v>
          </cell>
        </row>
        <row r="4817">
          <cell r="E4817" t="str">
            <v>HGC-Lib-2467944</v>
          </cell>
          <cell r="F4817">
            <v>13731102</v>
          </cell>
          <cell r="G4817">
            <v>100</v>
          </cell>
          <cell r="H4817" t="str">
            <v>10× 3'单细胞</v>
          </cell>
          <cell r="I4817" t="str">
            <v>YHT</v>
          </cell>
          <cell r="J4817">
            <v>43.8</v>
          </cell>
          <cell r="K4817">
            <v>461</v>
          </cell>
          <cell r="L4817" t="str">
            <v>HZK</v>
          </cell>
          <cell r="N4817">
            <v>146.170532287669</v>
          </cell>
        </row>
        <row r="4818">
          <cell r="E4818" t="str">
            <v>HGC-Lib-2467945</v>
          </cell>
          <cell r="F4818">
            <v>13732102</v>
          </cell>
          <cell r="G4818">
            <v>100</v>
          </cell>
          <cell r="H4818" t="str">
            <v>10× 3'单细胞</v>
          </cell>
          <cell r="I4818" t="str">
            <v>YHT</v>
          </cell>
          <cell r="J4818">
            <v>26.2</v>
          </cell>
          <cell r="K4818">
            <v>462</v>
          </cell>
          <cell r="L4818" t="str">
            <v>HZK</v>
          </cell>
          <cell r="N4818">
            <v>87.246087246087299</v>
          </cell>
        </row>
        <row r="4819">
          <cell r="E4819" t="str">
            <v>HGC-Lib-2467946</v>
          </cell>
          <cell r="F4819" t="str">
            <v>20240814PBMC-W</v>
          </cell>
          <cell r="G4819">
            <v>10</v>
          </cell>
          <cell r="H4819" t="str">
            <v>10× 3'单细胞</v>
          </cell>
          <cell r="I4819" t="str">
            <v>YHT</v>
          </cell>
          <cell r="J4819">
            <v>2.02</v>
          </cell>
          <cell r="K4819">
            <v>510</v>
          </cell>
          <cell r="L4819" t="str">
            <v>HZK</v>
          </cell>
          <cell r="N4819">
            <v>6.0935143288084497</v>
          </cell>
        </row>
        <row r="4820">
          <cell r="E4820" t="str">
            <v>HGC-Lib-2467947</v>
          </cell>
          <cell r="F4820">
            <v>13733102</v>
          </cell>
          <cell r="G4820">
            <v>100</v>
          </cell>
          <cell r="H4820" t="str">
            <v>10× 3'单细胞</v>
          </cell>
          <cell r="I4820" t="str">
            <v>YHT</v>
          </cell>
          <cell r="J4820">
            <v>36.799999999999997</v>
          </cell>
          <cell r="K4820">
            <v>473</v>
          </cell>
          <cell r="L4820" t="str">
            <v>HZK</v>
          </cell>
          <cell r="N4820">
            <v>119.694259229143</v>
          </cell>
        </row>
        <row r="4821">
          <cell r="E4821" t="str">
            <v>HGC-Lib-2467948</v>
          </cell>
          <cell r="F4821" t="str">
            <v>HT-2</v>
          </cell>
          <cell r="G4821">
            <v>100</v>
          </cell>
          <cell r="H4821" t="str">
            <v>10× 3'单细胞</v>
          </cell>
          <cell r="I4821" t="str">
            <v>YHT</v>
          </cell>
          <cell r="J4821">
            <v>26.2</v>
          </cell>
          <cell r="K4821">
            <v>480</v>
          </cell>
          <cell r="L4821" t="str">
            <v>HZK</v>
          </cell>
          <cell r="N4821">
            <v>83.974358974359006</v>
          </cell>
        </row>
        <row r="4822">
          <cell r="E4822" t="str">
            <v>HGC-Lib-2467949</v>
          </cell>
          <cell r="F4822" t="str">
            <v>LFTA240820001</v>
          </cell>
          <cell r="G4822">
            <v>100</v>
          </cell>
          <cell r="H4822" t="str">
            <v>singleron-3'全长转录组文库</v>
          </cell>
          <cell r="I4822" t="str">
            <v>YHT</v>
          </cell>
          <cell r="J4822">
            <v>7.68</v>
          </cell>
          <cell r="N4822" t="e">
            <v>#DIV/0!</v>
          </cell>
        </row>
        <row r="4823">
          <cell r="E4823" t="str">
            <v>HGC-Lib-2467950</v>
          </cell>
          <cell r="F4823" t="str">
            <v>LFTA240820002</v>
          </cell>
          <cell r="G4823">
            <v>100</v>
          </cell>
          <cell r="H4823" t="str">
            <v>singleron-3'全长转录组文库</v>
          </cell>
          <cell r="I4823" t="str">
            <v>YHT</v>
          </cell>
          <cell r="J4823">
            <v>6.18</v>
          </cell>
          <cell r="N4823" t="e">
            <v>#DIV/0!</v>
          </cell>
        </row>
        <row r="4824">
          <cell r="E4824" t="str">
            <v>HGC-Lib-2467951</v>
          </cell>
          <cell r="F4824" t="str">
            <v>LC240821033</v>
          </cell>
          <cell r="G4824">
            <v>100</v>
          </cell>
          <cell r="H4824" t="str">
            <v>singleron-3'转录组文库</v>
          </cell>
          <cell r="I4824" t="str">
            <v>YHT</v>
          </cell>
          <cell r="J4824">
            <v>18.600000000000001</v>
          </cell>
          <cell r="N4824" t="e">
            <v>#DIV/0!</v>
          </cell>
        </row>
        <row r="4825">
          <cell r="E4825" t="str">
            <v>HGC-Lib-2467952</v>
          </cell>
          <cell r="F4825" t="str">
            <v>LFTBA240821006X1</v>
          </cell>
          <cell r="G4825">
            <v>20</v>
          </cell>
          <cell r="H4825" t="str">
            <v>singleron-3'全长转录组文库</v>
          </cell>
          <cell r="I4825" t="str">
            <v>YHT</v>
          </cell>
          <cell r="J4825">
            <v>22</v>
          </cell>
          <cell r="N4825" t="e">
            <v>#DIV/0!</v>
          </cell>
        </row>
        <row r="4826">
          <cell r="E4826" t="str">
            <v>HGC-Lib-2467953</v>
          </cell>
          <cell r="F4826" t="str">
            <v>LFTC240821012</v>
          </cell>
          <cell r="G4826">
            <v>120</v>
          </cell>
          <cell r="H4826" t="str">
            <v>singleron-3'全长转录组文库</v>
          </cell>
          <cell r="I4826" t="str">
            <v>YHT</v>
          </cell>
          <cell r="J4826">
            <v>18.399999999999999</v>
          </cell>
          <cell r="N4826" t="e">
            <v>#DIV/0!</v>
          </cell>
        </row>
        <row r="4827">
          <cell r="E4827" t="str">
            <v>HGC-Lib-2467697</v>
          </cell>
          <cell r="F4827" t="str">
            <v>NC3</v>
          </cell>
          <cell r="G4827">
            <v>6</v>
          </cell>
          <cell r="H4827" t="str">
            <v>mRNA文库</v>
          </cell>
          <cell r="I4827" t="str">
            <v>HZK</v>
          </cell>
          <cell r="J4827" t="str">
            <v>/</v>
          </cell>
          <cell r="K4827">
            <v>384</v>
          </cell>
          <cell r="L4827" t="str">
            <v>HZK</v>
          </cell>
          <cell r="N4827" t="e">
            <v>#VALUE!</v>
          </cell>
        </row>
        <row r="4828">
          <cell r="E4828" t="str">
            <v>HGC-Lib-2467698</v>
          </cell>
          <cell r="F4828" t="str">
            <v>13--1</v>
          </cell>
          <cell r="G4828">
            <v>6</v>
          </cell>
          <cell r="H4828" t="str">
            <v>mRNA文库</v>
          </cell>
          <cell r="I4828" t="str">
            <v>HZK</v>
          </cell>
          <cell r="J4828">
            <v>0.252</v>
          </cell>
          <cell r="K4828">
            <v>387</v>
          </cell>
          <cell r="L4828" t="str">
            <v>HZK</v>
          </cell>
          <cell r="N4828">
            <v>1.00178890876565</v>
          </cell>
        </row>
        <row r="4829">
          <cell r="E4829" t="str">
            <v>HGC-Lib-2467699</v>
          </cell>
          <cell r="F4829">
            <v>23</v>
          </cell>
          <cell r="G4829">
            <v>6</v>
          </cell>
          <cell r="H4829" t="str">
            <v>mRNA文库</v>
          </cell>
          <cell r="I4829" t="str">
            <v>HZK</v>
          </cell>
          <cell r="J4829">
            <v>0.51400000000000001</v>
          </cell>
          <cell r="K4829">
            <v>394</v>
          </cell>
          <cell r="L4829" t="str">
            <v>HZK</v>
          </cell>
          <cell r="N4829">
            <v>2.0070285044904299</v>
          </cell>
        </row>
        <row r="4830">
          <cell r="E4830" t="str">
            <v>HGC-Lib-2467700</v>
          </cell>
          <cell r="F4830" t="str">
            <v>NC1</v>
          </cell>
          <cell r="G4830">
            <v>6</v>
          </cell>
          <cell r="H4830" t="str">
            <v>mRNA文库</v>
          </cell>
          <cell r="I4830" t="str">
            <v>HZK</v>
          </cell>
          <cell r="J4830">
            <v>24.6</v>
          </cell>
          <cell r="K4830">
            <v>441</v>
          </cell>
          <cell r="L4830" t="str">
            <v>HZK</v>
          </cell>
          <cell r="N4830">
            <v>85.818942961800104</v>
          </cell>
        </row>
        <row r="4831">
          <cell r="E4831" t="str">
            <v>HGC-Lib-2467701</v>
          </cell>
          <cell r="F4831">
            <v>11</v>
          </cell>
          <cell r="G4831">
            <v>6</v>
          </cell>
          <cell r="H4831" t="str">
            <v>mRNA文库</v>
          </cell>
          <cell r="I4831" t="str">
            <v>HZK</v>
          </cell>
          <cell r="J4831">
            <v>16.899999999999999</v>
          </cell>
          <cell r="K4831">
            <v>419</v>
          </cell>
          <cell r="L4831" t="str">
            <v>HZK</v>
          </cell>
          <cell r="N4831">
            <v>62.052505966587098</v>
          </cell>
        </row>
        <row r="4832">
          <cell r="E4832" t="str">
            <v>HGC-Lib-2467702</v>
          </cell>
          <cell r="F4832" t="str">
            <v>12--1</v>
          </cell>
          <cell r="G4832">
            <v>6</v>
          </cell>
          <cell r="H4832" t="str">
            <v>mRNA文库</v>
          </cell>
          <cell r="I4832" t="str">
            <v>HZK</v>
          </cell>
          <cell r="J4832">
            <v>21.6</v>
          </cell>
          <cell r="K4832">
            <v>435</v>
          </cell>
          <cell r="L4832" t="str">
            <v>HZK</v>
          </cell>
          <cell r="N4832">
            <v>76.3925729442971</v>
          </cell>
        </row>
        <row r="4833">
          <cell r="E4833" t="str">
            <v>HGC-Lib-2467703</v>
          </cell>
          <cell r="F4833" t="str">
            <v>NC2</v>
          </cell>
          <cell r="G4833">
            <v>6</v>
          </cell>
          <cell r="H4833" t="str">
            <v>mRNA文库</v>
          </cell>
          <cell r="I4833" t="str">
            <v>HZK</v>
          </cell>
          <cell r="J4833">
            <v>14.9</v>
          </cell>
          <cell r="K4833">
            <v>484</v>
          </cell>
          <cell r="L4833" t="str">
            <v>HZK</v>
          </cell>
          <cell r="N4833">
            <v>47.361729179911002</v>
          </cell>
        </row>
        <row r="4834">
          <cell r="E4834" t="str">
            <v>HGC-Lib-2467704</v>
          </cell>
          <cell r="F4834">
            <v>12</v>
          </cell>
          <cell r="G4834">
            <v>6</v>
          </cell>
          <cell r="H4834" t="str">
            <v>mRNA文库</v>
          </cell>
          <cell r="I4834" t="str">
            <v>HZK</v>
          </cell>
          <cell r="J4834">
            <v>24</v>
          </cell>
          <cell r="K4834">
            <v>459</v>
          </cell>
          <cell r="L4834" t="str">
            <v>HZK</v>
          </cell>
          <cell r="N4834">
            <v>80.442433383609895</v>
          </cell>
        </row>
        <row r="4835">
          <cell r="E4835" t="str">
            <v>HGC-Lib-2467705</v>
          </cell>
          <cell r="F4835">
            <v>13</v>
          </cell>
          <cell r="G4835">
            <v>6</v>
          </cell>
          <cell r="H4835" t="str">
            <v>mRNA文库</v>
          </cell>
          <cell r="I4835" t="str">
            <v>HZK</v>
          </cell>
          <cell r="J4835">
            <v>19.5</v>
          </cell>
          <cell r="K4835">
            <v>470</v>
          </cell>
          <cell r="L4835" t="str">
            <v>HZK</v>
          </cell>
          <cell r="N4835">
            <v>63.829787234042499</v>
          </cell>
        </row>
        <row r="4836">
          <cell r="E4836" t="str">
            <v>HGC-Lib-2467994</v>
          </cell>
          <cell r="F4836" t="str">
            <v>N H3K4</v>
          </cell>
          <cell r="G4836">
            <v>6</v>
          </cell>
          <cell r="H4836" t="str">
            <v>cut&amp;tag文库</v>
          </cell>
          <cell r="I4836" t="str">
            <v>HZK</v>
          </cell>
          <cell r="J4836">
            <v>14.7</v>
          </cell>
          <cell r="K4836">
            <v>593</v>
          </cell>
          <cell r="L4836" t="str">
            <v>HZK</v>
          </cell>
          <cell r="N4836">
            <v>38.137242184459701</v>
          </cell>
        </row>
        <row r="4837">
          <cell r="E4837" t="str">
            <v>HGC-Lib-2467995</v>
          </cell>
          <cell r="F4837" t="str">
            <v>N Pim1</v>
          </cell>
          <cell r="G4837">
            <v>6</v>
          </cell>
          <cell r="H4837" t="str">
            <v>cut&amp;tag文库</v>
          </cell>
          <cell r="I4837" t="str">
            <v>HZK</v>
          </cell>
          <cell r="J4837" t="str">
            <v>/</v>
          </cell>
          <cell r="K4837">
            <v>471</v>
          </cell>
          <cell r="L4837" t="str">
            <v>HZK</v>
          </cell>
          <cell r="N4837" t="e">
            <v>#VALUE!</v>
          </cell>
        </row>
        <row r="4838">
          <cell r="E4838" t="str">
            <v>HGC-Lib-2467996</v>
          </cell>
          <cell r="F4838" t="str">
            <v>48h_embryo</v>
          </cell>
          <cell r="G4838">
            <v>200</v>
          </cell>
          <cell r="H4838" t="str">
            <v>HI-C文库</v>
          </cell>
          <cell r="I4838" t="str">
            <v>HZK</v>
          </cell>
          <cell r="J4838">
            <v>0.61</v>
          </cell>
          <cell r="K4838">
            <v>256</v>
          </cell>
          <cell r="L4838" t="str">
            <v>HZK</v>
          </cell>
          <cell r="N4838">
            <v>3.6658653846153801</v>
          </cell>
        </row>
        <row r="4839">
          <cell r="E4839" t="str">
            <v>HGC-POOL-2468411</v>
          </cell>
          <cell r="F4839" t="str">
            <v>MSY1S</v>
          </cell>
          <cell r="G4839">
            <v>20</v>
          </cell>
          <cell r="H4839" t="str">
            <v>甲基化文库</v>
          </cell>
          <cell r="I4839" t="str">
            <v>HZK</v>
          </cell>
          <cell r="J4839">
            <v>18.100000000000001</v>
          </cell>
          <cell r="K4839">
            <v>468</v>
          </cell>
          <cell r="L4839" t="str">
            <v>GZQ</v>
          </cell>
          <cell r="N4839">
            <v>59.500328731098001</v>
          </cell>
        </row>
        <row r="4840">
          <cell r="E4840" t="str">
            <v>HGC-POOL-2468412</v>
          </cell>
          <cell r="F4840" t="str">
            <v>24ZD6M1</v>
          </cell>
          <cell r="G4840">
            <v>80</v>
          </cell>
          <cell r="H4840" t="str">
            <v>mRNA文库</v>
          </cell>
          <cell r="I4840" t="str">
            <v>HZK</v>
          </cell>
          <cell r="J4840">
            <v>7.48</v>
          </cell>
          <cell r="K4840">
            <v>423</v>
          </cell>
          <cell r="L4840" t="str">
            <v>GZQ</v>
          </cell>
          <cell r="N4840">
            <v>27.204946353882502</v>
          </cell>
        </row>
        <row r="4841">
          <cell r="E4841" t="str">
            <v>HGC-POOL-2468413</v>
          </cell>
          <cell r="F4841" t="str">
            <v>24ZD6M3</v>
          </cell>
          <cell r="G4841">
            <v>80</v>
          </cell>
          <cell r="H4841" t="str">
            <v>mRNA文库</v>
          </cell>
          <cell r="I4841" t="str">
            <v>HZK</v>
          </cell>
          <cell r="J4841">
            <v>7.46</v>
          </cell>
          <cell r="K4841">
            <v>437</v>
          </cell>
          <cell r="L4841" t="str">
            <v>GZQ</v>
          </cell>
          <cell r="N4841">
            <v>26.262981869389201</v>
          </cell>
        </row>
        <row r="4842">
          <cell r="E4842" t="str">
            <v>HGC-POOL-2468414</v>
          </cell>
          <cell r="F4842" t="str">
            <v>24ZD6M4</v>
          </cell>
          <cell r="G4842">
            <v>80</v>
          </cell>
          <cell r="H4842" t="str">
            <v>mRNA文库</v>
          </cell>
          <cell r="I4842" t="str">
            <v>HZK</v>
          </cell>
          <cell r="J4842">
            <v>8.18</v>
          </cell>
          <cell r="K4842">
            <v>421</v>
          </cell>
          <cell r="L4842" t="str">
            <v>GZQ</v>
          </cell>
          <cell r="N4842">
            <v>29.8921980632194</v>
          </cell>
        </row>
        <row r="4843">
          <cell r="E4843" t="str">
            <v>HGC-POOL-2468415</v>
          </cell>
          <cell r="F4843" t="str">
            <v>24ZD6M5</v>
          </cell>
          <cell r="G4843">
            <v>80</v>
          </cell>
          <cell r="H4843" t="str">
            <v>mRNA文库</v>
          </cell>
          <cell r="I4843" t="str">
            <v>HZK</v>
          </cell>
          <cell r="J4843">
            <v>8</v>
          </cell>
          <cell r="K4843">
            <v>415</v>
          </cell>
          <cell r="L4843" t="str">
            <v>GZQ</v>
          </cell>
          <cell r="N4843">
            <v>29.657089898053801</v>
          </cell>
        </row>
        <row r="4844">
          <cell r="E4844" t="str">
            <v>HGC-POOL-2468416</v>
          </cell>
          <cell r="F4844" t="str">
            <v>24ZD6M6</v>
          </cell>
          <cell r="G4844">
            <v>80</v>
          </cell>
          <cell r="H4844" t="str">
            <v>mRNA文库</v>
          </cell>
          <cell r="I4844" t="str">
            <v>HZK</v>
          </cell>
          <cell r="J4844">
            <v>7.16</v>
          </cell>
          <cell r="K4844">
            <v>405</v>
          </cell>
          <cell r="L4844" t="str">
            <v>GZQ</v>
          </cell>
          <cell r="N4844">
            <v>27.1984805318139</v>
          </cell>
        </row>
        <row r="4845">
          <cell r="E4845" t="str">
            <v>HGC-POOL-2468417</v>
          </cell>
          <cell r="F4845" t="str">
            <v>24ZD6M7</v>
          </cell>
          <cell r="G4845">
            <v>80</v>
          </cell>
          <cell r="H4845" t="str">
            <v>mRNA文库</v>
          </cell>
          <cell r="I4845" t="str">
            <v>HZK</v>
          </cell>
          <cell r="J4845">
            <v>7.56</v>
          </cell>
          <cell r="K4845">
            <v>392</v>
          </cell>
          <cell r="L4845" t="str">
            <v>GZQ</v>
          </cell>
          <cell r="N4845">
            <v>29.6703296703297</v>
          </cell>
        </row>
        <row r="4846">
          <cell r="E4846" t="str">
            <v>HGC-POOL-2468418</v>
          </cell>
          <cell r="F4846" t="str">
            <v>24ZD6M8</v>
          </cell>
          <cell r="G4846">
            <v>80</v>
          </cell>
          <cell r="H4846" t="str">
            <v>mRNA文库</v>
          </cell>
          <cell r="I4846" t="str">
            <v>HZK</v>
          </cell>
          <cell r="J4846">
            <v>8.18</v>
          </cell>
          <cell r="K4846">
            <v>405</v>
          </cell>
          <cell r="L4846" t="str">
            <v>GZQ</v>
          </cell>
          <cell r="N4846">
            <v>31.073124406457701</v>
          </cell>
        </row>
        <row r="4847">
          <cell r="E4847" t="str">
            <v>HGC-POOL-2468419</v>
          </cell>
          <cell r="F4847" t="str">
            <v>24ZD6M9</v>
          </cell>
          <cell r="G4847">
            <v>80</v>
          </cell>
          <cell r="H4847" t="str">
            <v>mRNA文库</v>
          </cell>
          <cell r="I4847" t="str">
            <v>HZK</v>
          </cell>
          <cell r="J4847">
            <v>7.46</v>
          </cell>
          <cell r="K4847">
            <v>418</v>
          </cell>
          <cell r="L4847" t="str">
            <v>GZQ</v>
          </cell>
          <cell r="N4847">
            <v>27.456753772543198</v>
          </cell>
        </row>
        <row r="4848">
          <cell r="E4848" t="str">
            <v>HGC-POOL-2468420</v>
          </cell>
          <cell r="F4848" t="str">
            <v>24ZD6M10</v>
          </cell>
          <cell r="G4848">
            <v>80</v>
          </cell>
          <cell r="H4848" t="str">
            <v>mRNA文库</v>
          </cell>
          <cell r="I4848" t="str">
            <v>HZK</v>
          </cell>
          <cell r="J4848">
            <v>7.8</v>
          </cell>
          <cell r="K4848">
            <v>417</v>
          </cell>
          <cell r="L4848" t="str">
            <v>GZQ</v>
          </cell>
          <cell r="N4848">
            <v>28.7769784172662</v>
          </cell>
        </row>
        <row r="4849">
          <cell r="E4849" t="str">
            <v>HGC-POOL-2468421</v>
          </cell>
          <cell r="F4849" t="str">
            <v>24ZD6M11</v>
          </cell>
          <cell r="G4849">
            <v>80</v>
          </cell>
          <cell r="H4849" t="str">
            <v>mRNA文库</v>
          </cell>
          <cell r="I4849" t="str">
            <v>HZK</v>
          </cell>
          <cell r="J4849">
            <v>7.06</v>
          </cell>
          <cell r="K4849">
            <v>414</v>
          </cell>
          <cell r="L4849" t="str">
            <v>GZQ</v>
          </cell>
          <cell r="N4849">
            <v>26.235600148643599</v>
          </cell>
        </row>
        <row r="4850">
          <cell r="E4850" t="str">
            <v>HGC-POOL-2468422</v>
          </cell>
          <cell r="F4850" t="str">
            <v>24ZD6M12</v>
          </cell>
          <cell r="G4850">
            <v>80</v>
          </cell>
          <cell r="H4850" t="str">
            <v>mRNA文库</v>
          </cell>
          <cell r="I4850" t="str">
            <v>HZK</v>
          </cell>
          <cell r="J4850">
            <v>7.06</v>
          </cell>
          <cell r="K4850">
            <v>414</v>
          </cell>
          <cell r="L4850" t="str">
            <v>GZQ</v>
          </cell>
          <cell r="N4850">
            <v>26.235600148643599</v>
          </cell>
        </row>
        <row r="4851">
          <cell r="E4851" t="str">
            <v>HGC-Lib-2468423</v>
          </cell>
          <cell r="F4851" t="str">
            <v>MSY1G</v>
          </cell>
          <cell r="G4851">
            <v>20</v>
          </cell>
          <cell r="H4851" t="str">
            <v>甲基化文库</v>
          </cell>
          <cell r="I4851" t="str">
            <v>HZK</v>
          </cell>
          <cell r="J4851">
            <v>16.3</v>
          </cell>
          <cell r="K4851">
            <v>452</v>
          </cell>
          <cell r="L4851" t="str">
            <v>GZQ</v>
          </cell>
          <cell r="N4851">
            <v>55.4799183117767</v>
          </cell>
        </row>
        <row r="4852">
          <cell r="E4852" t="str">
            <v>HGC-Lib-2468424</v>
          </cell>
          <cell r="F4852" t="str">
            <v>MSY1H</v>
          </cell>
          <cell r="G4852">
            <v>20</v>
          </cell>
          <cell r="H4852" t="str">
            <v>甲基化文库</v>
          </cell>
          <cell r="I4852" t="str">
            <v>HZK</v>
          </cell>
          <cell r="J4852">
            <v>5.26</v>
          </cell>
          <cell r="K4852">
            <v>473</v>
          </cell>
          <cell r="L4852" t="str">
            <v>GZQ</v>
          </cell>
          <cell r="N4852">
            <v>17.108472922426401</v>
          </cell>
        </row>
        <row r="4853">
          <cell r="E4853" t="str">
            <v>HGC-Lib-2468425</v>
          </cell>
          <cell r="F4853" t="str">
            <v>MSY1J</v>
          </cell>
          <cell r="G4853">
            <v>20</v>
          </cell>
          <cell r="H4853" t="str">
            <v>甲基化文库</v>
          </cell>
          <cell r="I4853" t="str">
            <v>HZK</v>
          </cell>
          <cell r="J4853">
            <v>13.5</v>
          </cell>
          <cell r="K4853">
            <v>458</v>
          </cell>
          <cell r="L4853" t="str">
            <v>GZQ</v>
          </cell>
          <cell r="N4853">
            <v>45.347665435001701</v>
          </cell>
        </row>
        <row r="4854">
          <cell r="E4854" t="str">
            <v>HGC-Lib-2468426</v>
          </cell>
          <cell r="F4854" t="str">
            <v>MSY1Q</v>
          </cell>
          <cell r="G4854">
            <v>20</v>
          </cell>
          <cell r="H4854" t="str">
            <v>甲基化文库</v>
          </cell>
          <cell r="I4854" t="str">
            <v>HZK</v>
          </cell>
          <cell r="J4854">
            <v>17.2</v>
          </cell>
          <cell r="K4854">
            <v>438</v>
          </cell>
          <cell r="L4854" t="str">
            <v>GZQ</v>
          </cell>
          <cell r="N4854">
            <v>60.414471373375498</v>
          </cell>
        </row>
        <row r="4855">
          <cell r="E4855" t="str">
            <v>HGC-Lib-2468427</v>
          </cell>
          <cell r="F4855" t="str">
            <v>E3</v>
          </cell>
          <cell r="G4855">
            <v>7</v>
          </cell>
          <cell r="H4855" t="str">
            <v>Chip-Seq</v>
          </cell>
          <cell r="I4855" t="str">
            <v>HZK</v>
          </cell>
          <cell r="J4855">
            <v>30.4</v>
          </cell>
          <cell r="K4855">
            <v>379</v>
          </cell>
          <cell r="L4855" t="str">
            <v>GZQ</v>
          </cell>
          <cell r="N4855">
            <v>123.401664298762</v>
          </cell>
        </row>
        <row r="4856">
          <cell r="E4856" t="str">
            <v>HGC-POOL-2468428</v>
          </cell>
          <cell r="F4856" t="str">
            <v>GV1</v>
          </cell>
          <cell r="G4856">
            <v>4</v>
          </cell>
          <cell r="H4856" t="str">
            <v>ATAC-Seq文库</v>
          </cell>
          <cell r="I4856" t="str">
            <v>HZK</v>
          </cell>
          <cell r="J4856">
            <v>1.66</v>
          </cell>
          <cell r="K4856">
            <v>337</v>
          </cell>
          <cell r="L4856" t="str">
            <v>GZQ</v>
          </cell>
          <cell r="N4856">
            <v>7.5781784980597999</v>
          </cell>
        </row>
        <row r="4857">
          <cell r="E4857" t="str">
            <v>HGC-POOL-2468429</v>
          </cell>
          <cell r="F4857" t="str">
            <v>24ZDM1</v>
          </cell>
          <cell r="G4857">
            <v>40</v>
          </cell>
          <cell r="H4857" t="str">
            <v>mRNA文库</v>
          </cell>
          <cell r="I4857" t="str">
            <v>HZK</v>
          </cell>
          <cell r="J4857">
            <v>6.62</v>
          </cell>
          <cell r="K4857">
            <v>494</v>
          </cell>
          <cell r="L4857" t="str">
            <v>GZQ</v>
          </cell>
          <cell r="N4857">
            <v>20.616630333229502</v>
          </cell>
        </row>
        <row r="4858">
          <cell r="E4858" t="str">
            <v>HGC-POOL-2468430</v>
          </cell>
          <cell r="F4858" t="str">
            <v>24ZDM2</v>
          </cell>
          <cell r="G4858">
            <v>20</v>
          </cell>
          <cell r="H4858" t="str">
            <v>mRNA文库</v>
          </cell>
          <cell r="I4858" t="str">
            <v>HZK</v>
          </cell>
          <cell r="J4858">
            <v>5.66</v>
          </cell>
          <cell r="K4858">
            <v>409</v>
          </cell>
          <cell r="L4858" t="str">
            <v>GZQ</v>
          </cell>
          <cell r="N4858">
            <v>21.290201241301499</v>
          </cell>
        </row>
        <row r="4859">
          <cell r="E4859" t="str">
            <v>HGC-POOL-2468431</v>
          </cell>
          <cell r="F4859" t="str">
            <v>24ZD1M8</v>
          </cell>
          <cell r="G4859">
            <v>80</v>
          </cell>
          <cell r="H4859" t="str">
            <v>mRNA文库</v>
          </cell>
          <cell r="I4859" t="str">
            <v>HZK</v>
          </cell>
          <cell r="J4859">
            <v>7.2</v>
          </cell>
          <cell r="K4859">
            <v>421</v>
          </cell>
          <cell r="L4859" t="str">
            <v>GZQ</v>
          </cell>
          <cell r="N4859">
            <v>26.310981180339901</v>
          </cell>
        </row>
        <row r="4860">
          <cell r="E4860" t="str">
            <v>HGC-POOL-2468432</v>
          </cell>
          <cell r="F4860" t="str">
            <v>24ZD1M9</v>
          </cell>
          <cell r="G4860">
            <v>80</v>
          </cell>
          <cell r="H4860" t="str">
            <v>mRNA文库</v>
          </cell>
          <cell r="I4860" t="str">
            <v>HZK</v>
          </cell>
          <cell r="J4860">
            <v>8.5399999999999991</v>
          </cell>
          <cell r="K4860">
            <v>419</v>
          </cell>
          <cell r="L4860" t="str">
            <v>GZQ</v>
          </cell>
          <cell r="N4860">
            <v>31.35671011566</v>
          </cell>
        </row>
        <row r="4861">
          <cell r="E4861" t="str">
            <v>HGC-POOL-2468433</v>
          </cell>
          <cell r="F4861" t="str">
            <v>24ZD1M10</v>
          </cell>
          <cell r="G4861">
            <v>80</v>
          </cell>
          <cell r="H4861" t="str">
            <v>mRNA文库</v>
          </cell>
          <cell r="I4861" t="str">
            <v>HZK</v>
          </cell>
          <cell r="J4861">
            <v>7.36</v>
          </cell>
          <cell r="K4861">
            <v>414</v>
          </cell>
          <cell r="L4861" t="str">
            <v>GZQ</v>
          </cell>
          <cell r="N4861">
            <v>27.350427350427399</v>
          </cell>
        </row>
        <row r="4862">
          <cell r="E4862" t="str">
            <v>HGC-POOL-2468434</v>
          </cell>
          <cell r="F4862" t="str">
            <v>24ZD6M2</v>
          </cell>
          <cell r="G4862">
            <v>80</v>
          </cell>
          <cell r="H4862" t="str">
            <v>mRNA文库</v>
          </cell>
          <cell r="I4862" t="str">
            <v>HZK</v>
          </cell>
          <cell r="J4862">
            <v>8.1199999999999992</v>
          </cell>
          <cell r="K4862">
            <v>408</v>
          </cell>
          <cell r="L4862" t="str">
            <v>GZQ</v>
          </cell>
          <cell r="N4862">
            <v>30.618401206636499</v>
          </cell>
        </row>
        <row r="4863">
          <cell r="E4863" t="str">
            <v>HGC-POOL-2468435</v>
          </cell>
          <cell r="F4863" t="str">
            <v>24ZD7M1</v>
          </cell>
          <cell r="G4863">
            <v>80</v>
          </cell>
          <cell r="H4863" t="str">
            <v>mRNA文库</v>
          </cell>
          <cell r="I4863" t="str">
            <v>HZK</v>
          </cell>
          <cell r="J4863">
            <v>7.86</v>
          </cell>
          <cell r="K4863">
            <v>441</v>
          </cell>
          <cell r="L4863" t="str">
            <v>GZQ</v>
          </cell>
          <cell r="N4863">
            <v>27.420198848770301</v>
          </cell>
        </row>
        <row r="4864">
          <cell r="E4864" t="str">
            <v>HGC-POOL-2468436</v>
          </cell>
          <cell r="F4864" t="str">
            <v>24ZD7M2</v>
          </cell>
          <cell r="G4864">
            <v>80</v>
          </cell>
          <cell r="H4864" t="str">
            <v>mRNA文库</v>
          </cell>
          <cell r="I4864" t="str">
            <v>HZK</v>
          </cell>
          <cell r="J4864">
            <v>8.24</v>
          </cell>
          <cell r="K4864">
            <v>418</v>
          </cell>
          <cell r="L4864" t="str">
            <v>GZQ</v>
          </cell>
          <cell r="N4864">
            <v>30.327567169672399</v>
          </cell>
        </row>
        <row r="4865">
          <cell r="E4865" t="str">
            <v>HGC-POOL-2468437</v>
          </cell>
          <cell r="F4865" t="str">
            <v>24ZD7M3</v>
          </cell>
          <cell r="G4865">
            <v>80</v>
          </cell>
          <cell r="H4865" t="str">
            <v>mRNA文库</v>
          </cell>
          <cell r="I4865" t="str">
            <v>HZK</v>
          </cell>
          <cell r="J4865">
            <v>7.46</v>
          </cell>
          <cell r="K4865">
            <v>400</v>
          </cell>
          <cell r="L4865" t="str">
            <v>GZQ</v>
          </cell>
          <cell r="N4865">
            <v>28.692307692307701</v>
          </cell>
        </row>
        <row r="4866">
          <cell r="E4866" t="str">
            <v>HGC-POOL-2468438</v>
          </cell>
          <cell r="F4866" t="str">
            <v>24ZD7M4</v>
          </cell>
          <cell r="G4866">
            <v>80</v>
          </cell>
          <cell r="H4866" t="str">
            <v>mRNA文库</v>
          </cell>
          <cell r="I4866" t="str">
            <v>HZK</v>
          </cell>
          <cell r="J4866">
            <v>7.04</v>
          </cell>
          <cell r="K4866">
            <v>406</v>
          </cell>
          <cell r="L4866" t="str">
            <v>GZQ</v>
          </cell>
          <cell r="N4866">
            <v>26.676771504357699</v>
          </cell>
        </row>
        <row r="4867">
          <cell r="E4867" t="str">
            <v>HGC-POOL-2468439</v>
          </cell>
          <cell r="F4867" t="str">
            <v>24ZD7M5</v>
          </cell>
          <cell r="G4867">
            <v>80</v>
          </cell>
          <cell r="H4867" t="str">
            <v>mRNA文库</v>
          </cell>
          <cell r="I4867" t="str">
            <v>HZK</v>
          </cell>
          <cell r="J4867">
            <v>6.62</v>
          </cell>
          <cell r="K4867">
            <v>401</v>
          </cell>
          <cell r="L4867" t="str">
            <v>GZQ</v>
          </cell>
          <cell r="N4867">
            <v>25.3980433531556</v>
          </cell>
        </row>
        <row r="4868">
          <cell r="E4868" t="str">
            <v>HGC-POOL-2468440</v>
          </cell>
          <cell r="F4868" t="str">
            <v>L16-21</v>
          </cell>
          <cell r="G4868">
            <v>39</v>
          </cell>
          <cell r="H4868" t="str">
            <v>small RNA文库</v>
          </cell>
          <cell r="I4868" t="str">
            <v>HZK</v>
          </cell>
          <cell r="J4868">
            <v>0.8</v>
          </cell>
          <cell r="K4868">
            <v>171</v>
          </cell>
          <cell r="L4868" t="str">
            <v>HZK</v>
          </cell>
          <cell r="N4868">
            <v>7.1974808816914102</v>
          </cell>
        </row>
        <row r="4869">
          <cell r="E4869" t="str">
            <v>HGC-POOL-2468441</v>
          </cell>
          <cell r="F4869" t="str">
            <v>24D31M1</v>
          </cell>
          <cell r="G4869">
            <v>12</v>
          </cell>
          <cell r="H4869" t="str">
            <v>mRNA文库</v>
          </cell>
          <cell r="I4869" t="str">
            <v>HZK</v>
          </cell>
          <cell r="J4869">
            <v>1.18</v>
          </cell>
          <cell r="K4869">
            <v>332</v>
          </cell>
          <cell r="L4869" t="str">
            <v>GZQ</v>
          </cell>
          <cell r="N4869">
            <v>5.4680259499536596</v>
          </cell>
        </row>
        <row r="4870">
          <cell r="E4870" t="str">
            <v>HGC-POOL-2468442</v>
          </cell>
          <cell r="F4870" t="str">
            <v>24D31M2</v>
          </cell>
          <cell r="G4870">
            <v>12</v>
          </cell>
          <cell r="H4870" t="str">
            <v>mRNA文库</v>
          </cell>
          <cell r="I4870" t="str">
            <v>HZK</v>
          </cell>
          <cell r="J4870">
            <v>2.46</v>
          </cell>
          <cell r="K4870">
            <v>347</v>
          </cell>
          <cell r="L4870" t="str">
            <v>GZQ</v>
          </cell>
          <cell r="N4870">
            <v>10.906672578142301</v>
          </cell>
        </row>
        <row r="4871">
          <cell r="E4871" t="str">
            <v>HGC-POOL-2468443</v>
          </cell>
          <cell r="F4871" t="str">
            <v>24D31M3</v>
          </cell>
          <cell r="G4871">
            <v>12</v>
          </cell>
          <cell r="H4871" t="str">
            <v>mRNA文库</v>
          </cell>
          <cell r="I4871" t="str">
            <v>HZK</v>
          </cell>
          <cell r="J4871">
            <v>3.2</v>
          </cell>
          <cell r="K4871">
            <v>341</v>
          </cell>
          <cell r="L4871" t="str">
            <v>GZQ</v>
          </cell>
          <cell r="N4871">
            <v>14.4371757274983</v>
          </cell>
        </row>
        <row r="4872">
          <cell r="E4872" t="str">
            <v>HGC-POOL-2468444</v>
          </cell>
          <cell r="F4872" t="str">
            <v>24D31M4</v>
          </cell>
          <cell r="G4872">
            <v>15</v>
          </cell>
          <cell r="H4872" t="str">
            <v>mRNA文库</v>
          </cell>
          <cell r="I4872" t="str">
            <v>HZK</v>
          </cell>
          <cell r="J4872">
            <v>4.3</v>
          </cell>
          <cell r="K4872">
            <v>387</v>
          </cell>
          <cell r="L4872" t="str">
            <v>GZQ</v>
          </cell>
          <cell r="N4872">
            <v>17.094017094017101</v>
          </cell>
        </row>
        <row r="4873">
          <cell r="E4873" t="str">
            <v>HGC-POOL-2468445</v>
          </cell>
          <cell r="F4873" t="str">
            <v>24ZD1M11</v>
          </cell>
          <cell r="G4873">
            <v>80</v>
          </cell>
          <cell r="H4873" t="str">
            <v>mRNA文库</v>
          </cell>
          <cell r="I4873" t="str">
            <v>HZK</v>
          </cell>
          <cell r="J4873">
            <v>2.56</v>
          </cell>
          <cell r="K4873">
            <v>455</v>
          </cell>
          <cell r="L4873" t="str">
            <v>GZQ</v>
          </cell>
          <cell r="N4873">
            <v>8.6559594251902006</v>
          </cell>
        </row>
        <row r="4874">
          <cell r="E4874" t="str">
            <v>HGC-POOL-2468446</v>
          </cell>
          <cell r="F4874" t="str">
            <v>GV2</v>
          </cell>
          <cell r="G4874">
            <v>4</v>
          </cell>
          <cell r="H4874" t="str">
            <v>ATAC-Seq文库</v>
          </cell>
          <cell r="I4874" t="str">
            <v>HZK</v>
          </cell>
          <cell r="J4874">
            <v>2.42</v>
          </cell>
          <cell r="K4874">
            <v>313</v>
          </cell>
          <cell r="L4874" t="str">
            <v>GZQ</v>
          </cell>
          <cell r="N4874">
            <v>11.894814450725001</v>
          </cell>
        </row>
        <row r="4875">
          <cell r="E4875" t="str">
            <v>HGC-POOL-2468447</v>
          </cell>
          <cell r="F4875" t="str">
            <v>GV3</v>
          </cell>
          <cell r="G4875">
            <v>4</v>
          </cell>
          <cell r="H4875" t="str">
            <v>ATAC-Seq文库</v>
          </cell>
          <cell r="I4875" t="str">
            <v>HZK</v>
          </cell>
          <cell r="J4875">
            <v>1.83</v>
          </cell>
          <cell r="K4875">
            <v>295</v>
          </cell>
          <cell r="L4875" t="str">
            <v>GZQ</v>
          </cell>
          <cell r="N4875">
            <v>9.5436766623207294</v>
          </cell>
        </row>
        <row r="4876">
          <cell r="E4876" t="str">
            <v>HGC-POOL-2468448</v>
          </cell>
          <cell r="F4876" t="str">
            <v>GV4</v>
          </cell>
          <cell r="G4876">
            <v>4</v>
          </cell>
          <cell r="H4876" t="str">
            <v>ATAC-Seq文库</v>
          </cell>
          <cell r="I4876" t="str">
            <v>HZK</v>
          </cell>
          <cell r="J4876">
            <v>2.08</v>
          </cell>
          <cell r="K4876">
            <v>311</v>
          </cell>
          <cell r="L4876" t="str">
            <v>GZQ</v>
          </cell>
          <cell r="N4876">
            <v>10.2893890675241</v>
          </cell>
        </row>
        <row r="4877">
          <cell r="E4877" t="str">
            <v>HGC-Lib-2468449</v>
          </cell>
          <cell r="F4877" t="str">
            <v>HitomXNN413</v>
          </cell>
          <cell r="G4877">
            <v>2</v>
          </cell>
          <cell r="H4877" t="str">
            <v>PCR片段文库</v>
          </cell>
          <cell r="I4877" t="str">
            <v>HZK</v>
          </cell>
          <cell r="J4877">
            <v>38.6</v>
          </cell>
          <cell r="K4877">
            <v>442</v>
          </cell>
          <cell r="L4877" t="str">
            <v>HZK</v>
          </cell>
          <cell r="N4877">
            <v>134.35433344935601</v>
          </cell>
        </row>
        <row r="4878">
          <cell r="E4878" t="str">
            <v>HGC-Lib-2468450</v>
          </cell>
          <cell r="F4878" t="str">
            <v>HitomXNN414</v>
          </cell>
          <cell r="G4878">
            <v>2</v>
          </cell>
          <cell r="H4878" t="str">
            <v>PCR片段文库</v>
          </cell>
          <cell r="I4878" t="str">
            <v>HZK</v>
          </cell>
          <cell r="J4878">
            <v>31.2</v>
          </cell>
          <cell r="K4878">
            <v>526</v>
          </cell>
          <cell r="L4878" t="str">
            <v>HZK</v>
          </cell>
          <cell r="N4878">
            <v>91.254752851711004</v>
          </cell>
        </row>
        <row r="4879">
          <cell r="E4879" t="str">
            <v>HGC-Lib-2468451</v>
          </cell>
          <cell r="F4879" t="str">
            <v>SJ2020824</v>
          </cell>
          <cell r="G4879">
            <v>5</v>
          </cell>
          <cell r="H4879" t="str">
            <v>PCR产物文库</v>
          </cell>
          <cell r="I4879" t="str">
            <v>HZK</v>
          </cell>
          <cell r="J4879">
            <v>42.8</v>
          </cell>
          <cell r="K4879">
            <v>401</v>
          </cell>
          <cell r="L4879" t="str">
            <v>HZK</v>
          </cell>
          <cell r="N4879">
            <v>164.20487243429901</v>
          </cell>
        </row>
        <row r="4880">
          <cell r="E4880" t="str">
            <v>HGC-Lib-2468464</v>
          </cell>
          <cell r="F4880" t="str">
            <v>CtoT-12-3R</v>
          </cell>
          <cell r="G4880">
            <v>2</v>
          </cell>
          <cell r="H4880" t="str">
            <v>PCR片段文库</v>
          </cell>
          <cell r="I4880" t="str">
            <v>HZK</v>
          </cell>
          <cell r="J4880">
            <v>34.799999999999997</v>
          </cell>
          <cell r="K4880">
            <v>919</v>
          </cell>
          <cell r="L4880" t="str">
            <v>HZK</v>
          </cell>
          <cell r="N4880">
            <v>58.2573030886415</v>
          </cell>
        </row>
        <row r="4881">
          <cell r="E4881" t="str">
            <v>HGC-Lib-2468465</v>
          </cell>
          <cell r="F4881" t="str">
            <v>CtoT-11-2R</v>
          </cell>
          <cell r="G4881">
            <v>2</v>
          </cell>
          <cell r="H4881" t="str">
            <v>PCR片段文库</v>
          </cell>
          <cell r="I4881" t="str">
            <v>HZK</v>
          </cell>
          <cell r="J4881">
            <v>55</v>
          </cell>
          <cell r="K4881">
            <v>428</v>
          </cell>
          <cell r="L4881" t="str">
            <v>HZK</v>
          </cell>
          <cell r="N4881">
            <v>197.699496764917</v>
          </cell>
        </row>
        <row r="4882">
          <cell r="E4882" t="str">
            <v>HGC-Lib-2468477</v>
          </cell>
          <cell r="F4882" t="str">
            <v>N-2</v>
          </cell>
          <cell r="G4882">
            <v>100</v>
          </cell>
          <cell r="H4882" t="str">
            <v>10× 3'单细胞</v>
          </cell>
          <cell r="I4882" t="str">
            <v>HZK</v>
          </cell>
          <cell r="J4882">
            <v>17.7</v>
          </cell>
          <cell r="K4882">
            <v>588</v>
          </cell>
          <cell r="L4882" t="str">
            <v>HZK</v>
          </cell>
          <cell r="N4882">
            <v>46.310832025117698</v>
          </cell>
        </row>
        <row r="4883">
          <cell r="E4883" t="str">
            <v>HGC-Lib-2468478</v>
          </cell>
          <cell r="F4883" t="str">
            <v>717622T</v>
          </cell>
          <cell r="G4883">
            <v>100</v>
          </cell>
          <cell r="H4883" t="str">
            <v>10× 3'单细胞</v>
          </cell>
          <cell r="I4883" t="str">
            <v>HZK</v>
          </cell>
          <cell r="J4883">
            <v>24</v>
          </cell>
          <cell r="K4883">
            <v>557</v>
          </cell>
          <cell r="L4883" t="str">
            <v>HZK</v>
          </cell>
          <cell r="N4883">
            <v>66.289186576439704</v>
          </cell>
        </row>
        <row r="4884">
          <cell r="E4884" t="str">
            <v>HGC-Lib-2468479</v>
          </cell>
          <cell r="F4884" t="str">
            <v>P1</v>
          </cell>
          <cell r="G4884">
            <v>2</v>
          </cell>
          <cell r="H4884" t="str">
            <v>PCR产物文库</v>
          </cell>
          <cell r="I4884" t="str">
            <v>GZQ</v>
          </cell>
          <cell r="J4884">
            <v>0.38600000000000001</v>
          </cell>
          <cell r="K4884">
            <v>530</v>
          </cell>
          <cell r="L4884" t="str">
            <v>HZK</v>
          </cell>
          <cell r="N4884">
            <v>1.12046444121916</v>
          </cell>
        </row>
        <row r="4885">
          <cell r="E4885" t="str">
            <v>HGC-Lib-2468480</v>
          </cell>
          <cell r="F4885" t="str">
            <v>4T1 1</v>
          </cell>
          <cell r="G4885">
            <v>2</v>
          </cell>
          <cell r="H4885" t="str">
            <v>PCR产物文库</v>
          </cell>
          <cell r="I4885" t="str">
            <v>GZQ</v>
          </cell>
          <cell r="J4885">
            <v>0.122</v>
          </cell>
          <cell r="K4885" t="str">
            <v>/</v>
          </cell>
          <cell r="L4885" t="str">
            <v>HZK</v>
          </cell>
          <cell r="N4885" t="e">
            <v>#VALUE!</v>
          </cell>
        </row>
        <row r="4886">
          <cell r="E4886" t="str">
            <v>HGC-Lib-2468481</v>
          </cell>
          <cell r="F4886" t="str">
            <v>4T1 2</v>
          </cell>
          <cell r="G4886">
            <v>2</v>
          </cell>
          <cell r="H4886" t="str">
            <v>PCR产物文库</v>
          </cell>
          <cell r="I4886" t="str">
            <v>GZQ</v>
          </cell>
          <cell r="J4886" t="str">
            <v>/</v>
          </cell>
          <cell r="K4886" t="str">
            <v>/</v>
          </cell>
          <cell r="L4886" t="str">
            <v>HZK</v>
          </cell>
          <cell r="N4886" t="e">
            <v>#VALUE!</v>
          </cell>
        </row>
        <row r="4887">
          <cell r="E4887" t="str">
            <v>HGC-Lib-2468482</v>
          </cell>
          <cell r="F4887" t="str">
            <v>HM5GEL</v>
          </cell>
          <cell r="G4887">
            <v>90</v>
          </cell>
          <cell r="H4887" t="str">
            <v>10x 5'单细胞</v>
          </cell>
          <cell r="I4887" t="str">
            <v>GZQ</v>
          </cell>
          <cell r="J4887">
            <v>42.2</v>
          </cell>
          <cell r="K4887">
            <v>504</v>
          </cell>
          <cell r="L4887" t="str">
            <v>HZK</v>
          </cell>
          <cell r="N4887">
            <v>128.815628815629</v>
          </cell>
        </row>
        <row r="4888">
          <cell r="E4888" t="str">
            <v>HGC-Lib-2468483</v>
          </cell>
          <cell r="F4888" t="str">
            <v>HM5CSP</v>
          </cell>
          <cell r="G4888">
            <v>10</v>
          </cell>
          <cell r="H4888" t="str">
            <v>10x 5'单细胞</v>
          </cell>
          <cell r="I4888" t="str">
            <v>GZQ</v>
          </cell>
          <cell r="J4888">
            <v>4.0599999999999996</v>
          </cell>
          <cell r="K4888">
            <v>234</v>
          </cell>
          <cell r="L4888" t="str">
            <v>GZQ</v>
          </cell>
          <cell r="N4888">
            <v>26.6929651545036</v>
          </cell>
        </row>
        <row r="4889">
          <cell r="E4889" t="str">
            <v>HGC-Lib-2468484</v>
          </cell>
          <cell r="F4889" t="str">
            <v>HM5TCR</v>
          </cell>
          <cell r="G4889">
            <v>10</v>
          </cell>
          <cell r="H4889" t="str">
            <v>10x 5'单细胞</v>
          </cell>
          <cell r="I4889" t="str">
            <v>GZQ</v>
          </cell>
          <cell r="J4889">
            <v>46.2</v>
          </cell>
          <cell r="K4889">
            <v>545</v>
          </cell>
          <cell r="L4889" t="str">
            <v>HZK</v>
          </cell>
          <cell r="N4889">
            <v>130.41637261820699</v>
          </cell>
        </row>
        <row r="4890">
          <cell r="E4890" t="str">
            <v>HGC-Lib-2468485</v>
          </cell>
          <cell r="F4890" t="str">
            <v>HM5BCR</v>
          </cell>
          <cell r="G4890">
            <v>10</v>
          </cell>
          <cell r="H4890" t="str">
            <v>10x 5'单细胞</v>
          </cell>
          <cell r="I4890" t="str">
            <v>GZQ</v>
          </cell>
          <cell r="J4890">
            <v>35.4</v>
          </cell>
          <cell r="K4890">
            <v>572</v>
          </cell>
          <cell r="L4890" t="str">
            <v>HZK</v>
          </cell>
          <cell r="N4890">
            <v>95.212479827864399</v>
          </cell>
        </row>
        <row r="4891">
          <cell r="E4891" t="str">
            <v>HGC-Lib-2468486</v>
          </cell>
          <cell r="F4891" t="str">
            <v>HM6WTA</v>
          </cell>
          <cell r="G4891">
            <v>90</v>
          </cell>
          <cell r="H4891" t="str">
            <v>BD-单细胞</v>
          </cell>
          <cell r="I4891" t="str">
            <v>GZQ</v>
          </cell>
          <cell r="J4891">
            <v>13.3</v>
          </cell>
          <cell r="K4891">
            <v>529</v>
          </cell>
          <cell r="L4891" t="str">
            <v>HZK</v>
          </cell>
          <cell r="N4891">
            <v>38.6796568271048</v>
          </cell>
        </row>
        <row r="4892">
          <cell r="E4892" t="str">
            <v>HGC-Lib-2468487</v>
          </cell>
          <cell r="F4892" t="str">
            <v>HM6Abseq</v>
          </cell>
          <cell r="G4892">
            <v>10</v>
          </cell>
          <cell r="H4892" t="str">
            <v>BD-单细胞</v>
          </cell>
          <cell r="I4892" t="str">
            <v>GZQ</v>
          </cell>
          <cell r="J4892">
            <v>2.3199999999999998</v>
          </cell>
          <cell r="K4892">
            <v>275</v>
          </cell>
          <cell r="L4892" t="str">
            <v>GZQ</v>
          </cell>
          <cell r="N4892">
            <v>12.979020979021</v>
          </cell>
        </row>
        <row r="4893">
          <cell r="E4893" t="str">
            <v>HGC-Lib-2468488</v>
          </cell>
          <cell r="F4893" t="str">
            <v>HSS5GEL</v>
          </cell>
          <cell r="G4893">
            <v>120</v>
          </cell>
          <cell r="H4893" t="str">
            <v>10x 5'单细胞</v>
          </cell>
          <cell r="I4893" t="str">
            <v>GZQ</v>
          </cell>
          <cell r="J4893">
            <v>59</v>
          </cell>
          <cell r="K4893">
            <v>509</v>
          </cell>
          <cell r="L4893" t="str">
            <v>HZK</v>
          </cell>
          <cell r="N4893">
            <v>178.32854768021801</v>
          </cell>
        </row>
        <row r="4894">
          <cell r="E4894" t="str">
            <v>HGC-Lib-2468489</v>
          </cell>
          <cell r="F4894" t="str">
            <v>HSS5TCR</v>
          </cell>
          <cell r="G4894">
            <v>15</v>
          </cell>
          <cell r="H4894" t="str">
            <v>10x 5'单细胞</v>
          </cell>
          <cell r="I4894" t="str">
            <v>GZQ</v>
          </cell>
          <cell r="J4894">
            <v>43</v>
          </cell>
          <cell r="K4894">
            <v>569</v>
          </cell>
          <cell r="L4894" t="str">
            <v>HZK</v>
          </cell>
          <cell r="N4894">
            <v>116.263350006759</v>
          </cell>
        </row>
        <row r="4895">
          <cell r="E4895" t="str">
            <v>HGC-POOL-2468576</v>
          </cell>
          <cell r="F4895" t="str">
            <v>TMMO</v>
          </cell>
          <cell r="G4895">
            <v>30</v>
          </cell>
          <cell r="H4895" t="str">
            <v>其他文库类型</v>
          </cell>
          <cell r="I4895" t="str">
            <v>GZQ</v>
          </cell>
          <cell r="J4895">
            <v>16.3</v>
          </cell>
          <cell r="K4895">
            <v>424</v>
          </cell>
          <cell r="L4895" t="str">
            <v>HZK</v>
          </cell>
          <cell r="N4895">
            <v>59.143686502177097</v>
          </cell>
        </row>
        <row r="4896">
          <cell r="E4896" t="str">
            <v>HGC-POOL-2468577</v>
          </cell>
          <cell r="F4896" t="str">
            <v>BE2_mix</v>
          </cell>
          <cell r="G4896">
            <v>63</v>
          </cell>
          <cell r="H4896" t="str">
            <v>其他文库类型</v>
          </cell>
          <cell r="I4896" t="str">
            <v>GZQ</v>
          </cell>
          <cell r="J4896">
            <v>2.8</v>
          </cell>
          <cell r="K4896">
            <v>421</v>
          </cell>
          <cell r="L4896" t="str">
            <v>GZQ</v>
          </cell>
          <cell r="N4896">
            <v>10.2320482367988</v>
          </cell>
        </row>
        <row r="4897">
          <cell r="E4897" t="str">
            <v>HGC-Lib-2468632</v>
          </cell>
          <cell r="F4897" t="str">
            <v>3-PC-NC-0814</v>
          </cell>
          <cell r="G4897">
            <v>15</v>
          </cell>
          <cell r="H4897" t="str">
            <v>10× 3'单细胞</v>
          </cell>
          <cell r="I4897" t="str">
            <v>GZQ</v>
          </cell>
          <cell r="J4897">
            <v>12</v>
          </cell>
          <cell r="K4897">
            <v>429</v>
          </cell>
          <cell r="L4897" t="str">
            <v>GZQ</v>
          </cell>
          <cell r="N4897">
            <v>43.033889187735298</v>
          </cell>
        </row>
        <row r="4898">
          <cell r="E4898" t="str">
            <v>HGC-Lib-2468633</v>
          </cell>
          <cell r="F4898" t="str">
            <v>3-PC-NEW-0814</v>
          </cell>
          <cell r="G4898">
            <v>15</v>
          </cell>
          <cell r="H4898" t="str">
            <v>10× 3'单细胞</v>
          </cell>
          <cell r="I4898" t="str">
            <v>GZQ</v>
          </cell>
          <cell r="J4898">
            <v>16</v>
          </cell>
          <cell r="K4898">
            <v>455</v>
          </cell>
          <cell r="L4898" t="str">
            <v>GZQ</v>
          </cell>
          <cell r="N4898">
            <v>54.099746407438701</v>
          </cell>
        </row>
        <row r="4899">
          <cell r="E4899" t="str">
            <v>HGC-Lib-2468634</v>
          </cell>
          <cell r="F4899" t="str">
            <v>3-Omnidrop-0814</v>
          </cell>
          <cell r="G4899">
            <v>15</v>
          </cell>
          <cell r="H4899" t="str">
            <v>10× 3'单细胞</v>
          </cell>
          <cell r="I4899" t="str">
            <v>GZQ</v>
          </cell>
          <cell r="J4899">
            <v>5.86</v>
          </cell>
          <cell r="K4899">
            <v>447</v>
          </cell>
          <cell r="L4899" t="str">
            <v>GZQ</v>
          </cell>
          <cell r="N4899">
            <v>20.1686456720014</v>
          </cell>
        </row>
        <row r="4900">
          <cell r="E4900" t="str">
            <v>HGC-Lib-2468635</v>
          </cell>
          <cell r="F4900" t="str">
            <v>3-Omnidrop-K-0814</v>
          </cell>
          <cell r="G4900">
            <v>15</v>
          </cell>
          <cell r="H4900" t="str">
            <v>10× 3'单细胞</v>
          </cell>
          <cell r="I4900" t="str">
            <v>GZQ</v>
          </cell>
          <cell r="J4900">
            <v>6.54</v>
          </cell>
          <cell r="K4900">
            <v>440</v>
          </cell>
          <cell r="L4900" t="str">
            <v>GZQ</v>
          </cell>
          <cell r="N4900">
            <v>22.867132867132899</v>
          </cell>
        </row>
        <row r="4901">
          <cell r="E4901" t="str">
            <v>HGC-Lib-2468636</v>
          </cell>
          <cell r="F4901" t="str">
            <v>LSL-IP</v>
          </cell>
          <cell r="G4901">
            <v>6</v>
          </cell>
          <cell r="H4901" t="str">
            <v>RIP-seq文库</v>
          </cell>
          <cell r="I4901" t="str">
            <v>GZQ</v>
          </cell>
          <cell r="J4901">
            <v>70.599999999999994</v>
          </cell>
          <cell r="K4901">
            <v>254</v>
          </cell>
          <cell r="L4901" t="str">
            <v>HZK</v>
          </cell>
          <cell r="N4901">
            <v>427.61962447001798</v>
          </cell>
        </row>
        <row r="4902">
          <cell r="E4902" t="str">
            <v>HGC-Lib-2468637</v>
          </cell>
          <cell r="F4902" t="str">
            <v>LA240801060X1</v>
          </cell>
          <cell r="G4902">
            <v>20</v>
          </cell>
          <cell r="H4902" t="str">
            <v>singleron-3'转录组文库</v>
          </cell>
          <cell r="I4902" t="str">
            <v>GZQ</v>
          </cell>
          <cell r="J4902">
            <v>11.1</v>
          </cell>
          <cell r="N4902" t="e">
            <v>#DIV/0!</v>
          </cell>
        </row>
        <row r="4903">
          <cell r="E4903" t="str">
            <v>HGC-Lib-2468638</v>
          </cell>
          <cell r="F4903" t="str">
            <v>LA240801061X1</v>
          </cell>
          <cell r="G4903">
            <v>20</v>
          </cell>
          <cell r="H4903" t="str">
            <v>singleron-3'转录组文库</v>
          </cell>
          <cell r="I4903" t="str">
            <v>GZQ</v>
          </cell>
          <cell r="J4903">
            <v>8.66</v>
          </cell>
          <cell r="N4903" t="e">
            <v>#DIV/0!</v>
          </cell>
        </row>
        <row r="4904">
          <cell r="E4904" t="str">
            <v>HGC-Lib-2468639</v>
          </cell>
          <cell r="F4904" t="str">
            <v>LA240801062X2</v>
          </cell>
          <cell r="G4904">
            <v>20</v>
          </cell>
          <cell r="H4904" t="str">
            <v>singleron-3'转录组文库</v>
          </cell>
          <cell r="I4904" t="str">
            <v>GZQ</v>
          </cell>
          <cell r="J4904">
            <v>9.84</v>
          </cell>
          <cell r="N4904" t="e">
            <v>#DIV/0!</v>
          </cell>
        </row>
        <row r="4905">
          <cell r="E4905" t="str">
            <v>HGC-Lib-2468640</v>
          </cell>
          <cell r="F4905" t="str">
            <v>LA240801060X2</v>
          </cell>
          <cell r="G4905">
            <v>20</v>
          </cell>
          <cell r="H4905" t="str">
            <v>singleron-3'转录组文库</v>
          </cell>
          <cell r="I4905" t="str">
            <v>GZQ</v>
          </cell>
          <cell r="J4905">
            <v>11.5</v>
          </cell>
          <cell r="N4905" t="e">
            <v>#DIV/0!</v>
          </cell>
        </row>
        <row r="4906">
          <cell r="E4906" t="str">
            <v>HGC-Lib-2468641</v>
          </cell>
          <cell r="F4906" t="str">
            <v>LA240801058X1</v>
          </cell>
          <cell r="G4906">
            <v>20</v>
          </cell>
          <cell r="H4906" t="str">
            <v>singleron-3'转录组文库</v>
          </cell>
          <cell r="I4906" t="str">
            <v>GZQ</v>
          </cell>
          <cell r="J4906">
            <v>10</v>
          </cell>
          <cell r="N4906" t="e">
            <v>#DIV/0!</v>
          </cell>
        </row>
        <row r="4907">
          <cell r="E4907" t="str">
            <v>HGC-Lib-2468642</v>
          </cell>
          <cell r="F4907" t="str">
            <v>LA240801058X2</v>
          </cell>
          <cell r="G4907">
            <v>20</v>
          </cell>
          <cell r="H4907" t="str">
            <v>singleron-3'转录组文库</v>
          </cell>
          <cell r="I4907" t="str">
            <v>GZQ</v>
          </cell>
          <cell r="J4907">
            <v>9.2799999999999994</v>
          </cell>
          <cell r="N4907" t="e">
            <v>#DIV/0!</v>
          </cell>
        </row>
        <row r="4908">
          <cell r="E4908" t="str">
            <v>HGC-Lib-2468643</v>
          </cell>
          <cell r="F4908" t="str">
            <v>LA240801059X2</v>
          </cell>
          <cell r="G4908">
            <v>20</v>
          </cell>
          <cell r="H4908" t="str">
            <v>singleron-3'转录组文库</v>
          </cell>
          <cell r="I4908" t="str">
            <v>GZQ</v>
          </cell>
          <cell r="J4908">
            <v>11.1</v>
          </cell>
          <cell r="N4908" t="e">
            <v>#DIV/0!</v>
          </cell>
        </row>
        <row r="4909">
          <cell r="E4909" t="str">
            <v>HGC-Lib-2468644</v>
          </cell>
          <cell r="F4909" t="str">
            <v>LA240801057X2</v>
          </cell>
          <cell r="G4909">
            <v>20</v>
          </cell>
          <cell r="H4909" t="str">
            <v>singleron-3'转录组文库</v>
          </cell>
          <cell r="I4909" t="str">
            <v>GZQ</v>
          </cell>
          <cell r="J4909">
            <v>8.8800000000000008</v>
          </cell>
          <cell r="N4909" t="e">
            <v>#DIV/0!</v>
          </cell>
        </row>
        <row r="4910">
          <cell r="E4910" t="str">
            <v>HGC-Lib-2468645</v>
          </cell>
          <cell r="F4910" t="str">
            <v>LA240801061X2</v>
          </cell>
          <cell r="G4910">
            <v>20</v>
          </cell>
          <cell r="H4910" t="str">
            <v>singleron-3'转录组文库</v>
          </cell>
          <cell r="I4910" t="str">
            <v>GZQ</v>
          </cell>
          <cell r="J4910">
            <v>9.26</v>
          </cell>
          <cell r="N4910" t="e">
            <v>#DIV/0!</v>
          </cell>
        </row>
        <row r="4911">
          <cell r="E4911" t="str">
            <v>HGC-Lib-2468646</v>
          </cell>
          <cell r="F4911" t="str">
            <v>LA240801059X1</v>
          </cell>
          <cell r="G4911">
            <v>20</v>
          </cell>
          <cell r="H4911" t="str">
            <v>singleron-3'转录组文库</v>
          </cell>
          <cell r="I4911" t="str">
            <v>GZQ</v>
          </cell>
          <cell r="J4911">
            <v>12.7</v>
          </cell>
          <cell r="N4911" t="e">
            <v>#DIV/0!</v>
          </cell>
        </row>
        <row r="4912">
          <cell r="E4912" t="str">
            <v>HGC-Lib-2468647</v>
          </cell>
          <cell r="F4912" t="str">
            <v>LA240801057X1</v>
          </cell>
          <cell r="G4912">
            <v>20</v>
          </cell>
          <cell r="H4912" t="str">
            <v>singleron-3'转录组文库</v>
          </cell>
          <cell r="I4912" t="str">
            <v>GZQ</v>
          </cell>
          <cell r="J4912">
            <v>9.92</v>
          </cell>
          <cell r="N4912" t="e">
            <v>#DIV/0!</v>
          </cell>
        </row>
        <row r="4913">
          <cell r="E4913" t="str">
            <v>HGC-Lib-2468648</v>
          </cell>
          <cell r="F4913" t="str">
            <v>LA240801062X1</v>
          </cell>
          <cell r="G4913">
            <v>20</v>
          </cell>
          <cell r="H4913" t="str">
            <v>singleron-3'转录组文库</v>
          </cell>
          <cell r="I4913" t="str">
            <v>GZQ</v>
          </cell>
          <cell r="J4913">
            <v>11</v>
          </cell>
          <cell r="N4913" t="e">
            <v>#DIV/0!</v>
          </cell>
        </row>
        <row r="4914">
          <cell r="E4914" t="str">
            <v>HGC-Lib-2468668</v>
          </cell>
          <cell r="F4914" t="str">
            <v>cas9-T0</v>
          </cell>
          <cell r="G4914">
            <v>15</v>
          </cell>
          <cell r="H4914" t="str">
            <v>PCR产物文库</v>
          </cell>
          <cell r="I4914" t="str">
            <v>GZQ</v>
          </cell>
          <cell r="J4914">
            <v>13.9</v>
          </cell>
          <cell r="K4914">
            <v>406</v>
          </cell>
          <cell r="L4914" t="str">
            <v>HZK</v>
          </cell>
          <cell r="N4914">
            <v>52.671466464569903</v>
          </cell>
        </row>
        <row r="4915">
          <cell r="E4915" t="str">
            <v>HGC-Lib-2468669</v>
          </cell>
          <cell r="F4915" t="str">
            <v>N14-T0</v>
          </cell>
          <cell r="G4915">
            <v>15</v>
          </cell>
          <cell r="H4915" t="str">
            <v>PCR产物文库</v>
          </cell>
          <cell r="I4915" t="str">
            <v>GZQ</v>
          </cell>
          <cell r="J4915">
            <v>14.7</v>
          </cell>
          <cell r="K4915">
            <v>392</v>
          </cell>
          <cell r="L4915" t="str">
            <v>HZK</v>
          </cell>
          <cell r="N4915">
            <v>57.692307692307701</v>
          </cell>
        </row>
        <row r="4916">
          <cell r="E4916" t="str">
            <v>HGC-Lib-2468670</v>
          </cell>
          <cell r="F4916" t="str">
            <v>cas9-nc</v>
          </cell>
          <cell r="G4916">
            <v>15</v>
          </cell>
          <cell r="H4916" t="str">
            <v>PCR产物文库</v>
          </cell>
          <cell r="I4916" t="str">
            <v>GZQ</v>
          </cell>
          <cell r="J4916">
            <v>9.74</v>
          </cell>
          <cell r="K4916">
            <v>405</v>
          </cell>
          <cell r="L4916" t="str">
            <v>HZK</v>
          </cell>
          <cell r="N4916">
            <v>36.999050332383703</v>
          </cell>
        </row>
        <row r="4917">
          <cell r="E4917" t="str">
            <v>HGC-Lib-2468671</v>
          </cell>
          <cell r="F4917" t="str">
            <v>N14-nc</v>
          </cell>
          <cell r="G4917">
            <v>15</v>
          </cell>
          <cell r="H4917" t="str">
            <v>PCR产物文库</v>
          </cell>
          <cell r="I4917" t="str">
            <v>GZQ</v>
          </cell>
          <cell r="J4917">
            <v>13</v>
          </cell>
          <cell r="K4917">
            <v>393</v>
          </cell>
          <cell r="L4917" t="str">
            <v>HZK</v>
          </cell>
          <cell r="N4917">
            <v>50.8905852417303</v>
          </cell>
        </row>
        <row r="4918">
          <cell r="E4918" t="str">
            <v>HGC-Lib-2468672</v>
          </cell>
          <cell r="F4918" t="str">
            <v>cas9-cis</v>
          </cell>
          <cell r="G4918">
            <v>15</v>
          </cell>
          <cell r="H4918" t="str">
            <v>PCR产物文库</v>
          </cell>
          <cell r="I4918" t="str">
            <v>GZQ</v>
          </cell>
          <cell r="J4918">
            <v>14.3</v>
          </cell>
          <cell r="K4918">
            <v>387</v>
          </cell>
          <cell r="L4918" t="str">
            <v>HZK</v>
          </cell>
          <cell r="N4918">
            <v>56.847545219638199</v>
          </cell>
        </row>
        <row r="4919">
          <cell r="E4919" t="str">
            <v>HGC-Lib-2468673</v>
          </cell>
          <cell r="F4919" t="str">
            <v>N14-cis</v>
          </cell>
          <cell r="G4919">
            <v>15</v>
          </cell>
          <cell r="H4919" t="str">
            <v>PCR产物文库</v>
          </cell>
          <cell r="I4919" t="str">
            <v>GZQ</v>
          </cell>
          <cell r="J4919">
            <v>16.5</v>
          </cell>
          <cell r="K4919">
            <v>399</v>
          </cell>
          <cell r="L4919" t="str">
            <v>HZK</v>
          </cell>
          <cell r="N4919">
            <v>63.620589936379403</v>
          </cell>
        </row>
        <row r="4920">
          <cell r="E4920" t="str">
            <v>HGC-Lib-2468674</v>
          </cell>
          <cell r="F4920" t="str">
            <v>cas9-eto</v>
          </cell>
          <cell r="G4920">
            <v>15</v>
          </cell>
          <cell r="H4920" t="str">
            <v>PCR产物文库</v>
          </cell>
          <cell r="I4920" t="str">
            <v>GZQ</v>
          </cell>
          <cell r="J4920">
            <v>16.899999999999999</v>
          </cell>
          <cell r="K4920">
            <v>419</v>
          </cell>
          <cell r="L4920" t="str">
            <v>HZK</v>
          </cell>
          <cell r="N4920">
            <v>62.052505966587098</v>
          </cell>
        </row>
        <row r="4921">
          <cell r="E4921" t="str">
            <v>HGC-Lib-2468675</v>
          </cell>
          <cell r="F4921" t="str">
            <v>N14-eto</v>
          </cell>
          <cell r="G4921">
            <v>15</v>
          </cell>
          <cell r="H4921" t="str">
            <v>PCR产物文库</v>
          </cell>
          <cell r="I4921" t="str">
            <v>GZQ</v>
          </cell>
          <cell r="J4921">
            <v>15.1</v>
          </cell>
          <cell r="K4921">
            <v>410</v>
          </cell>
          <cell r="L4921" t="str">
            <v>HZK</v>
          </cell>
          <cell r="N4921">
            <v>56.660412757973702</v>
          </cell>
        </row>
        <row r="4922">
          <cell r="E4922" t="str">
            <v>HGC-POOL-2468676</v>
          </cell>
          <cell r="F4922" t="str">
            <v>AS240823A1</v>
          </cell>
          <cell r="G4922">
            <v>160</v>
          </cell>
          <cell r="H4922" t="str">
            <v>10XATAC测序</v>
          </cell>
          <cell r="I4922" t="str">
            <v>GZQ</v>
          </cell>
          <cell r="J4922">
            <v>7.44</v>
          </cell>
          <cell r="K4922">
            <v>472</v>
          </cell>
          <cell r="L4922" t="str">
            <v>GZQ</v>
          </cell>
          <cell r="N4922">
            <v>24.250325945241201</v>
          </cell>
        </row>
        <row r="4923">
          <cell r="E4923" t="str">
            <v>HGC-Lib-2468584</v>
          </cell>
          <cell r="F4923" t="str">
            <v>TJ-0005-RNA-ZYMO-M</v>
          </cell>
          <cell r="G4923">
            <v>10</v>
          </cell>
          <cell r="H4923" t="str">
            <v>宏转录组文库</v>
          </cell>
          <cell r="I4923" t="str">
            <v>HZK</v>
          </cell>
          <cell r="J4923">
            <v>12.4</v>
          </cell>
          <cell r="K4923">
            <v>484</v>
          </cell>
          <cell r="L4923" t="str">
            <v>HZK</v>
          </cell>
          <cell r="N4923">
            <v>39.415130324221202</v>
          </cell>
        </row>
        <row r="4924">
          <cell r="E4924" t="str">
            <v>HGC-Lib-2468585</v>
          </cell>
          <cell r="F4924" t="str">
            <v>TJ-0006-RNA-ZYMO-M</v>
          </cell>
          <cell r="G4924">
            <v>10</v>
          </cell>
          <cell r="H4924" t="str">
            <v>宏转录组文库</v>
          </cell>
          <cell r="I4924" t="str">
            <v>HZK</v>
          </cell>
          <cell r="J4924">
            <v>4.32</v>
          </cell>
          <cell r="K4924">
            <v>453</v>
          </cell>
          <cell r="L4924" t="str">
            <v>GZQ</v>
          </cell>
          <cell r="N4924">
            <v>14.6714212939379</v>
          </cell>
        </row>
        <row r="4925">
          <cell r="E4925" t="str">
            <v>HGC-Lib-2468586</v>
          </cell>
          <cell r="F4925" t="str">
            <v>TJ-0008-RNA-ZYMO-M</v>
          </cell>
          <cell r="G4925">
            <v>10</v>
          </cell>
          <cell r="H4925" t="str">
            <v>宏转录组文库</v>
          </cell>
          <cell r="I4925" t="str">
            <v>HZK</v>
          </cell>
          <cell r="J4925">
            <v>17.2</v>
          </cell>
          <cell r="K4925">
            <v>451</v>
          </cell>
          <cell r="L4925" t="str">
            <v>HZK</v>
          </cell>
          <cell r="N4925">
            <v>58.673034282790397</v>
          </cell>
        </row>
        <row r="4926">
          <cell r="E4926" t="str">
            <v>HGC-Lib-2468587</v>
          </cell>
          <cell r="F4926" t="str">
            <v>TJ-0009-RNA-ZYMO-M</v>
          </cell>
          <cell r="G4926">
            <v>10</v>
          </cell>
          <cell r="H4926" t="str">
            <v>宏转录组文库</v>
          </cell>
          <cell r="I4926" t="str">
            <v>HZK</v>
          </cell>
          <cell r="J4926">
            <v>5.0599999999999996</v>
          </cell>
          <cell r="K4926">
            <v>436</v>
          </cell>
          <cell r="L4926" t="str">
            <v>GZQ</v>
          </cell>
          <cell r="N4926">
            <v>17.8546224417784</v>
          </cell>
        </row>
        <row r="4927">
          <cell r="E4927" t="str">
            <v>HGC-Lib-2468588</v>
          </cell>
          <cell r="F4927" t="str">
            <v>TJ-0010-RNA-ZYMO-M</v>
          </cell>
          <cell r="G4927">
            <v>10</v>
          </cell>
          <cell r="H4927" t="str">
            <v>宏转录组文库</v>
          </cell>
          <cell r="I4927" t="str">
            <v>HZK</v>
          </cell>
          <cell r="J4927">
            <v>36.6</v>
          </cell>
          <cell r="K4927">
            <v>523</v>
          </cell>
          <cell r="L4927" t="str">
            <v>HZK</v>
          </cell>
          <cell r="N4927">
            <v>107.66289160170599</v>
          </cell>
        </row>
        <row r="4928">
          <cell r="E4928" t="str">
            <v>HGC-Lib-2468589</v>
          </cell>
          <cell r="F4928" t="str">
            <v>TJ-0012-RNA-ZYMO-M</v>
          </cell>
          <cell r="G4928">
            <v>10</v>
          </cell>
          <cell r="H4928" t="str">
            <v>宏转录组文库</v>
          </cell>
          <cell r="I4928" t="str">
            <v>HZK</v>
          </cell>
          <cell r="J4928">
            <v>26.4</v>
          </cell>
          <cell r="K4928">
            <v>449</v>
          </cell>
          <cell r="L4928" t="str">
            <v>HZK</v>
          </cell>
          <cell r="N4928">
            <v>90.457426760322093</v>
          </cell>
        </row>
        <row r="4929">
          <cell r="E4929" t="str">
            <v>HGC-Lib-2468590</v>
          </cell>
          <cell r="F4929" t="str">
            <v>TJ-0023-RNA-ZYMO-M</v>
          </cell>
          <cell r="G4929">
            <v>10</v>
          </cell>
          <cell r="H4929" t="str">
            <v>宏转录组文库</v>
          </cell>
          <cell r="I4929" t="str">
            <v>HZK</v>
          </cell>
          <cell r="J4929">
            <v>32.200000000000003</v>
          </cell>
          <cell r="K4929">
            <v>490</v>
          </cell>
          <cell r="L4929" t="str">
            <v>HZK</v>
          </cell>
          <cell r="N4929">
            <v>101.098901098901</v>
          </cell>
        </row>
        <row r="4930">
          <cell r="E4930" t="str">
            <v>HGC-Lib-2468591</v>
          </cell>
          <cell r="F4930" t="str">
            <v>TJ-0027-RNA-ZYMO-M</v>
          </cell>
          <cell r="G4930">
            <v>10</v>
          </cell>
          <cell r="H4930" t="str">
            <v>宏转录组文库</v>
          </cell>
          <cell r="I4930" t="str">
            <v>HZK</v>
          </cell>
          <cell r="J4930">
            <v>67.599999999999994</v>
          </cell>
          <cell r="K4930">
            <v>468</v>
          </cell>
          <cell r="L4930" t="str">
            <v>HZK</v>
          </cell>
          <cell r="N4930">
            <v>222.222222222222</v>
          </cell>
        </row>
        <row r="4931">
          <cell r="E4931" t="str">
            <v>HGC-Lib-2468592</v>
          </cell>
          <cell r="F4931" t="str">
            <v>TJ-0028-RNA-ZYMO-M</v>
          </cell>
          <cell r="G4931">
            <v>10</v>
          </cell>
          <cell r="H4931" t="str">
            <v>宏转录组文库</v>
          </cell>
          <cell r="I4931" t="str">
            <v>HZK</v>
          </cell>
          <cell r="J4931">
            <v>20.2</v>
          </cell>
          <cell r="K4931">
            <v>411</v>
          </cell>
          <cell r="L4931" t="str">
            <v>HZK</v>
          </cell>
          <cell r="N4931">
            <v>75.612951525360302</v>
          </cell>
        </row>
        <row r="4932">
          <cell r="E4932" t="str">
            <v>HGC-Lib-2468593</v>
          </cell>
          <cell r="F4932" t="str">
            <v>TJ-0043-RNA-ZYMO-M</v>
          </cell>
          <cell r="G4932">
            <v>10</v>
          </cell>
          <cell r="H4932" t="str">
            <v>宏转录组文库</v>
          </cell>
          <cell r="I4932" t="str">
            <v>HZK</v>
          </cell>
          <cell r="J4932">
            <v>34.4</v>
          </cell>
          <cell r="K4932">
            <v>421</v>
          </cell>
          <cell r="L4932" t="str">
            <v>HZK</v>
          </cell>
          <cell r="N4932">
            <v>125.708021194957</v>
          </cell>
        </row>
        <row r="4933">
          <cell r="E4933" t="str">
            <v>HGC-Lib-2468594</v>
          </cell>
          <cell r="F4933" t="str">
            <v>TJ-0049-RNA-ZYMO-M</v>
          </cell>
          <cell r="G4933">
            <v>10</v>
          </cell>
          <cell r="H4933" t="str">
            <v>宏转录组文库</v>
          </cell>
          <cell r="I4933" t="str">
            <v>HZK</v>
          </cell>
          <cell r="J4933">
            <v>5.2</v>
          </cell>
          <cell r="K4933">
            <v>384</v>
          </cell>
          <cell r="L4933" t="str">
            <v>GZQ</v>
          </cell>
          <cell r="N4933">
            <v>20.8333333333333</v>
          </cell>
        </row>
        <row r="4934">
          <cell r="E4934" t="str">
            <v>HGC-Lib-2468595</v>
          </cell>
          <cell r="F4934" t="str">
            <v>TJ-0050-RNA-ZYMO-M</v>
          </cell>
          <cell r="G4934">
            <v>10</v>
          </cell>
          <cell r="H4934" t="str">
            <v>宏转录组文库</v>
          </cell>
          <cell r="I4934" t="str">
            <v>HZK</v>
          </cell>
          <cell r="J4934">
            <v>31.2</v>
          </cell>
          <cell r="K4934">
            <v>421</v>
          </cell>
          <cell r="L4934" t="str">
            <v>HZK</v>
          </cell>
          <cell r="N4934">
            <v>114.01425178147301</v>
          </cell>
        </row>
        <row r="4935">
          <cell r="E4935" t="str">
            <v>HGC-Lib-2468596</v>
          </cell>
          <cell r="F4935" t="str">
            <v>TJ-0052-RNA-ZYMO-M</v>
          </cell>
          <cell r="G4935">
            <v>10</v>
          </cell>
          <cell r="H4935" t="str">
            <v>宏转录组文库</v>
          </cell>
          <cell r="I4935" t="str">
            <v>HZK</v>
          </cell>
          <cell r="J4935">
            <v>91.6</v>
          </cell>
          <cell r="K4935">
            <v>442</v>
          </cell>
          <cell r="L4935" t="str">
            <v>HZK</v>
          </cell>
          <cell r="N4935">
            <v>318.83049077619199</v>
          </cell>
        </row>
        <row r="4936">
          <cell r="E4936" t="str">
            <v>HGC-Lib-2468597</v>
          </cell>
          <cell r="F4936" t="str">
            <v>TJ-0053-RNA-ZYMO-M</v>
          </cell>
          <cell r="G4936">
            <v>10</v>
          </cell>
          <cell r="H4936" t="str">
            <v>宏转录组文库</v>
          </cell>
          <cell r="I4936" t="str">
            <v>HZK</v>
          </cell>
          <cell r="J4936">
            <v>4.08</v>
          </cell>
          <cell r="K4936">
            <v>346</v>
          </cell>
          <cell r="L4936" t="str">
            <v>GZQ</v>
          </cell>
          <cell r="N4936">
            <v>18.141396176078299</v>
          </cell>
        </row>
        <row r="4937">
          <cell r="E4937" t="str">
            <v>HGC-Lib-2468598</v>
          </cell>
          <cell r="F4937" t="str">
            <v>TJ-0054-RNA-ZYMO-M</v>
          </cell>
          <cell r="G4937">
            <v>10</v>
          </cell>
          <cell r="H4937" t="str">
            <v>宏转录组文库</v>
          </cell>
          <cell r="I4937" t="str">
            <v>HZK</v>
          </cell>
          <cell r="J4937">
            <v>22.4</v>
          </cell>
          <cell r="K4937">
            <v>412</v>
          </cell>
          <cell r="L4937" t="str">
            <v>HZK</v>
          </cell>
          <cell r="N4937">
            <v>83.644510828976806</v>
          </cell>
        </row>
        <row r="4938">
          <cell r="E4938" t="str">
            <v>HGC-Lib-2468599</v>
          </cell>
          <cell r="F4938" t="str">
            <v>TJ-0056-RNA-ZYMO-M</v>
          </cell>
          <cell r="G4938">
            <v>10</v>
          </cell>
          <cell r="H4938" t="str">
            <v>宏转录组文库</v>
          </cell>
          <cell r="I4938" t="str">
            <v>HZK</v>
          </cell>
          <cell r="J4938">
            <v>71.400000000000006</v>
          </cell>
          <cell r="K4938">
            <v>479</v>
          </cell>
          <cell r="L4938" t="str">
            <v>HZK</v>
          </cell>
          <cell r="N4938">
            <v>229.32391199614599</v>
          </cell>
        </row>
        <row r="4939">
          <cell r="E4939" t="str">
            <v>HGC-Lib-2468600</v>
          </cell>
          <cell r="F4939" t="str">
            <v>TJ-0061-RNA-ZYMO-M</v>
          </cell>
          <cell r="G4939">
            <v>10</v>
          </cell>
          <cell r="H4939" t="str">
            <v>宏转录组文库</v>
          </cell>
          <cell r="I4939" t="str">
            <v>HZK</v>
          </cell>
          <cell r="J4939">
            <v>50.4</v>
          </cell>
          <cell r="K4939">
            <v>385</v>
          </cell>
          <cell r="L4939" t="str">
            <v>HZK</v>
          </cell>
          <cell r="N4939">
            <v>201.39860139860099</v>
          </cell>
        </row>
        <row r="4940">
          <cell r="E4940" t="str">
            <v>HGC-Lib-2468601</v>
          </cell>
          <cell r="F4940" t="str">
            <v>TJ-0068-RNA-ZYMO-M</v>
          </cell>
          <cell r="G4940">
            <v>10</v>
          </cell>
          <cell r="H4940" t="str">
            <v>宏转录组文库</v>
          </cell>
          <cell r="I4940" t="str">
            <v>HZK</v>
          </cell>
          <cell r="J4940">
            <v>12.1</v>
          </cell>
          <cell r="K4940">
            <v>454</v>
          </cell>
          <cell r="L4940" t="str">
            <v>HZK</v>
          </cell>
          <cell r="N4940">
            <v>41.003049813622503</v>
          </cell>
        </row>
        <row r="4941">
          <cell r="E4941" t="str">
            <v>HGC-Lib-2468602</v>
          </cell>
          <cell r="F4941" t="str">
            <v>TJ-0069-RNA-ZYMO-M</v>
          </cell>
          <cell r="G4941">
            <v>10</v>
          </cell>
          <cell r="H4941" t="str">
            <v>宏转录组文库</v>
          </cell>
          <cell r="I4941" t="str">
            <v>HZK</v>
          </cell>
          <cell r="J4941">
            <v>32.6</v>
          </cell>
          <cell r="K4941">
            <v>390</v>
          </cell>
          <cell r="L4941" t="str">
            <v>HZK</v>
          </cell>
          <cell r="N4941">
            <v>128.599605522682</v>
          </cell>
        </row>
        <row r="4942">
          <cell r="E4942" t="str">
            <v>HGC-Lib-2468603</v>
          </cell>
          <cell r="F4942" t="str">
            <v>TJ-0071-RNA-ZYMO-M</v>
          </cell>
          <cell r="G4942">
            <v>10</v>
          </cell>
          <cell r="H4942" t="str">
            <v>宏转录组文库</v>
          </cell>
          <cell r="I4942" t="str">
            <v>HZK</v>
          </cell>
          <cell r="J4942">
            <v>25.6</v>
          </cell>
          <cell r="K4942">
            <v>410</v>
          </cell>
          <cell r="L4942" t="str">
            <v>HZK</v>
          </cell>
          <cell r="N4942">
            <v>96.060037523452195</v>
          </cell>
        </row>
        <row r="4943">
          <cell r="E4943" t="str">
            <v>HGC-Lib-2468604</v>
          </cell>
          <cell r="F4943" t="str">
            <v>TJ-0075-RNA-ZYMO-M</v>
          </cell>
          <cell r="G4943">
            <v>10</v>
          </cell>
          <cell r="H4943" t="str">
            <v>宏转录组文库</v>
          </cell>
          <cell r="I4943" t="str">
            <v>HZK</v>
          </cell>
          <cell r="J4943">
            <v>25.4</v>
          </cell>
          <cell r="K4943">
            <v>377</v>
          </cell>
          <cell r="L4943" t="str">
            <v>HZK</v>
          </cell>
          <cell r="N4943">
            <v>103.652315853907</v>
          </cell>
        </row>
        <row r="4944">
          <cell r="E4944" t="str">
            <v>HGC-Lib-2468605</v>
          </cell>
          <cell r="F4944" t="str">
            <v>TJ-0077-RNA-ZYMO-M</v>
          </cell>
          <cell r="G4944">
            <v>10</v>
          </cell>
          <cell r="H4944" t="str">
            <v>宏转录组文库</v>
          </cell>
          <cell r="I4944" t="str">
            <v>HZK</v>
          </cell>
          <cell r="J4944">
            <v>19.399999999999999</v>
          </cell>
          <cell r="K4944">
            <v>413</v>
          </cell>
          <cell r="L4944" t="str">
            <v>HZK</v>
          </cell>
          <cell r="N4944">
            <v>72.266716334512907</v>
          </cell>
        </row>
        <row r="4945">
          <cell r="E4945" t="str">
            <v>HGC-Lib-2468606</v>
          </cell>
          <cell r="F4945" t="str">
            <v>TJ-0085-RNA-ZYMO-M</v>
          </cell>
          <cell r="G4945">
            <v>10</v>
          </cell>
          <cell r="H4945" t="str">
            <v>宏转录组文库</v>
          </cell>
          <cell r="I4945" t="str">
            <v>HZK</v>
          </cell>
          <cell r="J4945">
            <v>3.2</v>
          </cell>
          <cell r="K4945">
            <v>367</v>
          </cell>
          <cell r="L4945" t="str">
            <v>GZQ</v>
          </cell>
          <cell r="N4945">
            <v>13.414378536994301</v>
          </cell>
        </row>
        <row r="4946">
          <cell r="E4946" t="str">
            <v>HGC-Lib-2468607</v>
          </cell>
          <cell r="F4946" t="str">
            <v>TJ-0088-RNA-ZYMO-M</v>
          </cell>
          <cell r="G4946">
            <v>10</v>
          </cell>
          <cell r="H4946" t="str">
            <v>宏转录组文库</v>
          </cell>
          <cell r="I4946" t="str">
            <v>HZK</v>
          </cell>
          <cell r="J4946">
            <v>72.8</v>
          </cell>
          <cell r="K4946">
            <v>444</v>
          </cell>
          <cell r="L4946" t="str">
            <v>HZK</v>
          </cell>
          <cell r="N4946">
            <v>252.25225225225199</v>
          </cell>
        </row>
        <row r="4947">
          <cell r="E4947" t="str">
            <v>HGC-Lib-2468608</v>
          </cell>
          <cell r="F4947" t="str">
            <v>TJ-0001-RNA-ZYMO-M</v>
          </cell>
          <cell r="G4947">
            <v>10</v>
          </cell>
          <cell r="H4947" t="str">
            <v>宏转录组文库</v>
          </cell>
          <cell r="I4947" t="str">
            <v>GZQ</v>
          </cell>
          <cell r="J4947">
            <v>11.7</v>
          </cell>
          <cell r="K4947">
            <v>449</v>
          </cell>
          <cell r="L4947" t="str">
            <v>HZK</v>
          </cell>
          <cell r="N4947">
            <v>40.089086859688202</v>
          </cell>
        </row>
        <row r="4948">
          <cell r="E4948" t="str">
            <v>HGC-Lib-2468609</v>
          </cell>
          <cell r="F4948" t="str">
            <v>TJ-0017-RNA-ZYMO-M</v>
          </cell>
          <cell r="G4948">
            <v>10</v>
          </cell>
          <cell r="H4948" t="str">
            <v>宏转录组文库</v>
          </cell>
          <cell r="I4948" t="str">
            <v>GZQ</v>
          </cell>
          <cell r="J4948">
            <v>53</v>
          </cell>
          <cell r="K4948">
            <v>428</v>
          </cell>
          <cell r="L4948" t="str">
            <v>HZK</v>
          </cell>
          <cell r="N4948">
            <v>190.510424155284</v>
          </cell>
        </row>
        <row r="4949">
          <cell r="E4949" t="str">
            <v>HGC-Lib-2468610</v>
          </cell>
          <cell r="F4949" t="str">
            <v>TJ-0029-RNA-ZYMO-M</v>
          </cell>
          <cell r="G4949">
            <v>10</v>
          </cell>
          <cell r="H4949" t="str">
            <v>宏转录组文库</v>
          </cell>
          <cell r="I4949" t="str">
            <v>GZQ</v>
          </cell>
          <cell r="J4949">
            <v>14.6</v>
          </cell>
          <cell r="K4949">
            <v>463</v>
          </cell>
          <cell r="L4949" t="str">
            <v>HZK</v>
          </cell>
          <cell r="N4949">
            <v>48.513042033560403</v>
          </cell>
        </row>
        <row r="4950">
          <cell r="E4950" t="str">
            <v>HGC-Lib-2468611</v>
          </cell>
          <cell r="F4950" t="str">
            <v>TJ-0030-RNA-ZYMO-M</v>
          </cell>
          <cell r="G4950">
            <v>10</v>
          </cell>
          <cell r="H4950" t="str">
            <v>宏转录组文库</v>
          </cell>
          <cell r="L4950" t="str">
            <v>HZK</v>
          </cell>
          <cell r="N4950" t="e">
            <v>#DIV/0!</v>
          </cell>
        </row>
        <row r="4951">
          <cell r="E4951" t="str">
            <v>HGC-Lib-2468612</v>
          </cell>
          <cell r="F4951" t="str">
            <v>TJ-0031-RNA-ZYMO-M</v>
          </cell>
          <cell r="G4951">
            <v>10</v>
          </cell>
          <cell r="H4951" t="str">
            <v>宏转录组文库</v>
          </cell>
          <cell r="I4951" t="str">
            <v>GZQ</v>
          </cell>
          <cell r="J4951">
            <v>72.599999999999994</v>
          </cell>
          <cell r="K4951">
            <v>446</v>
          </cell>
          <cell r="L4951" t="str">
            <v>HZK</v>
          </cell>
          <cell r="N4951">
            <v>250.431183166609</v>
          </cell>
        </row>
        <row r="4952">
          <cell r="E4952" t="str">
            <v>HGC-Lib-2468613</v>
          </cell>
          <cell r="F4952" t="str">
            <v>TJ-0037-RNA-ZYMO-M</v>
          </cell>
          <cell r="G4952">
            <v>10</v>
          </cell>
          <cell r="H4952" t="str">
            <v>宏转录组文库</v>
          </cell>
          <cell r="I4952" t="str">
            <v>GZQ</v>
          </cell>
          <cell r="J4952">
            <v>26.2</v>
          </cell>
          <cell r="K4952">
            <v>463</v>
          </cell>
          <cell r="L4952" t="str">
            <v>HZK</v>
          </cell>
          <cell r="N4952">
            <v>87.0576507725536</v>
          </cell>
        </row>
        <row r="4953">
          <cell r="E4953" t="str">
            <v>HGC-Lib-2468614</v>
          </cell>
          <cell r="F4953" t="str">
            <v>TJ-0038-RNA-ZYMO-M</v>
          </cell>
          <cell r="G4953">
            <v>10</v>
          </cell>
          <cell r="H4953" t="str">
            <v>宏转录组文库</v>
          </cell>
          <cell r="I4953" t="str">
            <v>GZQ</v>
          </cell>
          <cell r="J4953">
            <v>63.4</v>
          </cell>
          <cell r="K4953">
            <v>422</v>
          </cell>
          <cell r="L4953" t="str">
            <v>HZK</v>
          </cell>
          <cell r="N4953">
            <v>231.13379511483799</v>
          </cell>
        </row>
        <row r="4954">
          <cell r="E4954" t="str">
            <v>HGC-Lib-2468615</v>
          </cell>
          <cell r="F4954" t="str">
            <v>TJ-0040-RNA-ZYMO-M</v>
          </cell>
          <cell r="G4954">
            <v>10</v>
          </cell>
          <cell r="H4954" t="str">
            <v>宏转录组文库</v>
          </cell>
          <cell r="I4954" t="str">
            <v>GZQ</v>
          </cell>
          <cell r="J4954">
            <v>34.200000000000003</v>
          </cell>
          <cell r="K4954">
            <v>462</v>
          </cell>
          <cell r="L4954" t="str">
            <v>HZK</v>
          </cell>
          <cell r="N4954">
            <v>113.886113886114</v>
          </cell>
        </row>
        <row r="4955">
          <cell r="E4955" t="str">
            <v>HGC-Lib-2468616</v>
          </cell>
          <cell r="F4955" t="str">
            <v>TJ-0046-RNA-ZYMO-M</v>
          </cell>
          <cell r="G4955">
            <v>10</v>
          </cell>
          <cell r="H4955" t="str">
            <v>宏转录组文库</v>
          </cell>
          <cell r="I4955" t="str">
            <v>GZQ</v>
          </cell>
          <cell r="J4955">
            <v>49.4</v>
          </cell>
          <cell r="K4955">
            <v>340</v>
          </cell>
          <cell r="L4955" t="str">
            <v>HZK</v>
          </cell>
          <cell r="N4955">
            <v>223.529411764706</v>
          </cell>
        </row>
        <row r="4956">
          <cell r="E4956" t="str">
            <v>HGC-Lib-2468617</v>
          </cell>
          <cell r="F4956" t="str">
            <v>TJ-0051-RNA-ZYMO-M</v>
          </cell>
          <cell r="G4956">
            <v>10</v>
          </cell>
          <cell r="H4956" t="str">
            <v>宏转录组文库</v>
          </cell>
          <cell r="I4956" t="str">
            <v>GZQ</v>
          </cell>
          <cell r="J4956">
            <v>16.100000000000001</v>
          </cell>
          <cell r="K4956">
            <v>391</v>
          </cell>
          <cell r="L4956" t="str">
            <v>HZK</v>
          </cell>
          <cell r="N4956">
            <v>63.348416289592798</v>
          </cell>
        </row>
        <row r="4957">
          <cell r="E4957" t="str">
            <v>HGC-Lib-2468618</v>
          </cell>
          <cell r="F4957" t="str">
            <v>TJ-0059-RNA-ZYMO-M</v>
          </cell>
          <cell r="G4957">
            <v>10</v>
          </cell>
          <cell r="H4957" t="str">
            <v>宏转录组文库</v>
          </cell>
          <cell r="I4957" t="str">
            <v>GZQ</v>
          </cell>
          <cell r="J4957">
            <v>30.4</v>
          </cell>
          <cell r="K4957">
            <v>387</v>
          </cell>
          <cell r="L4957" t="str">
            <v>HZK</v>
          </cell>
          <cell r="N4957">
            <v>120.85072550188799</v>
          </cell>
        </row>
        <row r="4958">
          <cell r="E4958" t="str">
            <v>HGC-Lib-2468619</v>
          </cell>
          <cell r="F4958" t="str">
            <v>TJ-0064-RNA-ZYMO-M</v>
          </cell>
          <cell r="G4958">
            <v>10</v>
          </cell>
          <cell r="H4958" t="str">
            <v>宏转录组文库</v>
          </cell>
          <cell r="I4958" t="str">
            <v>GZQ</v>
          </cell>
          <cell r="J4958">
            <v>23.6</v>
          </cell>
          <cell r="K4958">
            <v>427</v>
          </cell>
          <cell r="L4958" t="str">
            <v>HZK</v>
          </cell>
          <cell r="N4958">
            <v>85.029724373986696</v>
          </cell>
        </row>
        <row r="4959">
          <cell r="E4959" t="str">
            <v>HGC-Lib-2468620</v>
          </cell>
          <cell r="F4959" t="str">
            <v>TJ-0076-RNA-ZYMO-M</v>
          </cell>
          <cell r="G4959">
            <v>10</v>
          </cell>
          <cell r="H4959" t="str">
            <v>宏转录组文库</v>
          </cell>
          <cell r="I4959" t="str">
            <v>GZQ</v>
          </cell>
          <cell r="J4959">
            <v>17.3</v>
          </cell>
          <cell r="K4959">
            <v>389</v>
          </cell>
          <cell r="L4959" t="str">
            <v>HZK</v>
          </cell>
          <cell r="N4959">
            <v>68.420011864741994</v>
          </cell>
        </row>
        <row r="4960">
          <cell r="E4960" t="str">
            <v>HGC-Lib-2468621</v>
          </cell>
          <cell r="F4960" t="str">
            <v>TJ-0079-RNA-ZYMO-M</v>
          </cell>
          <cell r="G4960">
            <v>10</v>
          </cell>
          <cell r="H4960" t="str">
            <v>宏转录组文库</v>
          </cell>
          <cell r="I4960" t="str">
            <v>GZQ</v>
          </cell>
          <cell r="J4960">
            <v>33.4</v>
          </cell>
          <cell r="K4960">
            <v>382</v>
          </cell>
          <cell r="L4960" t="str">
            <v>HZK</v>
          </cell>
          <cell r="N4960">
            <v>134.51469995972599</v>
          </cell>
        </row>
        <row r="4961">
          <cell r="E4961" t="str">
            <v>HGC-Lib-2468622</v>
          </cell>
          <cell r="F4961" t="str">
            <v>TJ-0082-RNA-ZYMO-M</v>
          </cell>
          <cell r="G4961">
            <v>10</v>
          </cell>
          <cell r="H4961" t="str">
            <v>宏转录组文库</v>
          </cell>
          <cell r="I4961" t="str">
            <v>GZQ</v>
          </cell>
          <cell r="J4961">
            <v>26.4</v>
          </cell>
          <cell r="K4961">
            <v>438</v>
          </cell>
          <cell r="L4961" t="str">
            <v>HZK</v>
          </cell>
          <cell r="N4961">
            <v>92.729188619599597</v>
          </cell>
        </row>
        <row r="4962">
          <cell r="E4962" t="str">
            <v>HGC-Lib-2468623</v>
          </cell>
          <cell r="F4962" t="str">
            <v>TJ-0084-RNA-ZYMO-M</v>
          </cell>
          <cell r="G4962">
            <v>10</v>
          </cell>
          <cell r="H4962" t="str">
            <v>宏转录组文库</v>
          </cell>
          <cell r="I4962" t="str">
            <v>GZQ</v>
          </cell>
          <cell r="J4962">
            <v>67.400000000000006</v>
          </cell>
          <cell r="K4962">
            <v>424</v>
          </cell>
          <cell r="L4962" t="str">
            <v>HZK</v>
          </cell>
          <cell r="N4962">
            <v>244.55732946299</v>
          </cell>
        </row>
        <row r="4963">
          <cell r="E4963" t="str">
            <v>HGC-Lib-2468624</v>
          </cell>
          <cell r="F4963" t="str">
            <v>TJ-0092-RNA-ZYMO-M</v>
          </cell>
          <cell r="G4963">
            <v>10</v>
          </cell>
          <cell r="H4963" t="str">
            <v>宏转录组文库</v>
          </cell>
          <cell r="I4963" t="str">
            <v>GZQ</v>
          </cell>
          <cell r="J4963">
            <v>71.2</v>
          </cell>
          <cell r="K4963">
            <v>479</v>
          </cell>
          <cell r="L4963" t="str">
            <v>HZK</v>
          </cell>
          <cell r="N4963">
            <v>228.68154809699701</v>
          </cell>
        </row>
        <row r="4964">
          <cell r="E4964" t="str">
            <v>HGC-Lib-2468625</v>
          </cell>
          <cell r="F4964" t="str">
            <v>TJ-0095-RNA-ZYMO-M</v>
          </cell>
          <cell r="G4964">
            <v>10</v>
          </cell>
          <cell r="H4964" t="str">
            <v>宏转录组文库</v>
          </cell>
          <cell r="I4964" t="str">
            <v>GZQ</v>
          </cell>
          <cell r="J4964">
            <v>9.52</v>
          </cell>
          <cell r="K4964">
            <v>406</v>
          </cell>
          <cell r="L4964" t="str">
            <v>GZQ</v>
          </cell>
          <cell r="N4964">
            <v>36.074270557029202</v>
          </cell>
        </row>
        <row r="4965">
          <cell r="E4965" t="str">
            <v>HGC-Lib-2468626</v>
          </cell>
          <cell r="F4965" t="str">
            <v>TJ-0097-RNA-ZYMO-M</v>
          </cell>
          <cell r="G4965">
            <v>10</v>
          </cell>
          <cell r="H4965" t="str">
            <v>宏转录组文库</v>
          </cell>
          <cell r="I4965" t="str">
            <v>GZQ</v>
          </cell>
          <cell r="J4965">
            <v>42.4</v>
          </cell>
          <cell r="K4965">
            <v>423</v>
          </cell>
          <cell r="L4965" t="str">
            <v>HZK</v>
          </cell>
          <cell r="N4965">
            <v>154.20985633751599</v>
          </cell>
        </row>
        <row r="4966">
          <cell r="E4966" t="str">
            <v>HGC-Lib-2468627</v>
          </cell>
          <cell r="F4966" t="str">
            <v>TJ-0098-RNA-ZYMO-M</v>
          </cell>
          <cell r="G4966">
            <v>10</v>
          </cell>
          <cell r="H4966" t="str">
            <v>宏转录组文库</v>
          </cell>
          <cell r="I4966" t="str">
            <v>GZQ</v>
          </cell>
          <cell r="J4966">
            <v>21.2</v>
          </cell>
          <cell r="K4966">
            <v>417</v>
          </cell>
          <cell r="L4966" t="str">
            <v>HZK</v>
          </cell>
          <cell r="N4966">
            <v>78.214351595646505</v>
          </cell>
        </row>
        <row r="4967">
          <cell r="E4967" t="str">
            <v>HGC-Lib-2468628</v>
          </cell>
          <cell r="F4967" t="str">
            <v>TJ-0099-RNA-ZYMO-M</v>
          </cell>
          <cell r="G4967">
            <v>10</v>
          </cell>
          <cell r="H4967" t="str">
            <v>宏转录组文库</v>
          </cell>
          <cell r="I4967" t="str">
            <v>GZQ</v>
          </cell>
          <cell r="J4967">
            <v>26.6</v>
          </cell>
          <cell r="K4967">
            <v>431</v>
          </cell>
          <cell r="L4967" t="str">
            <v>HZK</v>
          </cell>
          <cell r="N4967">
            <v>94.949134392289807</v>
          </cell>
        </row>
        <row r="4968">
          <cell r="E4968" t="str">
            <v>HGC-Lib-2468629</v>
          </cell>
          <cell r="F4968" t="str">
            <v>TJ-0100-RNA-ZYMO-M</v>
          </cell>
          <cell r="G4968">
            <v>10</v>
          </cell>
          <cell r="H4968" t="str">
            <v>宏转录组文库</v>
          </cell>
          <cell r="I4968" t="str">
            <v>GZQ</v>
          </cell>
          <cell r="J4968">
            <v>26.4</v>
          </cell>
          <cell r="K4968">
            <v>380</v>
          </cell>
          <cell r="L4968" t="str">
            <v>HZK</v>
          </cell>
          <cell r="N4968">
            <v>106.882591093117</v>
          </cell>
        </row>
        <row r="4969">
          <cell r="E4969" t="str">
            <v>HGC-Lib-2468630</v>
          </cell>
          <cell r="F4969" t="str">
            <v>TJ-0102-RNA-ZYMO-M</v>
          </cell>
          <cell r="G4969">
            <v>10</v>
          </cell>
          <cell r="H4969" t="str">
            <v>宏转录组文库</v>
          </cell>
          <cell r="I4969" t="str">
            <v>GZQ</v>
          </cell>
          <cell r="J4969">
            <v>25.6</v>
          </cell>
          <cell r="K4969">
            <v>391</v>
          </cell>
          <cell r="L4969" t="str">
            <v>HZK</v>
          </cell>
          <cell r="N4969">
            <v>100.727916584694</v>
          </cell>
        </row>
        <row r="4970">
          <cell r="E4970" t="str">
            <v>HGC-Lib-2468631</v>
          </cell>
          <cell r="F4970" t="str">
            <v>TJ-0112-RNA-ZYMO-M</v>
          </cell>
          <cell r="G4970">
            <v>10</v>
          </cell>
          <cell r="H4970" t="str">
            <v>宏转录组文库</v>
          </cell>
          <cell r="I4970" t="str">
            <v>GZQ</v>
          </cell>
          <cell r="J4970">
            <v>8.7799999999999994</v>
          </cell>
          <cell r="K4970">
            <v>398</v>
          </cell>
          <cell r="L4970" t="str">
            <v>GZQ</v>
          </cell>
          <cell r="N4970">
            <v>33.9389253962118</v>
          </cell>
        </row>
        <row r="4971">
          <cell r="E4971" t="str">
            <v>HGC-2468677</v>
          </cell>
          <cell r="F4971" t="str">
            <v>LYJ-CT</v>
          </cell>
          <cell r="H4971" t="str">
            <v>10X3端</v>
          </cell>
          <cell r="I4971" t="str">
            <v>GZQ</v>
          </cell>
          <cell r="J4971">
            <v>22</v>
          </cell>
          <cell r="K4971">
            <v>471</v>
          </cell>
          <cell r="L4971" t="str">
            <v>HZK</v>
          </cell>
          <cell r="N4971">
            <v>71.860199248734304</v>
          </cell>
        </row>
        <row r="4972">
          <cell r="E4972" t="str">
            <v>HGC-2468678</v>
          </cell>
          <cell r="F4972">
            <v>1</v>
          </cell>
          <cell r="H4972" t="str">
            <v>10X3端</v>
          </cell>
          <cell r="I4972" t="str">
            <v>GZQ</v>
          </cell>
          <cell r="J4972">
            <v>16.899999999999999</v>
          </cell>
          <cell r="K4972">
            <v>477</v>
          </cell>
          <cell r="L4972" t="str">
            <v>HZK</v>
          </cell>
          <cell r="N4972">
            <v>54.507337526205397</v>
          </cell>
        </row>
        <row r="4973">
          <cell r="E4973" t="str">
            <v>HGC-2468679</v>
          </cell>
          <cell r="F4973">
            <v>2</v>
          </cell>
          <cell r="H4973" t="str">
            <v>10X3端</v>
          </cell>
          <cell r="I4973" t="str">
            <v>GZQ</v>
          </cell>
          <cell r="J4973">
            <v>28.6</v>
          </cell>
          <cell r="K4973">
            <v>488</v>
          </cell>
          <cell r="L4973" t="str">
            <v>HZK</v>
          </cell>
          <cell r="N4973">
            <v>90.163934426229503</v>
          </cell>
        </row>
        <row r="4974">
          <cell r="E4974" t="str">
            <v>HGC-2468680</v>
          </cell>
          <cell r="F4974">
            <v>3</v>
          </cell>
          <cell r="H4974" t="str">
            <v>10X3端</v>
          </cell>
          <cell r="I4974" t="str">
            <v>GZQ</v>
          </cell>
          <cell r="J4974">
            <v>21.2</v>
          </cell>
          <cell r="K4974">
            <v>483</v>
          </cell>
          <cell r="L4974" t="str">
            <v>HZK</v>
          </cell>
          <cell r="N4974">
            <v>67.526676222328405</v>
          </cell>
        </row>
        <row r="4975">
          <cell r="E4975" t="str">
            <v>HGC-2468681</v>
          </cell>
          <cell r="F4975">
            <v>4</v>
          </cell>
          <cell r="H4975" t="str">
            <v>10X3端</v>
          </cell>
          <cell r="I4975" t="str">
            <v>GZQ</v>
          </cell>
          <cell r="J4975">
            <v>22.6</v>
          </cell>
          <cell r="K4975">
            <v>481</v>
          </cell>
          <cell r="L4975" t="str">
            <v>HZK</v>
          </cell>
          <cell r="N4975">
            <v>72.285303054533799</v>
          </cell>
        </row>
        <row r="4976">
          <cell r="E4976" t="str">
            <v>HGC-Lib-2468693</v>
          </cell>
          <cell r="F4976" t="str">
            <v>L240808052X3</v>
          </cell>
          <cell r="G4976">
            <v>100</v>
          </cell>
          <cell r="H4976" t="str">
            <v>10X 3'转录组文库</v>
          </cell>
          <cell r="I4976" t="str">
            <v>GZQ</v>
          </cell>
          <cell r="J4976">
            <v>28.2</v>
          </cell>
          <cell r="N4976" t="e">
            <v>#DIV/0!</v>
          </cell>
        </row>
        <row r="4977">
          <cell r="E4977" t="str">
            <v>HGC-Lib-2468694</v>
          </cell>
          <cell r="F4977" t="str">
            <v>1—3</v>
          </cell>
          <cell r="G4977">
            <v>6</v>
          </cell>
          <cell r="H4977" t="str">
            <v>mRNA文库</v>
          </cell>
          <cell r="I4977" t="str">
            <v>WH</v>
          </cell>
          <cell r="J4977">
            <v>37.200000000000003</v>
          </cell>
          <cell r="K4977">
            <v>333</v>
          </cell>
          <cell r="L4977" t="str">
            <v>XCL</v>
          </cell>
          <cell r="N4977">
            <v>171.86417186417199</v>
          </cell>
        </row>
        <row r="4978">
          <cell r="E4978" t="str">
            <v>HGC-Lib-2468695</v>
          </cell>
          <cell r="F4978" t="str">
            <v>2—3</v>
          </cell>
          <cell r="G4978">
            <v>6</v>
          </cell>
          <cell r="H4978" t="str">
            <v>mRNA文库</v>
          </cell>
          <cell r="I4978" t="str">
            <v>WH</v>
          </cell>
          <cell r="J4978">
            <v>45.6</v>
          </cell>
          <cell r="K4978">
            <v>350</v>
          </cell>
          <cell r="L4978" t="str">
            <v>XCL</v>
          </cell>
          <cell r="N4978">
            <v>200.43956043956001</v>
          </cell>
        </row>
        <row r="4979">
          <cell r="E4979" t="str">
            <v>HGC-Lib-2468696</v>
          </cell>
          <cell r="F4979" t="str">
            <v>3—3</v>
          </cell>
          <cell r="G4979">
            <v>6</v>
          </cell>
          <cell r="H4979" t="str">
            <v>mRNA文库</v>
          </cell>
          <cell r="I4979" t="str">
            <v>WH</v>
          </cell>
          <cell r="J4979">
            <v>37.6</v>
          </cell>
          <cell r="K4979">
            <v>354</v>
          </cell>
          <cell r="L4979" t="str">
            <v>XCL</v>
          </cell>
          <cell r="N4979">
            <v>163.407214254672</v>
          </cell>
        </row>
        <row r="4980">
          <cell r="E4980" t="str">
            <v>HGC-Lib-2468703</v>
          </cell>
          <cell r="F4980">
            <v>1</v>
          </cell>
          <cell r="G4980">
            <v>6</v>
          </cell>
          <cell r="H4980" t="str">
            <v>Ribo-Seq文库</v>
          </cell>
          <cell r="I4980" t="str">
            <v>WH</v>
          </cell>
          <cell r="J4980">
            <v>0.434</v>
          </cell>
          <cell r="K4980">
            <v>201</v>
          </cell>
          <cell r="L4980" t="str">
            <v>WH</v>
          </cell>
          <cell r="N4980">
            <v>3.32185227707616</v>
          </cell>
        </row>
        <row r="4981">
          <cell r="E4981" t="str">
            <v>HGC-Lib-2468704</v>
          </cell>
          <cell r="F4981">
            <v>2</v>
          </cell>
          <cell r="G4981">
            <v>6</v>
          </cell>
          <cell r="H4981" t="str">
            <v>Ribo-Seq文库</v>
          </cell>
          <cell r="I4981" t="str">
            <v>WH</v>
          </cell>
          <cell r="J4981">
            <v>3.4</v>
          </cell>
          <cell r="K4981">
            <v>222</v>
          </cell>
          <cell r="L4981" t="str">
            <v>WWH</v>
          </cell>
          <cell r="N4981">
            <v>23.562023562023601</v>
          </cell>
        </row>
        <row r="4982">
          <cell r="E4982" t="str">
            <v>HGC-Lib-2468705</v>
          </cell>
          <cell r="F4982">
            <v>3</v>
          </cell>
          <cell r="G4982">
            <v>6</v>
          </cell>
          <cell r="H4982" t="str">
            <v>Ribo-Seq文库</v>
          </cell>
          <cell r="I4982" t="str">
            <v>WH</v>
          </cell>
          <cell r="J4982">
            <v>2.78</v>
          </cell>
          <cell r="K4982">
            <v>218</v>
          </cell>
          <cell r="L4982" t="str">
            <v>WWH</v>
          </cell>
          <cell r="N4982">
            <v>19.618913196894798</v>
          </cell>
        </row>
        <row r="4983">
          <cell r="E4983" t="str">
            <v>HGC-Lib-2468706</v>
          </cell>
          <cell r="F4983">
            <v>4</v>
          </cell>
          <cell r="G4983">
            <v>6</v>
          </cell>
          <cell r="H4983" t="str">
            <v>Ribo-Seq文库</v>
          </cell>
          <cell r="I4983" t="str">
            <v>WH</v>
          </cell>
          <cell r="J4983">
            <v>0.98399999999999999</v>
          </cell>
          <cell r="K4983">
            <v>197</v>
          </cell>
          <cell r="L4983" t="str">
            <v>WH</v>
          </cell>
          <cell r="N4983">
            <v>7.6844982428738797</v>
          </cell>
        </row>
        <row r="4984">
          <cell r="E4984" t="str">
            <v>HGC-Lib-2468707</v>
          </cell>
          <cell r="F4984">
            <v>5</v>
          </cell>
          <cell r="G4984">
            <v>6</v>
          </cell>
          <cell r="H4984" t="str">
            <v>Ribo-Seq文库</v>
          </cell>
          <cell r="I4984" t="str">
            <v>WH</v>
          </cell>
          <cell r="J4984">
            <v>3.74</v>
          </cell>
          <cell r="K4984">
            <v>217</v>
          </cell>
          <cell r="L4984" t="str">
            <v>WWH</v>
          </cell>
          <cell r="N4984">
            <v>26.515420063807198</v>
          </cell>
        </row>
        <row r="4985">
          <cell r="E4985" t="str">
            <v>HGC-Lib-2468708</v>
          </cell>
          <cell r="F4985">
            <v>6</v>
          </cell>
          <cell r="G4985">
            <v>6</v>
          </cell>
          <cell r="H4985" t="str">
            <v>Ribo-Seq文库</v>
          </cell>
          <cell r="I4985" t="str">
            <v>WH</v>
          </cell>
          <cell r="J4985">
            <v>1.87</v>
          </cell>
          <cell r="K4985">
            <v>213</v>
          </cell>
          <cell r="L4985" t="str">
            <v>WWH</v>
          </cell>
          <cell r="N4985">
            <v>13.506681112314901</v>
          </cell>
        </row>
        <row r="4986">
          <cell r="E4986" t="str">
            <v>HGC-Lib-2468709</v>
          </cell>
          <cell r="F4986">
            <v>7</v>
          </cell>
          <cell r="G4986">
            <v>6</v>
          </cell>
          <cell r="H4986" t="str">
            <v>Ribo-Seq文库</v>
          </cell>
          <cell r="I4986" t="str">
            <v>WH</v>
          </cell>
          <cell r="J4986">
            <v>0.36799999999999999</v>
          </cell>
          <cell r="K4986">
            <v>205</v>
          </cell>
          <cell r="L4986" t="str">
            <v>WH</v>
          </cell>
          <cell r="N4986">
            <v>2.7617260787992501</v>
          </cell>
        </row>
        <row r="4987">
          <cell r="E4987" t="str">
            <v>HGC-Lib-2468710</v>
          </cell>
          <cell r="F4987">
            <v>8</v>
          </cell>
          <cell r="G4987">
            <v>6</v>
          </cell>
          <cell r="H4987" t="str">
            <v>Ribo-Seq文库</v>
          </cell>
          <cell r="I4987" t="str">
            <v>WH</v>
          </cell>
          <cell r="J4987">
            <v>1.35</v>
          </cell>
          <cell r="K4987">
            <v>225</v>
          </cell>
          <cell r="L4987" t="str">
            <v>WWH</v>
          </cell>
          <cell r="N4987">
            <v>9.2307692307692299</v>
          </cell>
        </row>
        <row r="4988">
          <cell r="E4988" t="str">
            <v>HGC-Lib-2468711</v>
          </cell>
          <cell r="F4988">
            <v>9</v>
          </cell>
          <cell r="G4988">
            <v>6</v>
          </cell>
          <cell r="H4988" t="str">
            <v>Ribo-Seq文库</v>
          </cell>
          <cell r="I4988" t="str">
            <v>WH</v>
          </cell>
          <cell r="J4988">
            <v>2</v>
          </cell>
          <cell r="K4988">
            <v>205</v>
          </cell>
          <cell r="L4988" t="str">
            <v>WWH</v>
          </cell>
          <cell r="N4988">
            <v>15.0093808630394</v>
          </cell>
        </row>
        <row r="4989">
          <cell r="E4989" t="str">
            <v>HGC-Lib-2468712</v>
          </cell>
          <cell r="F4989">
            <v>10</v>
          </cell>
          <cell r="G4989">
            <v>6</v>
          </cell>
          <cell r="H4989" t="str">
            <v>Ribo-Seq文库</v>
          </cell>
          <cell r="I4989" t="str">
            <v>WH</v>
          </cell>
          <cell r="J4989">
            <v>2.2999999999999998</v>
          </cell>
          <cell r="K4989">
            <v>205</v>
          </cell>
          <cell r="L4989" t="str">
            <v>WWH</v>
          </cell>
          <cell r="N4989">
            <v>17.260787992495299</v>
          </cell>
        </row>
        <row r="4990">
          <cell r="E4990" t="str">
            <v>HGC-Lib-2468713</v>
          </cell>
          <cell r="F4990">
            <v>11</v>
          </cell>
          <cell r="G4990">
            <v>6</v>
          </cell>
          <cell r="H4990" t="str">
            <v>Ribo-Seq文库</v>
          </cell>
          <cell r="I4990" t="str">
            <v>WH</v>
          </cell>
          <cell r="J4990">
            <v>0.312</v>
          </cell>
          <cell r="K4990">
            <v>213</v>
          </cell>
          <cell r="L4990" t="str">
            <v>WH</v>
          </cell>
          <cell r="N4990">
            <v>2.2535211267605599</v>
          </cell>
        </row>
        <row r="4991">
          <cell r="E4991" t="str">
            <v>HGC-Lib-2468714</v>
          </cell>
          <cell r="F4991">
            <v>12</v>
          </cell>
          <cell r="G4991">
            <v>6</v>
          </cell>
          <cell r="H4991" t="str">
            <v>Ribo-Seq文库</v>
          </cell>
          <cell r="I4991" t="str">
            <v>WH</v>
          </cell>
          <cell r="J4991">
            <v>2.46</v>
          </cell>
          <cell r="K4991">
            <v>204</v>
          </cell>
          <cell r="L4991" t="str">
            <v>WWH</v>
          </cell>
          <cell r="N4991">
            <v>18.552036199094999</v>
          </cell>
        </row>
        <row r="4992">
          <cell r="E4992" t="str">
            <v>HGC-Lib-2468715</v>
          </cell>
          <cell r="F4992" t="str">
            <v>OL27966-GW132146</v>
          </cell>
          <cell r="G4992">
            <v>1000</v>
          </cell>
          <cell r="H4992" t="str">
            <v>10× 3'单细胞</v>
          </cell>
          <cell r="I4992" t="str">
            <v>WH</v>
          </cell>
          <cell r="J4992">
            <v>8.0399999999999991</v>
          </cell>
          <cell r="K4992">
            <v>496</v>
          </cell>
          <cell r="L4992" t="str">
            <v>WWH</v>
          </cell>
          <cell r="N4992">
            <v>24.937965260545901</v>
          </cell>
        </row>
        <row r="4993">
          <cell r="E4993" t="str">
            <v>HGC-Lib-2468716</v>
          </cell>
          <cell r="F4993" t="str">
            <v>OL27967-GW132146</v>
          </cell>
          <cell r="G4993">
            <v>1000</v>
          </cell>
          <cell r="H4993" t="str">
            <v>10× 3'单细胞</v>
          </cell>
          <cell r="I4993" t="str">
            <v>WH</v>
          </cell>
          <cell r="J4993">
            <v>8.0399999999999991</v>
          </cell>
          <cell r="K4993">
            <v>496</v>
          </cell>
          <cell r="L4993" t="str">
            <v>WWH</v>
          </cell>
          <cell r="N4993">
            <v>24.937965260545901</v>
          </cell>
        </row>
        <row r="4994">
          <cell r="E4994" t="str">
            <v>HGC-POOL-2468717</v>
          </cell>
          <cell r="F4994" t="str">
            <v>LGH17129-Z1</v>
          </cell>
          <cell r="G4994">
            <v>5</v>
          </cell>
          <cell r="H4994" t="str">
            <v>PCR产物文库</v>
          </cell>
          <cell r="I4994" t="str">
            <v>WH</v>
          </cell>
          <cell r="J4994">
            <v>3.32</v>
          </cell>
          <cell r="K4994">
            <v>314</v>
          </cell>
          <cell r="L4994" t="str">
            <v>WWH</v>
          </cell>
          <cell r="N4994">
            <v>16.266536011758902</v>
          </cell>
        </row>
        <row r="4995">
          <cell r="E4995" t="str">
            <v>HGC-POOL-2468718</v>
          </cell>
          <cell r="F4995" t="str">
            <v>LGH16184</v>
          </cell>
          <cell r="G4995">
            <v>24</v>
          </cell>
          <cell r="H4995" t="str">
            <v>全基因组文库</v>
          </cell>
          <cell r="I4995" t="str">
            <v>WH</v>
          </cell>
          <cell r="J4995">
            <v>0.98199999999999998</v>
          </cell>
          <cell r="K4995">
            <v>450</v>
          </cell>
          <cell r="L4995" t="str">
            <v>WH</v>
          </cell>
          <cell r="N4995">
            <v>3.35726495726496</v>
          </cell>
        </row>
        <row r="4996">
          <cell r="E4996" t="str">
            <v>HGC-Lib-2468719</v>
          </cell>
          <cell r="F4996" t="str">
            <v>LGH16134</v>
          </cell>
          <cell r="G4996">
            <v>15</v>
          </cell>
          <cell r="H4996" t="str">
            <v>ATAC-Seq文库</v>
          </cell>
          <cell r="I4996" t="str">
            <v>WH</v>
          </cell>
          <cell r="J4996">
            <v>0.88600000000000001</v>
          </cell>
          <cell r="K4996">
            <v>407</v>
          </cell>
          <cell r="L4996" t="str">
            <v>WH</v>
          </cell>
          <cell r="N4996">
            <v>3.34908334908335</v>
          </cell>
        </row>
        <row r="4997">
          <cell r="E4997" t="str">
            <v>HGC-Lib-2468720</v>
          </cell>
          <cell r="F4997" t="str">
            <v>LGH16135</v>
          </cell>
          <cell r="G4997">
            <v>15</v>
          </cell>
          <cell r="H4997" t="str">
            <v>ATAC-Seq文库</v>
          </cell>
          <cell r="I4997" t="str">
            <v>WH</v>
          </cell>
          <cell r="J4997">
            <v>0.74</v>
          </cell>
          <cell r="K4997">
            <v>398</v>
          </cell>
          <cell r="L4997" t="str">
            <v>WH</v>
          </cell>
          <cell r="N4997">
            <v>2.8604561267877799</v>
          </cell>
        </row>
        <row r="4998">
          <cell r="E4998" t="str">
            <v>HGC-Lib-2468721</v>
          </cell>
          <cell r="F4998" t="str">
            <v>LGH16136</v>
          </cell>
          <cell r="G4998">
            <v>15</v>
          </cell>
          <cell r="H4998" t="str">
            <v>ATAC-Seq文库</v>
          </cell>
          <cell r="I4998" t="str">
            <v>WH</v>
          </cell>
          <cell r="J4998">
            <v>0.89600000000000002</v>
          </cell>
          <cell r="K4998">
            <v>418</v>
          </cell>
          <cell r="L4998" t="str">
            <v>WH</v>
          </cell>
          <cell r="N4998">
            <v>3.2977548767022502</v>
          </cell>
        </row>
        <row r="4999">
          <cell r="E4999" t="str">
            <v>HGC-Lib-2468722</v>
          </cell>
          <cell r="F4999" t="str">
            <v>LGH16137</v>
          </cell>
          <cell r="G4999">
            <v>15</v>
          </cell>
          <cell r="H4999" t="str">
            <v>ATAC-Seq文库</v>
          </cell>
          <cell r="I4999" t="str">
            <v>WH</v>
          </cell>
          <cell r="J4999">
            <v>0.89</v>
          </cell>
          <cell r="K4999">
            <v>409</v>
          </cell>
          <cell r="L4999" t="str">
            <v>WH</v>
          </cell>
          <cell r="N4999">
            <v>3.3477524920067698</v>
          </cell>
        </row>
        <row r="5000">
          <cell r="E5000" t="str">
            <v>HGC-Lib-2468723</v>
          </cell>
          <cell r="F5000" t="str">
            <v>LGH16264</v>
          </cell>
          <cell r="G5000">
            <v>1</v>
          </cell>
          <cell r="H5000" t="str">
            <v>PCR产物文库</v>
          </cell>
          <cell r="I5000" t="str">
            <v>WH</v>
          </cell>
          <cell r="J5000" t="str">
            <v>/</v>
          </cell>
          <cell r="K5000">
            <v>421</v>
          </cell>
          <cell r="L5000" t="str">
            <v>WH</v>
          </cell>
          <cell r="N5000" t="e">
            <v>#VALUE!</v>
          </cell>
        </row>
        <row r="5001">
          <cell r="E5001" t="str">
            <v>HGC-Lib-2468724</v>
          </cell>
          <cell r="F5001" t="str">
            <v>LGH16265</v>
          </cell>
          <cell r="G5001">
            <v>1</v>
          </cell>
          <cell r="H5001" t="str">
            <v>PCR产物文库</v>
          </cell>
          <cell r="I5001" t="str">
            <v>WH</v>
          </cell>
          <cell r="J5001">
            <v>0.3</v>
          </cell>
          <cell r="K5001">
            <v>422</v>
          </cell>
          <cell r="L5001" t="str">
            <v>WH</v>
          </cell>
          <cell r="N5001">
            <v>1.0936930368210001</v>
          </cell>
        </row>
        <row r="5002">
          <cell r="E5002" t="str">
            <v>HGC-Lib-2468725</v>
          </cell>
          <cell r="F5002" t="str">
            <v>LGH16266</v>
          </cell>
          <cell r="G5002">
            <v>1</v>
          </cell>
          <cell r="H5002" t="str">
            <v>PCR产物文库</v>
          </cell>
          <cell r="I5002" t="str">
            <v>WH</v>
          </cell>
          <cell r="J5002">
            <v>1.19</v>
          </cell>
          <cell r="K5002">
            <v>425</v>
          </cell>
          <cell r="L5002" t="str">
            <v>WWH</v>
          </cell>
          <cell r="N5002">
            <v>4.3076923076923102</v>
          </cell>
        </row>
        <row r="5003">
          <cell r="E5003" t="str">
            <v>HGC-Lib-2468726</v>
          </cell>
          <cell r="F5003" t="str">
            <v>LGH16185</v>
          </cell>
          <cell r="G5003">
            <v>2</v>
          </cell>
          <cell r="H5003" t="str">
            <v>全基因组文库</v>
          </cell>
          <cell r="I5003" t="str">
            <v>WH</v>
          </cell>
          <cell r="J5003">
            <v>0.67</v>
          </cell>
          <cell r="K5003">
            <v>571</v>
          </cell>
          <cell r="L5003" t="str">
            <v>WH</v>
          </cell>
          <cell r="N5003">
            <v>1.80520005388657</v>
          </cell>
        </row>
        <row r="5004">
          <cell r="E5004" t="str">
            <v>HGC-Lib-2468727</v>
          </cell>
          <cell r="F5004" t="str">
            <v>LGH16186</v>
          </cell>
          <cell r="G5004">
            <v>2</v>
          </cell>
          <cell r="H5004" t="str">
            <v>全基因组文库</v>
          </cell>
          <cell r="I5004" t="str">
            <v>WH</v>
          </cell>
          <cell r="J5004">
            <v>0.70799999999999996</v>
          </cell>
          <cell r="K5004">
            <v>538</v>
          </cell>
          <cell r="L5004" t="str">
            <v>WH</v>
          </cell>
          <cell r="N5004">
            <v>2.02459250786388</v>
          </cell>
        </row>
        <row r="5005">
          <cell r="E5005" t="str">
            <v>HGC-Lib-2468728</v>
          </cell>
          <cell r="F5005" t="str">
            <v>LGH16187</v>
          </cell>
          <cell r="G5005">
            <v>1</v>
          </cell>
          <cell r="H5005" t="str">
            <v>全基因组文库</v>
          </cell>
          <cell r="I5005" t="str">
            <v>WH</v>
          </cell>
          <cell r="J5005">
            <v>0.92400000000000004</v>
          </cell>
          <cell r="K5005">
            <v>395</v>
          </cell>
          <cell r="L5005" t="str">
            <v>WH</v>
          </cell>
          <cell r="N5005">
            <v>3.5988315481986399</v>
          </cell>
        </row>
        <row r="5006">
          <cell r="E5006" t="str">
            <v>HGC-Lib-2468729</v>
          </cell>
          <cell r="F5006" t="str">
            <v>LGH16188</v>
          </cell>
          <cell r="G5006">
            <v>1</v>
          </cell>
          <cell r="H5006" t="str">
            <v>全基因组文库</v>
          </cell>
          <cell r="I5006" t="str">
            <v>WH</v>
          </cell>
          <cell r="J5006">
            <v>0.874</v>
          </cell>
          <cell r="K5006">
            <v>478</v>
          </cell>
          <cell r="L5006" t="str">
            <v>WH</v>
          </cell>
          <cell r="N5006">
            <v>2.8130028966849001</v>
          </cell>
        </row>
        <row r="5007">
          <cell r="E5007" t="str">
            <v>HGC-POOL-2468730</v>
          </cell>
          <cell r="F5007" t="str">
            <v>H240826-1</v>
          </cell>
          <cell r="G5007">
            <v>1000</v>
          </cell>
          <cell r="H5007" t="str">
            <v>甲基化文库</v>
          </cell>
          <cell r="I5007" t="str">
            <v>XCL</v>
          </cell>
          <cell r="J5007">
            <v>8.68</v>
          </cell>
          <cell r="K5007">
            <v>336</v>
          </cell>
          <cell r="L5007" t="str">
            <v>XCL</v>
          </cell>
          <cell r="N5007">
            <v>39.743589743589702</v>
          </cell>
        </row>
        <row r="5008">
          <cell r="E5008" t="str">
            <v>HGC-POOL-2468731</v>
          </cell>
          <cell r="F5008" t="str">
            <v>H240826-2</v>
          </cell>
          <cell r="G5008">
            <v>36</v>
          </cell>
          <cell r="H5008" t="str">
            <v>cut&amp;tag文库</v>
          </cell>
          <cell r="I5008" t="str">
            <v>XCL</v>
          </cell>
          <cell r="J5008">
            <v>28.4</v>
          </cell>
          <cell r="K5008">
            <v>442</v>
          </cell>
          <cell r="L5008" t="str">
            <v>XCL</v>
          </cell>
          <cell r="N5008">
            <v>98.851374869474398</v>
          </cell>
        </row>
        <row r="5009">
          <cell r="E5009" t="str">
            <v>HGC-POOL-2468732</v>
          </cell>
          <cell r="F5009" t="str">
            <v>L240821048XA</v>
          </cell>
          <cell r="G5009">
            <v>70</v>
          </cell>
          <cell r="H5009" t="str">
            <v>singleron-ATAC文库</v>
          </cell>
          <cell r="I5009" t="str">
            <v>XCL</v>
          </cell>
          <cell r="J5009">
            <v>28.8</v>
          </cell>
          <cell r="N5009" t="e">
            <v>#DIV/0!</v>
          </cell>
        </row>
        <row r="5010">
          <cell r="E5010" t="str">
            <v>HGC-Lib-2468733</v>
          </cell>
          <cell r="F5010" t="str">
            <v>LFTBA240821047</v>
          </cell>
          <cell r="G5010">
            <v>100</v>
          </cell>
          <cell r="H5010" t="str">
            <v>singleron-3'全长转录组文库</v>
          </cell>
          <cell r="I5010" t="str">
            <v>XCL</v>
          </cell>
          <cell r="J5010">
            <v>6.98</v>
          </cell>
          <cell r="N5010" t="e">
            <v>#DIV/0!</v>
          </cell>
        </row>
        <row r="5011">
          <cell r="E5011" t="str">
            <v>HGC-Lib-2468734</v>
          </cell>
          <cell r="F5011" t="str">
            <v>LFTBC240821017</v>
          </cell>
          <cell r="G5011">
            <v>90</v>
          </cell>
          <cell r="H5011" t="str">
            <v>singleron-3'全长转录组文库</v>
          </cell>
          <cell r="I5011" t="str">
            <v>XCL</v>
          </cell>
          <cell r="J5011">
            <v>15.1</v>
          </cell>
          <cell r="N5011" t="e">
            <v>#DIV/0!</v>
          </cell>
        </row>
        <row r="5012">
          <cell r="E5012" t="str">
            <v>HGC-Lib-2468735</v>
          </cell>
          <cell r="F5012" t="str">
            <v>LFTBA240821018</v>
          </cell>
          <cell r="G5012">
            <v>90</v>
          </cell>
          <cell r="H5012" t="str">
            <v>singleron-3'全长转录组文库</v>
          </cell>
          <cell r="I5012" t="str">
            <v>XCL</v>
          </cell>
          <cell r="J5012">
            <v>15.3</v>
          </cell>
          <cell r="N5012" t="e">
            <v>#DIV/0!</v>
          </cell>
        </row>
        <row r="5013">
          <cell r="E5013" t="str">
            <v>HGC-Lib-2468736</v>
          </cell>
          <cell r="F5013" t="str">
            <v>LPMFTBA240821032</v>
          </cell>
          <cell r="G5013">
            <v>160</v>
          </cell>
          <cell r="H5013" t="str">
            <v>singleron-3'全长转录组文库</v>
          </cell>
          <cell r="I5013" t="str">
            <v>XCL</v>
          </cell>
          <cell r="J5013">
            <v>20.2</v>
          </cell>
          <cell r="N5013" t="e">
            <v>#DIV/0!</v>
          </cell>
        </row>
        <row r="5014">
          <cell r="E5014" t="str">
            <v>HGC-Lib-2468737</v>
          </cell>
          <cell r="F5014" t="str">
            <v>LPMFTBA240821045</v>
          </cell>
          <cell r="G5014">
            <v>160</v>
          </cell>
          <cell r="H5014" t="str">
            <v>singleron-3'全长转录组文库</v>
          </cell>
          <cell r="I5014" t="str">
            <v>XCL</v>
          </cell>
          <cell r="J5014">
            <v>9.86</v>
          </cell>
          <cell r="N5014" t="e">
            <v>#DIV/0!</v>
          </cell>
        </row>
        <row r="5015">
          <cell r="E5015" t="str">
            <v>HGC-Lib-2468738</v>
          </cell>
          <cell r="F5015" t="str">
            <v>PMLPMC240823014</v>
          </cell>
          <cell r="G5015">
            <v>12</v>
          </cell>
          <cell r="H5015" t="str">
            <v>其他碱基不平衡文库</v>
          </cell>
          <cell r="I5015" t="str">
            <v>XCL</v>
          </cell>
          <cell r="J5015">
            <v>76.8</v>
          </cell>
          <cell r="N5015" t="e">
            <v>#DIV/0!</v>
          </cell>
        </row>
        <row r="5016">
          <cell r="E5016" t="str">
            <v>HGC-Lib-2468739</v>
          </cell>
          <cell r="F5016" t="str">
            <v>PMLPMC240822014</v>
          </cell>
          <cell r="G5016">
            <v>12</v>
          </cell>
          <cell r="H5016" t="str">
            <v>其他碱基不平衡文库</v>
          </cell>
          <cell r="I5016" t="str">
            <v>XCL</v>
          </cell>
          <cell r="J5016">
            <v>80.8</v>
          </cell>
          <cell r="N5016" t="e">
            <v>#DIV/0!</v>
          </cell>
        </row>
        <row r="5017">
          <cell r="E5017" t="str">
            <v>HGC-Lib-2468740</v>
          </cell>
          <cell r="F5017" t="str">
            <v>PMLPMFTBA240821032</v>
          </cell>
          <cell r="G5017">
            <v>12</v>
          </cell>
          <cell r="H5017" t="str">
            <v>其他碱基不平衡文库</v>
          </cell>
          <cell r="I5017" t="str">
            <v>XCL</v>
          </cell>
          <cell r="J5017">
            <v>59.6</v>
          </cell>
          <cell r="N5017" t="e">
            <v>#DIV/0!</v>
          </cell>
        </row>
        <row r="5018">
          <cell r="E5018" t="str">
            <v>HGC-Lib-2468741</v>
          </cell>
          <cell r="F5018" t="str">
            <v>PMLPMFTBA240821045</v>
          </cell>
          <cell r="G5018">
            <v>12</v>
          </cell>
          <cell r="H5018" t="str">
            <v>其他碱基不平衡文库</v>
          </cell>
          <cell r="I5018" t="str">
            <v>XCL</v>
          </cell>
          <cell r="J5018">
            <v>77.599999999999994</v>
          </cell>
          <cell r="N5018" t="e">
            <v>#DIV/0!</v>
          </cell>
        </row>
        <row r="5019">
          <cell r="E5019" t="str">
            <v>HGC-Lib-2468742</v>
          </cell>
          <cell r="F5019" t="str">
            <v>LA240821019</v>
          </cell>
          <cell r="G5019">
            <v>100</v>
          </cell>
          <cell r="H5019" t="str">
            <v>singleron-3'转录组文库</v>
          </cell>
          <cell r="I5019" t="str">
            <v>XCL</v>
          </cell>
          <cell r="J5019">
            <v>16.7</v>
          </cell>
          <cell r="N5019" t="e">
            <v>#DIV/0!</v>
          </cell>
        </row>
        <row r="5020">
          <cell r="E5020" t="str">
            <v>HGC-Lib-2468743</v>
          </cell>
          <cell r="F5020" t="str">
            <v>LA240821036</v>
          </cell>
          <cell r="G5020">
            <v>100</v>
          </cell>
          <cell r="H5020" t="str">
            <v>singleron-3'转录组文库</v>
          </cell>
          <cell r="I5020" t="str">
            <v>XCL</v>
          </cell>
          <cell r="J5020">
            <v>19.100000000000001</v>
          </cell>
          <cell r="N5020" t="e">
            <v>#DIV/0!</v>
          </cell>
        </row>
        <row r="5021">
          <cell r="E5021" t="str">
            <v>HGC-Lib-2468744</v>
          </cell>
          <cell r="F5021" t="str">
            <v>LA240822028</v>
          </cell>
          <cell r="G5021">
            <v>100</v>
          </cell>
          <cell r="H5021" t="str">
            <v>singleron-3'转录组文库</v>
          </cell>
          <cell r="I5021" t="str">
            <v>XCL</v>
          </cell>
          <cell r="J5021">
            <v>30.4</v>
          </cell>
          <cell r="N5021" t="e">
            <v>#DIV/0!</v>
          </cell>
        </row>
        <row r="5022">
          <cell r="E5022" t="str">
            <v>HGC-Lib-2468745</v>
          </cell>
          <cell r="F5022" t="str">
            <v>LA240822054</v>
          </cell>
          <cell r="G5022">
            <v>100</v>
          </cell>
          <cell r="H5022" t="str">
            <v>singleron-3'转录组文库</v>
          </cell>
          <cell r="I5022" t="str">
            <v>XCL</v>
          </cell>
          <cell r="J5022">
            <v>30.8</v>
          </cell>
          <cell r="N5022" t="e">
            <v>#DIV/0!</v>
          </cell>
        </row>
        <row r="5023">
          <cell r="E5023" t="str">
            <v>HGC-Lib-2468746</v>
          </cell>
          <cell r="F5023" t="str">
            <v>LC240821002</v>
          </cell>
          <cell r="G5023">
            <v>100</v>
          </cell>
          <cell r="H5023" t="str">
            <v>singleron-3'转录组文库</v>
          </cell>
          <cell r="I5023" t="str">
            <v>XCL</v>
          </cell>
          <cell r="J5023">
            <v>14.7</v>
          </cell>
          <cell r="N5023" t="e">
            <v>#DIV/0!</v>
          </cell>
        </row>
        <row r="5024">
          <cell r="E5024" t="str">
            <v>HGC-Lib-2468747</v>
          </cell>
          <cell r="F5024" t="str">
            <v>LHC240821037</v>
          </cell>
          <cell r="G5024">
            <v>200</v>
          </cell>
          <cell r="H5024" t="str">
            <v>singleron-3'转录组文库</v>
          </cell>
          <cell r="I5024" t="str">
            <v>XCL</v>
          </cell>
          <cell r="J5024">
            <v>20.8</v>
          </cell>
          <cell r="N5024" t="e">
            <v>#DIV/0!</v>
          </cell>
        </row>
        <row r="5025">
          <cell r="E5025" t="str">
            <v>HGC-Lib-2468748</v>
          </cell>
          <cell r="F5025" t="str">
            <v>LHC240821038</v>
          </cell>
          <cell r="G5025">
            <v>200</v>
          </cell>
          <cell r="H5025" t="str">
            <v>singleron-3'转录组文库</v>
          </cell>
          <cell r="I5025" t="str">
            <v>XCL</v>
          </cell>
          <cell r="J5025">
            <v>16.100000000000001</v>
          </cell>
          <cell r="N5025" t="e">
            <v>#DIV/0!</v>
          </cell>
        </row>
        <row r="5026">
          <cell r="E5026" t="str">
            <v>HGC-Lib-2468749</v>
          </cell>
          <cell r="F5026" t="str">
            <v>LC240821043</v>
          </cell>
          <cell r="G5026">
            <v>100</v>
          </cell>
          <cell r="H5026" t="str">
            <v>singleron-3'转录组文库</v>
          </cell>
          <cell r="I5026" t="str">
            <v>XCL</v>
          </cell>
          <cell r="J5026">
            <v>17.600000000000001</v>
          </cell>
          <cell r="N5026" t="e">
            <v>#DIV/0!</v>
          </cell>
        </row>
        <row r="5027">
          <cell r="E5027" t="str">
            <v>HGC-Lib-2468750</v>
          </cell>
          <cell r="F5027" t="str">
            <v>LC240822037X2</v>
          </cell>
          <cell r="G5027">
            <v>100</v>
          </cell>
          <cell r="H5027" t="str">
            <v>singleron-3'转录组文库</v>
          </cell>
          <cell r="I5027" t="str">
            <v>XCL</v>
          </cell>
          <cell r="J5027">
            <v>26.2</v>
          </cell>
          <cell r="N5027" t="e">
            <v>#DIV/0!</v>
          </cell>
        </row>
        <row r="5028">
          <cell r="E5028" t="str">
            <v>HGC-Lib-2468751</v>
          </cell>
          <cell r="F5028" t="str">
            <v>LA240821034</v>
          </cell>
          <cell r="G5028">
            <v>100</v>
          </cell>
          <cell r="H5028" t="str">
            <v>singleron-3'转录组文库</v>
          </cell>
          <cell r="I5028" t="str">
            <v>XCL</v>
          </cell>
          <cell r="J5028">
            <v>14.3</v>
          </cell>
          <cell r="N5028" t="e">
            <v>#DIV/0!</v>
          </cell>
        </row>
        <row r="5029">
          <cell r="E5029" t="str">
            <v>HGC-Lib-2468752</v>
          </cell>
          <cell r="F5029" t="str">
            <v>LA240822038FSX1</v>
          </cell>
          <cell r="G5029">
            <v>100</v>
          </cell>
          <cell r="H5029" t="str">
            <v>singleron-3'转录组文库</v>
          </cell>
          <cell r="I5029" t="str">
            <v>XCL</v>
          </cell>
          <cell r="J5029">
            <v>15.1</v>
          </cell>
          <cell r="N5029" t="e">
            <v>#DIV/0!</v>
          </cell>
        </row>
        <row r="5030">
          <cell r="E5030" t="str">
            <v>HGC-Lib-2468753</v>
          </cell>
          <cell r="F5030" t="str">
            <v>LA240822015FS</v>
          </cell>
          <cell r="G5030">
            <v>100</v>
          </cell>
          <cell r="H5030" t="str">
            <v>singleron-3'转录组文库</v>
          </cell>
          <cell r="I5030" t="str">
            <v>XCL</v>
          </cell>
          <cell r="J5030">
            <v>14.8</v>
          </cell>
          <cell r="N5030" t="e">
            <v>#DIV/0!</v>
          </cell>
        </row>
        <row r="5031">
          <cell r="E5031" t="str">
            <v>HGC-Lib-2468754</v>
          </cell>
          <cell r="F5031" t="str">
            <v>LC240823045X2</v>
          </cell>
          <cell r="G5031">
            <v>100</v>
          </cell>
          <cell r="H5031" t="str">
            <v>singleron-3'转录组文库</v>
          </cell>
          <cell r="I5031" t="str">
            <v>XCL</v>
          </cell>
          <cell r="J5031">
            <v>17.3</v>
          </cell>
          <cell r="N5031" t="e">
            <v>#DIV/0!</v>
          </cell>
        </row>
        <row r="5032">
          <cell r="E5032" t="str">
            <v>HGC-Lib-2468755</v>
          </cell>
          <cell r="F5032" t="str">
            <v>LC240823045X1</v>
          </cell>
          <cell r="G5032">
            <v>100</v>
          </cell>
          <cell r="H5032" t="str">
            <v>singleron-3'转录组文库</v>
          </cell>
          <cell r="I5032" t="str">
            <v>XCL</v>
          </cell>
          <cell r="J5032">
            <v>15.4</v>
          </cell>
          <cell r="N5032" t="e">
            <v>#DIV/0!</v>
          </cell>
        </row>
        <row r="5033">
          <cell r="E5033" t="str">
            <v>HGC-Lib-2468756</v>
          </cell>
          <cell r="F5033" t="str">
            <v>LDC240823016</v>
          </cell>
          <cell r="G5033">
            <v>50</v>
          </cell>
          <cell r="H5033" t="str">
            <v>singleron-3'转录组文库</v>
          </cell>
          <cell r="I5033" t="str">
            <v>XCL</v>
          </cell>
          <cell r="J5033">
            <v>15.6</v>
          </cell>
          <cell r="N5033" t="e">
            <v>#DIV/0!</v>
          </cell>
        </row>
        <row r="5034">
          <cell r="E5034" t="str">
            <v>HGC-Lib-2468757</v>
          </cell>
          <cell r="F5034" t="str">
            <v>LDC240823015</v>
          </cell>
          <cell r="G5034">
            <v>50</v>
          </cell>
          <cell r="H5034" t="str">
            <v>singleron-3'转录组文库</v>
          </cell>
          <cell r="I5034" t="str">
            <v>XCL</v>
          </cell>
          <cell r="J5034">
            <v>15</v>
          </cell>
          <cell r="N5034" t="e">
            <v>#DIV/0!</v>
          </cell>
        </row>
        <row r="5035">
          <cell r="E5035" t="str">
            <v>HGC-Lib-2468758</v>
          </cell>
          <cell r="F5035" t="str">
            <v>LA240818039X2</v>
          </cell>
          <cell r="G5035">
            <v>30</v>
          </cell>
          <cell r="H5035" t="str">
            <v>singleron-3'转录组文库</v>
          </cell>
          <cell r="I5035" t="str">
            <v>XCL</v>
          </cell>
          <cell r="J5035">
            <v>12.2</v>
          </cell>
          <cell r="N5035" t="e">
            <v>#DIV/0!</v>
          </cell>
        </row>
        <row r="5036">
          <cell r="E5036" t="str">
            <v>HGC-Lib-2468759</v>
          </cell>
          <cell r="F5036" t="str">
            <v>LA240818044X2</v>
          </cell>
          <cell r="G5036">
            <v>30</v>
          </cell>
          <cell r="H5036" t="str">
            <v>singleron-3'转录组文库</v>
          </cell>
          <cell r="I5036" t="str">
            <v>XCL</v>
          </cell>
          <cell r="J5036">
            <v>15.6</v>
          </cell>
          <cell r="N5036" t="e">
            <v>#DIV/0!</v>
          </cell>
        </row>
        <row r="5037">
          <cell r="E5037" t="str">
            <v>HGC-Lib-2468760</v>
          </cell>
          <cell r="F5037" t="str">
            <v>LA240818041X1</v>
          </cell>
          <cell r="G5037">
            <v>30</v>
          </cell>
          <cell r="H5037" t="str">
            <v>singleron-3'转录组文库</v>
          </cell>
          <cell r="I5037" t="str">
            <v>XCL</v>
          </cell>
          <cell r="J5037">
            <v>13.9</v>
          </cell>
          <cell r="N5037" t="e">
            <v>#DIV/0!</v>
          </cell>
        </row>
        <row r="5038">
          <cell r="E5038" t="str">
            <v>HGC-Lib-2468761</v>
          </cell>
          <cell r="F5038" t="str">
            <v>LA240818037X2</v>
          </cell>
          <cell r="G5038">
            <v>30</v>
          </cell>
          <cell r="H5038" t="str">
            <v>singleron-3'转录组文库</v>
          </cell>
          <cell r="I5038" t="str">
            <v>XCL</v>
          </cell>
          <cell r="J5038">
            <v>12.8</v>
          </cell>
          <cell r="N5038" t="e">
            <v>#DIV/0!</v>
          </cell>
        </row>
        <row r="5039">
          <cell r="E5039" t="str">
            <v>HGC-Lib-2468762</v>
          </cell>
          <cell r="F5039" t="str">
            <v>LA240818038X1</v>
          </cell>
          <cell r="G5039">
            <v>30</v>
          </cell>
          <cell r="H5039" t="str">
            <v>singleron-3'转录组文库</v>
          </cell>
          <cell r="I5039" t="str">
            <v>XCL</v>
          </cell>
          <cell r="J5039">
            <v>11.7</v>
          </cell>
          <cell r="N5039" t="e">
            <v>#DIV/0!</v>
          </cell>
        </row>
        <row r="5040">
          <cell r="E5040" t="str">
            <v>HGC-Lib-2468763</v>
          </cell>
          <cell r="F5040" t="str">
            <v>LA240818043X1</v>
          </cell>
          <cell r="G5040">
            <v>30</v>
          </cell>
          <cell r="H5040" t="str">
            <v>singleron-3'转录组文库</v>
          </cell>
          <cell r="I5040" t="str">
            <v>XCL</v>
          </cell>
          <cell r="J5040">
            <v>16.100000000000001</v>
          </cell>
          <cell r="N5040" t="e">
            <v>#DIV/0!</v>
          </cell>
        </row>
        <row r="5041">
          <cell r="E5041" t="str">
            <v>HGC-Lib-2468764</v>
          </cell>
          <cell r="F5041" t="str">
            <v>LA240818040X1</v>
          </cell>
          <cell r="G5041">
            <v>30</v>
          </cell>
          <cell r="H5041" t="str">
            <v>singleron-3'转录组文库</v>
          </cell>
          <cell r="I5041" t="str">
            <v>XCL</v>
          </cell>
          <cell r="J5041">
            <v>17.600000000000001</v>
          </cell>
          <cell r="N5041" t="e">
            <v>#DIV/0!</v>
          </cell>
        </row>
        <row r="5042">
          <cell r="E5042" t="str">
            <v>HGC-Lib-2468765</v>
          </cell>
          <cell r="F5042" t="str">
            <v>LA240818036X2</v>
          </cell>
          <cell r="G5042">
            <v>100</v>
          </cell>
          <cell r="H5042" t="str">
            <v>singleron-3'转录组文库</v>
          </cell>
          <cell r="I5042" t="str">
            <v>XCL</v>
          </cell>
          <cell r="J5042">
            <v>9.58</v>
          </cell>
          <cell r="N5042" t="e">
            <v>#DIV/0!</v>
          </cell>
        </row>
        <row r="5043">
          <cell r="E5043" t="str">
            <v>HGC-Lib-2468766</v>
          </cell>
          <cell r="F5043" t="str">
            <v>LA240818042X2</v>
          </cell>
          <cell r="G5043">
            <v>30</v>
          </cell>
          <cell r="H5043" t="str">
            <v>singleron-3'转录组文库</v>
          </cell>
          <cell r="I5043" t="str">
            <v>XCL</v>
          </cell>
          <cell r="J5043">
            <v>14.3</v>
          </cell>
          <cell r="N5043" t="e">
            <v>#DIV/0!</v>
          </cell>
        </row>
        <row r="5044">
          <cell r="E5044" t="str">
            <v>HGC-Lib-2468767</v>
          </cell>
          <cell r="F5044" t="str">
            <v>LA240823044</v>
          </cell>
          <cell r="G5044">
            <v>100</v>
          </cell>
          <cell r="H5044" t="str">
            <v>singleron-3'转录组文库</v>
          </cell>
          <cell r="I5044" t="str">
            <v>XCL</v>
          </cell>
          <cell r="J5044">
            <v>13.4</v>
          </cell>
          <cell r="N5044" t="e">
            <v>#DIV/0!</v>
          </cell>
        </row>
        <row r="5045">
          <cell r="E5045" t="str">
            <v>HGC-Lib-2468768</v>
          </cell>
          <cell r="F5045" t="str">
            <v>LC240821030</v>
          </cell>
          <cell r="G5045">
            <v>90</v>
          </cell>
          <cell r="H5045" t="str">
            <v>singleron-3'转录组文库</v>
          </cell>
          <cell r="I5045" t="str">
            <v>XCL</v>
          </cell>
          <cell r="J5045">
            <v>14.3</v>
          </cell>
          <cell r="N5045" t="e">
            <v>#DIV/0!</v>
          </cell>
        </row>
        <row r="5046">
          <cell r="E5046" t="str">
            <v>HGC-Lib-2468769</v>
          </cell>
          <cell r="F5046" t="str">
            <v>LA240822053</v>
          </cell>
          <cell r="G5046">
            <v>90</v>
          </cell>
          <cell r="H5046" t="str">
            <v>singleron-3'转录组文库</v>
          </cell>
          <cell r="I5046" t="str">
            <v>XCL</v>
          </cell>
          <cell r="J5046">
            <v>28.4</v>
          </cell>
          <cell r="N5046" t="e">
            <v>#DIV/0!</v>
          </cell>
        </row>
        <row r="5047">
          <cell r="E5047" t="str">
            <v>HGC-Lib-2468770</v>
          </cell>
          <cell r="F5047" t="str">
            <v>LA240822042</v>
          </cell>
          <cell r="G5047">
            <v>90</v>
          </cell>
          <cell r="H5047" t="str">
            <v>singleron-3'转录组文库</v>
          </cell>
          <cell r="I5047" t="str">
            <v>XCL</v>
          </cell>
          <cell r="J5047">
            <v>29.8</v>
          </cell>
          <cell r="N5047" t="e">
            <v>#DIV/0!</v>
          </cell>
        </row>
        <row r="5048">
          <cell r="E5048" t="str">
            <v>HGC-Lib-2468771</v>
          </cell>
          <cell r="F5048" t="str">
            <v>LA240821007</v>
          </cell>
          <cell r="G5048">
            <v>90</v>
          </cell>
          <cell r="H5048" t="str">
            <v>singleron-3'转录组文库</v>
          </cell>
          <cell r="I5048" t="str">
            <v>XCL</v>
          </cell>
          <cell r="J5048">
            <v>17.600000000000001</v>
          </cell>
          <cell r="N5048" t="e">
            <v>#DIV/0!</v>
          </cell>
        </row>
        <row r="5049">
          <cell r="E5049" t="str">
            <v>HGC-Lib-2468772</v>
          </cell>
          <cell r="F5049" t="str">
            <v>LA240821022</v>
          </cell>
          <cell r="G5049">
            <v>90</v>
          </cell>
          <cell r="H5049" t="str">
            <v>singleron-3'转录组文库</v>
          </cell>
          <cell r="I5049" t="str">
            <v>XCL</v>
          </cell>
          <cell r="J5049">
            <v>7.26</v>
          </cell>
          <cell r="N5049" t="e">
            <v>#DIV/0!</v>
          </cell>
        </row>
        <row r="5050">
          <cell r="E5050" t="str">
            <v>HGC-Lib-2468773</v>
          </cell>
          <cell r="F5050" t="str">
            <v>LA240821028</v>
          </cell>
          <cell r="G5050">
            <v>90</v>
          </cell>
          <cell r="H5050" t="str">
            <v>singleron-3'转录组文库</v>
          </cell>
          <cell r="I5050" t="str">
            <v>XCL</v>
          </cell>
          <cell r="J5050">
            <v>20.399999999999999</v>
          </cell>
          <cell r="N5050" t="e">
            <v>#DIV/0!</v>
          </cell>
        </row>
        <row r="5051">
          <cell r="E5051" t="str">
            <v>HGC-Lib-2468774</v>
          </cell>
          <cell r="F5051" t="str">
            <v>LA240821027</v>
          </cell>
          <cell r="G5051">
            <v>90</v>
          </cell>
          <cell r="H5051" t="str">
            <v>singleron-3'转录组文库</v>
          </cell>
          <cell r="I5051" t="str">
            <v>XCL</v>
          </cell>
          <cell r="J5051">
            <v>21.2</v>
          </cell>
          <cell r="N5051" t="e">
            <v>#DIV/0!</v>
          </cell>
        </row>
        <row r="5052">
          <cell r="E5052" t="str">
            <v>HGC-Lib-2468775</v>
          </cell>
          <cell r="F5052" t="str">
            <v>LA240821023</v>
          </cell>
          <cell r="G5052">
            <v>90</v>
          </cell>
          <cell r="H5052" t="str">
            <v>singleron-3'转录组文库</v>
          </cell>
          <cell r="I5052" t="str">
            <v>XCL</v>
          </cell>
          <cell r="J5052">
            <v>9.06</v>
          </cell>
          <cell r="N5052" t="e">
            <v>#DIV/0!</v>
          </cell>
        </row>
        <row r="5053">
          <cell r="E5053" t="str">
            <v>HGC-Lib-2468776</v>
          </cell>
          <cell r="F5053" t="str">
            <v>LA240821026</v>
          </cell>
          <cell r="G5053">
            <v>90</v>
          </cell>
          <cell r="H5053" t="str">
            <v>singleron-3'转录组文库</v>
          </cell>
          <cell r="I5053" t="str">
            <v>XCL</v>
          </cell>
          <cell r="J5053">
            <v>13.4</v>
          </cell>
          <cell r="N5053" t="e">
            <v>#DIV/0!</v>
          </cell>
        </row>
        <row r="5054">
          <cell r="E5054" t="str">
            <v>HGC-Lib-2468777</v>
          </cell>
          <cell r="F5054" t="str">
            <v>LA240821025</v>
          </cell>
          <cell r="G5054">
            <v>90</v>
          </cell>
          <cell r="H5054" t="str">
            <v>singleron-3'转录组文库</v>
          </cell>
          <cell r="I5054" t="str">
            <v>XCL</v>
          </cell>
          <cell r="J5054">
            <v>13</v>
          </cell>
          <cell r="N5054" t="e">
            <v>#DIV/0!</v>
          </cell>
        </row>
        <row r="5055">
          <cell r="E5055" t="str">
            <v>HGC-Lib-2468778</v>
          </cell>
          <cell r="F5055" t="str">
            <v>LA240821024</v>
          </cell>
          <cell r="G5055">
            <v>90</v>
          </cell>
          <cell r="H5055" t="str">
            <v>singleron-3'转录组文库</v>
          </cell>
          <cell r="I5055" t="str">
            <v>TY</v>
          </cell>
          <cell r="J5055">
            <v>14.7</v>
          </cell>
          <cell r="N5055" t="e">
            <v>#DIV/0!</v>
          </cell>
        </row>
        <row r="5056">
          <cell r="E5056" t="str">
            <v>HGC-Lib-2468779</v>
          </cell>
          <cell r="F5056" t="str">
            <v>LA240821021</v>
          </cell>
          <cell r="G5056">
            <v>90</v>
          </cell>
          <cell r="H5056" t="str">
            <v>singleron-3'转录组文库</v>
          </cell>
          <cell r="I5056" t="str">
            <v>TY</v>
          </cell>
          <cell r="J5056">
            <v>12.6</v>
          </cell>
          <cell r="N5056" t="e">
            <v>#DIV/0!</v>
          </cell>
        </row>
        <row r="5057">
          <cell r="E5057" t="str">
            <v>HGC-Lib-2468780</v>
          </cell>
          <cell r="F5057" t="str">
            <v>LPMC240823014</v>
          </cell>
          <cell r="G5057">
            <v>80</v>
          </cell>
          <cell r="H5057" t="str">
            <v>singleron-3'转录组文库</v>
          </cell>
          <cell r="I5057" t="str">
            <v>TY</v>
          </cell>
          <cell r="J5057">
            <v>20.399999999999999</v>
          </cell>
          <cell r="N5057" t="e">
            <v>#DIV/0!</v>
          </cell>
        </row>
        <row r="5058">
          <cell r="E5058" t="str">
            <v>HGC-Lib-2468781</v>
          </cell>
          <cell r="F5058" t="str">
            <v>LPMC240822014</v>
          </cell>
          <cell r="G5058">
            <v>80</v>
          </cell>
          <cell r="H5058" t="str">
            <v>singleron-3'转录组文库</v>
          </cell>
          <cell r="I5058" t="str">
            <v>TY</v>
          </cell>
          <cell r="J5058">
            <v>12.8</v>
          </cell>
          <cell r="N5058" t="e">
            <v>#DIV/0!</v>
          </cell>
        </row>
        <row r="5059">
          <cell r="E5059" t="str">
            <v>HGC-Lib-2468782</v>
          </cell>
          <cell r="F5059" t="str">
            <v>LA240822043</v>
          </cell>
          <cell r="G5059">
            <v>90</v>
          </cell>
          <cell r="H5059" t="str">
            <v>singleron-3'转录组文库</v>
          </cell>
          <cell r="I5059" t="str">
            <v>TY</v>
          </cell>
          <cell r="J5059">
            <v>27.8</v>
          </cell>
          <cell r="N5059" t="e">
            <v>#DIV/0!</v>
          </cell>
        </row>
        <row r="5060">
          <cell r="E5060" t="str">
            <v>HGC-Lib-2468783</v>
          </cell>
          <cell r="F5060" t="str">
            <v>LA240822044</v>
          </cell>
          <cell r="G5060">
            <v>90</v>
          </cell>
          <cell r="H5060" t="str">
            <v>singleron-3'转录组文库</v>
          </cell>
          <cell r="I5060" t="str">
            <v>TY</v>
          </cell>
          <cell r="J5060">
            <v>24.4</v>
          </cell>
          <cell r="N5060" t="e">
            <v>#DIV/0!</v>
          </cell>
        </row>
        <row r="5061">
          <cell r="E5061" t="str">
            <v>HGC-Lib-2468784</v>
          </cell>
          <cell r="F5061" t="str">
            <v>LC240822041</v>
          </cell>
          <cell r="G5061">
            <v>100</v>
          </cell>
          <cell r="H5061" t="str">
            <v>singleron-3'转录组文库</v>
          </cell>
          <cell r="I5061" t="str">
            <v>TY</v>
          </cell>
          <cell r="J5061">
            <v>12.7</v>
          </cell>
          <cell r="N5061" t="e">
            <v>#DIV/0!</v>
          </cell>
        </row>
        <row r="5062">
          <cell r="E5062" t="str">
            <v>HGC-Lib-2468785</v>
          </cell>
          <cell r="F5062" t="str">
            <v>LC240719019</v>
          </cell>
          <cell r="G5062">
            <v>100</v>
          </cell>
          <cell r="H5062" t="str">
            <v>singleron-3'转录组文库</v>
          </cell>
          <cell r="I5062" t="str">
            <v>TY</v>
          </cell>
          <cell r="J5062">
            <v>14.9</v>
          </cell>
          <cell r="N5062" t="e">
            <v>#DIV/0!</v>
          </cell>
        </row>
        <row r="5063">
          <cell r="E5063" t="str">
            <v>HGC-Lib-2468786</v>
          </cell>
          <cell r="F5063" t="str">
            <v>LC240719028</v>
          </cell>
          <cell r="G5063">
            <v>100</v>
          </cell>
          <cell r="H5063" t="str">
            <v>singleron-3'转录组文库</v>
          </cell>
          <cell r="I5063" t="str">
            <v>TY</v>
          </cell>
          <cell r="J5063">
            <v>16.5</v>
          </cell>
          <cell r="N5063" t="e">
            <v>#DIV/0!</v>
          </cell>
        </row>
        <row r="5064">
          <cell r="E5064" t="str">
            <v>HGC-Lib-2468787</v>
          </cell>
          <cell r="F5064" t="str">
            <v>LC240719026</v>
          </cell>
          <cell r="G5064">
            <v>100</v>
          </cell>
          <cell r="H5064" t="str">
            <v>singleron-3'转录组文库</v>
          </cell>
          <cell r="I5064" t="str">
            <v>TY</v>
          </cell>
          <cell r="J5064">
            <v>15.9</v>
          </cell>
          <cell r="N5064" t="e">
            <v>#DIV/0!</v>
          </cell>
        </row>
        <row r="5065">
          <cell r="E5065" t="str">
            <v>HGC-Lib-2468788</v>
          </cell>
          <cell r="F5065" t="str">
            <v>LC240719025</v>
          </cell>
          <cell r="G5065">
            <v>100</v>
          </cell>
          <cell r="H5065" t="str">
            <v>singleron-3'转录组文库</v>
          </cell>
          <cell r="I5065" t="str">
            <v>TY</v>
          </cell>
          <cell r="J5065">
            <v>15.2</v>
          </cell>
          <cell r="N5065" t="e">
            <v>#DIV/0!</v>
          </cell>
        </row>
        <row r="5066">
          <cell r="E5066" t="str">
            <v>HGC-Lib-2468789</v>
          </cell>
          <cell r="F5066" t="str">
            <v>LC240719023</v>
          </cell>
          <cell r="G5066">
            <v>100</v>
          </cell>
          <cell r="H5066" t="str">
            <v>singleron-3'转录组文库</v>
          </cell>
          <cell r="I5066" t="str">
            <v>TY</v>
          </cell>
          <cell r="J5066">
            <v>15.6</v>
          </cell>
          <cell r="N5066" t="e">
            <v>#DIV/0!</v>
          </cell>
        </row>
        <row r="5067">
          <cell r="E5067" t="str">
            <v>HGC-Lib-2468790</v>
          </cell>
          <cell r="F5067" t="str">
            <v>LC240719018</v>
          </cell>
          <cell r="G5067">
            <v>100</v>
          </cell>
          <cell r="H5067" t="str">
            <v>singleron-3'转录组文库</v>
          </cell>
          <cell r="I5067" t="str">
            <v>TY</v>
          </cell>
          <cell r="J5067">
            <v>16.7</v>
          </cell>
          <cell r="N5067" t="e">
            <v>#DIV/0!</v>
          </cell>
        </row>
        <row r="5068">
          <cell r="E5068" t="str">
            <v>HGC-Lib-2468791</v>
          </cell>
          <cell r="F5068" t="str">
            <v>LC240719024</v>
          </cell>
          <cell r="G5068">
            <v>100</v>
          </cell>
          <cell r="H5068" t="str">
            <v>singleron-3'转录组文库</v>
          </cell>
          <cell r="I5068" t="str">
            <v>TY</v>
          </cell>
          <cell r="J5068">
            <v>15</v>
          </cell>
          <cell r="N5068" t="e">
            <v>#DIV/0!</v>
          </cell>
        </row>
        <row r="5069">
          <cell r="E5069" t="str">
            <v>HGC-Lib-2468792</v>
          </cell>
          <cell r="F5069" t="str">
            <v>LC240719027</v>
          </cell>
          <cell r="G5069">
            <v>100</v>
          </cell>
          <cell r="H5069" t="str">
            <v>singleron-3'转录组文库</v>
          </cell>
          <cell r="I5069" t="str">
            <v>TY</v>
          </cell>
          <cell r="J5069">
            <v>15.1</v>
          </cell>
          <cell r="N5069" t="e">
            <v>#DIV/0!</v>
          </cell>
        </row>
        <row r="5070">
          <cell r="E5070" t="str">
            <v>HGC-Lib-2468793</v>
          </cell>
          <cell r="F5070" t="str">
            <v>LC240719020</v>
          </cell>
          <cell r="G5070">
            <v>100</v>
          </cell>
          <cell r="H5070" t="str">
            <v>singleron-3'转录组文库</v>
          </cell>
          <cell r="I5070" t="str">
            <v>TY</v>
          </cell>
          <cell r="J5070">
            <v>15.4</v>
          </cell>
          <cell r="N5070" t="e">
            <v>#DIV/0!</v>
          </cell>
        </row>
        <row r="5071">
          <cell r="E5071" t="str">
            <v>HGC-Lib-2468795</v>
          </cell>
          <cell r="F5071" t="str">
            <v>R240826001</v>
          </cell>
          <cell r="G5071">
            <v>32</v>
          </cell>
          <cell r="H5071" t="str">
            <v>singleron-3'转录组文库</v>
          </cell>
          <cell r="I5071" t="str">
            <v>TY</v>
          </cell>
          <cell r="J5071">
            <v>21.8</v>
          </cell>
          <cell r="N5071" t="e">
            <v>#DIV/0!</v>
          </cell>
        </row>
        <row r="5072">
          <cell r="E5072" t="str">
            <v>HGC-Lib-2469003</v>
          </cell>
          <cell r="F5072" t="str">
            <v>LA240718009</v>
          </cell>
          <cell r="G5072">
            <v>100</v>
          </cell>
          <cell r="H5072" t="str">
            <v>singleron-3'转录组文库</v>
          </cell>
          <cell r="I5072" t="str">
            <v>TY</v>
          </cell>
          <cell r="J5072">
            <v>12.6</v>
          </cell>
          <cell r="N5072" t="e">
            <v>#DIV/0!</v>
          </cell>
        </row>
        <row r="5073">
          <cell r="E5073" t="str">
            <v>HGC-Lib-2468825</v>
          </cell>
          <cell r="F5073" t="str">
            <v>LR240712R-0064A</v>
          </cell>
          <cell r="G5073">
            <v>15</v>
          </cell>
          <cell r="H5073" t="str">
            <v>宏转录组文库</v>
          </cell>
          <cell r="I5073" t="str">
            <v>XCL</v>
          </cell>
          <cell r="J5073">
            <v>23.4</v>
          </cell>
          <cell r="N5073" t="e">
            <v>#DIV/0!</v>
          </cell>
        </row>
        <row r="5074">
          <cell r="E5074" t="str">
            <v>HGC-Lib-2468826</v>
          </cell>
          <cell r="F5074" t="str">
            <v>LR240712R-0065A</v>
          </cell>
          <cell r="G5074">
            <v>15</v>
          </cell>
          <cell r="H5074" t="str">
            <v>宏转录组文库</v>
          </cell>
          <cell r="I5074" t="str">
            <v>XCL</v>
          </cell>
          <cell r="J5074">
            <v>6.94</v>
          </cell>
          <cell r="N5074" t="e">
            <v>#DIV/0!</v>
          </cell>
        </row>
        <row r="5075">
          <cell r="E5075" t="str">
            <v>HGC-Lib-2468827</v>
          </cell>
          <cell r="F5075" t="str">
            <v>LR240712R-0066A</v>
          </cell>
          <cell r="G5075">
            <v>15</v>
          </cell>
          <cell r="H5075" t="str">
            <v>宏转录组文库</v>
          </cell>
          <cell r="I5075" t="str">
            <v>XCL</v>
          </cell>
          <cell r="J5075">
            <v>15.5</v>
          </cell>
          <cell r="N5075" t="e">
            <v>#DIV/0!</v>
          </cell>
        </row>
        <row r="5076">
          <cell r="E5076" t="str">
            <v>HGC-Lib-2468828</v>
          </cell>
          <cell r="F5076" t="str">
            <v>LR240712R-0067A</v>
          </cell>
          <cell r="G5076">
            <v>15</v>
          </cell>
          <cell r="H5076" t="str">
            <v>宏转录组文库</v>
          </cell>
          <cell r="I5076" t="str">
            <v>XCL</v>
          </cell>
          <cell r="J5076">
            <v>87.4</v>
          </cell>
          <cell r="N5076" t="e">
            <v>#DIV/0!</v>
          </cell>
        </row>
        <row r="5077">
          <cell r="E5077" t="str">
            <v>HGC-Lib-2468829</v>
          </cell>
          <cell r="F5077" t="str">
            <v>LR240712R-0068A</v>
          </cell>
          <cell r="G5077">
            <v>15</v>
          </cell>
          <cell r="H5077" t="str">
            <v>宏转录组文库</v>
          </cell>
          <cell r="I5077" t="str">
            <v>XCL</v>
          </cell>
          <cell r="J5077">
            <v>16.100000000000001</v>
          </cell>
          <cell r="N5077" t="e">
            <v>#DIV/0!</v>
          </cell>
        </row>
        <row r="5078">
          <cell r="E5078" t="str">
            <v>HGC-Lib-2468830</v>
          </cell>
          <cell r="F5078" t="str">
            <v>LR240712R-0069A</v>
          </cell>
          <cell r="G5078">
            <v>15</v>
          </cell>
          <cell r="H5078" t="str">
            <v>宏转录组文库</v>
          </cell>
          <cell r="I5078" t="str">
            <v>XCL</v>
          </cell>
          <cell r="J5078">
            <v>10.8</v>
          </cell>
          <cell r="N5078" t="e">
            <v>#DIV/0!</v>
          </cell>
        </row>
        <row r="5079">
          <cell r="E5079" t="str">
            <v>HGC-Lib-2468831</v>
          </cell>
          <cell r="F5079" t="str">
            <v>LR240712R-0070A</v>
          </cell>
          <cell r="G5079">
            <v>15</v>
          </cell>
          <cell r="H5079" t="str">
            <v>宏转录组文库</v>
          </cell>
          <cell r="I5079" t="str">
            <v>XCL</v>
          </cell>
          <cell r="J5079">
            <v>19.399999999999999</v>
          </cell>
          <cell r="N5079" t="e">
            <v>#DIV/0!</v>
          </cell>
        </row>
        <row r="5080">
          <cell r="E5080" t="str">
            <v>HGC-Lib-2468832</v>
          </cell>
          <cell r="F5080" t="str">
            <v>LR240712R-0071A</v>
          </cell>
          <cell r="G5080">
            <v>15</v>
          </cell>
          <cell r="H5080" t="str">
            <v>宏转录组文库</v>
          </cell>
          <cell r="I5080" t="str">
            <v>XCL</v>
          </cell>
          <cell r="J5080">
            <v>21.2</v>
          </cell>
          <cell r="N5080" t="e">
            <v>#DIV/0!</v>
          </cell>
        </row>
        <row r="5081">
          <cell r="E5081" t="str">
            <v>HGC-Lib-2468833</v>
          </cell>
          <cell r="F5081" t="str">
            <v>LR240712R-0072A</v>
          </cell>
          <cell r="G5081">
            <v>15</v>
          </cell>
          <cell r="H5081" t="str">
            <v>宏转录组文库</v>
          </cell>
          <cell r="I5081" t="str">
            <v>XCL</v>
          </cell>
          <cell r="J5081">
            <v>17</v>
          </cell>
          <cell r="N5081" t="e">
            <v>#DIV/0!</v>
          </cell>
        </row>
        <row r="5082">
          <cell r="E5082" t="str">
            <v>HGC-Lib-2468834</v>
          </cell>
          <cell r="F5082" t="str">
            <v>LR240718O-1669A</v>
          </cell>
          <cell r="G5082">
            <v>15</v>
          </cell>
          <cell r="H5082" t="str">
            <v>宏转录组文库</v>
          </cell>
          <cell r="I5082" t="str">
            <v>XCL</v>
          </cell>
          <cell r="J5082">
            <v>7.96</v>
          </cell>
          <cell r="N5082" t="e">
            <v>#DIV/0!</v>
          </cell>
        </row>
        <row r="5083">
          <cell r="E5083" t="str">
            <v>HGC-Lib-2468835</v>
          </cell>
          <cell r="F5083" t="str">
            <v>LR240802O-1050A</v>
          </cell>
          <cell r="G5083">
            <v>15</v>
          </cell>
          <cell r="H5083" t="str">
            <v>宏转录组文库</v>
          </cell>
          <cell r="I5083" t="str">
            <v>XCL</v>
          </cell>
          <cell r="J5083">
            <v>18.5</v>
          </cell>
          <cell r="N5083" t="e">
            <v>#DIV/0!</v>
          </cell>
        </row>
        <row r="5084">
          <cell r="E5084" t="str">
            <v>HGC-Lib-2468836</v>
          </cell>
          <cell r="F5084" t="str">
            <v>LD230418O-2211A</v>
          </cell>
          <cell r="G5084">
            <v>10</v>
          </cell>
          <cell r="H5084" t="str">
            <v>DNA宏基因组文库</v>
          </cell>
          <cell r="I5084" t="str">
            <v>XCL</v>
          </cell>
          <cell r="J5084">
            <v>75.400000000000006</v>
          </cell>
          <cell r="N5084" t="e">
            <v>#DIV/0!</v>
          </cell>
        </row>
        <row r="5085">
          <cell r="E5085" t="str">
            <v>HGC-Lib-2468837</v>
          </cell>
          <cell r="F5085" t="str">
            <v>LD230418O-2212A</v>
          </cell>
          <cell r="G5085">
            <v>10</v>
          </cell>
          <cell r="H5085" t="str">
            <v>DNA宏基因组文库</v>
          </cell>
          <cell r="I5085" t="str">
            <v>XCL</v>
          </cell>
          <cell r="J5085">
            <v>36.799999999999997</v>
          </cell>
          <cell r="N5085" t="e">
            <v>#DIV/0!</v>
          </cell>
        </row>
        <row r="5086">
          <cell r="E5086" t="str">
            <v>HGC-Lib-2468838</v>
          </cell>
          <cell r="F5086" t="str">
            <v>LD230418O-2213A</v>
          </cell>
          <cell r="G5086">
            <v>10</v>
          </cell>
          <cell r="H5086" t="str">
            <v>DNA宏基因组文库</v>
          </cell>
          <cell r="I5086" t="str">
            <v>XCL</v>
          </cell>
          <cell r="J5086">
            <v>3</v>
          </cell>
          <cell r="N5086" t="e">
            <v>#DIV/0!</v>
          </cell>
        </row>
        <row r="5087">
          <cell r="E5087" t="str">
            <v>HGC-Lib-2468839</v>
          </cell>
          <cell r="F5087" t="str">
            <v>LD230418O-2215A</v>
          </cell>
          <cell r="G5087">
            <v>10</v>
          </cell>
          <cell r="H5087" t="str">
            <v>DNA宏基因组文库</v>
          </cell>
          <cell r="I5087" t="str">
            <v>XCL</v>
          </cell>
          <cell r="J5087">
            <v>71</v>
          </cell>
          <cell r="N5087" t="e">
            <v>#DIV/0!</v>
          </cell>
        </row>
        <row r="5088">
          <cell r="E5088" t="str">
            <v>HGC-Lib-2468840</v>
          </cell>
          <cell r="F5088" t="str">
            <v>LD230418O-2216A</v>
          </cell>
          <cell r="G5088">
            <v>10</v>
          </cell>
          <cell r="H5088" t="str">
            <v>DNA宏基因组文库</v>
          </cell>
          <cell r="I5088" t="str">
            <v>XCL</v>
          </cell>
          <cell r="J5088">
            <v>58.6</v>
          </cell>
          <cell r="N5088" t="e">
            <v>#DIV/0!</v>
          </cell>
        </row>
        <row r="5089">
          <cell r="E5089" t="str">
            <v>HGC-Lib-2468841</v>
          </cell>
          <cell r="F5089" t="str">
            <v>LD230419O-0557A</v>
          </cell>
          <cell r="G5089">
            <v>10</v>
          </cell>
          <cell r="H5089" t="str">
            <v>DNA宏基因组文库</v>
          </cell>
          <cell r="I5089" t="str">
            <v>XCL</v>
          </cell>
          <cell r="J5089">
            <v>3.48</v>
          </cell>
          <cell r="N5089" t="e">
            <v>#DIV/0!</v>
          </cell>
        </row>
        <row r="5090">
          <cell r="E5090" t="str">
            <v>HGC-Lib-2468842</v>
          </cell>
          <cell r="F5090" t="str">
            <v>LD240730O-2272A</v>
          </cell>
          <cell r="G5090">
            <v>10</v>
          </cell>
          <cell r="H5090" t="str">
            <v>DNA病毒组文库</v>
          </cell>
          <cell r="I5090" t="str">
            <v>XCL</v>
          </cell>
          <cell r="J5090">
            <v>8.32</v>
          </cell>
          <cell r="N5090" t="e">
            <v>#DIV/0!</v>
          </cell>
        </row>
        <row r="5091">
          <cell r="E5091" t="str">
            <v>HGC-Lib-2468843</v>
          </cell>
          <cell r="F5091" t="str">
            <v>LD240730O-2273A</v>
          </cell>
          <cell r="G5091">
            <v>10</v>
          </cell>
          <cell r="H5091" t="str">
            <v>DNA病毒组文库</v>
          </cell>
          <cell r="I5091" t="str">
            <v>XCL</v>
          </cell>
          <cell r="J5091">
            <v>6</v>
          </cell>
          <cell r="N5091" t="e">
            <v>#DIV/0!</v>
          </cell>
        </row>
        <row r="5092">
          <cell r="E5092" t="str">
            <v>HGC-Lib-2468844</v>
          </cell>
          <cell r="F5092" t="str">
            <v>LD240730O-2274A</v>
          </cell>
          <cell r="G5092">
            <v>10</v>
          </cell>
          <cell r="H5092" t="str">
            <v>DNA病毒组文库</v>
          </cell>
          <cell r="I5092" t="str">
            <v>XCL</v>
          </cell>
          <cell r="J5092">
            <v>8.48</v>
          </cell>
          <cell r="N5092" t="e">
            <v>#DIV/0!</v>
          </cell>
        </row>
        <row r="5093">
          <cell r="E5093" t="str">
            <v>HGC-Lib-2468845</v>
          </cell>
          <cell r="F5093" t="str">
            <v>LD240730O-2275A</v>
          </cell>
          <cell r="G5093">
            <v>10</v>
          </cell>
          <cell r="H5093" t="str">
            <v>DNA病毒组文库</v>
          </cell>
          <cell r="I5093" t="str">
            <v>XCL</v>
          </cell>
          <cell r="J5093">
            <v>5.84</v>
          </cell>
          <cell r="N5093" t="e">
            <v>#DIV/0!</v>
          </cell>
        </row>
        <row r="5094">
          <cell r="E5094" t="str">
            <v>HGC-Lib-2468846</v>
          </cell>
          <cell r="F5094" t="str">
            <v>LD240730O-2276A</v>
          </cell>
          <cell r="G5094">
            <v>10</v>
          </cell>
          <cell r="H5094" t="str">
            <v>DNA病毒组文库</v>
          </cell>
          <cell r="I5094" t="str">
            <v>XCL</v>
          </cell>
          <cell r="J5094">
            <v>6.14</v>
          </cell>
          <cell r="N5094" t="e">
            <v>#DIV/0!</v>
          </cell>
        </row>
        <row r="5095">
          <cell r="E5095" t="str">
            <v>HGC-Lib-2468847</v>
          </cell>
          <cell r="F5095" t="str">
            <v>LD240807O-3186A</v>
          </cell>
          <cell r="G5095">
            <v>20</v>
          </cell>
          <cell r="H5095" t="str">
            <v>DNA宏基因组文库</v>
          </cell>
          <cell r="I5095" t="str">
            <v>XCL</v>
          </cell>
          <cell r="J5095">
            <v>46.2</v>
          </cell>
          <cell r="N5095" t="e">
            <v>#DIV/0!</v>
          </cell>
        </row>
        <row r="5096">
          <cell r="E5096" t="str">
            <v>HGC-Lib-2468848</v>
          </cell>
          <cell r="F5096" t="str">
            <v>LD240807O-3187A</v>
          </cell>
          <cell r="G5096">
            <v>20</v>
          </cell>
          <cell r="H5096" t="str">
            <v>DNA宏基因组文库</v>
          </cell>
          <cell r="I5096" t="str">
            <v>XCL</v>
          </cell>
          <cell r="J5096">
            <v>18.899999999999999</v>
          </cell>
          <cell r="N5096" t="e">
            <v>#DIV/0!</v>
          </cell>
        </row>
        <row r="5097">
          <cell r="E5097" t="str">
            <v>HGC-Lib-2468849</v>
          </cell>
          <cell r="F5097" t="str">
            <v>LD240716R-0117C</v>
          </cell>
          <cell r="G5097">
            <v>6</v>
          </cell>
          <cell r="H5097" t="str">
            <v>RNA病毒基因组文库</v>
          </cell>
          <cell r="I5097" t="str">
            <v>XCL</v>
          </cell>
          <cell r="J5097">
            <v>39.200000000000003</v>
          </cell>
          <cell r="N5097" t="e">
            <v>#DIV/0!</v>
          </cell>
        </row>
        <row r="5098">
          <cell r="E5098" t="str">
            <v>HGC-Lib-2468850</v>
          </cell>
          <cell r="F5098" t="str">
            <v>LR240712R-0073B</v>
          </cell>
          <cell r="G5098">
            <v>15</v>
          </cell>
          <cell r="H5098" t="str">
            <v>宏转录组文库</v>
          </cell>
          <cell r="I5098" t="str">
            <v>XCL</v>
          </cell>
          <cell r="J5098">
            <v>18.600000000000001</v>
          </cell>
          <cell r="N5098" t="e">
            <v>#DIV/0!</v>
          </cell>
        </row>
        <row r="5099">
          <cell r="E5099" t="str">
            <v>HGC-Lib-2468851</v>
          </cell>
          <cell r="F5099" t="str">
            <v>LR240807O-3263A</v>
          </cell>
          <cell r="G5099">
            <v>30</v>
          </cell>
          <cell r="H5099" t="str">
            <v>宏转录组文库</v>
          </cell>
          <cell r="I5099" t="str">
            <v>XCL</v>
          </cell>
          <cell r="J5099">
            <v>16.100000000000001</v>
          </cell>
          <cell r="N5099" t="e">
            <v>#DIV/0!</v>
          </cell>
        </row>
        <row r="5100">
          <cell r="E5100" t="str">
            <v>HGC-Lib-2468852</v>
          </cell>
          <cell r="F5100" t="str">
            <v>LR240807O-3266A</v>
          </cell>
          <cell r="G5100">
            <v>30</v>
          </cell>
          <cell r="H5100" t="str">
            <v>宏转录组文库</v>
          </cell>
          <cell r="I5100" t="str">
            <v>XCL</v>
          </cell>
          <cell r="J5100">
            <v>19.7</v>
          </cell>
          <cell r="N5100" t="e">
            <v>#DIV/0!</v>
          </cell>
        </row>
        <row r="5101">
          <cell r="E5101" t="str">
            <v>HGC-Lib-2468853</v>
          </cell>
          <cell r="F5101" t="str">
            <v>LR240807O-3267A</v>
          </cell>
          <cell r="G5101">
            <v>30</v>
          </cell>
          <cell r="H5101" t="str">
            <v>宏转录组文库</v>
          </cell>
          <cell r="I5101" t="str">
            <v>XCL</v>
          </cell>
          <cell r="J5101">
            <v>18</v>
          </cell>
          <cell r="N5101" t="e">
            <v>#DIV/0!</v>
          </cell>
        </row>
        <row r="5102">
          <cell r="E5102" t="str">
            <v>HGC-Lib-2468854</v>
          </cell>
          <cell r="F5102" t="str">
            <v>LR240807O-3270A</v>
          </cell>
          <cell r="G5102">
            <v>30</v>
          </cell>
          <cell r="H5102" t="str">
            <v>宏转录组文库</v>
          </cell>
          <cell r="I5102" t="str">
            <v>XCL</v>
          </cell>
          <cell r="J5102">
            <v>7.46</v>
          </cell>
          <cell r="N5102" t="e">
            <v>#DIV/0!</v>
          </cell>
        </row>
        <row r="5103">
          <cell r="E5103" t="str">
            <v>HGC-Lib-2468855</v>
          </cell>
          <cell r="F5103" t="str">
            <v>LR240807O-3271A</v>
          </cell>
          <cell r="G5103">
            <v>30</v>
          </cell>
          <cell r="H5103" t="str">
            <v>宏转录组文库</v>
          </cell>
          <cell r="I5103" t="str">
            <v>XCL</v>
          </cell>
          <cell r="J5103">
            <v>17.600000000000001</v>
          </cell>
          <cell r="N5103" t="e">
            <v>#DIV/0!</v>
          </cell>
        </row>
        <row r="5104">
          <cell r="E5104" t="str">
            <v>HGC-Lib-2468856</v>
          </cell>
          <cell r="F5104" t="str">
            <v>LR240807O-3272A</v>
          </cell>
          <cell r="G5104">
            <v>30</v>
          </cell>
          <cell r="H5104" t="str">
            <v>宏转录组文库</v>
          </cell>
          <cell r="I5104" t="str">
            <v>XCL</v>
          </cell>
          <cell r="J5104">
            <v>16.100000000000001</v>
          </cell>
          <cell r="N5104" t="e">
            <v>#DIV/0!</v>
          </cell>
        </row>
        <row r="5105">
          <cell r="E5105" t="str">
            <v>HGC-Lib-2468857</v>
          </cell>
          <cell r="F5105" t="str">
            <v>LR240808O-1560A</v>
          </cell>
          <cell r="G5105">
            <v>10</v>
          </cell>
          <cell r="H5105" t="str">
            <v>宏转录组文库</v>
          </cell>
          <cell r="I5105" t="str">
            <v>XCL</v>
          </cell>
          <cell r="J5105">
            <v>12.7</v>
          </cell>
          <cell r="N5105" t="e">
            <v>#DIV/0!</v>
          </cell>
        </row>
        <row r="5106">
          <cell r="E5106" t="str">
            <v>HGC-Lib-2468858</v>
          </cell>
          <cell r="F5106" t="str">
            <v>LR240809O-0961A</v>
          </cell>
          <cell r="G5106">
            <v>2</v>
          </cell>
          <cell r="H5106" t="str">
            <v>原核链特异性转录组文库</v>
          </cell>
          <cell r="I5106" t="str">
            <v>XCL</v>
          </cell>
          <cell r="J5106">
            <v>18.899999999999999</v>
          </cell>
          <cell r="N5106" t="e">
            <v>#DIV/0!</v>
          </cell>
        </row>
        <row r="5107">
          <cell r="E5107" t="str">
            <v>HGC-Lib-2468859</v>
          </cell>
          <cell r="F5107" t="str">
            <v>LR240809O-0962A</v>
          </cell>
          <cell r="G5107">
            <v>2</v>
          </cell>
          <cell r="H5107" t="str">
            <v>原核链特异性转录组文库</v>
          </cell>
          <cell r="I5107" t="str">
            <v>XCL</v>
          </cell>
          <cell r="J5107">
            <v>15.4</v>
          </cell>
          <cell r="N5107" t="e">
            <v>#DIV/0!</v>
          </cell>
        </row>
        <row r="5108">
          <cell r="E5108" t="str">
            <v>HGC-Lib-2468860</v>
          </cell>
          <cell r="F5108" t="str">
            <v>LR240809O-0963A</v>
          </cell>
          <cell r="G5108">
            <v>2</v>
          </cell>
          <cell r="H5108" t="str">
            <v>原核链特异性转录组文库</v>
          </cell>
          <cell r="I5108" t="str">
            <v>XCL</v>
          </cell>
          <cell r="J5108">
            <v>13.9</v>
          </cell>
          <cell r="N5108" t="e">
            <v>#DIV/0!</v>
          </cell>
        </row>
        <row r="5109">
          <cell r="E5109" t="str">
            <v>HGC-Lib-2468861</v>
          </cell>
          <cell r="F5109" t="str">
            <v>LR240809O-0964A</v>
          </cell>
          <cell r="G5109">
            <v>2</v>
          </cell>
          <cell r="H5109" t="str">
            <v>原核链特异性转录组文库</v>
          </cell>
          <cell r="I5109" t="str">
            <v>XCL</v>
          </cell>
          <cell r="J5109">
            <v>14.8</v>
          </cell>
          <cell r="N5109" t="e">
            <v>#DIV/0!</v>
          </cell>
        </row>
        <row r="5110">
          <cell r="E5110" t="str">
            <v>HGC-Lib-2468862</v>
          </cell>
          <cell r="F5110" t="str">
            <v>LR240809O-0965A</v>
          </cell>
          <cell r="G5110">
            <v>2</v>
          </cell>
          <cell r="H5110" t="str">
            <v>原核链特异性转录组文库</v>
          </cell>
          <cell r="I5110" t="str">
            <v>XCL</v>
          </cell>
          <cell r="J5110">
            <v>18.3</v>
          </cell>
          <cell r="N5110" t="e">
            <v>#DIV/0!</v>
          </cell>
        </row>
        <row r="5111">
          <cell r="E5111" t="str">
            <v>HGC-Lib-2468863</v>
          </cell>
          <cell r="F5111" t="str">
            <v>LR240809O-0966A</v>
          </cell>
          <cell r="G5111">
            <v>2</v>
          </cell>
          <cell r="H5111" t="str">
            <v>原核链特异性转录组文库</v>
          </cell>
          <cell r="I5111" t="str">
            <v>XCL</v>
          </cell>
          <cell r="J5111">
            <v>19</v>
          </cell>
          <cell r="N5111" t="e">
            <v>#DIV/0!</v>
          </cell>
        </row>
        <row r="5112">
          <cell r="E5112" t="str">
            <v>HGC-Lib-2468864</v>
          </cell>
          <cell r="F5112" t="str">
            <v>LR240812O-5857A</v>
          </cell>
          <cell r="G5112">
            <v>2</v>
          </cell>
          <cell r="H5112" t="str">
            <v>原核链特异性转录组文库</v>
          </cell>
          <cell r="I5112" t="str">
            <v>XCL</v>
          </cell>
          <cell r="J5112">
            <v>18.8</v>
          </cell>
          <cell r="N5112" t="e">
            <v>#DIV/0!</v>
          </cell>
        </row>
        <row r="5113">
          <cell r="E5113" t="str">
            <v>HGC-Lib-2468865</v>
          </cell>
          <cell r="F5113" t="str">
            <v>LR240812O-5858A</v>
          </cell>
          <cell r="G5113">
            <v>2</v>
          </cell>
          <cell r="H5113" t="str">
            <v>原核链特异性转录组文库</v>
          </cell>
          <cell r="I5113" t="str">
            <v>XCL</v>
          </cell>
          <cell r="J5113">
            <v>15.4</v>
          </cell>
          <cell r="N5113" t="e">
            <v>#DIV/0!</v>
          </cell>
        </row>
        <row r="5114">
          <cell r="E5114" t="str">
            <v>HGC-Lib-2468866</v>
          </cell>
          <cell r="F5114" t="str">
            <v>LR240812O-5859A</v>
          </cell>
          <cell r="G5114">
            <v>2</v>
          </cell>
          <cell r="H5114" t="str">
            <v>原核链特异性转录组文库</v>
          </cell>
          <cell r="I5114" t="str">
            <v>XCL</v>
          </cell>
          <cell r="J5114">
            <v>16.2</v>
          </cell>
          <cell r="N5114" t="e">
            <v>#DIV/0!</v>
          </cell>
        </row>
        <row r="5115">
          <cell r="E5115" t="str">
            <v>HGC-Lib-2468867</v>
          </cell>
          <cell r="F5115" t="str">
            <v>LR240812O-5860A</v>
          </cell>
          <cell r="G5115">
            <v>2</v>
          </cell>
          <cell r="H5115" t="str">
            <v>原核链特异性转录组文库</v>
          </cell>
          <cell r="I5115" t="str">
            <v>XCL</v>
          </cell>
          <cell r="J5115">
            <v>16</v>
          </cell>
          <cell r="N5115" t="e">
            <v>#DIV/0!</v>
          </cell>
        </row>
        <row r="5116">
          <cell r="E5116" t="str">
            <v>HGC-Lib-2468868</v>
          </cell>
          <cell r="F5116" t="str">
            <v>LR240812O-5861A</v>
          </cell>
          <cell r="G5116">
            <v>2</v>
          </cell>
          <cell r="H5116" t="str">
            <v>原核链特异性转录组文库</v>
          </cell>
          <cell r="I5116" t="str">
            <v>XCL</v>
          </cell>
          <cell r="J5116">
            <v>15.4</v>
          </cell>
          <cell r="N5116" t="e">
            <v>#DIV/0!</v>
          </cell>
        </row>
        <row r="5117">
          <cell r="E5117" t="str">
            <v>HGC-Lib-2468869</v>
          </cell>
          <cell r="F5117" t="str">
            <v>LR240812O-5862A</v>
          </cell>
          <cell r="G5117">
            <v>2</v>
          </cell>
          <cell r="H5117" t="str">
            <v>原核链特异性转录组文库</v>
          </cell>
          <cell r="I5117" t="str">
            <v>XCL</v>
          </cell>
          <cell r="J5117">
            <v>16.2</v>
          </cell>
          <cell r="N5117" t="e">
            <v>#DIV/0!</v>
          </cell>
        </row>
        <row r="5118">
          <cell r="E5118" t="str">
            <v>HGC-Lib-2468870</v>
          </cell>
          <cell r="F5118" t="str">
            <v>LR240812O-5863A</v>
          </cell>
          <cell r="G5118">
            <v>2</v>
          </cell>
          <cell r="H5118" t="str">
            <v>原核链特异性转录组文库</v>
          </cell>
          <cell r="I5118" t="str">
            <v>XCL</v>
          </cell>
          <cell r="J5118">
            <v>15.4</v>
          </cell>
          <cell r="N5118" t="e">
            <v>#DIV/0!</v>
          </cell>
        </row>
        <row r="5119">
          <cell r="E5119" t="str">
            <v>HGC-Lib-2468871</v>
          </cell>
          <cell r="F5119" t="str">
            <v>LR240812O-5864A</v>
          </cell>
          <cell r="G5119">
            <v>2</v>
          </cell>
          <cell r="H5119" t="str">
            <v>原核链特异性转录组文库</v>
          </cell>
          <cell r="I5119" t="str">
            <v>XCL</v>
          </cell>
          <cell r="J5119">
            <v>13.6</v>
          </cell>
          <cell r="N5119" t="e">
            <v>#DIV/0!</v>
          </cell>
        </row>
        <row r="5120">
          <cell r="E5120" t="str">
            <v>HGC-Lib-2468872</v>
          </cell>
          <cell r="F5120" t="str">
            <v>LR240812O-5865A</v>
          </cell>
          <cell r="G5120">
            <v>2</v>
          </cell>
          <cell r="H5120" t="str">
            <v>原核链特异性转录组文库</v>
          </cell>
          <cell r="I5120" t="str">
            <v>XCL</v>
          </cell>
          <cell r="J5120">
            <v>13.7</v>
          </cell>
          <cell r="N5120" t="e">
            <v>#DIV/0!</v>
          </cell>
        </row>
        <row r="5121">
          <cell r="E5121" t="str">
            <v>HGC-Lib-2468873</v>
          </cell>
          <cell r="F5121" t="str">
            <v>LR240812O-5866A</v>
          </cell>
          <cell r="G5121">
            <v>2</v>
          </cell>
          <cell r="H5121" t="str">
            <v>原核链特异性转录组文库</v>
          </cell>
          <cell r="I5121" t="str">
            <v>WWH</v>
          </cell>
          <cell r="J5121">
            <v>11.2</v>
          </cell>
          <cell r="N5121" t="e">
            <v>#DIV/0!</v>
          </cell>
        </row>
        <row r="5122">
          <cell r="E5122" t="str">
            <v>HGC-Lib-2468874</v>
          </cell>
          <cell r="F5122" t="str">
            <v>LR240812O-5867A</v>
          </cell>
          <cell r="G5122">
            <v>2</v>
          </cell>
          <cell r="H5122" t="str">
            <v>原核链特异性转录组文库</v>
          </cell>
          <cell r="I5122" t="str">
            <v>WWH</v>
          </cell>
          <cell r="J5122">
            <v>12.4</v>
          </cell>
          <cell r="N5122" t="e">
            <v>#DIV/0!</v>
          </cell>
        </row>
        <row r="5123">
          <cell r="E5123" t="str">
            <v>HGC-Lib-2468875</v>
          </cell>
          <cell r="F5123" t="str">
            <v>LR240812O-5868A</v>
          </cell>
          <cell r="G5123">
            <v>2</v>
          </cell>
          <cell r="H5123" t="str">
            <v>原核链特异性转录组文库</v>
          </cell>
          <cell r="I5123" t="str">
            <v>WWH</v>
          </cell>
          <cell r="J5123">
            <v>12.8</v>
          </cell>
          <cell r="N5123" t="e">
            <v>#DIV/0!</v>
          </cell>
        </row>
        <row r="5124">
          <cell r="E5124" t="str">
            <v>HGC-Lib-2468876</v>
          </cell>
          <cell r="F5124" t="str">
            <v>LR240805O-5555A</v>
          </cell>
          <cell r="G5124">
            <v>10</v>
          </cell>
          <cell r="H5124" t="str">
            <v>RNA病毒组文库</v>
          </cell>
          <cell r="I5124" t="str">
            <v>WWH</v>
          </cell>
          <cell r="J5124">
            <v>14.8</v>
          </cell>
          <cell r="N5124" t="e">
            <v>#DIV/0!</v>
          </cell>
        </row>
        <row r="5125">
          <cell r="E5125" t="str">
            <v>HGC-Lib-2468877</v>
          </cell>
          <cell r="F5125" t="str">
            <v>LR240805O-5556A</v>
          </cell>
          <cell r="G5125">
            <v>10</v>
          </cell>
          <cell r="H5125" t="str">
            <v>RNA病毒组文库</v>
          </cell>
          <cell r="I5125" t="str">
            <v>WWH</v>
          </cell>
          <cell r="J5125">
            <v>8.92</v>
          </cell>
          <cell r="N5125" t="e">
            <v>#DIV/0!</v>
          </cell>
        </row>
        <row r="5126">
          <cell r="E5126" t="str">
            <v>HGC-Lib-2468878</v>
          </cell>
          <cell r="F5126" t="str">
            <v>LR240805O-5557A</v>
          </cell>
          <cell r="G5126">
            <v>10</v>
          </cell>
          <cell r="H5126" t="str">
            <v>RNA病毒组文库</v>
          </cell>
          <cell r="I5126" t="str">
            <v>WWH</v>
          </cell>
          <cell r="J5126">
            <v>17</v>
          </cell>
          <cell r="N5126" t="e">
            <v>#DIV/0!</v>
          </cell>
        </row>
        <row r="5127">
          <cell r="E5127" t="str">
            <v>HGC-Lib-2468879</v>
          </cell>
          <cell r="F5127" t="str">
            <v>LR240805O-5558A</v>
          </cell>
          <cell r="G5127">
            <v>10</v>
          </cell>
          <cell r="H5127" t="str">
            <v>RNA病毒组文库</v>
          </cell>
          <cell r="I5127" t="str">
            <v>WWH</v>
          </cell>
          <cell r="J5127">
            <v>9.16</v>
          </cell>
          <cell r="N5127" t="e">
            <v>#DIV/0!</v>
          </cell>
        </row>
        <row r="5128">
          <cell r="E5128" t="str">
            <v>HGC-Lib-2468880</v>
          </cell>
          <cell r="F5128" t="str">
            <v>LR240805R-0101B</v>
          </cell>
          <cell r="G5128">
            <v>5</v>
          </cell>
          <cell r="H5128" t="str">
            <v>RNA病毒基因组文库</v>
          </cell>
          <cell r="I5128" t="str">
            <v>WWH</v>
          </cell>
          <cell r="J5128">
            <v>15.9</v>
          </cell>
          <cell r="N5128" t="e">
            <v>#DIV/0!</v>
          </cell>
        </row>
        <row r="5129">
          <cell r="E5129" t="str">
            <v>HGC-Lib-2468881</v>
          </cell>
          <cell r="F5129" t="str">
            <v>LR240807O-3316A</v>
          </cell>
          <cell r="G5129">
            <v>10</v>
          </cell>
          <cell r="H5129" t="str">
            <v>宏转录组文库</v>
          </cell>
          <cell r="I5129" t="str">
            <v>WWH</v>
          </cell>
          <cell r="J5129">
            <v>17.8</v>
          </cell>
          <cell r="N5129" t="e">
            <v>#DIV/0!</v>
          </cell>
        </row>
        <row r="5130">
          <cell r="E5130" t="str">
            <v>HGC-Lib-2468882</v>
          </cell>
          <cell r="F5130" t="str">
            <v>LR240807O-3317A</v>
          </cell>
          <cell r="G5130">
            <v>10</v>
          </cell>
          <cell r="H5130" t="str">
            <v>宏转录组文库</v>
          </cell>
          <cell r="I5130" t="str">
            <v>WWH</v>
          </cell>
          <cell r="J5130">
            <v>37.6</v>
          </cell>
          <cell r="N5130" t="e">
            <v>#DIV/0!</v>
          </cell>
        </row>
        <row r="5131">
          <cell r="E5131" t="str">
            <v>HGC-Lib-2468883</v>
          </cell>
          <cell r="F5131" t="str">
            <v>LR240807O-3318A</v>
          </cell>
          <cell r="G5131">
            <v>10</v>
          </cell>
          <cell r="H5131" t="str">
            <v>宏转录组文库</v>
          </cell>
          <cell r="I5131" t="str">
            <v>WWH</v>
          </cell>
          <cell r="J5131">
            <v>25.4</v>
          </cell>
          <cell r="N5131" t="e">
            <v>#DIV/0!</v>
          </cell>
        </row>
        <row r="5132">
          <cell r="E5132" t="str">
            <v>HGC-Lib-2468884</v>
          </cell>
          <cell r="F5132" t="str">
            <v>LR240807O-3319A</v>
          </cell>
          <cell r="G5132">
            <v>10</v>
          </cell>
          <cell r="H5132" t="str">
            <v>宏转录组文库</v>
          </cell>
          <cell r="I5132" t="str">
            <v>WWH</v>
          </cell>
          <cell r="J5132">
            <v>24.8</v>
          </cell>
          <cell r="N5132" t="e">
            <v>#DIV/0!</v>
          </cell>
        </row>
        <row r="5133">
          <cell r="E5133" t="str">
            <v>HGC-Lib-2468885</v>
          </cell>
          <cell r="F5133" t="str">
            <v>LR240812R-0068A</v>
          </cell>
          <cell r="G5133">
            <v>1</v>
          </cell>
          <cell r="H5133" t="str">
            <v>RNA病毒基因组文库</v>
          </cell>
          <cell r="I5133" t="str">
            <v>WWH</v>
          </cell>
          <cell r="J5133">
            <v>34.200000000000003</v>
          </cell>
          <cell r="N5133" t="e">
            <v>#DIV/0!</v>
          </cell>
        </row>
        <row r="5134">
          <cell r="E5134" t="str">
            <v>HGC-Lib-2468886</v>
          </cell>
          <cell r="F5134" t="str">
            <v>LR240812R-0069A</v>
          </cell>
          <cell r="G5134">
            <v>1</v>
          </cell>
          <cell r="H5134" t="str">
            <v>RNA病毒基因组文库</v>
          </cell>
          <cell r="I5134" t="str">
            <v>WWH</v>
          </cell>
          <cell r="J5134">
            <v>41.2</v>
          </cell>
          <cell r="N5134" t="e">
            <v>#DIV/0!</v>
          </cell>
        </row>
        <row r="5135">
          <cell r="E5135" t="str">
            <v>HGC-Lib-2468887</v>
          </cell>
          <cell r="F5135" t="str">
            <v>LR240812R-0070A</v>
          </cell>
          <cell r="G5135">
            <v>10</v>
          </cell>
          <cell r="H5135" t="str">
            <v>RNA病毒组文库</v>
          </cell>
          <cell r="I5135" t="str">
            <v>WWH</v>
          </cell>
          <cell r="J5135">
            <v>54.4</v>
          </cell>
          <cell r="N5135" t="e">
            <v>#DIV/0!</v>
          </cell>
        </row>
        <row r="5136">
          <cell r="E5136" t="str">
            <v>HGC-Lib-2468888</v>
          </cell>
          <cell r="F5136" t="str">
            <v>LR240812R-0071A</v>
          </cell>
          <cell r="G5136">
            <v>10</v>
          </cell>
          <cell r="H5136" t="str">
            <v>RNA病毒组文库</v>
          </cell>
          <cell r="I5136" t="str">
            <v>WWH</v>
          </cell>
          <cell r="J5136">
            <v>58.8</v>
          </cell>
          <cell r="N5136" t="e">
            <v>#DIV/0!</v>
          </cell>
        </row>
        <row r="5137">
          <cell r="E5137" t="str">
            <v>HGC-Lib-2468889</v>
          </cell>
          <cell r="F5137" t="str">
            <v>LR240812R-0072A</v>
          </cell>
          <cell r="G5137">
            <v>10</v>
          </cell>
          <cell r="H5137" t="str">
            <v>RNA病毒组文库</v>
          </cell>
          <cell r="I5137" t="str">
            <v>WWH</v>
          </cell>
          <cell r="J5137">
            <v>37.6</v>
          </cell>
          <cell r="N5137" t="e">
            <v>#DIV/0!</v>
          </cell>
        </row>
        <row r="5138">
          <cell r="E5138" t="str">
            <v>HGC-Lib-2468890</v>
          </cell>
          <cell r="F5138" t="str">
            <v>LR240813R-0006A</v>
          </cell>
          <cell r="G5138">
            <v>20</v>
          </cell>
          <cell r="H5138" t="str">
            <v>宏转录组文库</v>
          </cell>
          <cell r="I5138" t="str">
            <v>WWH</v>
          </cell>
          <cell r="J5138">
            <v>49.4</v>
          </cell>
          <cell r="N5138" t="e">
            <v>#DIV/0!</v>
          </cell>
        </row>
        <row r="5139">
          <cell r="E5139" t="str">
            <v>HGC-Lib-2468891</v>
          </cell>
          <cell r="F5139" t="str">
            <v>LR240813R-0007A</v>
          </cell>
          <cell r="G5139">
            <v>20</v>
          </cell>
          <cell r="H5139" t="str">
            <v>宏转录组文库</v>
          </cell>
          <cell r="I5139" t="str">
            <v>WWH</v>
          </cell>
          <cell r="J5139">
            <v>44.6</v>
          </cell>
          <cell r="N5139" t="e">
            <v>#DIV/0!</v>
          </cell>
        </row>
        <row r="5140">
          <cell r="E5140" t="str">
            <v>HGC-Lib-2468892</v>
          </cell>
          <cell r="F5140" t="str">
            <v>LD240806D-2690A</v>
          </cell>
          <cell r="G5140">
            <v>30</v>
          </cell>
          <cell r="H5140" t="str">
            <v>DNA宏基因组文库</v>
          </cell>
          <cell r="I5140" t="str">
            <v>WWH</v>
          </cell>
          <cell r="J5140">
            <v>48.8</v>
          </cell>
          <cell r="N5140" t="e">
            <v>#DIV/0!</v>
          </cell>
        </row>
        <row r="5141">
          <cell r="E5141" t="str">
            <v>HGC-Lib-2468893</v>
          </cell>
          <cell r="F5141" t="str">
            <v>LD240807O-3460A</v>
          </cell>
          <cell r="G5141">
            <v>20</v>
          </cell>
          <cell r="H5141" t="str">
            <v>DNA宏基因组文库</v>
          </cell>
          <cell r="I5141" t="str">
            <v>WWH</v>
          </cell>
          <cell r="J5141">
            <v>18.899999999999999</v>
          </cell>
          <cell r="N5141" t="e">
            <v>#DIV/0!</v>
          </cell>
        </row>
        <row r="5142">
          <cell r="E5142" t="str">
            <v>HGC-Lib-2468894</v>
          </cell>
          <cell r="F5142" t="str">
            <v>LD240807O-3461A</v>
          </cell>
          <cell r="G5142">
            <v>20</v>
          </cell>
          <cell r="H5142" t="str">
            <v>DNA宏基因组文库</v>
          </cell>
          <cell r="I5142" t="str">
            <v>WWH</v>
          </cell>
          <cell r="J5142">
            <v>16.899999999999999</v>
          </cell>
          <cell r="N5142" t="e">
            <v>#DIV/0!</v>
          </cell>
        </row>
        <row r="5143">
          <cell r="E5143" t="str">
            <v>HGC-Lib-2468895</v>
          </cell>
          <cell r="F5143" t="str">
            <v>LD240812O-6994A</v>
          </cell>
          <cell r="G5143">
            <v>1</v>
          </cell>
          <cell r="H5143" t="str">
            <v>DNA基因组文库</v>
          </cell>
          <cell r="I5143" t="str">
            <v>WWH</v>
          </cell>
          <cell r="J5143">
            <v>28.2</v>
          </cell>
          <cell r="N5143" t="e">
            <v>#DIV/0!</v>
          </cell>
        </row>
        <row r="5144">
          <cell r="E5144" t="str">
            <v>HGC-Lib-2468896</v>
          </cell>
          <cell r="F5144" t="str">
            <v>LD240812O-6995A</v>
          </cell>
          <cell r="G5144">
            <v>1</v>
          </cell>
          <cell r="H5144" t="str">
            <v>DNA基因组文库</v>
          </cell>
          <cell r="I5144" t="str">
            <v>WWH</v>
          </cell>
          <cell r="J5144">
            <v>15.5</v>
          </cell>
          <cell r="N5144" t="e">
            <v>#DIV/0!</v>
          </cell>
        </row>
        <row r="5145">
          <cell r="E5145" t="str">
            <v>HGC-Lib-2468897</v>
          </cell>
          <cell r="F5145" t="str">
            <v>LD240812O-6996A</v>
          </cell>
          <cell r="G5145">
            <v>1</v>
          </cell>
          <cell r="H5145" t="str">
            <v>DNA基因组文库</v>
          </cell>
          <cell r="I5145" t="str">
            <v>WWH</v>
          </cell>
          <cell r="J5145">
            <v>8.92</v>
          </cell>
          <cell r="N5145" t="e">
            <v>#DIV/0!</v>
          </cell>
        </row>
        <row r="5146">
          <cell r="E5146" t="str">
            <v>HGC-Lib-2468898</v>
          </cell>
          <cell r="F5146" t="str">
            <v>LD240812O-6997A</v>
          </cell>
          <cell r="G5146">
            <v>1</v>
          </cell>
          <cell r="H5146" t="str">
            <v>DNA基因组文库</v>
          </cell>
          <cell r="I5146" t="str">
            <v>WWH</v>
          </cell>
          <cell r="J5146">
            <v>14.4</v>
          </cell>
          <cell r="N5146" t="e">
            <v>#DIV/0!</v>
          </cell>
        </row>
        <row r="5147">
          <cell r="E5147" t="str">
            <v>HGC-Lib-2468899</v>
          </cell>
          <cell r="F5147" t="str">
            <v>LD240812O-6998A</v>
          </cell>
          <cell r="G5147">
            <v>1</v>
          </cell>
          <cell r="H5147" t="str">
            <v>DNA基因组文库</v>
          </cell>
          <cell r="I5147" t="str">
            <v>WWH</v>
          </cell>
          <cell r="J5147">
            <v>19.3</v>
          </cell>
          <cell r="N5147" t="e">
            <v>#DIV/0!</v>
          </cell>
        </row>
        <row r="5148">
          <cell r="E5148" t="str">
            <v>HGC-Lib-2468900</v>
          </cell>
          <cell r="F5148" t="str">
            <v>LD240812O-6999A</v>
          </cell>
          <cell r="G5148">
            <v>1</v>
          </cell>
          <cell r="H5148" t="str">
            <v>DNA基因组文库</v>
          </cell>
          <cell r="I5148" t="str">
            <v>WWH</v>
          </cell>
          <cell r="J5148">
            <v>14.4</v>
          </cell>
          <cell r="N5148" t="e">
            <v>#DIV/0!</v>
          </cell>
        </row>
        <row r="5149">
          <cell r="E5149" t="str">
            <v>HGC-Lib-2468901</v>
          </cell>
          <cell r="F5149" t="str">
            <v>LD240812O-7000A</v>
          </cell>
          <cell r="G5149">
            <v>1</v>
          </cell>
          <cell r="H5149" t="str">
            <v>DNA基因组文库</v>
          </cell>
          <cell r="I5149" t="str">
            <v>WWH</v>
          </cell>
          <cell r="J5149">
            <v>15.9</v>
          </cell>
          <cell r="N5149" t="e">
            <v>#DIV/0!</v>
          </cell>
        </row>
        <row r="5150">
          <cell r="E5150" t="str">
            <v>HGC-Lib-2468902</v>
          </cell>
          <cell r="F5150" t="str">
            <v>LD240812O-7001A</v>
          </cell>
          <cell r="G5150">
            <v>1</v>
          </cell>
          <cell r="H5150" t="str">
            <v>DNA基因组文库</v>
          </cell>
          <cell r="I5150" t="str">
            <v>WWH</v>
          </cell>
          <cell r="J5150">
            <v>17.7</v>
          </cell>
          <cell r="N5150" t="e">
            <v>#DIV/0!</v>
          </cell>
        </row>
        <row r="5151">
          <cell r="E5151" t="str">
            <v>HGC-Lib-2468903</v>
          </cell>
          <cell r="F5151" t="str">
            <v>LD240812O-7002A</v>
          </cell>
          <cell r="G5151">
            <v>1</v>
          </cell>
          <cell r="H5151" t="str">
            <v>DNA基因组文库</v>
          </cell>
          <cell r="I5151" t="str">
            <v>WWH</v>
          </cell>
          <cell r="J5151">
            <v>45.6</v>
          </cell>
          <cell r="N5151" t="e">
            <v>#DIV/0!</v>
          </cell>
        </row>
        <row r="5152">
          <cell r="E5152" t="str">
            <v>HGC-Lib-2468904</v>
          </cell>
          <cell r="F5152" t="str">
            <v>LD240812O-7003A</v>
          </cell>
          <cell r="G5152">
            <v>1</v>
          </cell>
          <cell r="H5152" t="str">
            <v>DNA基因组文库</v>
          </cell>
          <cell r="I5152" t="str">
            <v>WWH</v>
          </cell>
          <cell r="J5152">
            <v>15.3</v>
          </cell>
          <cell r="N5152" t="e">
            <v>#DIV/0!</v>
          </cell>
        </row>
        <row r="5153">
          <cell r="E5153" t="str">
            <v>HGC-Lib-2468905</v>
          </cell>
          <cell r="F5153" t="str">
            <v>LD240812O-7004A</v>
          </cell>
          <cell r="G5153">
            <v>1</v>
          </cell>
          <cell r="H5153" t="str">
            <v>DNA基因组文库</v>
          </cell>
          <cell r="I5153" t="str">
            <v>WWH</v>
          </cell>
          <cell r="J5153">
            <v>46.6</v>
          </cell>
          <cell r="N5153" t="e">
            <v>#DIV/0!</v>
          </cell>
        </row>
        <row r="5154">
          <cell r="E5154" t="str">
            <v>HGC-Lib-2468906</v>
          </cell>
          <cell r="F5154" t="str">
            <v>LD240812O-7005A</v>
          </cell>
          <cell r="G5154">
            <v>1</v>
          </cell>
          <cell r="H5154" t="str">
            <v>DNA基因组文库</v>
          </cell>
          <cell r="I5154" t="str">
            <v>WWH</v>
          </cell>
          <cell r="J5154">
            <v>17.600000000000001</v>
          </cell>
          <cell r="N5154" t="e">
            <v>#DIV/0!</v>
          </cell>
        </row>
        <row r="5155">
          <cell r="E5155" t="str">
            <v>HGC-Lib-2468907</v>
          </cell>
          <cell r="F5155" t="str">
            <v>LD240812O-7006A</v>
          </cell>
          <cell r="G5155">
            <v>1</v>
          </cell>
          <cell r="H5155" t="str">
            <v>DNA基因组文库</v>
          </cell>
          <cell r="I5155" t="str">
            <v>WWH</v>
          </cell>
          <cell r="J5155">
            <v>14</v>
          </cell>
          <cell r="N5155" t="e">
            <v>#DIV/0!</v>
          </cell>
        </row>
        <row r="5156">
          <cell r="E5156" t="str">
            <v>HGC-Lib-2468908</v>
          </cell>
          <cell r="F5156" t="str">
            <v>LD240812O-7007A</v>
          </cell>
          <cell r="G5156">
            <v>1</v>
          </cell>
          <cell r="H5156" t="str">
            <v>DNA基因组文库</v>
          </cell>
          <cell r="I5156" t="str">
            <v>WWH</v>
          </cell>
          <cell r="J5156">
            <v>36.799999999999997</v>
          </cell>
          <cell r="N5156" t="e">
            <v>#DIV/0!</v>
          </cell>
        </row>
        <row r="5157">
          <cell r="E5157" t="str">
            <v>HGC-Lib-2468909</v>
          </cell>
          <cell r="F5157" t="str">
            <v>LD240812O-7008A</v>
          </cell>
          <cell r="G5157">
            <v>1</v>
          </cell>
          <cell r="H5157" t="str">
            <v>DNA基因组文库</v>
          </cell>
          <cell r="I5157" t="str">
            <v>WWH</v>
          </cell>
          <cell r="J5157">
            <v>10.4</v>
          </cell>
          <cell r="N5157" t="e">
            <v>#DIV/0!</v>
          </cell>
        </row>
        <row r="5158">
          <cell r="E5158" t="str">
            <v>HGC-Lib-2468910</v>
          </cell>
          <cell r="F5158" t="str">
            <v>LD240812O-7009A</v>
          </cell>
          <cell r="G5158">
            <v>1</v>
          </cell>
          <cell r="H5158" t="str">
            <v>DNA基因组文库</v>
          </cell>
          <cell r="I5158" t="str">
            <v>WWH</v>
          </cell>
          <cell r="J5158">
            <v>13.1</v>
          </cell>
          <cell r="N5158" t="e">
            <v>#DIV/0!</v>
          </cell>
        </row>
        <row r="5159">
          <cell r="E5159" t="str">
            <v>HGC-Lib-2468911</v>
          </cell>
          <cell r="F5159" t="str">
            <v>LD240812O-7010A</v>
          </cell>
          <cell r="G5159">
            <v>1</v>
          </cell>
          <cell r="H5159" t="str">
            <v>DNA基因组文库</v>
          </cell>
          <cell r="I5159" t="str">
            <v>WWH</v>
          </cell>
          <cell r="J5159">
            <v>16</v>
          </cell>
          <cell r="N5159" t="e">
            <v>#DIV/0!</v>
          </cell>
        </row>
        <row r="5160">
          <cell r="E5160" t="str">
            <v>HGC-Lib-2468912</v>
          </cell>
          <cell r="F5160" t="str">
            <v>LD240812O-7011A</v>
          </cell>
          <cell r="G5160">
            <v>1</v>
          </cell>
          <cell r="H5160" t="str">
            <v>DNA基因组文库</v>
          </cell>
          <cell r="I5160" t="str">
            <v>WWH</v>
          </cell>
          <cell r="J5160">
            <v>19</v>
          </cell>
          <cell r="N5160" t="e">
            <v>#DIV/0!</v>
          </cell>
        </row>
        <row r="5161">
          <cell r="E5161" t="str">
            <v>HGC-Lib-2468913</v>
          </cell>
          <cell r="F5161" t="str">
            <v>LD240726D-1390A</v>
          </cell>
          <cell r="G5161">
            <v>20</v>
          </cell>
          <cell r="H5161" t="str">
            <v>DNA宏基因组文库</v>
          </cell>
          <cell r="I5161" t="str">
            <v>WWH</v>
          </cell>
          <cell r="J5161">
            <v>19.7</v>
          </cell>
          <cell r="N5161" t="e">
            <v>#DIV/0!</v>
          </cell>
        </row>
        <row r="5162">
          <cell r="E5162" t="str">
            <v>HGC-Lib-2468914</v>
          </cell>
          <cell r="F5162" t="str">
            <v>LD240726D-1391A</v>
          </cell>
          <cell r="G5162">
            <v>20</v>
          </cell>
          <cell r="H5162" t="str">
            <v>DNA宏基因组文库</v>
          </cell>
          <cell r="I5162" t="str">
            <v>WWH</v>
          </cell>
          <cell r="J5162">
            <v>27.4</v>
          </cell>
          <cell r="N5162" t="e">
            <v>#DIV/0!</v>
          </cell>
        </row>
        <row r="5163">
          <cell r="E5163" t="str">
            <v>HGC-Lib-2468915</v>
          </cell>
          <cell r="F5163" t="str">
            <v>LD240726D-1392A</v>
          </cell>
          <cell r="G5163">
            <v>20</v>
          </cell>
          <cell r="H5163" t="str">
            <v>DNA宏基因组文库</v>
          </cell>
          <cell r="I5163" t="str">
            <v>WWH</v>
          </cell>
          <cell r="J5163">
            <v>17.600000000000001</v>
          </cell>
          <cell r="N5163" t="e">
            <v>#DIV/0!</v>
          </cell>
        </row>
        <row r="5164">
          <cell r="E5164" t="str">
            <v>HGC-Lib-2468916</v>
          </cell>
          <cell r="F5164" t="str">
            <v>LD240726D-1393A</v>
          </cell>
          <cell r="G5164">
            <v>20</v>
          </cell>
          <cell r="H5164" t="str">
            <v>DNA宏基因组文库</v>
          </cell>
          <cell r="I5164" t="str">
            <v>WWH</v>
          </cell>
          <cell r="J5164">
            <v>22</v>
          </cell>
          <cell r="N5164" t="e">
            <v>#DIV/0!</v>
          </cell>
        </row>
        <row r="5165">
          <cell r="E5165" t="str">
            <v>HGC-Lib-2468917</v>
          </cell>
          <cell r="F5165" t="str">
            <v>LD240802O-1249A</v>
          </cell>
          <cell r="G5165">
            <v>10</v>
          </cell>
          <cell r="H5165" t="str">
            <v>DNA宏基因组文库</v>
          </cell>
          <cell r="I5165" t="str">
            <v>WWH</v>
          </cell>
          <cell r="J5165">
            <v>29.2</v>
          </cell>
          <cell r="N5165" t="e">
            <v>#DIV/0!</v>
          </cell>
        </row>
        <row r="5166">
          <cell r="E5166" t="str">
            <v>HGC-Lib-2468918</v>
          </cell>
          <cell r="F5166" t="str">
            <v>LD240802O-1250A</v>
          </cell>
          <cell r="G5166">
            <v>10</v>
          </cell>
          <cell r="H5166" t="str">
            <v>DNA宏基因组文库</v>
          </cell>
          <cell r="I5166" t="str">
            <v>WWH</v>
          </cell>
          <cell r="J5166">
            <v>35.200000000000003</v>
          </cell>
          <cell r="N5166" t="e">
            <v>#DIV/0!</v>
          </cell>
        </row>
        <row r="5167">
          <cell r="E5167" t="str">
            <v>HGC-Lib-2468919</v>
          </cell>
          <cell r="F5167" t="str">
            <v>LD240802O-1251A</v>
          </cell>
          <cell r="G5167">
            <v>10</v>
          </cell>
          <cell r="H5167" t="str">
            <v>DNA宏基因组文库</v>
          </cell>
          <cell r="I5167" t="str">
            <v>WWH</v>
          </cell>
          <cell r="J5167">
            <v>23.4</v>
          </cell>
          <cell r="N5167" t="e">
            <v>#DIV/0!</v>
          </cell>
        </row>
        <row r="5168">
          <cell r="E5168" t="str">
            <v>HGC-Lib-2468920</v>
          </cell>
          <cell r="F5168" t="str">
            <v>LD240802O-1252A</v>
          </cell>
          <cell r="G5168">
            <v>10</v>
          </cell>
          <cell r="H5168" t="str">
            <v>DNA宏基因组文库</v>
          </cell>
          <cell r="I5168" t="str">
            <v>WWH</v>
          </cell>
          <cell r="J5168">
            <v>34</v>
          </cell>
          <cell r="N5168" t="e">
            <v>#DIV/0!</v>
          </cell>
        </row>
        <row r="5169">
          <cell r="E5169" t="str">
            <v>HGC-Lib-2468921</v>
          </cell>
          <cell r="F5169" t="str">
            <v>LD240802O-1253A</v>
          </cell>
          <cell r="G5169">
            <v>10</v>
          </cell>
          <cell r="H5169" t="str">
            <v>DNA宏基因组文库</v>
          </cell>
          <cell r="I5169" t="str">
            <v>WH</v>
          </cell>
          <cell r="J5169">
            <v>44.2</v>
          </cell>
          <cell r="N5169" t="e">
            <v>#DIV/0!</v>
          </cell>
        </row>
        <row r="5170">
          <cell r="E5170" t="str">
            <v>HGC-Lib-2468922</v>
          </cell>
          <cell r="F5170" t="str">
            <v>LD240802O-1254A</v>
          </cell>
          <cell r="G5170">
            <v>10</v>
          </cell>
          <cell r="H5170" t="str">
            <v>DNA宏基因组文库</v>
          </cell>
          <cell r="I5170" t="str">
            <v>WH</v>
          </cell>
          <cell r="J5170">
            <v>43</v>
          </cell>
          <cell r="N5170" t="e">
            <v>#DIV/0!</v>
          </cell>
        </row>
        <row r="5171">
          <cell r="E5171" t="str">
            <v>HGC-Lib-2468923</v>
          </cell>
          <cell r="F5171" t="str">
            <v>LD240802O-1255A</v>
          </cell>
          <cell r="G5171">
            <v>10</v>
          </cell>
          <cell r="H5171" t="str">
            <v>DNA宏基因组文库</v>
          </cell>
          <cell r="I5171" t="str">
            <v>WH</v>
          </cell>
          <cell r="J5171">
            <v>26</v>
          </cell>
          <cell r="N5171" t="e">
            <v>#DIV/0!</v>
          </cell>
        </row>
        <row r="5172">
          <cell r="E5172" t="str">
            <v>HGC-Lib-2468924</v>
          </cell>
          <cell r="F5172" t="str">
            <v>LD240802O-1256A</v>
          </cell>
          <cell r="G5172">
            <v>10</v>
          </cell>
          <cell r="H5172" t="str">
            <v>DNA宏基因组文库</v>
          </cell>
          <cell r="I5172" t="str">
            <v>WH</v>
          </cell>
          <cell r="J5172">
            <v>63.2</v>
          </cell>
          <cell r="N5172" t="e">
            <v>#DIV/0!</v>
          </cell>
        </row>
        <row r="5173">
          <cell r="E5173" t="str">
            <v>HGC-Lib-2468925</v>
          </cell>
          <cell r="F5173" t="str">
            <v>LD240802O-1257A</v>
          </cell>
          <cell r="G5173">
            <v>10</v>
          </cell>
          <cell r="H5173" t="str">
            <v>DNA宏基因组文库</v>
          </cell>
          <cell r="I5173" t="str">
            <v>WH</v>
          </cell>
          <cell r="J5173">
            <v>48.4</v>
          </cell>
          <cell r="N5173" t="e">
            <v>#DIV/0!</v>
          </cell>
        </row>
        <row r="5174">
          <cell r="E5174" t="str">
            <v>HGC-Lib-2468926</v>
          </cell>
          <cell r="F5174" t="str">
            <v>LD240802O-1258A</v>
          </cell>
          <cell r="G5174">
            <v>10</v>
          </cell>
          <cell r="H5174" t="str">
            <v>DNA宏基因组文库</v>
          </cell>
          <cell r="I5174" t="str">
            <v>WH</v>
          </cell>
          <cell r="J5174">
            <v>70</v>
          </cell>
          <cell r="N5174" t="e">
            <v>#DIV/0!</v>
          </cell>
        </row>
        <row r="5175">
          <cell r="E5175" t="str">
            <v>HGC-Lib-2468927</v>
          </cell>
          <cell r="F5175" t="str">
            <v>LD240802O-1259A</v>
          </cell>
          <cell r="G5175">
            <v>10</v>
          </cell>
          <cell r="H5175" t="str">
            <v>DNA宏基因组文库</v>
          </cell>
          <cell r="I5175" t="str">
            <v>WH</v>
          </cell>
          <cell r="J5175">
            <v>37.799999999999997</v>
          </cell>
          <cell r="N5175" t="e">
            <v>#DIV/0!</v>
          </cell>
        </row>
        <row r="5176">
          <cell r="E5176" t="str">
            <v>HGC-Lib-2468928</v>
          </cell>
          <cell r="F5176" t="str">
            <v>LD240802O-1260A</v>
          </cell>
          <cell r="G5176">
            <v>10</v>
          </cell>
          <cell r="H5176" t="str">
            <v>DNA宏基因组文库</v>
          </cell>
          <cell r="I5176" t="str">
            <v>WH</v>
          </cell>
          <cell r="J5176">
            <v>57.8</v>
          </cell>
          <cell r="N5176" t="e">
            <v>#DIV/0!</v>
          </cell>
        </row>
        <row r="5177">
          <cell r="E5177" t="str">
            <v>HGC-Lib-2468929</v>
          </cell>
          <cell r="F5177" t="str">
            <v>LD240802O-1261A</v>
          </cell>
          <cell r="G5177">
            <v>10</v>
          </cell>
          <cell r="H5177" t="str">
            <v>DNA宏基因组文库</v>
          </cell>
          <cell r="I5177" t="str">
            <v>WH</v>
          </cell>
          <cell r="J5177">
            <v>57.2</v>
          </cell>
          <cell r="N5177" t="e">
            <v>#DIV/0!</v>
          </cell>
        </row>
        <row r="5178">
          <cell r="E5178" t="str">
            <v>HGC-Lib-2468930</v>
          </cell>
          <cell r="F5178" t="str">
            <v>LD240802O-1262A</v>
          </cell>
          <cell r="G5178">
            <v>10</v>
          </cell>
          <cell r="H5178" t="str">
            <v>DNA宏基因组文库</v>
          </cell>
          <cell r="I5178" t="str">
            <v>WH</v>
          </cell>
          <cell r="J5178">
            <v>31.8</v>
          </cell>
          <cell r="N5178" t="e">
            <v>#DIV/0!</v>
          </cell>
        </row>
        <row r="5179">
          <cell r="E5179" t="str">
            <v>HGC-Lib-2468931</v>
          </cell>
          <cell r="F5179" t="str">
            <v>LD240802O-1263A</v>
          </cell>
          <cell r="G5179">
            <v>10</v>
          </cell>
          <cell r="H5179" t="str">
            <v>DNA宏基因组文库</v>
          </cell>
          <cell r="I5179" t="str">
            <v>WH</v>
          </cell>
          <cell r="J5179">
            <v>27.8</v>
          </cell>
          <cell r="N5179" t="e">
            <v>#DIV/0!</v>
          </cell>
        </row>
        <row r="5180">
          <cell r="E5180" t="str">
            <v>HGC-Lib-2468932</v>
          </cell>
          <cell r="F5180" t="str">
            <v>LD240802O-1264A</v>
          </cell>
          <cell r="G5180">
            <v>10</v>
          </cell>
          <cell r="H5180" t="str">
            <v>DNA宏基因组文库</v>
          </cell>
          <cell r="I5180" t="str">
            <v>WH</v>
          </cell>
          <cell r="J5180">
            <v>30.4</v>
          </cell>
          <cell r="N5180" t="e">
            <v>#DIV/0!</v>
          </cell>
        </row>
        <row r="5181">
          <cell r="E5181" t="str">
            <v>HGC-Lib-2468933</v>
          </cell>
          <cell r="F5181" t="str">
            <v>LD240802O-1265A</v>
          </cell>
          <cell r="G5181">
            <v>10</v>
          </cell>
          <cell r="H5181" t="str">
            <v>DNA宏基因组文库</v>
          </cell>
          <cell r="I5181" t="str">
            <v>WH</v>
          </cell>
          <cell r="J5181">
            <v>54.4</v>
          </cell>
          <cell r="N5181" t="e">
            <v>#DIV/0!</v>
          </cell>
        </row>
        <row r="5182">
          <cell r="E5182" t="str">
            <v>HGC-Lib-2468934</v>
          </cell>
          <cell r="F5182" t="str">
            <v>LD240802O-1266A</v>
          </cell>
          <cell r="G5182">
            <v>10</v>
          </cell>
          <cell r="H5182" t="str">
            <v>DNA宏基因组文库</v>
          </cell>
          <cell r="I5182" t="str">
            <v>WH</v>
          </cell>
          <cell r="J5182">
            <v>46.4</v>
          </cell>
          <cell r="N5182" t="e">
            <v>#DIV/0!</v>
          </cell>
        </row>
        <row r="5183">
          <cell r="E5183" t="str">
            <v>HGC-Lib-2468935</v>
          </cell>
          <cell r="F5183" t="str">
            <v>LD240802O-1267A</v>
          </cell>
          <cell r="G5183">
            <v>10</v>
          </cell>
          <cell r="H5183" t="str">
            <v>DNA宏基因组文库</v>
          </cell>
          <cell r="I5183" t="str">
            <v>WH</v>
          </cell>
          <cell r="J5183">
            <v>47.8</v>
          </cell>
          <cell r="N5183" t="e">
            <v>#DIV/0!</v>
          </cell>
        </row>
        <row r="5184">
          <cell r="E5184" t="str">
            <v>HGC-Lib-2468936</v>
          </cell>
          <cell r="F5184" t="str">
            <v>LD240802O-1268A</v>
          </cell>
          <cell r="G5184">
            <v>10</v>
          </cell>
          <cell r="H5184" t="str">
            <v>DNA宏基因组文库</v>
          </cell>
          <cell r="I5184" t="str">
            <v>WH</v>
          </cell>
          <cell r="J5184">
            <v>52.8</v>
          </cell>
          <cell r="N5184" t="e">
            <v>#DIV/0!</v>
          </cell>
        </row>
        <row r="5185">
          <cell r="E5185" t="str">
            <v>HGC-Lib-2468937</v>
          </cell>
          <cell r="F5185" t="str">
            <v>LD240802O-1269A</v>
          </cell>
          <cell r="G5185">
            <v>4</v>
          </cell>
          <cell r="H5185" t="str">
            <v>DNA基因组文库</v>
          </cell>
          <cell r="I5185" t="str">
            <v>WH</v>
          </cell>
          <cell r="J5185">
            <v>49.2</v>
          </cell>
          <cell r="N5185" t="e">
            <v>#DIV/0!</v>
          </cell>
        </row>
        <row r="5186">
          <cell r="E5186" t="str">
            <v>HGC-Lib-2468938</v>
          </cell>
          <cell r="F5186" t="str">
            <v>LD240806O-2045A</v>
          </cell>
          <cell r="G5186">
            <v>1</v>
          </cell>
          <cell r="H5186" t="str">
            <v>DNA病毒组文库</v>
          </cell>
          <cell r="I5186" t="str">
            <v>WH</v>
          </cell>
          <cell r="J5186">
            <v>65.2</v>
          </cell>
          <cell r="N5186" t="e">
            <v>#DIV/0!</v>
          </cell>
        </row>
        <row r="5187">
          <cell r="E5187" t="str">
            <v>HGC-Lib-2468939</v>
          </cell>
          <cell r="F5187" t="str">
            <v>LD240806O-2046A</v>
          </cell>
          <cell r="G5187">
            <v>1</v>
          </cell>
          <cell r="H5187" t="str">
            <v>DNA基因组文库</v>
          </cell>
          <cell r="I5187" t="str">
            <v>WH</v>
          </cell>
          <cell r="J5187">
            <v>67.2</v>
          </cell>
          <cell r="N5187" t="e">
            <v>#DIV/0!</v>
          </cell>
        </row>
        <row r="5188">
          <cell r="E5188" t="str">
            <v>HGC-Lib-2468940</v>
          </cell>
          <cell r="F5188" t="str">
            <v>LD240806O-2047A</v>
          </cell>
          <cell r="G5188">
            <v>1</v>
          </cell>
          <cell r="H5188" t="str">
            <v>DNA基因组文库</v>
          </cell>
          <cell r="I5188" t="str">
            <v>WH</v>
          </cell>
          <cell r="J5188">
            <v>72.599999999999994</v>
          </cell>
          <cell r="N5188" t="e">
            <v>#DIV/0!</v>
          </cell>
        </row>
        <row r="5189">
          <cell r="E5189" t="str">
            <v>HGC-Lib-2468941</v>
          </cell>
          <cell r="F5189" t="str">
            <v>LD240806O-2048A</v>
          </cell>
          <cell r="G5189">
            <v>1</v>
          </cell>
          <cell r="H5189" t="str">
            <v>DNA基因组文库</v>
          </cell>
          <cell r="I5189" t="str">
            <v>WH</v>
          </cell>
          <cell r="J5189">
            <v>19.2</v>
          </cell>
          <cell r="N5189" t="e">
            <v>#DIV/0!</v>
          </cell>
        </row>
        <row r="5190">
          <cell r="E5190" t="str">
            <v>HGC-Lib-2468942</v>
          </cell>
          <cell r="F5190" t="str">
            <v>LD240806O-2049A</v>
          </cell>
          <cell r="G5190">
            <v>1</v>
          </cell>
          <cell r="H5190" t="str">
            <v>DNA基因组文库</v>
          </cell>
          <cell r="I5190" t="str">
            <v>WH</v>
          </cell>
          <cell r="J5190">
            <v>12.5</v>
          </cell>
          <cell r="N5190" t="e">
            <v>#DIV/0!</v>
          </cell>
        </row>
        <row r="5191">
          <cell r="E5191" t="str">
            <v>HGC-Lib-2468943</v>
          </cell>
          <cell r="F5191" t="str">
            <v>LD240806O-2050A</v>
          </cell>
          <cell r="G5191">
            <v>1</v>
          </cell>
          <cell r="H5191" t="str">
            <v>DNA基因组文库</v>
          </cell>
          <cell r="I5191" t="str">
            <v>WH</v>
          </cell>
          <cell r="J5191">
            <v>32.200000000000003</v>
          </cell>
          <cell r="N5191" t="e">
            <v>#DIV/0!</v>
          </cell>
        </row>
        <row r="5192">
          <cell r="E5192" t="str">
            <v>HGC-Lib-2468944</v>
          </cell>
          <cell r="F5192" t="str">
            <v>LD240806O-2051A</v>
          </cell>
          <cell r="G5192">
            <v>1</v>
          </cell>
          <cell r="H5192" t="str">
            <v>DNA基因组文库</v>
          </cell>
          <cell r="I5192" t="str">
            <v>WH</v>
          </cell>
          <cell r="J5192">
            <v>97.4</v>
          </cell>
          <cell r="N5192" t="e">
            <v>#DIV/0!</v>
          </cell>
        </row>
        <row r="5193">
          <cell r="E5193" t="str">
            <v>HGC-Lib-2468945</v>
          </cell>
          <cell r="F5193" t="str">
            <v>LD240806O-2052A</v>
          </cell>
          <cell r="G5193">
            <v>1</v>
          </cell>
          <cell r="H5193" t="str">
            <v>DNA基因组文库</v>
          </cell>
          <cell r="I5193" t="str">
            <v>WH</v>
          </cell>
          <cell r="J5193">
            <v>11.2</v>
          </cell>
          <cell r="N5193" t="e">
            <v>#DIV/0!</v>
          </cell>
        </row>
        <row r="5194">
          <cell r="E5194" t="str">
            <v>HGC-Lib-2468946</v>
          </cell>
          <cell r="F5194" t="str">
            <v>LD240806O-2053A</v>
          </cell>
          <cell r="G5194">
            <v>1</v>
          </cell>
          <cell r="H5194" t="str">
            <v>DNA基因组文库</v>
          </cell>
          <cell r="I5194" t="str">
            <v>WH</v>
          </cell>
          <cell r="J5194">
            <v>79.599999999999994</v>
          </cell>
          <cell r="N5194" t="e">
            <v>#DIV/0!</v>
          </cell>
        </row>
        <row r="5195">
          <cell r="E5195" t="str">
            <v>HGC-Lib-2468947</v>
          </cell>
          <cell r="F5195" t="str">
            <v>LD240806O-2054A</v>
          </cell>
          <cell r="G5195">
            <v>1</v>
          </cell>
          <cell r="H5195" t="str">
            <v>DNA基因组文库</v>
          </cell>
          <cell r="I5195" t="str">
            <v>WH</v>
          </cell>
          <cell r="J5195">
            <v>13.5</v>
          </cell>
          <cell r="N5195" t="e">
            <v>#DIV/0!</v>
          </cell>
        </row>
        <row r="5196">
          <cell r="E5196" t="str">
            <v>HGC-Lib-2468948</v>
          </cell>
          <cell r="F5196" t="str">
            <v>LD240806O-2055A</v>
          </cell>
          <cell r="G5196">
            <v>1</v>
          </cell>
          <cell r="H5196" t="str">
            <v>DNA基因组文库</v>
          </cell>
          <cell r="I5196" t="str">
            <v>WH</v>
          </cell>
          <cell r="J5196">
            <v>7.68</v>
          </cell>
          <cell r="N5196" t="e">
            <v>#DIV/0!</v>
          </cell>
        </row>
        <row r="5197">
          <cell r="E5197" t="str">
            <v>HGC-Lib-2468949</v>
          </cell>
          <cell r="F5197" t="str">
            <v>LD240806O-2056A</v>
          </cell>
          <cell r="G5197">
            <v>1</v>
          </cell>
          <cell r="H5197" t="str">
            <v>DNA基因组文库</v>
          </cell>
          <cell r="I5197" t="str">
            <v>WH</v>
          </cell>
          <cell r="J5197">
            <v>19.899999999999999</v>
          </cell>
          <cell r="N5197" t="e">
            <v>#DIV/0!</v>
          </cell>
        </row>
        <row r="5198">
          <cell r="E5198" t="str">
            <v>HGC-Lib-2468950</v>
          </cell>
          <cell r="F5198" t="str">
            <v>LD240806O-2057A</v>
          </cell>
          <cell r="G5198">
            <v>1</v>
          </cell>
          <cell r="H5198" t="str">
            <v>DNA基因组文库</v>
          </cell>
          <cell r="I5198" t="str">
            <v>WH</v>
          </cell>
          <cell r="J5198">
            <v>46.2</v>
          </cell>
          <cell r="N5198" t="e">
            <v>#DIV/0!</v>
          </cell>
        </row>
        <row r="5199">
          <cell r="E5199" t="str">
            <v>HGC-Lib-2468951</v>
          </cell>
          <cell r="F5199" t="str">
            <v>LD240806O-2058A</v>
          </cell>
          <cell r="G5199">
            <v>1</v>
          </cell>
          <cell r="H5199" t="str">
            <v>DNA基因组文库</v>
          </cell>
          <cell r="I5199" t="str">
            <v>WH</v>
          </cell>
          <cell r="J5199">
            <v>50</v>
          </cell>
          <cell r="N5199" t="e">
            <v>#DIV/0!</v>
          </cell>
        </row>
        <row r="5200">
          <cell r="E5200" t="str">
            <v>HGC-Lib-2468952</v>
          </cell>
          <cell r="F5200" t="str">
            <v>LD240806O-2059A</v>
          </cell>
          <cell r="G5200">
            <v>1</v>
          </cell>
          <cell r="H5200" t="str">
            <v>DNA基因组文库</v>
          </cell>
          <cell r="I5200" t="str">
            <v>WH</v>
          </cell>
          <cell r="J5200">
            <v>69.400000000000006</v>
          </cell>
          <cell r="N5200" t="e">
            <v>#DIV/0!</v>
          </cell>
        </row>
        <row r="5201">
          <cell r="E5201" t="str">
            <v>HGC-Lib-2468953</v>
          </cell>
          <cell r="F5201" t="str">
            <v>LD240806O-2060A</v>
          </cell>
          <cell r="G5201">
            <v>1</v>
          </cell>
          <cell r="H5201" t="str">
            <v>DNA基因组文库</v>
          </cell>
          <cell r="I5201" t="str">
            <v>WH</v>
          </cell>
          <cell r="J5201">
            <v>65.599999999999994</v>
          </cell>
          <cell r="N5201" t="e">
            <v>#DIV/0!</v>
          </cell>
        </row>
        <row r="5202">
          <cell r="E5202" t="str">
            <v>HGC-Lib-2468954</v>
          </cell>
          <cell r="F5202" t="str">
            <v>LD240806O-2061A</v>
          </cell>
          <cell r="G5202">
            <v>1</v>
          </cell>
          <cell r="H5202" t="str">
            <v>DNA基因组文库</v>
          </cell>
          <cell r="I5202" t="str">
            <v>WH</v>
          </cell>
          <cell r="J5202">
            <v>16.5</v>
          </cell>
          <cell r="N5202" t="e">
            <v>#DIV/0!</v>
          </cell>
        </row>
        <row r="5203">
          <cell r="E5203" t="str">
            <v>HGC-Lib-2468955</v>
          </cell>
          <cell r="F5203" t="str">
            <v>LD240806O-2062A</v>
          </cell>
          <cell r="G5203">
            <v>1</v>
          </cell>
          <cell r="H5203" t="str">
            <v>DNA基因组文库</v>
          </cell>
          <cell r="I5203" t="str">
            <v>WH</v>
          </cell>
          <cell r="J5203">
            <v>15.9</v>
          </cell>
          <cell r="N5203" t="e">
            <v>#DIV/0!</v>
          </cell>
        </row>
        <row r="5204">
          <cell r="E5204" t="str">
            <v>HGC-Lib-2468956</v>
          </cell>
          <cell r="F5204" t="str">
            <v>LD240806O-2063A</v>
          </cell>
          <cell r="G5204">
            <v>1</v>
          </cell>
          <cell r="H5204" t="str">
            <v>DNA基因组文库</v>
          </cell>
          <cell r="I5204" t="str">
            <v>WH</v>
          </cell>
          <cell r="J5204">
            <v>49.6</v>
          </cell>
          <cell r="N5204" t="e">
            <v>#DIV/0!</v>
          </cell>
        </row>
        <row r="5205">
          <cell r="E5205" t="str">
            <v>HGC-Lib-2468957</v>
          </cell>
          <cell r="F5205" t="str">
            <v>LD240806O-2064A</v>
          </cell>
          <cell r="G5205">
            <v>1</v>
          </cell>
          <cell r="H5205" t="str">
            <v>DNA基因组文库</v>
          </cell>
          <cell r="I5205" t="str">
            <v>WH</v>
          </cell>
          <cell r="J5205">
            <v>25</v>
          </cell>
          <cell r="N5205" t="e">
            <v>#DIV/0!</v>
          </cell>
        </row>
        <row r="5206">
          <cell r="E5206" t="str">
            <v>HGC-Lib-2468958</v>
          </cell>
          <cell r="F5206" t="str">
            <v>LD240806O-2065A</v>
          </cell>
          <cell r="G5206">
            <v>1</v>
          </cell>
          <cell r="H5206" t="str">
            <v>DNA基因组文库</v>
          </cell>
          <cell r="I5206" t="str">
            <v>WH</v>
          </cell>
          <cell r="J5206">
            <v>15.4</v>
          </cell>
          <cell r="N5206" t="e">
            <v>#DIV/0!</v>
          </cell>
        </row>
        <row r="5207">
          <cell r="E5207" t="str">
            <v>HGC-Lib-2468959</v>
          </cell>
          <cell r="F5207" t="str">
            <v>LD240806O-2066A</v>
          </cell>
          <cell r="G5207">
            <v>1</v>
          </cell>
          <cell r="H5207" t="str">
            <v>DNA基因组文库</v>
          </cell>
          <cell r="I5207" t="str">
            <v>WH</v>
          </cell>
          <cell r="J5207">
            <v>21</v>
          </cell>
          <cell r="N5207" t="e">
            <v>#DIV/0!</v>
          </cell>
        </row>
        <row r="5208">
          <cell r="E5208" t="str">
            <v>HGC-Lib-2468960</v>
          </cell>
          <cell r="F5208" t="str">
            <v>LD240806O-2067A</v>
          </cell>
          <cell r="G5208">
            <v>1</v>
          </cell>
          <cell r="H5208" t="str">
            <v>DNA基因组文库</v>
          </cell>
          <cell r="I5208" t="str">
            <v>WH</v>
          </cell>
          <cell r="J5208">
            <v>79.599999999999994</v>
          </cell>
          <cell r="N5208" t="e">
            <v>#DIV/0!</v>
          </cell>
        </row>
        <row r="5209">
          <cell r="E5209" t="str">
            <v>HGC-Lib-2468961</v>
          </cell>
          <cell r="F5209" t="str">
            <v>LD240806O-2068A</v>
          </cell>
          <cell r="G5209">
            <v>1</v>
          </cell>
          <cell r="H5209" t="str">
            <v>DNA基因组文库</v>
          </cell>
          <cell r="I5209" t="str">
            <v>WH</v>
          </cell>
          <cell r="J5209">
            <v>18.899999999999999</v>
          </cell>
          <cell r="N5209" t="e">
            <v>#DIV/0!</v>
          </cell>
        </row>
        <row r="5210">
          <cell r="E5210" t="str">
            <v>HGC-Lib-2468962</v>
          </cell>
          <cell r="F5210" t="str">
            <v>LD240806O-2069A</v>
          </cell>
          <cell r="G5210">
            <v>1</v>
          </cell>
          <cell r="H5210" t="str">
            <v>DNA基因组文库</v>
          </cell>
          <cell r="I5210" t="str">
            <v>WH</v>
          </cell>
          <cell r="J5210">
            <v>53.6</v>
          </cell>
          <cell r="N5210" t="e">
            <v>#DIV/0!</v>
          </cell>
        </row>
        <row r="5211">
          <cell r="E5211" t="str">
            <v>HGC-Lib-2468963</v>
          </cell>
          <cell r="F5211" t="str">
            <v>LD240806O-2070A</v>
          </cell>
          <cell r="G5211">
            <v>1</v>
          </cell>
          <cell r="H5211" t="str">
            <v>DNA基因组文库</v>
          </cell>
          <cell r="I5211" t="str">
            <v>WH</v>
          </cell>
          <cell r="J5211">
            <v>34.4</v>
          </cell>
          <cell r="N5211" t="e">
            <v>#DIV/0!</v>
          </cell>
        </row>
        <row r="5212">
          <cell r="E5212" t="str">
            <v>HGC-Lib-2468964</v>
          </cell>
          <cell r="F5212" t="str">
            <v>LD240806O-2071A</v>
          </cell>
          <cell r="G5212">
            <v>1</v>
          </cell>
          <cell r="H5212" t="str">
            <v>DNA基因组文库</v>
          </cell>
          <cell r="I5212" t="str">
            <v>WH</v>
          </cell>
          <cell r="J5212">
            <v>88.6</v>
          </cell>
          <cell r="N5212" t="e">
            <v>#DIV/0!</v>
          </cell>
        </row>
        <row r="5213">
          <cell r="E5213" t="str">
            <v>HGC-Lib-2468965</v>
          </cell>
          <cell r="F5213" t="str">
            <v>LD240806O-2072A</v>
          </cell>
          <cell r="G5213">
            <v>1</v>
          </cell>
          <cell r="H5213" t="str">
            <v>DNA基因组文库</v>
          </cell>
          <cell r="I5213" t="str">
            <v>WH</v>
          </cell>
          <cell r="J5213">
            <v>51</v>
          </cell>
          <cell r="N5213" t="e">
            <v>#DIV/0!</v>
          </cell>
        </row>
        <row r="5214">
          <cell r="E5214" t="str">
            <v>HGC-Lib-2468966</v>
          </cell>
          <cell r="F5214" t="str">
            <v>LD240806O-2073A</v>
          </cell>
          <cell r="G5214">
            <v>1</v>
          </cell>
          <cell r="H5214" t="str">
            <v>DNA基因组文库</v>
          </cell>
          <cell r="I5214" t="str">
            <v>WH</v>
          </cell>
          <cell r="J5214">
            <v>47.2</v>
          </cell>
          <cell r="N5214" t="e">
            <v>#DIV/0!</v>
          </cell>
        </row>
        <row r="5215">
          <cell r="E5215" t="str">
            <v>HGC-Lib-2468967</v>
          </cell>
          <cell r="F5215" t="str">
            <v>LD240806O-2074A</v>
          </cell>
          <cell r="G5215">
            <v>1</v>
          </cell>
          <cell r="H5215" t="str">
            <v>DNA基因组文库</v>
          </cell>
          <cell r="I5215" t="str">
            <v>WH</v>
          </cell>
          <cell r="J5215">
            <v>65</v>
          </cell>
          <cell r="N5215" t="e">
            <v>#DIV/0!</v>
          </cell>
        </row>
        <row r="5216">
          <cell r="E5216" t="str">
            <v>HGC-Lib-2468968</v>
          </cell>
          <cell r="F5216" t="str">
            <v>LD240806O-2075A</v>
          </cell>
          <cell r="G5216">
            <v>1</v>
          </cell>
          <cell r="H5216" t="str">
            <v>DNA基因组文库</v>
          </cell>
          <cell r="I5216" t="str">
            <v>WH</v>
          </cell>
          <cell r="J5216">
            <v>67.400000000000006</v>
          </cell>
          <cell r="N5216" t="e">
            <v>#DIV/0!</v>
          </cell>
        </row>
        <row r="5217">
          <cell r="E5217" t="str">
            <v>HGC-Lib-2468969</v>
          </cell>
          <cell r="F5217" t="str">
            <v>LD240806O-2076A</v>
          </cell>
          <cell r="G5217">
            <v>1</v>
          </cell>
          <cell r="H5217" t="str">
            <v>DNA基因组文库</v>
          </cell>
          <cell r="I5217" t="str">
            <v>YHT</v>
          </cell>
          <cell r="J5217">
            <v>16</v>
          </cell>
          <cell r="N5217" t="e">
            <v>#DIV/0!</v>
          </cell>
        </row>
        <row r="5218">
          <cell r="E5218" t="str">
            <v>HGC-Lib-2468970</v>
          </cell>
          <cell r="F5218" t="str">
            <v>LD240806O-2077A</v>
          </cell>
          <cell r="G5218">
            <v>1</v>
          </cell>
          <cell r="H5218" t="str">
            <v>DNA基因组文库</v>
          </cell>
          <cell r="I5218" t="str">
            <v>YHT</v>
          </cell>
          <cell r="J5218">
            <v>33.799999999999997</v>
          </cell>
          <cell r="N5218" t="e">
            <v>#DIV/0!</v>
          </cell>
        </row>
        <row r="5219">
          <cell r="E5219" t="str">
            <v>HGC-Lib-2468971</v>
          </cell>
          <cell r="F5219" t="str">
            <v>LD240806O-2078A</v>
          </cell>
          <cell r="G5219">
            <v>1</v>
          </cell>
          <cell r="H5219" t="str">
            <v>DNA基因组文库</v>
          </cell>
          <cell r="I5219" t="str">
            <v>YHT</v>
          </cell>
          <cell r="J5219">
            <v>71.2</v>
          </cell>
          <cell r="N5219" t="e">
            <v>#DIV/0!</v>
          </cell>
        </row>
        <row r="5220">
          <cell r="E5220" t="str">
            <v>HGC-Lib-2468972</v>
          </cell>
          <cell r="F5220" t="str">
            <v>LD240806O-2079A</v>
          </cell>
          <cell r="G5220">
            <v>1</v>
          </cell>
          <cell r="H5220" t="str">
            <v>DNA基因组文库</v>
          </cell>
          <cell r="I5220" t="str">
            <v>YHT</v>
          </cell>
          <cell r="J5220">
            <v>56.2</v>
          </cell>
          <cell r="N5220" t="e">
            <v>#DIV/0!</v>
          </cell>
        </row>
        <row r="5221">
          <cell r="E5221" t="str">
            <v>HGC-Lib-2468973</v>
          </cell>
          <cell r="F5221" t="str">
            <v>LD240806O-2080A</v>
          </cell>
          <cell r="G5221">
            <v>1</v>
          </cell>
          <cell r="H5221" t="str">
            <v>DNA基因组文库</v>
          </cell>
          <cell r="I5221" t="str">
            <v>YHT</v>
          </cell>
          <cell r="J5221">
            <v>70.8</v>
          </cell>
          <cell r="N5221" t="e">
            <v>#DIV/0!</v>
          </cell>
        </row>
        <row r="5222">
          <cell r="E5222" t="str">
            <v>HGC-Lib-2468974</v>
          </cell>
          <cell r="F5222" t="str">
            <v>LD240806O-2081A</v>
          </cell>
          <cell r="G5222">
            <v>1</v>
          </cell>
          <cell r="H5222" t="str">
            <v>DNA基因组文库</v>
          </cell>
          <cell r="I5222" t="str">
            <v>YHT</v>
          </cell>
          <cell r="J5222">
            <v>60.2</v>
          </cell>
          <cell r="N5222" t="e">
            <v>#DIV/0!</v>
          </cell>
        </row>
        <row r="5223">
          <cell r="E5223" t="str">
            <v>HGC-Lib-2468975</v>
          </cell>
          <cell r="F5223" t="str">
            <v>LD240806O-2082A</v>
          </cell>
          <cell r="G5223">
            <v>1</v>
          </cell>
          <cell r="H5223" t="str">
            <v>DNA基因组文库</v>
          </cell>
          <cell r="I5223" t="str">
            <v>YHT</v>
          </cell>
          <cell r="J5223">
            <v>79</v>
          </cell>
          <cell r="N5223" t="e">
            <v>#DIV/0!</v>
          </cell>
        </row>
        <row r="5224">
          <cell r="E5224" t="str">
            <v>HGC-Lib-2468976</v>
          </cell>
          <cell r="F5224" t="str">
            <v>LD240806O-2083A</v>
          </cell>
          <cell r="G5224">
            <v>1</v>
          </cell>
          <cell r="H5224" t="str">
            <v>DNA基因组文库</v>
          </cell>
          <cell r="I5224" t="str">
            <v>YHT</v>
          </cell>
          <cell r="J5224">
            <v>86.8</v>
          </cell>
          <cell r="N5224" t="e">
            <v>#DIV/0!</v>
          </cell>
        </row>
        <row r="5225">
          <cell r="E5225" t="str">
            <v>HGC-Lib-2468977</v>
          </cell>
          <cell r="F5225" t="str">
            <v>LD240806O-2084A</v>
          </cell>
          <cell r="G5225">
            <v>1</v>
          </cell>
          <cell r="H5225" t="str">
            <v>DNA基因组文库</v>
          </cell>
          <cell r="I5225" t="str">
            <v>YHT</v>
          </cell>
          <cell r="J5225">
            <v>80.400000000000006</v>
          </cell>
          <cell r="N5225" t="e">
            <v>#DIV/0!</v>
          </cell>
        </row>
        <row r="5226">
          <cell r="E5226" t="str">
            <v>HGC-Lib-2468978</v>
          </cell>
          <cell r="F5226" t="str">
            <v>LD240806O-2085A</v>
          </cell>
          <cell r="G5226">
            <v>1</v>
          </cell>
          <cell r="H5226" t="str">
            <v>DNA基因组文库</v>
          </cell>
          <cell r="I5226" t="str">
            <v>YHT</v>
          </cell>
          <cell r="J5226">
            <v>6.58</v>
          </cell>
          <cell r="N5226" t="e">
            <v>#DIV/0!</v>
          </cell>
        </row>
        <row r="5227">
          <cell r="E5227" t="str">
            <v>HGC-Lib-2468979</v>
          </cell>
          <cell r="F5227" t="str">
            <v>LD240806O-2086A</v>
          </cell>
          <cell r="G5227">
            <v>1</v>
          </cell>
          <cell r="H5227" t="str">
            <v>DNA基因组文库</v>
          </cell>
          <cell r="I5227" t="str">
            <v>YHT</v>
          </cell>
          <cell r="J5227">
            <v>7.28</v>
          </cell>
          <cell r="N5227" t="e">
            <v>#DIV/0!</v>
          </cell>
        </row>
        <row r="5228">
          <cell r="E5228" t="str">
            <v>HGC-Lib-2468980</v>
          </cell>
          <cell r="F5228" t="str">
            <v>LD240806O-2087A</v>
          </cell>
          <cell r="G5228">
            <v>1</v>
          </cell>
          <cell r="H5228" t="str">
            <v>DNA基因组文库</v>
          </cell>
          <cell r="I5228" t="str">
            <v>YHT</v>
          </cell>
          <cell r="J5228">
            <v>71.8</v>
          </cell>
          <cell r="N5228" t="e">
            <v>#DIV/0!</v>
          </cell>
        </row>
        <row r="5229">
          <cell r="E5229" t="str">
            <v>HGC-Lib-2468981</v>
          </cell>
          <cell r="F5229" t="str">
            <v>LD240806O-2088A</v>
          </cell>
          <cell r="G5229">
            <v>1</v>
          </cell>
          <cell r="H5229" t="str">
            <v>DNA基因组文库</v>
          </cell>
          <cell r="I5229" t="str">
            <v>YHT</v>
          </cell>
          <cell r="J5229">
            <v>55.6</v>
          </cell>
          <cell r="N5229" t="e">
            <v>#DIV/0!</v>
          </cell>
        </row>
        <row r="5230">
          <cell r="E5230" t="str">
            <v>HGC-Lib-2468982</v>
          </cell>
          <cell r="F5230" t="str">
            <v>LD240806O-2089A</v>
          </cell>
          <cell r="G5230">
            <v>1</v>
          </cell>
          <cell r="H5230" t="str">
            <v>DNA基因组文库</v>
          </cell>
          <cell r="I5230" t="str">
            <v>YHT</v>
          </cell>
          <cell r="J5230">
            <v>80.599999999999994</v>
          </cell>
          <cell r="N5230" t="e">
            <v>#DIV/0!</v>
          </cell>
        </row>
        <row r="5231">
          <cell r="E5231" t="str">
            <v>HGC-Lib-2468983</v>
          </cell>
          <cell r="F5231" t="str">
            <v>LD240806O-2090A</v>
          </cell>
          <cell r="G5231">
            <v>1</v>
          </cell>
          <cell r="H5231" t="str">
            <v>DNA基因组文库</v>
          </cell>
          <cell r="I5231" t="str">
            <v>YHT</v>
          </cell>
          <cell r="J5231">
            <v>68.599999999999994</v>
          </cell>
          <cell r="N5231" t="e">
            <v>#DIV/0!</v>
          </cell>
        </row>
        <row r="5232">
          <cell r="E5232" t="str">
            <v>HGC-Lib-2468984</v>
          </cell>
          <cell r="F5232" t="str">
            <v>LD240806O-2091A</v>
          </cell>
          <cell r="G5232">
            <v>1</v>
          </cell>
          <cell r="H5232" t="str">
            <v>DNA基因组文库</v>
          </cell>
          <cell r="I5232" t="str">
            <v>YHT</v>
          </cell>
          <cell r="J5232">
            <v>74</v>
          </cell>
          <cell r="N5232" t="e">
            <v>#DIV/0!</v>
          </cell>
        </row>
        <row r="5233">
          <cell r="E5233" t="str">
            <v>HGC-Lib-2468985</v>
          </cell>
          <cell r="F5233" t="str">
            <v>LD240806O-2092A</v>
          </cell>
          <cell r="G5233">
            <v>1</v>
          </cell>
          <cell r="H5233" t="str">
            <v>DNA基因组文库</v>
          </cell>
          <cell r="I5233" t="str">
            <v>YHT</v>
          </cell>
          <cell r="J5233">
            <v>7.1</v>
          </cell>
          <cell r="N5233" t="e">
            <v>#DIV/0!</v>
          </cell>
        </row>
        <row r="5234">
          <cell r="E5234" t="str">
            <v>HGC-Lib-2468986</v>
          </cell>
          <cell r="F5234" t="str">
            <v>LD240806O-2093A</v>
          </cell>
          <cell r="G5234">
            <v>1</v>
          </cell>
          <cell r="H5234" t="str">
            <v>DNA基因组文库</v>
          </cell>
          <cell r="I5234" t="str">
            <v>YHT</v>
          </cell>
          <cell r="J5234">
            <v>56.4</v>
          </cell>
          <cell r="N5234" t="e">
            <v>#DIV/0!</v>
          </cell>
        </row>
        <row r="5235">
          <cell r="E5235" t="str">
            <v>HGC-Lib-2468987</v>
          </cell>
          <cell r="F5235" t="str">
            <v>LD240807O-3257A</v>
          </cell>
          <cell r="G5235">
            <v>10</v>
          </cell>
          <cell r="H5235" t="str">
            <v>DNA宏基因组文库</v>
          </cell>
          <cell r="I5235" t="str">
            <v>YHT</v>
          </cell>
          <cell r="J5235">
            <v>7.6</v>
          </cell>
          <cell r="N5235" t="e">
            <v>#DIV/0!</v>
          </cell>
        </row>
        <row r="5236">
          <cell r="E5236" t="str">
            <v>HGC-Lib-2468988</v>
          </cell>
          <cell r="F5236" t="str">
            <v>LD240807O-3258A</v>
          </cell>
          <cell r="G5236">
            <v>10</v>
          </cell>
          <cell r="H5236" t="str">
            <v>DNA宏基因组文库</v>
          </cell>
          <cell r="I5236" t="str">
            <v>YHT</v>
          </cell>
          <cell r="J5236">
            <v>10.6</v>
          </cell>
          <cell r="N5236" t="e">
            <v>#DIV/0!</v>
          </cell>
        </row>
        <row r="5237">
          <cell r="E5237" t="str">
            <v>HGC-Lib-2468989</v>
          </cell>
          <cell r="F5237" t="str">
            <v>LD240807O-3259A</v>
          </cell>
          <cell r="G5237">
            <v>10</v>
          </cell>
          <cell r="H5237" t="str">
            <v>DNA宏基因组文库</v>
          </cell>
          <cell r="I5237" t="str">
            <v>YHT</v>
          </cell>
          <cell r="J5237">
            <v>57.4</v>
          </cell>
          <cell r="N5237" t="e">
            <v>#DIV/0!</v>
          </cell>
        </row>
        <row r="5238">
          <cell r="E5238" t="str">
            <v>HGC-Lib-2468990</v>
          </cell>
          <cell r="F5238" t="str">
            <v>LD240807O-3260A</v>
          </cell>
          <cell r="G5238">
            <v>10</v>
          </cell>
          <cell r="H5238" t="str">
            <v>DNA宏基因组文库</v>
          </cell>
          <cell r="I5238" t="str">
            <v>YHT</v>
          </cell>
          <cell r="J5238">
            <v>79.599999999999994</v>
          </cell>
          <cell r="N5238" t="e">
            <v>#DIV/0!</v>
          </cell>
        </row>
        <row r="5239">
          <cell r="E5239" t="str">
            <v>HGC-Lib-2468991</v>
          </cell>
          <cell r="F5239" t="str">
            <v>LD240812D-0447A</v>
          </cell>
          <cell r="G5239">
            <v>20</v>
          </cell>
          <cell r="H5239" t="str">
            <v>DNA宏基因组文库</v>
          </cell>
          <cell r="I5239" t="str">
            <v>YHT</v>
          </cell>
          <cell r="J5239">
            <v>32</v>
          </cell>
          <cell r="N5239" t="e">
            <v>#DIV/0!</v>
          </cell>
        </row>
        <row r="5240">
          <cell r="E5240" t="str">
            <v>HGC-Lib-2468992</v>
          </cell>
          <cell r="F5240" t="str">
            <v>LD240812D-0448A</v>
          </cell>
          <cell r="G5240">
            <v>20</v>
          </cell>
          <cell r="H5240" t="str">
            <v>DNA宏基因组文库</v>
          </cell>
          <cell r="I5240" t="str">
            <v>YHT</v>
          </cell>
          <cell r="J5240">
            <v>41.8</v>
          </cell>
          <cell r="N5240" t="e">
            <v>#DIV/0!</v>
          </cell>
        </row>
        <row r="5241">
          <cell r="E5241" t="str">
            <v>HGC-Lib-2468993</v>
          </cell>
          <cell r="F5241" t="str">
            <v>LD240716R-0099A</v>
          </cell>
          <cell r="G5241">
            <v>6</v>
          </cell>
          <cell r="H5241" t="str">
            <v>RNA病毒基因组文库</v>
          </cell>
          <cell r="I5241" t="str">
            <v>YHT</v>
          </cell>
          <cell r="J5241">
            <v>39.4</v>
          </cell>
          <cell r="N5241" t="e">
            <v>#DIV/0!</v>
          </cell>
        </row>
        <row r="5242">
          <cell r="E5242" t="str">
            <v>HGC-Lib-2468994</v>
          </cell>
          <cell r="F5242" t="str">
            <v>LD240716R-0100A</v>
          </cell>
          <cell r="G5242">
            <v>6</v>
          </cell>
          <cell r="H5242" t="str">
            <v>RNA病毒基因组文库</v>
          </cell>
          <cell r="I5242" t="str">
            <v>YHT</v>
          </cell>
          <cell r="J5242">
            <v>28.8</v>
          </cell>
          <cell r="N5242" t="e">
            <v>#DIV/0!</v>
          </cell>
        </row>
        <row r="5243">
          <cell r="E5243" t="str">
            <v>HGC-Lib-2468995</v>
          </cell>
          <cell r="F5243" t="str">
            <v>LD240716R-0101A</v>
          </cell>
          <cell r="G5243">
            <v>6</v>
          </cell>
          <cell r="H5243" t="str">
            <v>RNA病毒基因组文库</v>
          </cell>
          <cell r="I5243" t="str">
            <v>YHT</v>
          </cell>
          <cell r="J5243">
            <v>36.799999999999997</v>
          </cell>
          <cell r="N5243" t="e">
            <v>#DIV/0!</v>
          </cell>
        </row>
        <row r="5244">
          <cell r="E5244" t="str">
            <v>HGC-Lib-2468996</v>
          </cell>
          <cell r="F5244" t="str">
            <v>LD240716R-0102A</v>
          </cell>
          <cell r="G5244">
            <v>6</v>
          </cell>
          <cell r="H5244" t="str">
            <v>RNA病毒基因组文库</v>
          </cell>
          <cell r="I5244" t="str">
            <v>YHT</v>
          </cell>
          <cell r="J5244">
            <v>17.600000000000001</v>
          </cell>
          <cell r="N5244" t="e">
            <v>#DIV/0!</v>
          </cell>
        </row>
        <row r="5245">
          <cell r="E5245" t="str">
            <v>HGC-POOL-2469004</v>
          </cell>
          <cell r="F5245" t="str">
            <v>WG2451</v>
          </cell>
          <cell r="G5245">
            <v>10</v>
          </cell>
          <cell r="H5245" t="str">
            <v>全基因组文库</v>
          </cell>
          <cell r="I5245" t="str">
            <v>YHT</v>
          </cell>
          <cell r="J5245">
            <v>1.36</v>
          </cell>
          <cell r="K5245">
            <v>441</v>
          </cell>
          <cell r="N5245">
            <v>4.7444618873190301</v>
          </cell>
        </row>
        <row r="5246">
          <cell r="E5246" t="str">
            <v>HGC-POOL-2469005</v>
          </cell>
          <cell r="F5246" t="str">
            <v>WG2453</v>
          </cell>
          <cell r="G5246">
            <v>15</v>
          </cell>
          <cell r="H5246" t="str">
            <v>全基因组文库</v>
          </cell>
          <cell r="I5246" t="str">
            <v>YHT</v>
          </cell>
          <cell r="J5246">
            <v>5.78</v>
          </cell>
          <cell r="K5246">
            <v>416</v>
          </cell>
          <cell r="N5246">
            <v>21.375739644970398</v>
          </cell>
        </row>
        <row r="5247">
          <cell r="E5247" t="str">
            <v>HGC-POOL-2469006</v>
          </cell>
          <cell r="F5247" t="str">
            <v>WG2454</v>
          </cell>
          <cell r="G5247">
            <v>15</v>
          </cell>
          <cell r="H5247" t="str">
            <v>全基因组文库</v>
          </cell>
          <cell r="I5247" t="str">
            <v>YHT</v>
          </cell>
          <cell r="J5247">
            <v>3.16</v>
          </cell>
          <cell r="K5247">
            <v>436</v>
          </cell>
          <cell r="N5247">
            <v>11.150317572335901</v>
          </cell>
        </row>
        <row r="5248">
          <cell r="E5248" t="str">
            <v>HGC-POOL-2469007</v>
          </cell>
          <cell r="F5248" t="str">
            <v>WG2455</v>
          </cell>
          <cell r="G5248">
            <v>10</v>
          </cell>
          <cell r="H5248" t="str">
            <v>全基因组文库</v>
          </cell>
          <cell r="I5248" t="str">
            <v>YHT</v>
          </cell>
          <cell r="J5248">
            <v>2.2400000000000002</v>
          </cell>
          <cell r="K5248">
            <v>435</v>
          </cell>
          <cell r="N5248">
            <v>7.9221927497789597</v>
          </cell>
        </row>
        <row r="5249">
          <cell r="E5249" t="str">
            <v>HGC-POOL-2469008</v>
          </cell>
          <cell r="F5249" t="str">
            <v>WG245254</v>
          </cell>
          <cell r="G5249">
            <v>15</v>
          </cell>
          <cell r="H5249" t="str">
            <v>全基因组文库</v>
          </cell>
          <cell r="I5249" t="str">
            <v>YHT</v>
          </cell>
          <cell r="J5249">
            <v>2.72</v>
          </cell>
          <cell r="K5249">
            <v>395</v>
          </cell>
          <cell r="N5249">
            <v>10.593962999026299</v>
          </cell>
        </row>
        <row r="5250">
          <cell r="E5250" t="str">
            <v>HGC-POOL-2469009</v>
          </cell>
          <cell r="F5250" t="str">
            <v>WG2456</v>
          </cell>
          <cell r="G5250">
            <v>10</v>
          </cell>
          <cell r="H5250" t="str">
            <v>全基因组文库</v>
          </cell>
          <cell r="I5250" t="str">
            <v>YHT</v>
          </cell>
          <cell r="J5250">
            <v>0.8</v>
          </cell>
          <cell r="K5250">
            <v>347</v>
          </cell>
          <cell r="N5250">
            <v>3.5468853912657901</v>
          </cell>
        </row>
        <row r="5251">
          <cell r="E5251" t="str">
            <v>HGC-Lib-2469010</v>
          </cell>
          <cell r="F5251" t="str">
            <v>0827X1</v>
          </cell>
          <cell r="G5251">
            <v>1000</v>
          </cell>
          <cell r="H5251" t="str">
            <v>WES/panel捕获文库</v>
          </cell>
          <cell r="I5251" t="str">
            <v>YHT</v>
          </cell>
          <cell r="J5251">
            <v>12.55</v>
          </cell>
          <cell r="K5251">
            <v>466</v>
          </cell>
          <cell r="L5251" t="str">
            <v>GZQ</v>
          </cell>
          <cell r="N5251">
            <v>41.432816110927703</v>
          </cell>
        </row>
        <row r="5252">
          <cell r="E5252" t="str">
            <v>HGC-Lib-2469011</v>
          </cell>
          <cell r="F5252" t="str">
            <v>ZH-74</v>
          </cell>
          <cell r="G5252">
            <v>200</v>
          </cell>
          <cell r="H5252" t="str">
            <v>10× 3'单细胞</v>
          </cell>
          <cell r="I5252" t="str">
            <v>YHT</v>
          </cell>
          <cell r="J5252">
            <v>21.4</v>
          </cell>
          <cell r="K5252">
            <v>506</v>
          </cell>
          <cell r="L5252" t="str">
            <v>YHT</v>
          </cell>
          <cell r="N5252">
            <v>65.065369413195498</v>
          </cell>
        </row>
        <row r="5253">
          <cell r="E5253" t="str">
            <v>HGC-POOL-2469013</v>
          </cell>
          <cell r="F5253" t="str">
            <v>hsy002</v>
          </cell>
          <cell r="G5253">
            <v>18</v>
          </cell>
          <cell r="H5253" t="str">
            <v>Chip-Seq</v>
          </cell>
          <cell r="I5253" t="str">
            <v>GZQ</v>
          </cell>
          <cell r="J5253">
            <v>1.71</v>
          </cell>
          <cell r="K5253">
            <v>485</v>
          </cell>
          <cell r="N5253">
            <v>5.4242664551942896</v>
          </cell>
        </row>
        <row r="5254">
          <cell r="E5254" t="str">
            <v>HGC-Lib-2469152</v>
          </cell>
          <cell r="F5254" t="str">
            <v>DYNOLC240818016</v>
          </cell>
          <cell r="G5254">
            <v>100</v>
          </cell>
          <cell r="H5254" t="str">
            <v>singleron-3'转录组文库</v>
          </cell>
          <cell r="I5254" t="str">
            <v>WH</v>
          </cell>
          <cell r="J5254">
            <v>20.399999999999999</v>
          </cell>
          <cell r="N5254" t="e">
            <v>#DIV/0!</v>
          </cell>
        </row>
        <row r="5255">
          <cell r="E5255" t="str">
            <v>HGC-Lib-2469153</v>
          </cell>
          <cell r="F5255" t="str">
            <v>DYNOLC240818017</v>
          </cell>
          <cell r="G5255">
            <v>100</v>
          </cell>
          <cell r="H5255" t="str">
            <v>singleron-3'转录组文库</v>
          </cell>
          <cell r="I5255" t="str">
            <v>WH</v>
          </cell>
          <cell r="J5255">
            <v>19.7</v>
          </cell>
          <cell r="N5255" t="e">
            <v>#DIV/0!</v>
          </cell>
        </row>
        <row r="5256">
          <cell r="E5256" t="str">
            <v>HGC-Lib-2469154</v>
          </cell>
          <cell r="F5256" t="str">
            <v>LC240815005</v>
          </cell>
          <cell r="G5256">
            <v>30</v>
          </cell>
          <cell r="H5256" t="str">
            <v>singleron-3'转录组文库</v>
          </cell>
          <cell r="I5256" t="str">
            <v>WH</v>
          </cell>
          <cell r="J5256">
            <v>9.8000000000000007</v>
          </cell>
          <cell r="N5256" t="e">
            <v>#DIV/0!</v>
          </cell>
        </row>
        <row r="5257">
          <cell r="E5257" t="str">
            <v>HGC-Lib-2469155</v>
          </cell>
          <cell r="F5257" t="str">
            <v>LC240620068CT2</v>
          </cell>
          <cell r="G5257">
            <v>30</v>
          </cell>
          <cell r="H5257" t="str">
            <v>singleron-3'转录组文库</v>
          </cell>
          <cell r="I5257" t="str">
            <v>WH</v>
          </cell>
          <cell r="J5257">
            <v>12.3</v>
          </cell>
          <cell r="N5257" t="e">
            <v>#DIV/0!</v>
          </cell>
        </row>
        <row r="5258">
          <cell r="E5258" t="str">
            <v>HGC-Lib-2469156</v>
          </cell>
          <cell r="F5258" t="str">
            <v>LA240824005X1</v>
          </cell>
          <cell r="G5258">
            <v>100</v>
          </cell>
          <cell r="H5258" t="str">
            <v>singleron-3'转录组文库</v>
          </cell>
          <cell r="I5258" t="str">
            <v>WH</v>
          </cell>
          <cell r="J5258">
            <v>16.8</v>
          </cell>
          <cell r="N5258" t="e">
            <v>#DIV/0!</v>
          </cell>
        </row>
        <row r="5259">
          <cell r="E5259" t="str">
            <v>HGC-Lib-2469157</v>
          </cell>
          <cell r="F5259" t="str">
            <v>LA240824033</v>
          </cell>
          <cell r="G5259">
            <v>150</v>
          </cell>
          <cell r="H5259" t="str">
            <v>singleron-3'转录组文库</v>
          </cell>
          <cell r="I5259" t="str">
            <v>WH</v>
          </cell>
          <cell r="J5259">
            <v>16.2</v>
          </cell>
          <cell r="N5259" t="e">
            <v>#DIV/0!</v>
          </cell>
        </row>
        <row r="5260">
          <cell r="E5260" t="str">
            <v>HGC-Lib-2469158</v>
          </cell>
          <cell r="F5260" t="str">
            <v>LFTC240824003</v>
          </cell>
          <cell r="G5260">
            <v>120</v>
          </cell>
          <cell r="H5260" t="str">
            <v>singleron-3'全长转录组文库</v>
          </cell>
          <cell r="I5260" t="str">
            <v>WH</v>
          </cell>
          <cell r="J5260">
            <v>20</v>
          </cell>
          <cell r="N5260" t="e">
            <v>#DIV/0!</v>
          </cell>
        </row>
        <row r="5261">
          <cell r="E5261" t="str">
            <v>HGC-Lib-2469159</v>
          </cell>
          <cell r="F5261" t="str">
            <v>LTA240824032</v>
          </cell>
          <cell r="G5261">
            <v>90</v>
          </cell>
          <cell r="H5261" t="str">
            <v>singleron-3'转录组文库</v>
          </cell>
          <cell r="I5261" t="str">
            <v>WH</v>
          </cell>
          <cell r="J5261">
            <v>13.9</v>
          </cell>
          <cell r="N5261" t="e">
            <v>#DIV/0!</v>
          </cell>
        </row>
        <row r="5262">
          <cell r="E5262" t="str">
            <v>HGC-Lib-2469160</v>
          </cell>
          <cell r="F5262" t="str">
            <v>LPMA240824031</v>
          </cell>
          <cell r="G5262">
            <v>100</v>
          </cell>
          <cell r="H5262" t="str">
            <v>singleron-3'转录组文库</v>
          </cell>
          <cell r="I5262" t="str">
            <v>WH</v>
          </cell>
          <cell r="J5262">
            <v>16.3</v>
          </cell>
          <cell r="N5262" t="e">
            <v>#DIV/0!</v>
          </cell>
        </row>
        <row r="5263">
          <cell r="E5263" t="str">
            <v>HGC-Lib-2469161</v>
          </cell>
          <cell r="F5263" t="str">
            <v>PMLPMA240824031</v>
          </cell>
          <cell r="G5263">
            <v>12</v>
          </cell>
          <cell r="H5263" t="str">
            <v>其他碱基不平衡文库</v>
          </cell>
          <cell r="I5263" t="str">
            <v>WH</v>
          </cell>
          <cell r="J5263">
            <v>37.200000000000003</v>
          </cell>
          <cell r="N5263" t="e">
            <v>#DIV/0!</v>
          </cell>
        </row>
        <row r="5264">
          <cell r="E5264" t="str">
            <v>HGC-Lib-2469162</v>
          </cell>
          <cell r="F5264" t="str">
            <v>LC240815044CT</v>
          </cell>
          <cell r="G5264">
            <v>30</v>
          </cell>
          <cell r="H5264" t="str">
            <v>singleron-3'转录组文库</v>
          </cell>
          <cell r="I5264" t="str">
            <v>WH</v>
          </cell>
          <cell r="J5264">
            <v>9.18</v>
          </cell>
          <cell r="N5264" t="e">
            <v>#DIV/0!</v>
          </cell>
        </row>
        <row r="5265">
          <cell r="E5265" t="str">
            <v>HGC-Lib-2469163</v>
          </cell>
          <cell r="F5265" t="str">
            <v>LFTA240823024</v>
          </cell>
          <cell r="G5265">
            <v>110</v>
          </cell>
          <cell r="H5265" t="str">
            <v>singleron-3'全长转录组文库</v>
          </cell>
          <cell r="I5265" t="str">
            <v>WH</v>
          </cell>
          <cell r="J5265">
            <v>10.5</v>
          </cell>
          <cell r="N5265" t="e">
            <v>#DIV/0!</v>
          </cell>
        </row>
        <row r="5266">
          <cell r="E5266" t="str">
            <v>HGC-Lib-2469164</v>
          </cell>
          <cell r="F5266" t="str">
            <v>LFTA240823025X1</v>
          </cell>
          <cell r="G5266">
            <v>10</v>
          </cell>
          <cell r="H5266" t="str">
            <v>singleron-3'全长转录组文库</v>
          </cell>
          <cell r="I5266" t="str">
            <v>WH</v>
          </cell>
          <cell r="J5266">
            <v>14.3</v>
          </cell>
          <cell r="N5266" t="e">
            <v>#DIV/0!</v>
          </cell>
        </row>
        <row r="5267">
          <cell r="E5267" t="str">
            <v>HGC-Lib-2469165</v>
          </cell>
          <cell r="F5267" t="str">
            <v>LFTA240823025X2</v>
          </cell>
          <cell r="G5267">
            <v>10</v>
          </cell>
          <cell r="H5267" t="str">
            <v>singleron-3'全长转录组文库</v>
          </cell>
          <cell r="I5267" t="str">
            <v>WH</v>
          </cell>
          <cell r="J5267">
            <v>14.9</v>
          </cell>
          <cell r="N5267" t="e">
            <v>#DIV/0!</v>
          </cell>
        </row>
        <row r="5268">
          <cell r="E5268" t="str">
            <v>HGC-Lib-2469166</v>
          </cell>
          <cell r="F5268" t="str">
            <v>R240827018</v>
          </cell>
          <cell r="G5268">
            <v>5</v>
          </cell>
          <cell r="H5268" t="str">
            <v>singleron-3'转录组文库</v>
          </cell>
          <cell r="I5268" t="str">
            <v>WH</v>
          </cell>
          <cell r="J5268">
            <v>20.8</v>
          </cell>
          <cell r="N5268" t="e">
            <v>#DIV/0!</v>
          </cell>
        </row>
        <row r="5269">
          <cell r="E5269" t="str">
            <v>HGC-Lib-2469167</v>
          </cell>
          <cell r="F5269" t="str">
            <v>R240827019</v>
          </cell>
          <cell r="G5269">
            <v>5</v>
          </cell>
          <cell r="H5269" t="str">
            <v>singleron-3'转录组文库</v>
          </cell>
          <cell r="I5269" t="str">
            <v>WH</v>
          </cell>
          <cell r="J5269">
            <v>23</v>
          </cell>
          <cell r="N5269" t="e">
            <v>#DIV/0!</v>
          </cell>
        </row>
        <row r="5270">
          <cell r="E5270" t="str">
            <v>HGC-Lib-2469168</v>
          </cell>
          <cell r="F5270" t="str">
            <v>R240827020</v>
          </cell>
          <cell r="G5270">
            <v>5</v>
          </cell>
          <cell r="H5270" t="str">
            <v>singleron-3'转录组文库</v>
          </cell>
          <cell r="I5270" t="str">
            <v>WH</v>
          </cell>
          <cell r="J5270">
            <v>20.8</v>
          </cell>
          <cell r="N5270" t="e">
            <v>#DIV/0!</v>
          </cell>
        </row>
        <row r="5271">
          <cell r="E5271" t="str">
            <v>HGC-Lib-2469169</v>
          </cell>
          <cell r="F5271" t="str">
            <v>R240827021</v>
          </cell>
          <cell r="G5271">
            <v>5</v>
          </cell>
          <cell r="H5271" t="str">
            <v>singleron-3'转录组文库</v>
          </cell>
          <cell r="I5271" t="str">
            <v>WH</v>
          </cell>
          <cell r="J5271">
            <v>11.4</v>
          </cell>
          <cell r="N5271" t="e">
            <v>#DIV/0!</v>
          </cell>
        </row>
        <row r="5272">
          <cell r="E5272" t="str">
            <v>HGC-Lib-2469170</v>
          </cell>
          <cell r="F5272" t="str">
            <v>R240827022</v>
          </cell>
          <cell r="G5272">
            <v>5</v>
          </cell>
          <cell r="H5272" t="str">
            <v>singleron-3'转录组文库</v>
          </cell>
          <cell r="I5272" t="str">
            <v>WH</v>
          </cell>
          <cell r="J5272">
            <v>6.42</v>
          </cell>
          <cell r="N5272" t="e">
            <v>#DIV/0!</v>
          </cell>
        </row>
        <row r="5273">
          <cell r="E5273" t="str">
            <v>HGC-Lib-2469171</v>
          </cell>
          <cell r="F5273" t="str">
            <v>R240827004</v>
          </cell>
          <cell r="G5273">
            <v>5</v>
          </cell>
          <cell r="H5273" t="str">
            <v>singleron-3'转录组文库</v>
          </cell>
          <cell r="I5273" t="str">
            <v>WH</v>
          </cell>
          <cell r="J5273">
            <v>13</v>
          </cell>
          <cell r="N5273" t="e">
            <v>#DIV/0!</v>
          </cell>
        </row>
        <row r="5274">
          <cell r="E5274" t="str">
            <v>HGC-Lib-2469172</v>
          </cell>
          <cell r="F5274" t="str">
            <v>R240827005</v>
          </cell>
          <cell r="G5274">
            <v>5</v>
          </cell>
          <cell r="H5274" t="str">
            <v>singleron-3'转录组文库</v>
          </cell>
          <cell r="I5274" t="str">
            <v>WH</v>
          </cell>
          <cell r="J5274">
            <v>5.24</v>
          </cell>
          <cell r="N5274" t="e">
            <v>#DIV/0!</v>
          </cell>
        </row>
        <row r="5275">
          <cell r="E5275" t="str">
            <v>HGC-Lib-2469173</v>
          </cell>
          <cell r="F5275" t="str">
            <v>R240827006</v>
          </cell>
          <cell r="G5275">
            <v>5</v>
          </cell>
          <cell r="H5275" t="str">
            <v>singleron-3'转录组文库</v>
          </cell>
          <cell r="I5275" t="str">
            <v>WH</v>
          </cell>
          <cell r="J5275">
            <v>5.14</v>
          </cell>
          <cell r="N5275" t="e">
            <v>#DIV/0!</v>
          </cell>
        </row>
        <row r="5276">
          <cell r="E5276" t="str">
            <v>HGC-Lib-2469174</v>
          </cell>
          <cell r="F5276" t="str">
            <v>R240827007</v>
          </cell>
          <cell r="G5276">
            <v>5</v>
          </cell>
          <cell r="H5276" t="str">
            <v>singleron-3'转录组文库</v>
          </cell>
          <cell r="I5276" t="str">
            <v>WH</v>
          </cell>
          <cell r="J5276">
            <v>18.100000000000001</v>
          </cell>
          <cell r="N5276" t="e">
            <v>#DIV/0!</v>
          </cell>
        </row>
        <row r="5277">
          <cell r="E5277" t="str">
            <v>HGC-Lib-2469175</v>
          </cell>
          <cell r="F5277" t="str">
            <v>R240827008</v>
          </cell>
          <cell r="G5277">
            <v>5</v>
          </cell>
          <cell r="H5277" t="str">
            <v>singleron-3'转录组文库</v>
          </cell>
          <cell r="I5277" t="str">
            <v>WH</v>
          </cell>
          <cell r="J5277">
            <v>11.2</v>
          </cell>
          <cell r="N5277" t="e">
            <v>#DIV/0!</v>
          </cell>
        </row>
        <row r="5278">
          <cell r="E5278" t="str">
            <v>HGC-Lib-2469176</v>
          </cell>
          <cell r="F5278" t="str">
            <v>R240827009</v>
          </cell>
          <cell r="G5278">
            <v>5</v>
          </cell>
          <cell r="H5278" t="str">
            <v>singleron-3'转录组文库</v>
          </cell>
          <cell r="I5278" t="str">
            <v>ZZ</v>
          </cell>
          <cell r="J5278">
            <v>17.5</v>
          </cell>
          <cell r="N5278" t="e">
            <v>#DIV/0!</v>
          </cell>
        </row>
        <row r="5279">
          <cell r="E5279" t="str">
            <v>HGC-Lib-2469177</v>
          </cell>
          <cell r="F5279" t="str">
            <v>R240827010</v>
          </cell>
          <cell r="G5279">
            <v>5</v>
          </cell>
          <cell r="H5279" t="str">
            <v>singleron-3'转录组文库</v>
          </cell>
          <cell r="I5279" t="str">
            <v>ZZ</v>
          </cell>
          <cell r="J5279">
            <v>16.100000000000001</v>
          </cell>
          <cell r="N5279" t="e">
            <v>#DIV/0!</v>
          </cell>
        </row>
        <row r="5280">
          <cell r="E5280" t="str">
            <v>HGC-Lib-2469178</v>
          </cell>
          <cell r="F5280" t="str">
            <v>R240827011</v>
          </cell>
          <cell r="G5280">
            <v>5</v>
          </cell>
          <cell r="H5280" t="str">
            <v>singleron-3'转录组文库</v>
          </cell>
          <cell r="I5280" t="str">
            <v>ZZ</v>
          </cell>
          <cell r="J5280">
            <v>6.86</v>
          </cell>
          <cell r="N5280" t="e">
            <v>#DIV/0!</v>
          </cell>
        </row>
        <row r="5281">
          <cell r="E5281" t="str">
            <v>HGC-Lib-2469179</v>
          </cell>
          <cell r="F5281" t="str">
            <v>R240827012</v>
          </cell>
          <cell r="G5281">
            <v>5</v>
          </cell>
          <cell r="H5281" t="str">
            <v>singleron-3'转录组文库</v>
          </cell>
          <cell r="I5281" t="str">
            <v>ZZ</v>
          </cell>
          <cell r="J5281">
            <v>18.899999999999999</v>
          </cell>
          <cell r="N5281" t="e">
            <v>#DIV/0!</v>
          </cell>
        </row>
        <row r="5282">
          <cell r="E5282" t="str">
            <v>HGC-Lib-2469180</v>
          </cell>
          <cell r="F5282" t="str">
            <v>R240827013</v>
          </cell>
          <cell r="G5282">
            <v>5</v>
          </cell>
          <cell r="H5282" t="str">
            <v>singleron-4'转录组文库</v>
          </cell>
          <cell r="I5282" t="str">
            <v>ZZ</v>
          </cell>
          <cell r="J5282">
            <v>36.6</v>
          </cell>
          <cell r="N5282" t="e">
            <v>#DIV/0!</v>
          </cell>
        </row>
        <row r="5283">
          <cell r="E5283" t="str">
            <v>HGC-Lib-2469181</v>
          </cell>
          <cell r="F5283" t="str">
            <v>R240827014</v>
          </cell>
          <cell r="G5283">
            <v>5</v>
          </cell>
          <cell r="H5283" t="str">
            <v>singleron-5'转录组文库</v>
          </cell>
          <cell r="I5283" t="str">
            <v>ZZ</v>
          </cell>
          <cell r="J5283">
            <v>29.6</v>
          </cell>
          <cell r="N5283" t="e">
            <v>#DIV/0!</v>
          </cell>
        </row>
        <row r="5284">
          <cell r="E5284" t="str">
            <v>HGC-Lib-2469182</v>
          </cell>
          <cell r="F5284" t="str">
            <v>R240827015</v>
          </cell>
          <cell r="G5284">
            <v>5</v>
          </cell>
          <cell r="H5284" t="str">
            <v>singleron-6'转录组文库</v>
          </cell>
          <cell r="I5284" t="str">
            <v>ZZ</v>
          </cell>
          <cell r="J5284">
            <v>13.6</v>
          </cell>
          <cell r="N5284" t="e">
            <v>#DIV/0!</v>
          </cell>
        </row>
        <row r="5285">
          <cell r="E5285" t="str">
            <v>HGC-Lib-2469183</v>
          </cell>
          <cell r="F5285" t="str">
            <v>R240827016</v>
          </cell>
          <cell r="G5285">
            <v>5</v>
          </cell>
          <cell r="H5285" t="str">
            <v>singleron-7'转录组文库</v>
          </cell>
          <cell r="I5285" t="str">
            <v>ZZ</v>
          </cell>
          <cell r="J5285">
            <v>20.2</v>
          </cell>
          <cell r="N5285" t="e">
            <v>#DIV/0!</v>
          </cell>
        </row>
        <row r="5286">
          <cell r="E5286" t="str">
            <v>HGC-Lib-2469184</v>
          </cell>
          <cell r="F5286" t="str">
            <v>R240827017</v>
          </cell>
          <cell r="G5286">
            <v>5</v>
          </cell>
          <cell r="H5286" t="str">
            <v>singleron-8'转录组文库</v>
          </cell>
          <cell r="I5286" t="str">
            <v>ZZ</v>
          </cell>
          <cell r="J5286">
            <v>23.8</v>
          </cell>
          <cell r="N5286" t="e">
            <v>#DIV/0!</v>
          </cell>
        </row>
        <row r="5287">
          <cell r="E5287" t="str">
            <v>HGC-Lib-2469185</v>
          </cell>
          <cell r="F5287" t="str">
            <v>2d-CT-1-m1-1</v>
          </cell>
          <cell r="G5287">
            <v>10</v>
          </cell>
          <cell r="H5287" t="str">
            <v>ATAC-Seq文库</v>
          </cell>
          <cell r="I5287" t="str">
            <v>XCL</v>
          </cell>
          <cell r="J5287">
            <v>15.7</v>
          </cell>
          <cell r="K5287">
            <v>445</v>
          </cell>
          <cell r="L5287" t="str">
            <v>XCL</v>
          </cell>
          <cell r="N5287">
            <v>54.278305963699196</v>
          </cell>
        </row>
        <row r="5288">
          <cell r="E5288" t="str">
            <v>HGC-Lib-2469186</v>
          </cell>
          <cell r="F5288" t="str">
            <v>2d-CT-1-m1-2</v>
          </cell>
          <cell r="G5288">
            <v>10</v>
          </cell>
          <cell r="H5288" t="str">
            <v>ATAC-Seq文库</v>
          </cell>
          <cell r="I5288" t="str">
            <v>XCL</v>
          </cell>
          <cell r="J5288">
            <v>39</v>
          </cell>
          <cell r="K5288">
            <v>471</v>
          </cell>
          <cell r="L5288" t="str">
            <v>XCL</v>
          </cell>
          <cell r="N5288">
            <v>127.388535031847</v>
          </cell>
        </row>
        <row r="5289">
          <cell r="E5289" t="str">
            <v>HGC-Lib-2469187</v>
          </cell>
          <cell r="F5289" t="str">
            <v>2d-CT-2-m1-1</v>
          </cell>
          <cell r="G5289">
            <v>10</v>
          </cell>
          <cell r="H5289" t="str">
            <v>ATAC-Seq文库</v>
          </cell>
          <cell r="I5289" t="str">
            <v>XCL</v>
          </cell>
          <cell r="J5289">
            <v>34</v>
          </cell>
          <cell r="K5289">
            <v>479</v>
          </cell>
          <cell r="L5289" t="str">
            <v>XCL</v>
          </cell>
          <cell r="N5289">
            <v>109.20186285530799</v>
          </cell>
        </row>
        <row r="5290">
          <cell r="E5290" t="str">
            <v>HGC-Lib-2469188</v>
          </cell>
          <cell r="F5290" t="str">
            <v>2d-CT-2-m1-2</v>
          </cell>
          <cell r="G5290">
            <v>10</v>
          </cell>
          <cell r="H5290" t="str">
            <v>ATAC-Seq文库</v>
          </cell>
          <cell r="I5290" t="str">
            <v>XCL</v>
          </cell>
          <cell r="J5290">
            <v>30.2</v>
          </cell>
          <cell r="K5290">
            <v>475</v>
          </cell>
          <cell r="L5290" t="str">
            <v>XCL</v>
          </cell>
          <cell r="N5290">
            <v>97.813765182186202</v>
          </cell>
        </row>
        <row r="5291">
          <cell r="E5291" t="str">
            <v>HGC-Lib-2469189</v>
          </cell>
          <cell r="F5291" t="str">
            <v>2d-CT-3-m1-1</v>
          </cell>
          <cell r="G5291">
            <v>10</v>
          </cell>
          <cell r="H5291" t="str">
            <v>ATAC-Seq文库</v>
          </cell>
          <cell r="I5291" t="str">
            <v>XCL</v>
          </cell>
          <cell r="J5291">
            <v>36.200000000000003</v>
          </cell>
          <cell r="K5291">
            <v>479</v>
          </cell>
          <cell r="L5291" t="str">
            <v>XCL</v>
          </cell>
          <cell r="N5291">
            <v>116.267865745945</v>
          </cell>
        </row>
        <row r="5292">
          <cell r="E5292" t="str">
            <v>HGC-Lib-2469190</v>
          </cell>
          <cell r="F5292" t="str">
            <v>2d-CT-3-m1-2</v>
          </cell>
          <cell r="G5292">
            <v>10</v>
          </cell>
          <cell r="H5292" t="str">
            <v>ATAC-Seq文库</v>
          </cell>
          <cell r="I5292" t="str">
            <v>XCL</v>
          </cell>
          <cell r="J5292">
            <v>36</v>
          </cell>
          <cell r="K5292">
            <v>483</v>
          </cell>
          <cell r="L5292" t="str">
            <v>XCL</v>
          </cell>
          <cell r="N5292">
            <v>114.667940754897</v>
          </cell>
        </row>
        <row r="5293">
          <cell r="E5293" t="str">
            <v>HGC-Lib-2469191</v>
          </cell>
          <cell r="F5293" t="str">
            <v>2d-CT-1-m2-1</v>
          </cell>
          <cell r="G5293">
            <v>10</v>
          </cell>
          <cell r="H5293" t="str">
            <v>ATAC-Seq文库</v>
          </cell>
          <cell r="I5293" t="str">
            <v>XCL</v>
          </cell>
          <cell r="J5293">
            <v>8.1999999999999993</v>
          </cell>
          <cell r="K5293">
            <v>417</v>
          </cell>
          <cell r="L5293" t="str">
            <v>GZQ</v>
          </cell>
          <cell r="N5293">
            <v>30.252720900202899</v>
          </cell>
        </row>
        <row r="5294">
          <cell r="E5294" t="str">
            <v>HGC-Lib-2469192</v>
          </cell>
          <cell r="F5294" t="str">
            <v>2d-CT-1-m2-2</v>
          </cell>
          <cell r="G5294">
            <v>10</v>
          </cell>
          <cell r="H5294" t="str">
            <v>ATAC-Seq文库</v>
          </cell>
          <cell r="I5294" t="str">
            <v>XCL</v>
          </cell>
          <cell r="J5294">
            <v>20.8</v>
          </cell>
          <cell r="K5294">
            <v>427</v>
          </cell>
          <cell r="L5294" t="str">
            <v>XCL</v>
          </cell>
          <cell r="N5294">
            <v>74.941451990632302</v>
          </cell>
        </row>
        <row r="5295">
          <cell r="E5295" t="str">
            <v>HGC-Lib-2469193</v>
          </cell>
          <cell r="F5295" t="str">
            <v>2d-CT-2-m2-1</v>
          </cell>
          <cell r="G5295">
            <v>10</v>
          </cell>
          <cell r="H5295" t="str">
            <v>ATAC-Seq文库</v>
          </cell>
          <cell r="I5295" t="str">
            <v>XCL</v>
          </cell>
          <cell r="J5295">
            <v>15.9</v>
          </cell>
          <cell r="K5295">
            <v>426</v>
          </cell>
          <cell r="L5295" t="str">
            <v>XCL</v>
          </cell>
          <cell r="N5295">
            <v>57.421451787648998</v>
          </cell>
        </row>
        <row r="5296">
          <cell r="E5296" t="str">
            <v>HGC-Lib-2469194</v>
          </cell>
          <cell r="F5296" t="str">
            <v>2d-CT-2-m2-2</v>
          </cell>
          <cell r="G5296">
            <v>10</v>
          </cell>
          <cell r="H5296" t="str">
            <v>ATAC-Seq文库</v>
          </cell>
          <cell r="I5296" t="str">
            <v>XCL</v>
          </cell>
          <cell r="J5296">
            <v>12.9</v>
          </cell>
          <cell r="K5296">
            <v>418</v>
          </cell>
          <cell r="L5296" t="str">
            <v>XCL</v>
          </cell>
          <cell r="N5296">
            <v>47.478836952521199</v>
          </cell>
        </row>
        <row r="5297">
          <cell r="E5297" t="str">
            <v>HGC-Lib-2469195</v>
          </cell>
          <cell r="F5297" t="str">
            <v>2d-CT-3-m2-1</v>
          </cell>
          <cell r="G5297">
            <v>10</v>
          </cell>
          <cell r="H5297" t="str">
            <v>ATAC-Seq文库</v>
          </cell>
          <cell r="I5297" t="str">
            <v>XCL</v>
          </cell>
          <cell r="J5297">
            <v>20</v>
          </cell>
          <cell r="K5297">
            <v>416</v>
          </cell>
          <cell r="L5297" t="str">
            <v>XCL</v>
          </cell>
          <cell r="N5297">
            <v>73.964497041420103</v>
          </cell>
        </row>
        <row r="5298">
          <cell r="E5298" t="str">
            <v>HGC-Lib-2469196</v>
          </cell>
          <cell r="F5298" t="str">
            <v>2d-CT-3-m2-2</v>
          </cell>
          <cell r="G5298">
            <v>10</v>
          </cell>
          <cell r="H5298" t="str">
            <v>ATAC-Seq文库</v>
          </cell>
          <cell r="I5298" t="str">
            <v>XCL</v>
          </cell>
          <cell r="J5298">
            <v>13.1</v>
          </cell>
          <cell r="K5298">
            <v>433</v>
          </cell>
          <cell r="L5298" t="str">
            <v>XCL</v>
          </cell>
          <cell r="N5298">
            <v>46.5446793391366</v>
          </cell>
        </row>
        <row r="5299">
          <cell r="E5299" t="str">
            <v>HGC-Lib-2469197</v>
          </cell>
          <cell r="F5299" t="str">
            <v>2d-CT-1-m3-1</v>
          </cell>
          <cell r="G5299">
            <v>10</v>
          </cell>
          <cell r="H5299" t="str">
            <v>ATAC-Seq文库</v>
          </cell>
          <cell r="I5299" t="str">
            <v>XCL</v>
          </cell>
          <cell r="J5299">
            <v>11.6</v>
          </cell>
          <cell r="K5299">
            <v>390</v>
          </cell>
          <cell r="L5299" t="str">
            <v>XCL</v>
          </cell>
          <cell r="N5299">
            <v>45.759368836291898</v>
          </cell>
        </row>
        <row r="5300">
          <cell r="E5300" t="str">
            <v>HGC-Lib-2469198</v>
          </cell>
          <cell r="F5300" t="str">
            <v>2d-CT-1-m3-2</v>
          </cell>
          <cell r="G5300">
            <v>10</v>
          </cell>
          <cell r="H5300" t="str">
            <v>ATAC-Seq文库</v>
          </cell>
          <cell r="I5300" t="str">
            <v>XCL</v>
          </cell>
          <cell r="J5300">
            <v>36.799999999999997</v>
          </cell>
          <cell r="K5300">
            <v>443</v>
          </cell>
          <cell r="L5300" t="str">
            <v>XCL</v>
          </cell>
          <cell r="N5300">
            <v>127.799965271749</v>
          </cell>
        </row>
        <row r="5301">
          <cell r="E5301" t="str">
            <v>HGC-Lib-2469199</v>
          </cell>
          <cell r="F5301" t="str">
            <v>2d-CT-2-m3-1</v>
          </cell>
          <cell r="G5301">
            <v>10</v>
          </cell>
          <cell r="H5301" t="str">
            <v>ATAC-Seq文库</v>
          </cell>
          <cell r="I5301" t="str">
            <v>XCL</v>
          </cell>
          <cell r="J5301">
            <v>22</v>
          </cell>
          <cell r="K5301">
            <v>447</v>
          </cell>
          <cell r="L5301" t="str">
            <v>XCL</v>
          </cell>
          <cell r="N5301">
            <v>75.718464980209902</v>
          </cell>
        </row>
        <row r="5302">
          <cell r="E5302" t="str">
            <v>HGC-Lib-2469200</v>
          </cell>
          <cell r="F5302" t="str">
            <v>2d-CT-2-m3-2</v>
          </cell>
          <cell r="G5302">
            <v>10</v>
          </cell>
          <cell r="H5302" t="str">
            <v>ATAC-Seq文库</v>
          </cell>
          <cell r="I5302" t="str">
            <v>XCL</v>
          </cell>
          <cell r="J5302">
            <v>18.7</v>
          </cell>
          <cell r="K5302">
            <v>440</v>
          </cell>
          <cell r="L5302" t="str">
            <v>XCL</v>
          </cell>
          <cell r="N5302">
            <v>65.384615384615401</v>
          </cell>
        </row>
        <row r="5303">
          <cell r="E5303" t="str">
            <v>HGC-Lib-2469201</v>
          </cell>
          <cell r="F5303" t="str">
            <v>2d-CT-3-m3-1</v>
          </cell>
          <cell r="G5303">
            <v>10</v>
          </cell>
          <cell r="H5303" t="str">
            <v>ATAC-Seq文库</v>
          </cell>
          <cell r="I5303" t="str">
            <v>XCL</v>
          </cell>
          <cell r="J5303">
            <v>25.2</v>
          </cell>
          <cell r="K5303">
            <v>437</v>
          </cell>
          <cell r="L5303" t="str">
            <v>XCL</v>
          </cell>
          <cell r="N5303">
            <v>88.716775215631003</v>
          </cell>
        </row>
        <row r="5304">
          <cell r="E5304" t="str">
            <v>HGC-Lib-2469202</v>
          </cell>
          <cell r="F5304" t="str">
            <v>2d-CT-3-m3-2</v>
          </cell>
          <cell r="G5304">
            <v>10</v>
          </cell>
          <cell r="H5304" t="str">
            <v>ATAC-Seq文库</v>
          </cell>
          <cell r="I5304" t="str">
            <v>XCL</v>
          </cell>
          <cell r="J5304">
            <v>31.8</v>
          </cell>
          <cell r="K5304">
            <v>443</v>
          </cell>
          <cell r="L5304" t="str">
            <v>XCL</v>
          </cell>
          <cell r="N5304">
            <v>110.435839555478</v>
          </cell>
        </row>
        <row r="5305">
          <cell r="E5305" t="str">
            <v>HGC-Lib-2469203</v>
          </cell>
          <cell r="F5305" t="str">
            <v>2d-35-2-m1-1</v>
          </cell>
          <cell r="G5305">
            <v>10</v>
          </cell>
          <cell r="H5305" t="str">
            <v>ATAC-Seq文库</v>
          </cell>
          <cell r="I5305" t="str">
            <v>XCL</v>
          </cell>
          <cell r="J5305">
            <v>14.5</v>
          </cell>
          <cell r="K5305">
            <v>438</v>
          </cell>
          <cell r="L5305" t="str">
            <v>XCL</v>
          </cell>
          <cell r="N5305">
            <v>50.930804355461902</v>
          </cell>
        </row>
        <row r="5306">
          <cell r="E5306" t="str">
            <v>HGC-Lib-2469204</v>
          </cell>
          <cell r="F5306" t="str">
            <v>2d-35-2-m1-2</v>
          </cell>
          <cell r="G5306">
            <v>10</v>
          </cell>
          <cell r="H5306" t="str">
            <v>ATAC-Seq文库</v>
          </cell>
          <cell r="I5306" t="str">
            <v>XCL</v>
          </cell>
          <cell r="J5306">
            <v>57.6</v>
          </cell>
          <cell r="K5306">
            <v>459</v>
          </cell>
          <cell r="L5306" t="str">
            <v>XCL</v>
          </cell>
          <cell r="N5306">
            <v>193.06184012066399</v>
          </cell>
        </row>
        <row r="5307">
          <cell r="E5307" t="str">
            <v>HGC-Lib-2469205</v>
          </cell>
          <cell r="F5307" t="str">
            <v>2d-35-3-m1-1</v>
          </cell>
          <cell r="G5307">
            <v>10</v>
          </cell>
          <cell r="H5307" t="str">
            <v>ATAC-Seq文库</v>
          </cell>
          <cell r="I5307" t="str">
            <v>XCL</v>
          </cell>
          <cell r="J5307">
            <v>59.6</v>
          </cell>
          <cell r="K5307">
            <v>460</v>
          </cell>
          <cell r="L5307" t="str">
            <v>XCL</v>
          </cell>
          <cell r="N5307">
            <v>199.33110367892999</v>
          </cell>
        </row>
        <row r="5308">
          <cell r="E5308" t="str">
            <v>HGC-Lib-2469206</v>
          </cell>
          <cell r="F5308" t="str">
            <v>2d-35-3-m1-2</v>
          </cell>
          <cell r="G5308">
            <v>10</v>
          </cell>
          <cell r="H5308" t="str">
            <v>ATAC-Seq文库</v>
          </cell>
          <cell r="I5308" t="str">
            <v>XCL</v>
          </cell>
          <cell r="J5308">
            <v>52.8</v>
          </cell>
          <cell r="K5308">
            <v>453</v>
          </cell>
          <cell r="L5308" t="str">
            <v>XCL</v>
          </cell>
          <cell r="N5308">
            <v>179.317371370351</v>
          </cell>
        </row>
        <row r="5309">
          <cell r="E5309" t="str">
            <v>HGC-Lib-2469207</v>
          </cell>
          <cell r="F5309" t="str">
            <v>4d-35-3-m1-1</v>
          </cell>
          <cell r="G5309">
            <v>10</v>
          </cell>
          <cell r="H5309" t="str">
            <v>ATAC-Seq文库</v>
          </cell>
          <cell r="I5309" t="str">
            <v>XCL</v>
          </cell>
          <cell r="J5309">
            <v>55.6</v>
          </cell>
          <cell r="K5309">
            <v>469</v>
          </cell>
          <cell r="L5309" t="str">
            <v>XCL</v>
          </cell>
          <cell r="N5309">
            <v>182.384779399705</v>
          </cell>
        </row>
        <row r="5310">
          <cell r="E5310" t="str">
            <v>HGC-Lib-2469208</v>
          </cell>
          <cell r="F5310" t="str">
            <v>4d-35-3-m1-2</v>
          </cell>
          <cell r="G5310">
            <v>10</v>
          </cell>
          <cell r="H5310" t="str">
            <v>ATAC-Seq文库</v>
          </cell>
          <cell r="I5310" t="str">
            <v>XCL</v>
          </cell>
          <cell r="J5310">
            <v>55.4</v>
          </cell>
          <cell r="K5310">
            <v>473</v>
          </cell>
          <cell r="L5310" t="str">
            <v>XCL</v>
          </cell>
          <cell r="N5310">
            <v>180.191901122134</v>
          </cell>
        </row>
        <row r="5311">
          <cell r="E5311" t="str">
            <v>HGC-Lib-2469209</v>
          </cell>
          <cell r="F5311" t="str">
            <v>2d-35-2-m2-1</v>
          </cell>
          <cell r="G5311">
            <v>10</v>
          </cell>
          <cell r="H5311" t="str">
            <v>ATAC-Seq文库</v>
          </cell>
          <cell r="I5311" t="str">
            <v>XCL</v>
          </cell>
          <cell r="J5311">
            <v>9.4600000000000009</v>
          </cell>
          <cell r="K5311">
            <v>385</v>
          </cell>
          <cell r="L5311" t="str">
            <v>GZQ</v>
          </cell>
          <cell r="N5311">
            <v>37.802197802197803</v>
          </cell>
        </row>
        <row r="5312">
          <cell r="E5312" t="str">
            <v>HGC-Lib-2469210</v>
          </cell>
          <cell r="F5312" t="str">
            <v>2d-35-2-m2-2</v>
          </cell>
          <cell r="G5312">
            <v>10</v>
          </cell>
          <cell r="H5312" t="str">
            <v>ATAC-Seq文库</v>
          </cell>
          <cell r="I5312" t="str">
            <v>XCL</v>
          </cell>
          <cell r="J5312">
            <v>23.6</v>
          </cell>
          <cell r="K5312">
            <v>423</v>
          </cell>
          <cell r="L5312" t="str">
            <v>XCL</v>
          </cell>
          <cell r="N5312">
            <v>85.833787961447499</v>
          </cell>
        </row>
        <row r="5313">
          <cell r="E5313" t="str">
            <v>HGC-Lib-2469211</v>
          </cell>
          <cell r="F5313" t="str">
            <v>2d-35-3-m2-1</v>
          </cell>
          <cell r="G5313">
            <v>10</v>
          </cell>
          <cell r="H5313" t="str">
            <v>ATAC-Seq文库</v>
          </cell>
          <cell r="I5313" t="str">
            <v>XCL</v>
          </cell>
          <cell r="J5313">
            <v>21.6</v>
          </cell>
          <cell r="K5313">
            <v>423</v>
          </cell>
          <cell r="L5313" t="str">
            <v>XCL</v>
          </cell>
          <cell r="N5313">
            <v>78.559738134206199</v>
          </cell>
        </row>
        <row r="5314">
          <cell r="E5314" t="str">
            <v>HGC-Lib-2469212</v>
          </cell>
          <cell r="F5314" t="str">
            <v>2d-35-3-m2-2</v>
          </cell>
          <cell r="G5314">
            <v>10</v>
          </cell>
          <cell r="H5314" t="str">
            <v>ATAC-Seq文库</v>
          </cell>
          <cell r="I5314" t="str">
            <v>XCL</v>
          </cell>
          <cell r="J5314">
            <v>20.2</v>
          </cell>
          <cell r="K5314">
            <v>418</v>
          </cell>
          <cell r="L5314" t="str">
            <v>XCL</v>
          </cell>
          <cell r="N5314">
            <v>74.346705925653296</v>
          </cell>
        </row>
        <row r="5315">
          <cell r="E5315" t="str">
            <v>HGC-Lib-2469213</v>
          </cell>
          <cell r="F5315" t="str">
            <v>4d-35-3-m2-1</v>
          </cell>
          <cell r="G5315">
            <v>10</v>
          </cell>
          <cell r="H5315" t="str">
            <v>ATAC-Seq文库</v>
          </cell>
          <cell r="I5315" t="str">
            <v>XCL</v>
          </cell>
          <cell r="J5315">
            <v>29.4</v>
          </cell>
          <cell r="K5315">
            <v>446</v>
          </cell>
          <cell r="L5315" t="str">
            <v>XCL</v>
          </cell>
          <cell r="N5315">
            <v>101.414280786478</v>
          </cell>
        </row>
        <row r="5316">
          <cell r="E5316" t="str">
            <v>HGC-Lib-2469214</v>
          </cell>
          <cell r="F5316" t="str">
            <v>4d-35-3-m2-2</v>
          </cell>
          <cell r="G5316">
            <v>10</v>
          </cell>
          <cell r="H5316" t="str">
            <v>ATAC-Seq文库</v>
          </cell>
          <cell r="I5316" t="str">
            <v>XCL</v>
          </cell>
          <cell r="J5316">
            <v>30.6</v>
          </cell>
          <cell r="K5316">
            <v>442</v>
          </cell>
          <cell r="L5316" t="str">
            <v>XCL</v>
          </cell>
          <cell r="N5316">
            <v>106.50887573964501</v>
          </cell>
        </row>
        <row r="5317">
          <cell r="E5317" t="str">
            <v>HGC-Lib-2469215</v>
          </cell>
          <cell r="F5317" t="str">
            <v>2d-35-2-m3-1</v>
          </cell>
          <cell r="G5317">
            <v>10</v>
          </cell>
          <cell r="H5317" t="str">
            <v>ATAC-Seq文库</v>
          </cell>
          <cell r="I5317" t="str">
            <v>XCL</v>
          </cell>
          <cell r="J5317">
            <v>16.8</v>
          </cell>
          <cell r="K5317">
            <v>410</v>
          </cell>
          <cell r="L5317" t="str">
            <v>XCL</v>
          </cell>
          <cell r="N5317">
            <v>63.039399624765501</v>
          </cell>
        </row>
        <row r="5318">
          <cell r="E5318" t="str">
            <v>HGC-Lib-2469216</v>
          </cell>
          <cell r="F5318" t="str">
            <v>2d-35-2-m3-2</v>
          </cell>
          <cell r="G5318">
            <v>10</v>
          </cell>
          <cell r="H5318" t="str">
            <v>ATAC-Seq文库</v>
          </cell>
          <cell r="I5318" t="str">
            <v>XCL</v>
          </cell>
          <cell r="J5318">
            <v>2.58</v>
          </cell>
          <cell r="K5318">
            <v>753</v>
          </cell>
          <cell r="L5318" t="str">
            <v>GZQ</v>
          </cell>
          <cell r="N5318">
            <v>5.2712228011032796</v>
          </cell>
        </row>
        <row r="5319">
          <cell r="E5319" t="str">
            <v>HGC-Lib-2469217</v>
          </cell>
          <cell r="F5319" t="str">
            <v>2d-35-3-m3-1</v>
          </cell>
          <cell r="G5319">
            <v>10</v>
          </cell>
          <cell r="H5319" t="str">
            <v>ATAC-Seq文库</v>
          </cell>
          <cell r="I5319" t="str">
            <v>XCL</v>
          </cell>
          <cell r="J5319">
            <v>30.2</v>
          </cell>
          <cell r="K5319">
            <v>446</v>
          </cell>
          <cell r="L5319" t="str">
            <v>XCL</v>
          </cell>
          <cell r="N5319">
            <v>104.17385305277701</v>
          </cell>
        </row>
        <row r="5320">
          <cell r="E5320" t="str">
            <v>HGC-Lib-2469218</v>
          </cell>
          <cell r="F5320" t="str">
            <v>2d-35-3-m3-2</v>
          </cell>
          <cell r="G5320">
            <v>10</v>
          </cell>
          <cell r="H5320" t="str">
            <v>ATAC-Seq文库</v>
          </cell>
          <cell r="I5320" t="str">
            <v>XCL</v>
          </cell>
          <cell r="J5320">
            <v>26.8</v>
          </cell>
          <cell r="K5320">
            <v>443</v>
          </cell>
          <cell r="L5320" t="str">
            <v>XCL</v>
          </cell>
          <cell r="N5320">
            <v>93.071713839208201</v>
          </cell>
        </row>
        <row r="5321">
          <cell r="E5321" t="str">
            <v>HGC-Lib-2469219</v>
          </cell>
          <cell r="F5321" t="str">
            <v>4d-35-3-m3-1</v>
          </cell>
          <cell r="G5321">
            <v>10</v>
          </cell>
          <cell r="H5321" t="str">
            <v>ATAC-Seq文库</v>
          </cell>
          <cell r="I5321" t="str">
            <v>XCL</v>
          </cell>
          <cell r="J5321">
            <v>44.6</v>
          </cell>
          <cell r="K5321">
            <v>448</v>
          </cell>
          <cell r="L5321" t="str">
            <v>XCL</v>
          </cell>
          <cell r="N5321">
            <v>153.15934065934101</v>
          </cell>
        </row>
        <row r="5322">
          <cell r="E5322" t="str">
            <v>HGC-Lib-2469220</v>
          </cell>
          <cell r="F5322" t="str">
            <v>4d-35-3-m3-2</v>
          </cell>
          <cell r="G5322">
            <v>10</v>
          </cell>
          <cell r="H5322" t="str">
            <v>ATAC-Seq文库</v>
          </cell>
          <cell r="I5322" t="str">
            <v>XCL</v>
          </cell>
          <cell r="J5322">
            <v>31.2</v>
          </cell>
          <cell r="K5322">
            <v>451</v>
          </cell>
          <cell r="L5322" t="str">
            <v>XCL</v>
          </cell>
          <cell r="N5322">
            <v>106.43015521064299</v>
          </cell>
        </row>
        <row r="5323">
          <cell r="E5323" t="str">
            <v>HGC-Lib-2469221</v>
          </cell>
          <cell r="F5323" t="str">
            <v>2d-38-1-m1-1</v>
          </cell>
          <cell r="G5323">
            <v>10</v>
          </cell>
          <cell r="H5323" t="str">
            <v>ATAC-Seq文库</v>
          </cell>
          <cell r="I5323" t="str">
            <v>XCL</v>
          </cell>
          <cell r="J5323">
            <v>70</v>
          </cell>
          <cell r="K5323">
            <v>459</v>
          </cell>
          <cell r="L5323" t="str">
            <v>XCL</v>
          </cell>
          <cell r="N5323">
            <v>234.62376403552901</v>
          </cell>
        </row>
        <row r="5324">
          <cell r="E5324" t="str">
            <v>HGC-Lib-2469222</v>
          </cell>
          <cell r="F5324" t="str">
            <v>2d-38-1-m1-2</v>
          </cell>
          <cell r="G5324">
            <v>10</v>
          </cell>
          <cell r="H5324" t="str">
            <v>ATAC-Seq文库</v>
          </cell>
          <cell r="I5324" t="str">
            <v>XCL</v>
          </cell>
          <cell r="J5324">
            <v>65.599999999999994</v>
          </cell>
          <cell r="K5324">
            <v>459</v>
          </cell>
          <cell r="L5324" t="str">
            <v>XCL</v>
          </cell>
          <cell r="N5324">
            <v>219.87598458186699</v>
          </cell>
        </row>
        <row r="5325">
          <cell r="E5325" t="str">
            <v>HGC-Lib-2469223</v>
          </cell>
          <cell r="F5325" t="str">
            <v>2d-38-2-m1-1</v>
          </cell>
          <cell r="G5325">
            <v>10</v>
          </cell>
          <cell r="H5325" t="str">
            <v>ATAC-Seq文库</v>
          </cell>
          <cell r="I5325" t="str">
            <v>XCL</v>
          </cell>
          <cell r="J5325">
            <v>45.6</v>
          </cell>
          <cell r="K5325">
            <v>472</v>
          </cell>
          <cell r="L5325" t="str">
            <v>XCL</v>
          </cell>
          <cell r="N5325">
            <v>148.63102998696201</v>
          </cell>
        </row>
        <row r="5326">
          <cell r="E5326" t="str">
            <v>HGC-Lib-2469224</v>
          </cell>
          <cell r="F5326" t="str">
            <v>2d-38-2-m1-2</v>
          </cell>
          <cell r="G5326">
            <v>10</v>
          </cell>
          <cell r="H5326" t="str">
            <v>ATAC-Seq文库</v>
          </cell>
          <cell r="I5326" t="str">
            <v>XCL</v>
          </cell>
          <cell r="J5326">
            <v>33</v>
          </cell>
          <cell r="K5326">
            <v>471</v>
          </cell>
          <cell r="L5326" t="str">
            <v>XCL</v>
          </cell>
          <cell r="N5326">
            <v>107.79029887310099</v>
          </cell>
        </row>
        <row r="5327">
          <cell r="E5327" t="str">
            <v>HGC-Lib-2469225</v>
          </cell>
          <cell r="F5327" t="str">
            <v>2d-38-3-m1-1</v>
          </cell>
          <cell r="G5327">
            <v>10</v>
          </cell>
          <cell r="H5327" t="str">
            <v>ATAC-Seq文库</v>
          </cell>
          <cell r="I5327" t="str">
            <v>XCL</v>
          </cell>
          <cell r="J5327">
            <v>38</v>
          </cell>
          <cell r="K5327">
            <v>479</v>
          </cell>
          <cell r="L5327" t="str">
            <v>XCL</v>
          </cell>
          <cell r="N5327">
            <v>122.049140838285</v>
          </cell>
        </row>
        <row r="5328">
          <cell r="E5328" t="str">
            <v>HGC-Lib-2469226</v>
          </cell>
          <cell r="F5328" t="str">
            <v>2d-38-3-m1-2</v>
          </cell>
          <cell r="G5328">
            <v>10</v>
          </cell>
          <cell r="H5328" t="str">
            <v>ATAC-Seq文库</v>
          </cell>
          <cell r="I5328" t="str">
            <v>XCL</v>
          </cell>
          <cell r="J5328">
            <v>47.2</v>
          </cell>
          <cell r="K5328">
            <v>477</v>
          </cell>
          <cell r="L5328" t="str">
            <v>XCL</v>
          </cell>
          <cell r="N5328">
            <v>152.23351072407701</v>
          </cell>
        </row>
        <row r="5329">
          <cell r="E5329" t="str">
            <v>HGC-Lib-2469227</v>
          </cell>
          <cell r="F5329" t="str">
            <v>2d-38-1-m2-1</v>
          </cell>
          <cell r="G5329">
            <v>10</v>
          </cell>
          <cell r="H5329" t="str">
            <v>ATAC-Seq文库</v>
          </cell>
          <cell r="I5329" t="str">
            <v>XCL</v>
          </cell>
          <cell r="J5329">
            <v>50</v>
          </cell>
          <cell r="K5329">
            <v>439</v>
          </cell>
          <cell r="L5329" t="str">
            <v>XCL</v>
          </cell>
          <cell r="N5329">
            <v>175.22340984755601</v>
          </cell>
        </row>
        <row r="5330">
          <cell r="E5330" t="str">
            <v>HGC-Lib-2469228</v>
          </cell>
          <cell r="F5330" t="str">
            <v>2d-38-1-m2-2</v>
          </cell>
          <cell r="G5330">
            <v>10</v>
          </cell>
          <cell r="H5330" t="str">
            <v>ATAC-Seq文库</v>
          </cell>
          <cell r="I5330" t="str">
            <v>XCL</v>
          </cell>
          <cell r="J5330">
            <v>44.6</v>
          </cell>
          <cell r="K5330">
            <v>441</v>
          </cell>
          <cell r="L5330" t="str">
            <v>XCL</v>
          </cell>
          <cell r="N5330">
            <v>155.59044130472699</v>
          </cell>
        </row>
        <row r="5331">
          <cell r="E5331" t="str">
            <v>HGC-Lib-2469229</v>
          </cell>
          <cell r="F5331" t="str">
            <v>2d-38-2-m2-1</v>
          </cell>
          <cell r="G5331">
            <v>10</v>
          </cell>
          <cell r="H5331" t="str">
            <v>ATAC-Seq文库</v>
          </cell>
          <cell r="I5331" t="str">
            <v>XCL</v>
          </cell>
          <cell r="J5331">
            <v>35.200000000000003</v>
          </cell>
          <cell r="K5331">
            <v>426</v>
          </cell>
          <cell r="L5331" t="str">
            <v>XCL</v>
          </cell>
          <cell r="N5331">
            <v>127.121704586493</v>
          </cell>
        </row>
        <row r="5332">
          <cell r="E5332" t="str">
            <v>HGC-Lib-2469230</v>
          </cell>
          <cell r="F5332" t="str">
            <v>2d-38-2-m2-2</v>
          </cell>
          <cell r="G5332">
            <v>10</v>
          </cell>
          <cell r="H5332" t="str">
            <v>ATAC-Seq文库</v>
          </cell>
          <cell r="I5332" t="str">
            <v>XCL</v>
          </cell>
          <cell r="J5332">
            <v>30.2</v>
          </cell>
          <cell r="K5332">
            <v>439</v>
          </cell>
          <cell r="L5332" t="str">
            <v>XCL</v>
          </cell>
          <cell r="N5332">
            <v>105.83493954792399</v>
          </cell>
        </row>
        <row r="5333">
          <cell r="E5333" t="str">
            <v>HGC-Lib-2469231</v>
          </cell>
          <cell r="F5333" t="str">
            <v>2d-38-3-m2-1</v>
          </cell>
          <cell r="G5333">
            <v>10</v>
          </cell>
          <cell r="H5333" t="str">
            <v>ATAC-Seq文库</v>
          </cell>
          <cell r="I5333" t="str">
            <v>XCL</v>
          </cell>
          <cell r="J5333">
            <v>42.2</v>
          </cell>
          <cell r="K5333">
            <v>452</v>
          </cell>
          <cell r="L5333" t="str">
            <v>XCL</v>
          </cell>
          <cell r="N5333">
            <v>143.63512593601101</v>
          </cell>
        </row>
        <row r="5334">
          <cell r="E5334" t="str">
            <v>HGC-Lib-2469232</v>
          </cell>
          <cell r="F5334" t="str">
            <v>2d-38-3-m2-2</v>
          </cell>
          <cell r="G5334">
            <v>10</v>
          </cell>
          <cell r="H5334" t="str">
            <v>ATAC-Seq文库</v>
          </cell>
          <cell r="I5334" t="str">
            <v>XCL</v>
          </cell>
          <cell r="J5334">
            <v>42</v>
          </cell>
          <cell r="K5334">
            <v>451</v>
          </cell>
          <cell r="L5334" t="str">
            <v>XCL</v>
          </cell>
          <cell r="N5334">
            <v>143.271362783558</v>
          </cell>
        </row>
        <row r="5335">
          <cell r="E5335" t="str">
            <v>HGC-Lib-2469233</v>
          </cell>
          <cell r="F5335" t="str">
            <v>2d-38-1-m3-1</v>
          </cell>
          <cell r="G5335">
            <v>10</v>
          </cell>
          <cell r="H5335" t="str">
            <v>ATAC-Seq文库</v>
          </cell>
          <cell r="I5335" t="str">
            <v>WH</v>
          </cell>
          <cell r="J5335">
            <v>47.4</v>
          </cell>
          <cell r="K5335">
            <v>450</v>
          </cell>
          <cell r="L5335" t="str">
            <v>XCL</v>
          </cell>
          <cell r="N5335">
            <v>162.05128205128199</v>
          </cell>
        </row>
        <row r="5336">
          <cell r="E5336" t="str">
            <v>HGC-Lib-2469234</v>
          </cell>
          <cell r="F5336" t="str">
            <v>2d-38-1-m3-2</v>
          </cell>
          <cell r="G5336">
            <v>10</v>
          </cell>
          <cell r="H5336" t="str">
            <v>ATAC-Seq文库</v>
          </cell>
          <cell r="I5336" t="str">
            <v>WH</v>
          </cell>
          <cell r="J5336">
            <v>63.6</v>
          </cell>
          <cell r="K5336">
            <v>446</v>
          </cell>
          <cell r="L5336" t="str">
            <v>XCL</v>
          </cell>
          <cell r="N5336">
            <v>219.385995170749</v>
          </cell>
        </row>
        <row r="5337">
          <cell r="E5337" t="str">
            <v>HGC-Lib-2469235</v>
          </cell>
          <cell r="F5337" t="str">
            <v>2d-38-2-m3-1</v>
          </cell>
          <cell r="G5337">
            <v>10</v>
          </cell>
          <cell r="H5337" t="str">
            <v>ATAC-Seq文库</v>
          </cell>
          <cell r="I5337" t="str">
            <v>WH</v>
          </cell>
          <cell r="J5337">
            <v>39</v>
          </cell>
          <cell r="K5337">
            <v>452</v>
          </cell>
          <cell r="L5337" t="str">
            <v>XCL</v>
          </cell>
          <cell r="N5337">
            <v>132.74336283185801</v>
          </cell>
        </row>
        <row r="5338">
          <cell r="E5338" t="str">
            <v>HGC-Lib-2469236</v>
          </cell>
          <cell r="F5338" t="str">
            <v>2d-38-2-m3-2</v>
          </cell>
          <cell r="G5338">
            <v>10</v>
          </cell>
          <cell r="H5338" t="str">
            <v>ATAC-Seq文库</v>
          </cell>
          <cell r="I5338" t="str">
            <v>WH</v>
          </cell>
          <cell r="J5338">
            <v>32.799999999999997</v>
          </cell>
          <cell r="K5338">
            <v>446</v>
          </cell>
          <cell r="L5338" t="str">
            <v>XCL</v>
          </cell>
          <cell r="N5338">
            <v>113.142462918248</v>
          </cell>
        </row>
        <row r="5339">
          <cell r="E5339" t="str">
            <v>HGC-Lib-2469237</v>
          </cell>
          <cell r="F5339" t="str">
            <v>2d-38-3-m3-1</v>
          </cell>
          <cell r="G5339">
            <v>10</v>
          </cell>
          <cell r="H5339" t="str">
            <v>ATAC-Seq文库</v>
          </cell>
          <cell r="I5339" t="str">
            <v>WH</v>
          </cell>
          <cell r="J5339">
            <v>42.2</v>
          </cell>
          <cell r="K5339">
            <v>457</v>
          </cell>
          <cell r="L5339" t="str">
            <v>XCL</v>
          </cell>
          <cell r="N5339">
            <v>142.063625652247</v>
          </cell>
        </row>
        <row r="5340">
          <cell r="E5340" t="str">
            <v>HGC-Lib-2469238</v>
          </cell>
          <cell r="F5340" t="str">
            <v>2d-38-3-m3-2</v>
          </cell>
          <cell r="G5340">
            <v>10</v>
          </cell>
          <cell r="H5340" t="str">
            <v>ATAC-Seq文库</v>
          </cell>
          <cell r="I5340" t="str">
            <v>WH</v>
          </cell>
          <cell r="J5340">
            <v>47.6</v>
          </cell>
          <cell r="K5340">
            <v>461</v>
          </cell>
          <cell r="L5340" t="str">
            <v>XCL</v>
          </cell>
          <cell r="N5340">
            <v>158.85199399299199</v>
          </cell>
        </row>
        <row r="5341">
          <cell r="E5341" t="str">
            <v>HGC-Lib-2469239</v>
          </cell>
          <cell r="F5341" t="str">
            <v>2d-35-1-m1-1</v>
          </cell>
          <cell r="G5341">
            <v>10</v>
          </cell>
          <cell r="H5341" t="str">
            <v>ATAC-Seq文库</v>
          </cell>
          <cell r="I5341" t="str">
            <v>WH</v>
          </cell>
          <cell r="J5341">
            <v>62.6</v>
          </cell>
          <cell r="K5341">
            <v>457</v>
          </cell>
          <cell r="L5341" t="str">
            <v>XCL</v>
          </cell>
          <cell r="N5341">
            <v>210.73893283958901</v>
          </cell>
        </row>
        <row r="5342">
          <cell r="E5342" t="str">
            <v>HGC-Lib-2469240</v>
          </cell>
          <cell r="F5342" t="str">
            <v>2d-35-1-m1-2</v>
          </cell>
          <cell r="G5342">
            <v>10</v>
          </cell>
          <cell r="H5342" t="str">
            <v>ATAC-Seq文库</v>
          </cell>
          <cell r="I5342" t="str">
            <v>WH</v>
          </cell>
          <cell r="J5342">
            <v>71.2</v>
          </cell>
          <cell r="K5342">
            <v>450</v>
          </cell>
          <cell r="L5342" t="str">
            <v>XCL</v>
          </cell>
          <cell r="N5342">
            <v>243.41880341880301</v>
          </cell>
        </row>
        <row r="5343">
          <cell r="E5343" t="str">
            <v>HGC-Lib-2469241</v>
          </cell>
          <cell r="F5343" t="str">
            <v>4d-35-1-m1-1</v>
          </cell>
          <cell r="G5343">
            <v>10</v>
          </cell>
          <cell r="H5343" t="str">
            <v>ATAC-Seq文库</v>
          </cell>
          <cell r="I5343" t="str">
            <v>WH</v>
          </cell>
          <cell r="J5343">
            <v>67</v>
          </cell>
          <cell r="K5343">
            <v>460</v>
          </cell>
          <cell r="L5343" t="str">
            <v>XCL</v>
          </cell>
          <cell r="N5343">
            <v>224.08026755852799</v>
          </cell>
        </row>
        <row r="5344">
          <cell r="E5344" t="str">
            <v>HGC-Lib-2469242</v>
          </cell>
          <cell r="F5344" t="str">
            <v>4d-35-1-m1-2</v>
          </cell>
          <cell r="G5344">
            <v>10</v>
          </cell>
          <cell r="H5344" t="str">
            <v>ATAC-Seq文库</v>
          </cell>
          <cell r="I5344" t="str">
            <v>WH</v>
          </cell>
          <cell r="J5344">
            <v>63.4</v>
          </cell>
          <cell r="K5344">
            <v>455</v>
          </cell>
          <cell r="L5344" t="str">
            <v>XCL</v>
          </cell>
          <cell r="N5344">
            <v>214.370245139476</v>
          </cell>
        </row>
        <row r="5345">
          <cell r="E5345" t="str">
            <v>HGC-Lib-2469243</v>
          </cell>
          <cell r="F5345" t="str">
            <v>4d-35-2-m1-1</v>
          </cell>
          <cell r="G5345">
            <v>10</v>
          </cell>
          <cell r="H5345" t="str">
            <v>ATAC-Seq文库</v>
          </cell>
          <cell r="I5345" t="str">
            <v>WH</v>
          </cell>
          <cell r="J5345">
            <v>83</v>
          </cell>
          <cell r="K5345">
            <v>470</v>
          </cell>
          <cell r="L5345" t="str">
            <v>XCL</v>
          </cell>
          <cell r="N5345">
            <v>271.68576104746302</v>
          </cell>
        </row>
        <row r="5346">
          <cell r="E5346" t="str">
            <v>HGC-Lib-2469244</v>
          </cell>
          <cell r="F5346" t="str">
            <v>4d-35-2-m1-2</v>
          </cell>
          <cell r="G5346">
            <v>10</v>
          </cell>
          <cell r="H5346" t="str">
            <v>ATAC-Seq文库</v>
          </cell>
          <cell r="I5346" t="str">
            <v>WH</v>
          </cell>
          <cell r="J5346">
            <v>86.4</v>
          </cell>
          <cell r="K5346">
            <v>462</v>
          </cell>
          <cell r="L5346" t="str">
            <v>XCL</v>
          </cell>
          <cell r="N5346">
            <v>287.712287712288</v>
          </cell>
        </row>
        <row r="5347">
          <cell r="E5347" t="str">
            <v>HGC-Lib-2469245</v>
          </cell>
          <cell r="F5347" t="str">
            <v>2d-35-1-m2-1</v>
          </cell>
          <cell r="G5347">
            <v>10</v>
          </cell>
          <cell r="H5347" t="str">
            <v>ATAC-Seq文库</v>
          </cell>
          <cell r="I5347" t="str">
            <v>WH</v>
          </cell>
          <cell r="J5347">
            <v>35</v>
          </cell>
          <cell r="K5347">
            <v>410</v>
          </cell>
          <cell r="L5347" t="str">
            <v>XCL</v>
          </cell>
          <cell r="N5347">
            <v>131.33208255159499</v>
          </cell>
        </row>
        <row r="5348">
          <cell r="E5348" t="str">
            <v>HGC-Lib-2469246</v>
          </cell>
          <cell r="F5348" t="str">
            <v>2d-35-1-m2-2</v>
          </cell>
          <cell r="G5348">
            <v>10</v>
          </cell>
          <cell r="H5348" t="str">
            <v>ATAC-Seq文库</v>
          </cell>
          <cell r="I5348" t="str">
            <v>WH</v>
          </cell>
          <cell r="J5348">
            <v>33.200000000000003</v>
          </cell>
          <cell r="K5348">
            <v>416</v>
          </cell>
          <cell r="L5348" t="str">
            <v>XCL</v>
          </cell>
          <cell r="N5348">
            <v>122.781065088757</v>
          </cell>
        </row>
        <row r="5349">
          <cell r="E5349" t="str">
            <v>HGC-Lib-2469247</v>
          </cell>
          <cell r="F5349" t="str">
            <v>4d-35-1-m2-1</v>
          </cell>
          <cell r="G5349">
            <v>10</v>
          </cell>
          <cell r="H5349" t="str">
            <v>ATAC-Seq文库</v>
          </cell>
          <cell r="I5349" t="str">
            <v>WH</v>
          </cell>
          <cell r="J5349">
            <v>57.4</v>
          </cell>
          <cell r="K5349">
            <v>449</v>
          </cell>
          <cell r="L5349" t="str">
            <v>XCL</v>
          </cell>
          <cell r="N5349">
            <v>196.67637485009399</v>
          </cell>
        </row>
        <row r="5350">
          <cell r="E5350" t="str">
            <v>HGC-Lib-2469248</v>
          </cell>
          <cell r="F5350" t="str">
            <v>4d-35-1-m2-2</v>
          </cell>
          <cell r="G5350">
            <v>10</v>
          </cell>
          <cell r="H5350" t="str">
            <v>ATAC-Seq文库</v>
          </cell>
          <cell r="I5350" t="str">
            <v>WH</v>
          </cell>
          <cell r="J5350">
            <v>48.6</v>
          </cell>
          <cell r="K5350">
            <v>450</v>
          </cell>
          <cell r="L5350" t="str">
            <v>XCL</v>
          </cell>
          <cell r="N5350">
            <v>166.15384615384599</v>
          </cell>
        </row>
        <row r="5351">
          <cell r="E5351" t="str">
            <v>HGC-Lib-2469249</v>
          </cell>
          <cell r="F5351" t="str">
            <v>4d-35-2-m2-1</v>
          </cell>
          <cell r="G5351">
            <v>10</v>
          </cell>
          <cell r="H5351" t="str">
            <v>ATAC-Seq文库</v>
          </cell>
          <cell r="I5351" t="str">
            <v>WH</v>
          </cell>
          <cell r="J5351">
            <v>39.6</v>
          </cell>
          <cell r="K5351">
            <v>439</v>
          </cell>
          <cell r="L5351" t="str">
            <v>XCL</v>
          </cell>
          <cell r="N5351">
            <v>138.77694059926401</v>
          </cell>
        </row>
        <row r="5352">
          <cell r="E5352" t="str">
            <v>HGC-Lib-2469250</v>
          </cell>
          <cell r="F5352" t="str">
            <v>4d-35-2-m2-2</v>
          </cell>
          <cell r="G5352">
            <v>10</v>
          </cell>
          <cell r="H5352" t="str">
            <v>ATAC-Seq文库</v>
          </cell>
          <cell r="I5352" t="str">
            <v>WH</v>
          </cell>
          <cell r="J5352">
            <v>49.6</v>
          </cell>
          <cell r="K5352">
            <v>443</v>
          </cell>
          <cell r="L5352" t="str">
            <v>XCL</v>
          </cell>
          <cell r="N5352">
            <v>172.25212710540001</v>
          </cell>
        </row>
        <row r="5353">
          <cell r="E5353" t="str">
            <v>HGC-Lib-2469251</v>
          </cell>
          <cell r="F5353" t="str">
            <v>2d-35-1-m3-1</v>
          </cell>
          <cell r="G5353">
            <v>10</v>
          </cell>
          <cell r="H5353" t="str">
            <v>ATAC-Seq文库</v>
          </cell>
          <cell r="I5353" t="str">
            <v>WH</v>
          </cell>
          <cell r="J5353">
            <v>71.2</v>
          </cell>
          <cell r="K5353">
            <v>428</v>
          </cell>
          <cell r="L5353" t="str">
            <v>XCL</v>
          </cell>
          <cell r="N5353">
            <v>255.93098490294801</v>
          </cell>
        </row>
        <row r="5354">
          <cell r="E5354" t="str">
            <v>HGC-Lib-2469252</v>
          </cell>
          <cell r="F5354" t="str">
            <v>2d-35-1-m3-2</v>
          </cell>
          <cell r="G5354">
            <v>10</v>
          </cell>
          <cell r="H5354" t="str">
            <v>ATAC-Seq文库</v>
          </cell>
          <cell r="I5354" t="str">
            <v>WH</v>
          </cell>
          <cell r="J5354">
            <v>71.2</v>
          </cell>
          <cell r="K5354">
            <v>417</v>
          </cell>
          <cell r="L5354" t="str">
            <v>XCL</v>
          </cell>
          <cell r="N5354">
            <v>262.68216196273698</v>
          </cell>
        </row>
        <row r="5355">
          <cell r="E5355" t="str">
            <v>HGC-Lib-2469253</v>
          </cell>
          <cell r="F5355" t="str">
            <v>4d-35-1-m3-1</v>
          </cell>
          <cell r="G5355">
            <v>10</v>
          </cell>
          <cell r="H5355" t="str">
            <v>ATAC-Seq文库</v>
          </cell>
          <cell r="I5355" t="str">
            <v>WH</v>
          </cell>
          <cell r="J5355">
            <v>71.8</v>
          </cell>
          <cell r="K5355">
            <v>444</v>
          </cell>
          <cell r="L5355" t="str">
            <v>XCL</v>
          </cell>
          <cell r="N5355">
            <v>248.78724878724901</v>
          </cell>
        </row>
        <row r="5356">
          <cell r="E5356" t="str">
            <v>HGC-Lib-2469254</v>
          </cell>
          <cell r="F5356" t="str">
            <v>4d-35-1-m3-2</v>
          </cell>
          <cell r="G5356">
            <v>10</v>
          </cell>
          <cell r="H5356" t="str">
            <v>ATAC-Seq文库</v>
          </cell>
          <cell r="I5356" t="str">
            <v>WH</v>
          </cell>
          <cell r="J5356">
            <v>89.4</v>
          </cell>
          <cell r="K5356">
            <v>440</v>
          </cell>
          <cell r="L5356" t="str">
            <v>XCL</v>
          </cell>
          <cell r="N5356">
            <v>312.58741258741298</v>
          </cell>
        </row>
        <row r="5357">
          <cell r="E5357" t="str">
            <v>HGC-Lib-2469255</v>
          </cell>
          <cell r="F5357" t="str">
            <v>4d-35-2-m3-1</v>
          </cell>
          <cell r="G5357">
            <v>10</v>
          </cell>
          <cell r="H5357" t="str">
            <v>ATAC-Seq文库</v>
          </cell>
          <cell r="I5357" t="str">
            <v>WH</v>
          </cell>
          <cell r="J5357">
            <v>62.6</v>
          </cell>
          <cell r="K5357">
            <v>433</v>
          </cell>
          <cell r="L5357" t="str">
            <v>XCL</v>
          </cell>
          <cell r="N5357">
            <v>222.419612719844</v>
          </cell>
        </row>
        <row r="5358">
          <cell r="E5358" t="str">
            <v>HGC-Lib-2469256</v>
          </cell>
          <cell r="F5358" t="str">
            <v>4d-35-2-m3-2</v>
          </cell>
          <cell r="G5358">
            <v>10</v>
          </cell>
          <cell r="H5358" t="str">
            <v>ATAC-Seq文库</v>
          </cell>
          <cell r="I5358" t="str">
            <v>WH</v>
          </cell>
          <cell r="J5358">
            <v>71.2</v>
          </cell>
          <cell r="K5358">
            <v>428</v>
          </cell>
          <cell r="L5358" t="str">
            <v>XCL</v>
          </cell>
          <cell r="N5358">
            <v>255.93098490294801</v>
          </cell>
        </row>
        <row r="5359">
          <cell r="E5359" t="str">
            <v>HGC-Lib-2469665</v>
          </cell>
          <cell r="F5359" t="str">
            <v>0828X1</v>
          </cell>
          <cell r="G5359">
            <v>1000</v>
          </cell>
          <cell r="H5359" t="str">
            <v>WES/panel捕获文库/mRNA文库/甲基化文库</v>
          </cell>
          <cell r="I5359" t="str">
            <v>XCL</v>
          </cell>
          <cell r="J5359">
            <v>25.9</v>
          </cell>
          <cell r="K5359">
            <v>427</v>
          </cell>
          <cell r="L5359" t="str">
            <v>GZQ</v>
          </cell>
          <cell r="N5359">
            <v>93.316519546027706</v>
          </cell>
        </row>
        <row r="5360">
          <cell r="E5360" t="str">
            <v>HGC-Lib-2469666</v>
          </cell>
          <cell r="F5360" t="str">
            <v>0828X2</v>
          </cell>
          <cell r="G5360">
            <v>1000</v>
          </cell>
          <cell r="H5360" t="str">
            <v>WES/panel捕获文库/mRNA文库/甲基化文库</v>
          </cell>
          <cell r="I5360" t="str">
            <v>XCL</v>
          </cell>
          <cell r="J5360">
            <v>26.6</v>
          </cell>
          <cell r="K5360">
            <v>433</v>
          </cell>
          <cell r="L5360" t="str">
            <v>GZQ</v>
          </cell>
          <cell r="N5360">
            <v>94.510570261147606</v>
          </cell>
        </row>
        <row r="5361">
          <cell r="E5361" t="str">
            <v>HGC-Lib-2469667</v>
          </cell>
          <cell r="F5361" t="str">
            <v>0828X3</v>
          </cell>
          <cell r="G5361">
            <v>1000</v>
          </cell>
          <cell r="H5361" t="str">
            <v>10× 3'单细胞</v>
          </cell>
          <cell r="I5361" t="str">
            <v>XCL</v>
          </cell>
          <cell r="J5361">
            <v>16.899999999999999</v>
          </cell>
          <cell r="K5361">
            <v>470</v>
          </cell>
          <cell r="L5361" t="str">
            <v>GZQ</v>
          </cell>
          <cell r="N5361">
            <v>55.319148936170201</v>
          </cell>
        </row>
        <row r="5362">
          <cell r="E5362" t="str">
            <v>HGC-POOL-2469668</v>
          </cell>
          <cell r="F5362" t="str">
            <v>wk0828-1</v>
          </cell>
          <cell r="G5362">
            <v>70</v>
          </cell>
          <cell r="H5362" t="str">
            <v>mRNA文库</v>
          </cell>
          <cell r="I5362" t="str">
            <v>XCL</v>
          </cell>
          <cell r="J5362">
            <v>51.8</v>
          </cell>
          <cell r="K5362">
            <v>329</v>
          </cell>
          <cell r="L5362" t="str">
            <v>XCL</v>
          </cell>
          <cell r="N5362">
            <v>242.22585924713599</v>
          </cell>
        </row>
        <row r="5363">
          <cell r="E5363" t="str">
            <v>HGC-Lib-2469553</v>
          </cell>
          <cell r="F5363" t="str">
            <v>WT1</v>
          </cell>
          <cell r="I5363" t="str">
            <v>YHT</v>
          </cell>
          <cell r="J5363">
            <v>30.6</v>
          </cell>
          <cell r="N5363" t="e">
            <v>#DIV/0!</v>
          </cell>
        </row>
        <row r="5364">
          <cell r="E5364" t="str">
            <v>HGC-Lib-2469554</v>
          </cell>
          <cell r="F5364" t="str">
            <v>WT2</v>
          </cell>
          <cell r="I5364" t="str">
            <v>YHT</v>
          </cell>
          <cell r="J5364">
            <v>25.2</v>
          </cell>
          <cell r="N5364" t="e">
            <v>#DIV/0!</v>
          </cell>
        </row>
        <row r="5365">
          <cell r="E5365" t="str">
            <v>HGC-Lib-2469555</v>
          </cell>
          <cell r="F5365" t="str">
            <v>WT3</v>
          </cell>
          <cell r="I5365" t="str">
            <v>YHT</v>
          </cell>
          <cell r="J5365">
            <v>5.84</v>
          </cell>
          <cell r="N5365" t="e">
            <v>#DIV/0!</v>
          </cell>
        </row>
        <row r="5366">
          <cell r="E5366" t="str">
            <v>HGC-Lib-2469556</v>
          </cell>
          <cell r="F5366" t="str">
            <v>WT4</v>
          </cell>
          <cell r="I5366" t="str">
            <v>YHT</v>
          </cell>
          <cell r="J5366">
            <v>25.4</v>
          </cell>
          <cell r="N5366" t="e">
            <v>#DIV/0!</v>
          </cell>
        </row>
        <row r="5367">
          <cell r="E5367" t="str">
            <v>HGC-Lib-2469557</v>
          </cell>
          <cell r="F5367" t="str">
            <v>WT5</v>
          </cell>
          <cell r="I5367" t="str">
            <v>YHT</v>
          </cell>
          <cell r="J5367">
            <v>25.2</v>
          </cell>
          <cell r="N5367" t="e">
            <v>#DIV/0!</v>
          </cell>
        </row>
        <row r="5368">
          <cell r="E5368" t="str">
            <v>HGC-Lib-2469558</v>
          </cell>
          <cell r="F5368" t="str">
            <v>WT1-oligo</v>
          </cell>
          <cell r="I5368" t="str">
            <v>YHT</v>
          </cell>
          <cell r="J5368">
            <v>57.8</v>
          </cell>
          <cell r="N5368" t="e">
            <v>#DIV/0!</v>
          </cell>
        </row>
        <row r="5369">
          <cell r="E5369" t="str">
            <v>HGC-Lib-2469559</v>
          </cell>
          <cell r="F5369" t="str">
            <v>WT2-oligo</v>
          </cell>
          <cell r="I5369" t="str">
            <v>YHT</v>
          </cell>
          <cell r="J5369">
            <v>61.8</v>
          </cell>
          <cell r="N5369" t="e">
            <v>#DIV/0!</v>
          </cell>
        </row>
        <row r="5370">
          <cell r="E5370" t="str">
            <v>HGC-Lib-2469560</v>
          </cell>
          <cell r="F5370" t="str">
            <v>WT3-oligo</v>
          </cell>
          <cell r="I5370" t="str">
            <v>YHT</v>
          </cell>
          <cell r="J5370">
            <v>58.6</v>
          </cell>
          <cell r="N5370" t="e">
            <v>#DIV/0!</v>
          </cell>
        </row>
        <row r="5371">
          <cell r="E5371" t="str">
            <v>HGC-Lib-2469561</v>
          </cell>
          <cell r="F5371" t="str">
            <v>WT4-oligo</v>
          </cell>
          <cell r="I5371" t="str">
            <v>YHT</v>
          </cell>
          <cell r="J5371">
            <v>56.6</v>
          </cell>
          <cell r="N5371" t="e">
            <v>#DIV/0!</v>
          </cell>
        </row>
        <row r="5372">
          <cell r="E5372" t="str">
            <v>HGC-Lib-2469562</v>
          </cell>
          <cell r="F5372" t="str">
            <v>WT5-oligo</v>
          </cell>
          <cell r="I5372" t="str">
            <v>YHT</v>
          </cell>
          <cell r="J5372">
            <v>60.4</v>
          </cell>
          <cell r="N5372" t="e">
            <v>#DIV/0!</v>
          </cell>
        </row>
        <row r="5373">
          <cell r="E5373" t="str">
            <v>HGC-Lib-2469563</v>
          </cell>
          <cell r="F5373" t="str">
            <v>A1</v>
          </cell>
          <cell r="I5373" t="str">
            <v>YHT</v>
          </cell>
          <cell r="J5373">
            <v>27</v>
          </cell>
          <cell r="N5373" t="e">
            <v>#DIV/0!</v>
          </cell>
        </row>
        <row r="5374">
          <cell r="E5374" t="str">
            <v>HGC-Lib-2469564</v>
          </cell>
          <cell r="F5374" t="str">
            <v>P1</v>
          </cell>
          <cell r="I5374" t="str">
            <v>YHT</v>
          </cell>
          <cell r="J5374">
            <v>24.8</v>
          </cell>
          <cell r="N5374" t="e">
            <v>#DIV/0!</v>
          </cell>
        </row>
        <row r="5375">
          <cell r="E5375" t="str">
            <v>HGC-Lib-2469565</v>
          </cell>
          <cell r="F5375" t="str">
            <v>A1-oligo</v>
          </cell>
          <cell r="I5375" t="str">
            <v>YHT</v>
          </cell>
          <cell r="J5375">
            <v>60.8</v>
          </cell>
          <cell r="N5375" t="e">
            <v>#DIV/0!</v>
          </cell>
        </row>
        <row r="5376">
          <cell r="E5376" t="str">
            <v>HGC-Lib-2469566</v>
          </cell>
          <cell r="F5376" t="str">
            <v>P1-oligo</v>
          </cell>
          <cell r="I5376" t="str">
            <v>YHT</v>
          </cell>
          <cell r="J5376">
            <v>59</v>
          </cell>
          <cell r="N5376" t="e">
            <v>#DIV/0!</v>
          </cell>
        </row>
        <row r="5377">
          <cell r="E5377" t="str">
            <v>HGC-Lib-2469567</v>
          </cell>
          <cell r="F5377" t="str">
            <v>MS24061204</v>
          </cell>
          <cell r="G5377">
            <v>450</v>
          </cell>
          <cell r="H5377" t="str">
            <v>华大c4单细胞cDNA文库</v>
          </cell>
          <cell r="I5377" t="str">
            <v>YHT</v>
          </cell>
          <cell r="J5377">
            <v>45</v>
          </cell>
          <cell r="N5377" t="e">
            <v>#DIV/0!</v>
          </cell>
        </row>
        <row r="5378">
          <cell r="E5378" t="str">
            <v>HGC-Lib-2469568</v>
          </cell>
          <cell r="F5378" t="str">
            <v>MS24061205</v>
          </cell>
          <cell r="G5378">
            <v>450</v>
          </cell>
          <cell r="H5378" t="str">
            <v>华大c4单细胞cDNA文库</v>
          </cell>
          <cell r="I5378" t="str">
            <v>YHT</v>
          </cell>
          <cell r="J5378">
            <v>46.8</v>
          </cell>
          <cell r="N5378" t="e">
            <v>#DIV/0!</v>
          </cell>
        </row>
        <row r="5379">
          <cell r="E5379" t="str">
            <v>HGC-Lib-2469569</v>
          </cell>
          <cell r="F5379" t="str">
            <v>MS24061227</v>
          </cell>
          <cell r="G5379">
            <v>450</v>
          </cell>
          <cell r="H5379" t="str">
            <v>华大c4单细胞cDNA文库</v>
          </cell>
          <cell r="I5379" t="str">
            <v>YHT</v>
          </cell>
          <cell r="J5379">
            <v>44.6</v>
          </cell>
          <cell r="N5379" t="e">
            <v>#DIV/0!</v>
          </cell>
        </row>
        <row r="5380">
          <cell r="E5380" t="str">
            <v>HGC-Lib-2469570</v>
          </cell>
          <cell r="F5380" t="str">
            <v>MS24061228</v>
          </cell>
          <cell r="G5380">
            <v>450</v>
          </cell>
          <cell r="H5380" t="str">
            <v>华大c4单细胞cDNA文库</v>
          </cell>
          <cell r="I5380" t="str">
            <v>YHT</v>
          </cell>
          <cell r="J5380">
            <v>41.8</v>
          </cell>
          <cell r="N5380" t="e">
            <v>#DIV/0!</v>
          </cell>
        </row>
        <row r="5381">
          <cell r="E5381" t="str">
            <v>HGC-Lib-2469571</v>
          </cell>
          <cell r="F5381" t="str">
            <v>MS24061229</v>
          </cell>
          <cell r="G5381">
            <v>450</v>
          </cell>
          <cell r="H5381" t="str">
            <v>华大c4单细胞cDNA文库</v>
          </cell>
          <cell r="I5381" t="str">
            <v>YHT</v>
          </cell>
          <cell r="J5381">
            <v>45</v>
          </cell>
          <cell r="N5381" t="e">
            <v>#DIV/0!</v>
          </cell>
        </row>
        <row r="5382">
          <cell r="E5382" t="str">
            <v>HGC-Lib-2469572</v>
          </cell>
          <cell r="F5382" t="str">
            <v>MS24061297</v>
          </cell>
          <cell r="G5382">
            <v>450</v>
          </cell>
          <cell r="H5382" t="str">
            <v>华大c4单细胞cDNA文库</v>
          </cell>
          <cell r="I5382" t="str">
            <v>YHT</v>
          </cell>
          <cell r="J5382">
            <v>38.6</v>
          </cell>
          <cell r="N5382" t="e">
            <v>#DIV/0!</v>
          </cell>
        </row>
        <row r="5383">
          <cell r="E5383" t="str">
            <v>HGC-Lib-2469573</v>
          </cell>
          <cell r="F5383" t="str">
            <v>MS24061298</v>
          </cell>
          <cell r="G5383">
            <v>450</v>
          </cell>
          <cell r="H5383" t="str">
            <v>华大c4单细胞cDNA文库</v>
          </cell>
          <cell r="I5383" t="str">
            <v>YHT</v>
          </cell>
          <cell r="J5383">
            <v>41</v>
          </cell>
          <cell r="N5383" t="e">
            <v>#DIV/0!</v>
          </cell>
        </row>
        <row r="5384">
          <cell r="E5384" t="str">
            <v>HGC-Lib-2469574</v>
          </cell>
          <cell r="F5384" t="str">
            <v>MS24071115</v>
          </cell>
          <cell r="G5384">
            <v>450</v>
          </cell>
          <cell r="H5384" t="str">
            <v>华大c4单细胞cDNA文库</v>
          </cell>
          <cell r="I5384" t="str">
            <v>YHT</v>
          </cell>
          <cell r="J5384">
            <v>40.200000000000003</v>
          </cell>
          <cell r="N5384" t="e">
            <v>#DIV/0!</v>
          </cell>
        </row>
        <row r="5385">
          <cell r="E5385" t="str">
            <v>HGC-Lib-2469575</v>
          </cell>
          <cell r="F5385" t="str">
            <v>MS24061205-2</v>
          </cell>
          <cell r="G5385">
            <v>45</v>
          </cell>
          <cell r="H5385" t="str">
            <v>华大c4单细胞oligo文库</v>
          </cell>
          <cell r="I5385" t="str">
            <v>YHT</v>
          </cell>
          <cell r="J5385">
            <v>37.799999999999997</v>
          </cell>
          <cell r="N5385" t="e">
            <v>#DIV/0!</v>
          </cell>
        </row>
        <row r="5386">
          <cell r="E5386" t="str">
            <v>HGC-Lib-2469576</v>
          </cell>
          <cell r="F5386" t="str">
            <v>MS24061204-2</v>
          </cell>
          <cell r="G5386">
            <v>45</v>
          </cell>
          <cell r="H5386" t="str">
            <v>华大c4单细胞oligo文库</v>
          </cell>
          <cell r="I5386" t="str">
            <v>YHT</v>
          </cell>
          <cell r="J5386">
            <v>43.8</v>
          </cell>
          <cell r="N5386" t="e">
            <v>#DIV/0!</v>
          </cell>
        </row>
        <row r="5387">
          <cell r="E5387" t="str">
            <v>HGC-Lib-2469577</v>
          </cell>
          <cell r="F5387" t="str">
            <v>MS24061227-2</v>
          </cell>
          <cell r="G5387">
            <v>45</v>
          </cell>
          <cell r="H5387" t="str">
            <v>华大c4单细胞oligo文库</v>
          </cell>
          <cell r="I5387" t="str">
            <v>YHT</v>
          </cell>
          <cell r="J5387">
            <v>45.4</v>
          </cell>
          <cell r="N5387" t="e">
            <v>#DIV/0!</v>
          </cell>
        </row>
        <row r="5388">
          <cell r="E5388" t="str">
            <v>HGC-Lib-2469578</v>
          </cell>
          <cell r="F5388" t="str">
            <v>MS24061228-2</v>
          </cell>
          <cell r="G5388">
            <v>45</v>
          </cell>
          <cell r="H5388" t="str">
            <v>华大c4单细胞oligo文库</v>
          </cell>
          <cell r="I5388" t="str">
            <v>YHT</v>
          </cell>
          <cell r="J5388">
            <v>44</v>
          </cell>
          <cell r="N5388" t="e">
            <v>#DIV/0!</v>
          </cell>
        </row>
        <row r="5389">
          <cell r="E5389" t="str">
            <v>HGC-Lib-2469579</v>
          </cell>
          <cell r="F5389" t="str">
            <v>MS24061229-2</v>
          </cell>
          <cell r="G5389">
            <v>45</v>
          </cell>
          <cell r="H5389" t="str">
            <v>华大c4单细胞oligo文库</v>
          </cell>
          <cell r="I5389" t="str">
            <v>YHT</v>
          </cell>
          <cell r="J5389">
            <v>53.4</v>
          </cell>
          <cell r="N5389" t="e">
            <v>#DIV/0!</v>
          </cell>
        </row>
        <row r="5390">
          <cell r="E5390" t="str">
            <v>HGC-Lib-2469580</v>
          </cell>
          <cell r="F5390" t="str">
            <v>MS24061297-2</v>
          </cell>
          <cell r="G5390">
            <v>45</v>
          </cell>
          <cell r="H5390" t="str">
            <v>华大c4单细胞oligo文库</v>
          </cell>
          <cell r="I5390" t="str">
            <v>YHT</v>
          </cell>
          <cell r="J5390">
            <v>27.8</v>
          </cell>
          <cell r="N5390" t="e">
            <v>#DIV/0!</v>
          </cell>
        </row>
        <row r="5391">
          <cell r="E5391" t="str">
            <v>HGC-Lib-2469581</v>
          </cell>
          <cell r="F5391" t="str">
            <v>MS24061298-2</v>
          </cell>
          <cell r="G5391">
            <v>45</v>
          </cell>
          <cell r="H5391" t="str">
            <v>华大c4单细胞oligo文库</v>
          </cell>
          <cell r="I5391" t="str">
            <v>YHT</v>
          </cell>
          <cell r="J5391">
            <v>44.8</v>
          </cell>
          <cell r="N5391" t="e">
            <v>#DIV/0!</v>
          </cell>
        </row>
        <row r="5392">
          <cell r="E5392" t="str">
            <v>HGC-Lib-2469582</v>
          </cell>
          <cell r="F5392" t="str">
            <v>MS24071115-2</v>
          </cell>
          <cell r="G5392">
            <v>45</v>
          </cell>
          <cell r="H5392" t="str">
            <v>华大c4单细胞oligo文库</v>
          </cell>
          <cell r="I5392" t="str">
            <v>YHT</v>
          </cell>
          <cell r="J5392">
            <v>27.6</v>
          </cell>
          <cell r="N5392" t="e">
            <v>#DIV/0!</v>
          </cell>
        </row>
        <row r="5393">
          <cell r="E5393" t="str">
            <v>HGC-Lib-2469583</v>
          </cell>
          <cell r="F5393" t="str">
            <v>MS24071043</v>
          </cell>
          <cell r="I5393" t="str">
            <v>YHT</v>
          </cell>
          <cell r="J5393">
            <v>73.2</v>
          </cell>
          <cell r="N5393" t="e">
            <v>#DIV/0!</v>
          </cell>
        </row>
        <row r="5394">
          <cell r="E5394" t="str">
            <v>HGC-Lib-2469584</v>
          </cell>
          <cell r="F5394" t="str">
            <v>MS24071044</v>
          </cell>
          <cell r="I5394" t="str">
            <v>YHT</v>
          </cell>
          <cell r="J5394">
            <v>78</v>
          </cell>
          <cell r="N5394" t="e">
            <v>#DIV/0!</v>
          </cell>
        </row>
        <row r="5395">
          <cell r="E5395" t="str">
            <v>HGC-Lib-2469585</v>
          </cell>
          <cell r="F5395" t="str">
            <v>MS24071045</v>
          </cell>
          <cell r="I5395" t="str">
            <v>YHT</v>
          </cell>
          <cell r="J5395">
            <v>72.400000000000006</v>
          </cell>
          <cell r="N5395" t="e">
            <v>#DIV/0!</v>
          </cell>
        </row>
        <row r="5396">
          <cell r="E5396" t="str">
            <v>HGC-Lib-2469586</v>
          </cell>
          <cell r="F5396" t="str">
            <v>MS24071046</v>
          </cell>
          <cell r="I5396" t="str">
            <v>YHT</v>
          </cell>
          <cell r="J5396">
            <v>70.400000000000006</v>
          </cell>
          <cell r="N5396" t="e">
            <v>#DIV/0!</v>
          </cell>
        </row>
        <row r="5397">
          <cell r="E5397" t="str">
            <v>HGC-Lib-2469587</v>
          </cell>
          <cell r="F5397" t="str">
            <v>MS24071047</v>
          </cell>
          <cell r="I5397" t="str">
            <v>YHT</v>
          </cell>
          <cell r="J5397">
            <v>66.400000000000006</v>
          </cell>
          <cell r="N5397" t="e">
            <v>#DIV/0!</v>
          </cell>
        </row>
        <row r="5398">
          <cell r="E5398" t="str">
            <v>HGC-Lib-2469588</v>
          </cell>
          <cell r="F5398" t="str">
            <v>MS24071048</v>
          </cell>
          <cell r="I5398" t="str">
            <v>YHT</v>
          </cell>
          <cell r="J5398">
            <v>55.4</v>
          </cell>
          <cell r="N5398" t="e">
            <v>#DIV/0!</v>
          </cell>
        </row>
        <row r="5399">
          <cell r="E5399" t="str">
            <v>HGC-Lib-2469589</v>
          </cell>
          <cell r="F5399" t="str">
            <v>MS24071049</v>
          </cell>
          <cell r="I5399" t="str">
            <v>YHT</v>
          </cell>
          <cell r="J5399">
            <v>66</v>
          </cell>
          <cell r="N5399" t="e">
            <v>#DIV/0!</v>
          </cell>
        </row>
        <row r="5400">
          <cell r="E5400" t="str">
            <v>HGC-Lib-2469590</v>
          </cell>
          <cell r="F5400" t="str">
            <v>MS24071043-2</v>
          </cell>
          <cell r="I5400" t="str">
            <v>YHT</v>
          </cell>
          <cell r="J5400">
            <v>47.4</v>
          </cell>
          <cell r="N5400" t="e">
            <v>#DIV/0!</v>
          </cell>
        </row>
        <row r="5401">
          <cell r="E5401" t="str">
            <v>HGC-Lib-2469591</v>
          </cell>
          <cell r="F5401" t="str">
            <v>MS24071044-2</v>
          </cell>
          <cell r="I5401" t="str">
            <v>YHT</v>
          </cell>
          <cell r="J5401">
            <v>56.6</v>
          </cell>
          <cell r="N5401" t="e">
            <v>#DIV/0!</v>
          </cell>
        </row>
        <row r="5402">
          <cell r="E5402" t="str">
            <v>HGC-Lib-2469592</v>
          </cell>
          <cell r="F5402" t="str">
            <v>MS24071045-2</v>
          </cell>
          <cell r="I5402" t="str">
            <v>YHT</v>
          </cell>
          <cell r="J5402">
            <v>66.8</v>
          </cell>
          <cell r="N5402" t="e">
            <v>#DIV/0!</v>
          </cell>
        </row>
        <row r="5403">
          <cell r="E5403" t="str">
            <v>HGC-Lib-2469593</v>
          </cell>
          <cell r="F5403" t="str">
            <v>MS24071046-2</v>
          </cell>
          <cell r="I5403" t="str">
            <v>YHT</v>
          </cell>
          <cell r="J5403">
            <v>56.4</v>
          </cell>
          <cell r="N5403" t="e">
            <v>#DIV/0!</v>
          </cell>
        </row>
        <row r="5404">
          <cell r="E5404" t="str">
            <v>HGC-Lib-2469594</v>
          </cell>
          <cell r="F5404" t="str">
            <v>MS24071047-2</v>
          </cell>
          <cell r="I5404" t="str">
            <v>YHT</v>
          </cell>
          <cell r="J5404">
            <v>54</v>
          </cell>
          <cell r="N5404" t="e">
            <v>#DIV/0!</v>
          </cell>
        </row>
        <row r="5405">
          <cell r="E5405" t="str">
            <v>HGC-Lib-2469595</v>
          </cell>
          <cell r="F5405" t="str">
            <v>MS24071048-2</v>
          </cell>
          <cell r="I5405" t="str">
            <v>YHT</v>
          </cell>
          <cell r="J5405">
            <v>53.8</v>
          </cell>
          <cell r="N5405" t="e">
            <v>#DIV/0!</v>
          </cell>
        </row>
        <row r="5406">
          <cell r="E5406" t="str">
            <v>HGC-Lib-2469596</v>
          </cell>
          <cell r="F5406" t="str">
            <v>MS24071049-2</v>
          </cell>
          <cell r="I5406" t="str">
            <v>YHT</v>
          </cell>
          <cell r="J5406">
            <v>47.4</v>
          </cell>
          <cell r="N5406" t="e">
            <v>#DIV/0!</v>
          </cell>
        </row>
        <row r="5407">
          <cell r="E5407" t="str">
            <v>HGC-Lib-2469597</v>
          </cell>
          <cell r="F5407" t="str">
            <v>MS24071265</v>
          </cell>
          <cell r="I5407" t="str">
            <v>YHT</v>
          </cell>
          <cell r="J5407">
            <v>57.2</v>
          </cell>
          <cell r="N5407" t="e">
            <v>#DIV/0!</v>
          </cell>
        </row>
        <row r="5408">
          <cell r="E5408" t="str">
            <v>HGC-Lib-2469598</v>
          </cell>
          <cell r="F5408" t="str">
            <v>MS24071266</v>
          </cell>
          <cell r="I5408" t="str">
            <v>YHT</v>
          </cell>
          <cell r="J5408">
            <v>66.2</v>
          </cell>
          <cell r="N5408" t="e">
            <v>#DIV/0!</v>
          </cell>
        </row>
        <row r="5409">
          <cell r="E5409" t="str">
            <v>HGC-Lib-2469599</v>
          </cell>
          <cell r="F5409" t="str">
            <v>MS24071331</v>
          </cell>
          <cell r="I5409" t="str">
            <v>YHT</v>
          </cell>
          <cell r="J5409">
            <v>76.599999999999994</v>
          </cell>
          <cell r="N5409" t="e">
            <v>#DIV/0!</v>
          </cell>
        </row>
        <row r="5410">
          <cell r="E5410" t="str">
            <v>HGC-Lib-2469600</v>
          </cell>
          <cell r="F5410" t="str">
            <v>MS24071332</v>
          </cell>
          <cell r="I5410" t="str">
            <v>YHT</v>
          </cell>
          <cell r="J5410">
            <v>71.2</v>
          </cell>
          <cell r="N5410" t="e">
            <v>#DIV/0!</v>
          </cell>
        </row>
        <row r="5411">
          <cell r="E5411" t="str">
            <v>HGC-Lib-2469601</v>
          </cell>
          <cell r="F5411" t="str">
            <v>MS24071333</v>
          </cell>
          <cell r="I5411" t="str">
            <v>WH</v>
          </cell>
          <cell r="J5411">
            <v>62.6</v>
          </cell>
          <cell r="N5411" t="e">
            <v>#DIV/0!</v>
          </cell>
        </row>
        <row r="5412">
          <cell r="E5412" t="str">
            <v>HGC-Lib-2469602</v>
          </cell>
          <cell r="F5412" t="str">
            <v>MS24071334</v>
          </cell>
          <cell r="I5412" t="str">
            <v>WH</v>
          </cell>
          <cell r="J5412">
            <v>64.400000000000006</v>
          </cell>
          <cell r="N5412" t="e">
            <v>#DIV/0!</v>
          </cell>
        </row>
        <row r="5413">
          <cell r="E5413" t="str">
            <v>HGC-Lib-2469603</v>
          </cell>
          <cell r="F5413" t="str">
            <v>MS24071265-2</v>
          </cell>
          <cell r="I5413" t="str">
            <v>WH</v>
          </cell>
          <cell r="J5413">
            <v>47.2</v>
          </cell>
          <cell r="N5413" t="e">
            <v>#DIV/0!</v>
          </cell>
        </row>
        <row r="5414">
          <cell r="E5414" t="str">
            <v>HGC-Lib-2469604</v>
          </cell>
          <cell r="F5414" t="str">
            <v>MS24071266-2</v>
          </cell>
          <cell r="I5414" t="str">
            <v>WH</v>
          </cell>
          <cell r="J5414">
            <v>43.2</v>
          </cell>
          <cell r="N5414" t="e">
            <v>#DIV/0!</v>
          </cell>
        </row>
        <row r="5415">
          <cell r="E5415" t="str">
            <v>HGC-Lib-2469605</v>
          </cell>
          <cell r="F5415" t="str">
            <v>MS24071333-2</v>
          </cell>
          <cell r="I5415" t="str">
            <v>WH</v>
          </cell>
          <cell r="J5415">
            <v>42.6</v>
          </cell>
          <cell r="N5415" t="e">
            <v>#DIV/0!</v>
          </cell>
        </row>
        <row r="5416">
          <cell r="E5416" t="str">
            <v>HGC-Lib-2469606</v>
          </cell>
          <cell r="F5416" t="str">
            <v>MS24071331-2</v>
          </cell>
          <cell r="I5416" t="str">
            <v>WH</v>
          </cell>
          <cell r="J5416">
            <v>47</v>
          </cell>
          <cell r="N5416" t="e">
            <v>#DIV/0!</v>
          </cell>
        </row>
        <row r="5417">
          <cell r="E5417" t="str">
            <v>HGC-Lib-2469607</v>
          </cell>
          <cell r="F5417" t="str">
            <v>MS24071332-2</v>
          </cell>
          <cell r="I5417" t="str">
            <v>WH</v>
          </cell>
          <cell r="J5417">
            <v>54</v>
          </cell>
          <cell r="N5417" t="e">
            <v>#DIV/0!</v>
          </cell>
        </row>
        <row r="5418">
          <cell r="E5418" t="str">
            <v>HGC-Lib-2469608</v>
          </cell>
          <cell r="F5418" t="str">
            <v>MS24071334-2</v>
          </cell>
          <cell r="I5418" t="str">
            <v>WH</v>
          </cell>
          <cell r="J5418">
            <v>59</v>
          </cell>
          <cell r="N5418" t="e">
            <v>#DIV/0!</v>
          </cell>
        </row>
        <row r="5419">
          <cell r="E5419" t="str">
            <v>HGC-Lib-2469609</v>
          </cell>
          <cell r="F5419" t="str">
            <v>MS24080003-2</v>
          </cell>
          <cell r="I5419" t="str">
            <v>WH</v>
          </cell>
          <cell r="J5419">
            <v>33.200000000000003</v>
          </cell>
          <cell r="N5419" t="e">
            <v>#DIV/0!</v>
          </cell>
        </row>
        <row r="5420">
          <cell r="E5420" t="str">
            <v>HGC-Lib-2469610</v>
          </cell>
          <cell r="F5420" t="str">
            <v>MS24080004-2</v>
          </cell>
          <cell r="I5420" t="str">
            <v>WH</v>
          </cell>
          <cell r="J5420">
            <v>39.4</v>
          </cell>
          <cell r="N5420" t="e">
            <v>#DIV/0!</v>
          </cell>
        </row>
        <row r="5421">
          <cell r="E5421" t="str">
            <v>HGC-Lib-2469611</v>
          </cell>
          <cell r="F5421" t="str">
            <v>MS24080005-2</v>
          </cell>
          <cell r="I5421" t="str">
            <v>WH</v>
          </cell>
          <cell r="J5421">
            <v>40.200000000000003</v>
          </cell>
          <cell r="N5421" t="e">
            <v>#DIV/0!</v>
          </cell>
        </row>
        <row r="5422">
          <cell r="E5422" t="str">
            <v>HGC-Lib-2469612</v>
          </cell>
          <cell r="F5422" t="str">
            <v>MS24080006-2</v>
          </cell>
          <cell r="I5422" t="str">
            <v>WH</v>
          </cell>
          <cell r="J5422">
            <v>40</v>
          </cell>
          <cell r="N5422" t="e">
            <v>#DIV/0!</v>
          </cell>
        </row>
        <row r="5423">
          <cell r="E5423" t="str">
            <v>HGC-Lib-2469613</v>
          </cell>
          <cell r="F5423" t="str">
            <v>MS24080003</v>
          </cell>
          <cell r="I5423" t="str">
            <v>WH</v>
          </cell>
          <cell r="J5423">
            <v>39.6</v>
          </cell>
          <cell r="N5423" t="e">
            <v>#DIV/0!</v>
          </cell>
        </row>
        <row r="5424">
          <cell r="E5424" t="str">
            <v>HGC-Lib-2469614</v>
          </cell>
          <cell r="F5424" t="str">
            <v>MS24080004</v>
          </cell>
          <cell r="I5424" t="str">
            <v>WH</v>
          </cell>
          <cell r="J5424">
            <v>37</v>
          </cell>
          <cell r="N5424" t="e">
            <v>#DIV/0!</v>
          </cell>
        </row>
        <row r="5425">
          <cell r="E5425" t="str">
            <v>HGC-Lib-2469615</v>
          </cell>
          <cell r="F5425" t="str">
            <v>MS24080005</v>
          </cell>
          <cell r="I5425" t="str">
            <v>WH</v>
          </cell>
          <cell r="J5425">
            <v>40.200000000000003</v>
          </cell>
          <cell r="N5425" t="e">
            <v>#DIV/0!</v>
          </cell>
        </row>
        <row r="5426">
          <cell r="E5426" t="str">
            <v>HGC-Lib-2469616</v>
          </cell>
          <cell r="F5426" t="str">
            <v>MS24080006</v>
          </cell>
          <cell r="I5426" t="str">
            <v>WH</v>
          </cell>
          <cell r="J5426">
            <v>36.799999999999997</v>
          </cell>
          <cell r="N5426" t="e">
            <v>#DIV/0!</v>
          </cell>
        </row>
        <row r="5427">
          <cell r="E5427" t="str">
            <v>HGC-Lib-2469617</v>
          </cell>
          <cell r="F5427" t="str">
            <v>MS24081012-2</v>
          </cell>
          <cell r="I5427" t="str">
            <v>WH</v>
          </cell>
          <cell r="J5427">
            <v>32</v>
          </cell>
          <cell r="N5427" t="e">
            <v>#DIV/0!</v>
          </cell>
        </row>
        <row r="5428">
          <cell r="E5428" t="str">
            <v>HGC-Lib-2469618</v>
          </cell>
          <cell r="F5428" t="str">
            <v>MS24081013-2</v>
          </cell>
          <cell r="I5428" t="str">
            <v>WH</v>
          </cell>
          <cell r="J5428">
            <v>35.6</v>
          </cell>
          <cell r="N5428" t="e">
            <v>#DIV/0!</v>
          </cell>
        </row>
        <row r="5429">
          <cell r="E5429" t="str">
            <v>HGC-Lib-2469619</v>
          </cell>
          <cell r="F5429" t="str">
            <v>MS24081012</v>
          </cell>
          <cell r="I5429" t="str">
            <v>WH</v>
          </cell>
          <cell r="J5429">
            <v>62.2</v>
          </cell>
          <cell r="N5429" t="e">
            <v>#DIV/0!</v>
          </cell>
        </row>
        <row r="5430">
          <cell r="E5430" t="str">
            <v>HGC-Lib-2469620</v>
          </cell>
          <cell r="F5430" t="str">
            <v>MS24081013</v>
          </cell>
          <cell r="I5430" t="str">
            <v>WH</v>
          </cell>
          <cell r="J5430">
            <v>63.2</v>
          </cell>
          <cell r="N5430" t="e">
            <v>#DIV/0!</v>
          </cell>
        </row>
        <row r="5431">
          <cell r="E5431" t="str">
            <v>HGC-Lib-2469621</v>
          </cell>
          <cell r="F5431" t="str">
            <v>MS24071107</v>
          </cell>
          <cell r="I5431" t="str">
            <v>WH</v>
          </cell>
          <cell r="J5431">
            <v>52.6</v>
          </cell>
          <cell r="N5431" t="e">
            <v>#DIV/0!</v>
          </cell>
        </row>
        <row r="5432">
          <cell r="E5432" t="str">
            <v>HGC-Lib-2469622</v>
          </cell>
          <cell r="F5432" t="str">
            <v>MS24071107-2</v>
          </cell>
          <cell r="I5432" t="str">
            <v>WH</v>
          </cell>
          <cell r="J5432">
            <v>23.4</v>
          </cell>
          <cell r="N5432" t="e">
            <v>#DIV/0!</v>
          </cell>
        </row>
        <row r="5433">
          <cell r="E5433" t="str">
            <v>HGC-Lib-2469623</v>
          </cell>
          <cell r="F5433" t="str">
            <v>Y1-prostate</v>
          </cell>
          <cell r="I5433" t="str">
            <v>WH</v>
          </cell>
          <cell r="J5433">
            <v>18.7</v>
          </cell>
          <cell r="N5433" t="e">
            <v>#DIV/0!</v>
          </cell>
        </row>
        <row r="5434">
          <cell r="E5434" t="str">
            <v>HGC-Lib-2469624</v>
          </cell>
          <cell r="F5434" t="str">
            <v>Y1.5-prostate</v>
          </cell>
          <cell r="I5434" t="str">
            <v>WH</v>
          </cell>
          <cell r="J5434">
            <v>13.1</v>
          </cell>
          <cell r="N5434" t="e">
            <v>#DIV/0!</v>
          </cell>
        </row>
        <row r="5435">
          <cell r="E5435" t="str">
            <v>HGC-Lib-2469625</v>
          </cell>
          <cell r="F5435" t="str">
            <v>Y2-prostate</v>
          </cell>
          <cell r="I5435" t="str">
            <v>WH</v>
          </cell>
          <cell r="J5435">
            <v>33.799999999999997</v>
          </cell>
          <cell r="N5435" t="e">
            <v>#DIV/0!</v>
          </cell>
        </row>
        <row r="5436">
          <cell r="E5436" t="str">
            <v>HGC-Lib-2469626</v>
          </cell>
          <cell r="F5436" t="str">
            <v>Y1-prostate-oligo</v>
          </cell>
          <cell r="I5436" t="str">
            <v>WH</v>
          </cell>
          <cell r="J5436">
            <v>39.6</v>
          </cell>
          <cell r="N5436" t="e">
            <v>#DIV/0!</v>
          </cell>
        </row>
        <row r="5437">
          <cell r="E5437" t="str">
            <v>HGC-Lib-2469627</v>
          </cell>
          <cell r="F5437" t="str">
            <v>Y1.5-prostate-oligo</v>
          </cell>
          <cell r="I5437" t="str">
            <v>WH</v>
          </cell>
          <cell r="J5437">
            <v>51.8</v>
          </cell>
          <cell r="N5437" t="e">
            <v>#DIV/0!</v>
          </cell>
        </row>
        <row r="5438">
          <cell r="E5438" t="str">
            <v>HGC-Lib-2469628</v>
          </cell>
          <cell r="F5438" t="str">
            <v>Y2-prostate-oligo</v>
          </cell>
          <cell r="I5438" t="str">
            <v>WH</v>
          </cell>
          <cell r="J5438">
            <v>60</v>
          </cell>
          <cell r="N5438" t="e">
            <v>#DIV/0!</v>
          </cell>
        </row>
        <row r="5439">
          <cell r="E5439" t="str">
            <v>HGC-Lib-2469629</v>
          </cell>
          <cell r="F5439" t="str">
            <v>P52</v>
          </cell>
          <cell r="I5439" t="str">
            <v>WH</v>
          </cell>
          <cell r="J5439">
            <v>27.4</v>
          </cell>
          <cell r="N5439" t="e">
            <v>#DIV/0!</v>
          </cell>
        </row>
        <row r="5440">
          <cell r="E5440" t="str">
            <v>HGC-Lib-2469630</v>
          </cell>
          <cell r="F5440" t="str">
            <v>P78</v>
          </cell>
          <cell r="I5440" t="str">
            <v>WH</v>
          </cell>
          <cell r="J5440">
            <v>21.6</v>
          </cell>
          <cell r="N5440" t="e">
            <v>#DIV/0!</v>
          </cell>
        </row>
        <row r="5441">
          <cell r="E5441" t="str">
            <v>HGC-Lib-2469631</v>
          </cell>
          <cell r="F5441" t="str">
            <v>P112</v>
          </cell>
          <cell r="I5441" t="str">
            <v>WH</v>
          </cell>
          <cell r="J5441">
            <v>29</v>
          </cell>
          <cell r="N5441" t="e">
            <v>#DIV/0!</v>
          </cell>
        </row>
        <row r="5442">
          <cell r="E5442" t="str">
            <v>HGC-Lib-2469632</v>
          </cell>
          <cell r="F5442" t="str">
            <v>P52-oligo</v>
          </cell>
          <cell r="I5442" t="str">
            <v>WH</v>
          </cell>
          <cell r="J5442">
            <v>29.4</v>
          </cell>
          <cell r="N5442" t="e">
            <v>#DIV/0!</v>
          </cell>
        </row>
        <row r="5443">
          <cell r="E5443" t="str">
            <v>HGC-Lib-2469633</v>
          </cell>
          <cell r="F5443" t="str">
            <v>P78-oligo</v>
          </cell>
          <cell r="I5443" t="str">
            <v>WH</v>
          </cell>
          <cell r="J5443">
            <v>34</v>
          </cell>
          <cell r="N5443" t="e">
            <v>#DIV/0!</v>
          </cell>
        </row>
        <row r="5444">
          <cell r="E5444" t="str">
            <v>HGC-Lib-2469634</v>
          </cell>
          <cell r="F5444" t="str">
            <v>P112-oligo</v>
          </cell>
          <cell r="I5444" t="str">
            <v>WH</v>
          </cell>
          <cell r="J5444">
            <v>38</v>
          </cell>
          <cell r="N5444" t="e">
            <v>#DIV/0!</v>
          </cell>
        </row>
        <row r="5445">
          <cell r="E5445" t="str">
            <v>HGC-Lib-2469635</v>
          </cell>
          <cell r="F5445" t="str">
            <v>Y1</v>
          </cell>
          <cell r="I5445" t="str">
            <v>WH</v>
          </cell>
          <cell r="J5445">
            <v>6</v>
          </cell>
          <cell r="N5445" t="e">
            <v>#DIV/0!</v>
          </cell>
        </row>
        <row r="5446">
          <cell r="E5446" t="str">
            <v>HGC-Lib-2469636</v>
          </cell>
          <cell r="F5446" t="str">
            <v>Y1.5</v>
          </cell>
          <cell r="I5446" t="str">
            <v>WH</v>
          </cell>
          <cell r="J5446">
            <v>11.1</v>
          </cell>
          <cell r="N5446" t="e">
            <v>#DIV/0!</v>
          </cell>
        </row>
        <row r="5447">
          <cell r="E5447" t="str">
            <v>HGC-Lib-2469637</v>
          </cell>
          <cell r="F5447" t="str">
            <v>Y2</v>
          </cell>
          <cell r="I5447" t="str">
            <v>WH</v>
          </cell>
          <cell r="J5447">
            <v>4.8</v>
          </cell>
          <cell r="N5447" t="e">
            <v>#DIV/0!</v>
          </cell>
        </row>
        <row r="5448">
          <cell r="E5448" t="str">
            <v>HGC-Lib-2469638</v>
          </cell>
          <cell r="F5448" t="str">
            <v>Y1-oligo</v>
          </cell>
          <cell r="I5448" t="str">
            <v>WH</v>
          </cell>
          <cell r="J5448">
            <v>58</v>
          </cell>
          <cell r="N5448" t="e">
            <v>#DIV/0!</v>
          </cell>
        </row>
        <row r="5449">
          <cell r="E5449" t="str">
            <v>HGC-Lib-2469639</v>
          </cell>
          <cell r="F5449" t="str">
            <v>Y1.5-oligo</v>
          </cell>
          <cell r="I5449" t="str">
            <v>WH</v>
          </cell>
          <cell r="J5449">
            <v>64</v>
          </cell>
          <cell r="N5449" t="e">
            <v>#DIV/0!</v>
          </cell>
        </row>
        <row r="5450">
          <cell r="E5450" t="str">
            <v>HGC-Lib-2469640</v>
          </cell>
          <cell r="F5450" t="str">
            <v>Y2-oligo</v>
          </cell>
          <cell r="I5450" t="str">
            <v>WH</v>
          </cell>
          <cell r="J5450">
            <v>62.8</v>
          </cell>
          <cell r="N5450" t="e">
            <v>#DIV/0!</v>
          </cell>
        </row>
        <row r="5451">
          <cell r="E5451" t="str">
            <v>HGC-Lib-2469641</v>
          </cell>
          <cell r="F5451" t="str">
            <v>1-1</v>
          </cell>
          <cell r="I5451" t="str">
            <v>WH</v>
          </cell>
          <cell r="J5451">
            <v>2.2000000000000002</v>
          </cell>
          <cell r="N5451" t="e">
            <v>#DIV/0!</v>
          </cell>
        </row>
        <row r="5452">
          <cell r="E5452" t="str">
            <v>HGC-Lib-2469642</v>
          </cell>
          <cell r="F5452" t="str">
            <v>2-1</v>
          </cell>
          <cell r="I5452" t="str">
            <v>WH</v>
          </cell>
          <cell r="J5452">
            <v>7.12</v>
          </cell>
          <cell r="N5452" t="e">
            <v>#DIV/0!</v>
          </cell>
        </row>
        <row r="5453">
          <cell r="E5453" t="str">
            <v>HGC-Lib-2469643</v>
          </cell>
          <cell r="F5453" t="str">
            <v>3-1</v>
          </cell>
          <cell r="I5453" t="str">
            <v>WH</v>
          </cell>
          <cell r="J5453">
            <v>4.78</v>
          </cell>
          <cell r="N5453" t="e">
            <v>#DIV/0!</v>
          </cell>
        </row>
        <row r="5454">
          <cell r="E5454" t="str">
            <v>HGC-Lib-2469644</v>
          </cell>
          <cell r="F5454" t="str">
            <v>1-1-oligo</v>
          </cell>
          <cell r="I5454" t="str">
            <v>WH</v>
          </cell>
          <cell r="J5454">
            <v>51.4</v>
          </cell>
          <cell r="N5454" t="e">
            <v>#DIV/0!</v>
          </cell>
        </row>
        <row r="5455">
          <cell r="E5455" t="str">
            <v>HGC-Lib-2469645</v>
          </cell>
          <cell r="F5455" t="str">
            <v>2-1-oligo</v>
          </cell>
          <cell r="I5455" t="str">
            <v>WH</v>
          </cell>
          <cell r="J5455">
            <v>55</v>
          </cell>
          <cell r="N5455" t="e">
            <v>#DIV/0!</v>
          </cell>
        </row>
        <row r="5456">
          <cell r="E5456" t="str">
            <v>HGC-Lib-2469646</v>
          </cell>
          <cell r="F5456" t="str">
            <v>3-1-oligo</v>
          </cell>
          <cell r="I5456" t="str">
            <v>WH</v>
          </cell>
          <cell r="J5456">
            <v>53.6</v>
          </cell>
          <cell r="N5456" t="e">
            <v>#DIV/0!</v>
          </cell>
        </row>
        <row r="5457">
          <cell r="E5457" t="str">
            <v>HGC-Lib-2469647</v>
          </cell>
          <cell r="F5457" t="str">
            <v>W6-prostat</v>
          </cell>
          <cell r="I5457" t="str">
            <v>WH</v>
          </cell>
          <cell r="J5457">
            <v>28</v>
          </cell>
          <cell r="N5457" t="e">
            <v>#DIV/0!</v>
          </cell>
        </row>
        <row r="5458">
          <cell r="E5458" t="str">
            <v>HGC-Lib-2469648</v>
          </cell>
          <cell r="F5458" t="str">
            <v>P6</v>
          </cell>
          <cell r="I5458" t="str">
            <v>WH</v>
          </cell>
          <cell r="J5458">
            <v>16.3</v>
          </cell>
          <cell r="N5458" t="e">
            <v>#DIV/0!</v>
          </cell>
        </row>
        <row r="5459">
          <cell r="E5459" t="str">
            <v>HGC-Lib-2469649</v>
          </cell>
          <cell r="F5459" t="str">
            <v>W6</v>
          </cell>
          <cell r="I5459" t="str">
            <v>XCL</v>
          </cell>
          <cell r="J5459">
            <v>7.12</v>
          </cell>
          <cell r="N5459" t="e">
            <v>#DIV/0!</v>
          </cell>
        </row>
        <row r="5460">
          <cell r="E5460" t="str">
            <v>HGC-Lib-2469650</v>
          </cell>
          <cell r="F5460" t="str">
            <v>W6-prostat-oligo</v>
          </cell>
          <cell r="I5460" t="str">
            <v>XCL</v>
          </cell>
          <cell r="J5460">
            <v>57</v>
          </cell>
          <cell r="N5460" t="e">
            <v>#DIV/0!</v>
          </cell>
        </row>
        <row r="5461">
          <cell r="E5461" t="str">
            <v>HGC-Lib-2469651</v>
          </cell>
          <cell r="F5461" t="str">
            <v>P6-oligo</v>
          </cell>
          <cell r="I5461" t="str">
            <v>XCL</v>
          </cell>
          <cell r="J5461">
            <v>56.6</v>
          </cell>
          <cell r="N5461" t="e">
            <v>#DIV/0!</v>
          </cell>
        </row>
        <row r="5462">
          <cell r="E5462" t="str">
            <v>HGC-Lib-2469652</v>
          </cell>
          <cell r="F5462" t="str">
            <v>W6-oligo</v>
          </cell>
          <cell r="I5462" t="str">
            <v>XCL</v>
          </cell>
          <cell r="J5462">
            <v>69.8</v>
          </cell>
          <cell r="N5462" t="e">
            <v>#DIV/0!</v>
          </cell>
        </row>
        <row r="5463">
          <cell r="E5463" t="str">
            <v>HGC-Lib-2469653</v>
          </cell>
          <cell r="F5463" t="str">
            <v>4-1</v>
          </cell>
          <cell r="I5463" t="str">
            <v>XCL</v>
          </cell>
          <cell r="J5463">
            <v>2.52</v>
          </cell>
          <cell r="N5463" t="e">
            <v>#DIV/0!</v>
          </cell>
        </row>
        <row r="5464">
          <cell r="E5464" t="str">
            <v>HGC-Lib-2469654</v>
          </cell>
          <cell r="F5464" t="str">
            <v>5-1</v>
          </cell>
          <cell r="I5464" t="str">
            <v>XCL</v>
          </cell>
          <cell r="J5464">
            <v>21.8</v>
          </cell>
          <cell r="N5464" t="e">
            <v>#DIV/0!</v>
          </cell>
        </row>
        <row r="5465">
          <cell r="E5465" t="str">
            <v>HGC-Lib-2469655</v>
          </cell>
          <cell r="F5465" t="str">
            <v>4-1-oligo</v>
          </cell>
          <cell r="I5465" t="str">
            <v>XCL</v>
          </cell>
          <cell r="J5465">
            <v>50.8</v>
          </cell>
          <cell r="N5465" t="e">
            <v>#DIV/0!</v>
          </cell>
        </row>
        <row r="5466">
          <cell r="E5466" t="str">
            <v>HGC-Lib-2469656</v>
          </cell>
          <cell r="F5466" t="str">
            <v>5-1-oligo</v>
          </cell>
          <cell r="I5466" t="str">
            <v>XCL</v>
          </cell>
          <cell r="J5466">
            <v>38.200000000000003</v>
          </cell>
          <cell r="N5466" t="e">
            <v>#DIV/0!</v>
          </cell>
        </row>
        <row r="5467">
          <cell r="E5467" t="str">
            <v>HGC-Lib-2469657</v>
          </cell>
          <cell r="F5467" t="str">
            <v>CC-Con-1</v>
          </cell>
          <cell r="I5467" t="str">
            <v>XCL</v>
          </cell>
          <cell r="J5467">
            <v>6.9</v>
          </cell>
          <cell r="N5467" t="e">
            <v>#DIV/0!</v>
          </cell>
        </row>
        <row r="5468">
          <cell r="E5468" t="str">
            <v>HGC-Lib-2469658</v>
          </cell>
          <cell r="F5468" t="str">
            <v>CC-Con-1-oligo</v>
          </cell>
          <cell r="I5468" t="str">
            <v>XCL</v>
          </cell>
          <cell r="J5468">
            <v>70.599999999999994</v>
          </cell>
          <cell r="N5468" t="e">
            <v>#DIV/0!</v>
          </cell>
        </row>
        <row r="5469">
          <cell r="E5469" t="str">
            <v>HGC-Lib-2469709</v>
          </cell>
          <cell r="F5469" t="str">
            <v>OL27980-GW132147</v>
          </cell>
          <cell r="G5469">
            <v>1000</v>
          </cell>
          <cell r="H5469" t="str">
            <v>甲基化文库</v>
          </cell>
          <cell r="I5469" t="str">
            <v>WWH</v>
          </cell>
          <cell r="J5469">
            <v>1.4950000000000001</v>
          </cell>
          <cell r="K5469">
            <v>500</v>
          </cell>
          <cell r="N5469">
            <v>4.5999999999999996</v>
          </cell>
        </row>
        <row r="5470">
          <cell r="E5470" t="str">
            <v>HGC-Lib-2469710</v>
          </cell>
          <cell r="F5470" t="str">
            <v>OL27981-GW132147</v>
          </cell>
          <cell r="G5470">
            <v>1000</v>
          </cell>
          <cell r="H5470" t="str">
            <v>甲基化文库</v>
          </cell>
          <cell r="I5470" t="str">
            <v>WWH</v>
          </cell>
          <cell r="J5470">
            <v>1.1950000000000001</v>
          </cell>
          <cell r="K5470">
            <v>508</v>
          </cell>
          <cell r="N5470">
            <v>3.61901877649909</v>
          </cell>
        </row>
        <row r="5471">
          <cell r="E5471" t="str">
            <v>HGC-Lib-2469711</v>
          </cell>
          <cell r="F5471" t="str">
            <v>OL27982-GW132476</v>
          </cell>
          <cell r="G5471">
            <v>1000</v>
          </cell>
          <cell r="H5471" t="str">
            <v>甲基化文库</v>
          </cell>
          <cell r="I5471" t="str">
            <v>WWH</v>
          </cell>
          <cell r="J5471">
            <v>0.77900000000000003</v>
          </cell>
          <cell r="K5471">
            <v>515</v>
          </cell>
          <cell r="N5471">
            <v>2.3271097834204602</v>
          </cell>
        </row>
        <row r="5472">
          <cell r="E5472" t="str">
            <v>HGC-Lib-2469262</v>
          </cell>
          <cell r="F5472" t="str">
            <v>YWY_0827_elf6_K27</v>
          </cell>
          <cell r="G5472">
            <v>3</v>
          </cell>
          <cell r="H5472" t="str">
            <v>Chip-Seq</v>
          </cell>
          <cell r="I5472" t="str">
            <v>HZK</v>
          </cell>
          <cell r="J5472">
            <v>2.62</v>
          </cell>
          <cell r="K5472">
            <v>519</v>
          </cell>
          <cell r="L5472" t="str">
            <v>HZK</v>
          </cell>
          <cell r="N5472">
            <v>7.7664147028308896</v>
          </cell>
        </row>
        <row r="5473">
          <cell r="E5473" t="str">
            <v>HGC-POOL-2469287</v>
          </cell>
          <cell r="F5473" t="str">
            <v>hsy001</v>
          </cell>
          <cell r="G5473">
            <v>15</v>
          </cell>
          <cell r="H5473" t="str">
            <v>Chip-Seq</v>
          </cell>
          <cell r="I5473" t="str">
            <v>HZK</v>
          </cell>
          <cell r="J5473">
            <v>1.29</v>
          </cell>
          <cell r="K5473">
            <v>400</v>
          </cell>
          <cell r="L5473" t="str">
            <v>HZK</v>
          </cell>
          <cell r="N5473">
            <v>4.9615384615384599</v>
          </cell>
        </row>
        <row r="5474">
          <cell r="E5474" t="str">
            <v>HGC-Lib-2469288</v>
          </cell>
          <cell r="F5474" t="str">
            <v>L240815010X3</v>
          </cell>
          <cell r="G5474">
            <v>90</v>
          </cell>
          <cell r="H5474" t="str">
            <v>10X 3'转录组文库</v>
          </cell>
          <cell r="I5474" t="str">
            <v>HZK</v>
          </cell>
          <cell r="J5474">
            <v>18.100000000000001</v>
          </cell>
          <cell r="N5474" t="e">
            <v>#DIV/0!</v>
          </cell>
        </row>
        <row r="5475">
          <cell r="E5475" t="str">
            <v>HGC-Lib-2469289</v>
          </cell>
          <cell r="F5475" t="str">
            <v>LD240805D-0971A</v>
          </cell>
          <cell r="G5475">
            <v>12</v>
          </cell>
          <cell r="H5475" t="str">
            <v>DNA宏基因组文库</v>
          </cell>
          <cell r="I5475" t="str">
            <v>ZZ</v>
          </cell>
          <cell r="J5475">
            <v>51.4</v>
          </cell>
          <cell r="N5475" t="e">
            <v>#DIV/0!</v>
          </cell>
        </row>
        <row r="5476">
          <cell r="E5476" t="str">
            <v>HGC-Lib-2469290</v>
          </cell>
          <cell r="F5476" t="str">
            <v>LD240805D-0972A</v>
          </cell>
          <cell r="G5476">
            <v>12</v>
          </cell>
          <cell r="H5476" t="str">
            <v>DNA宏基因组文库</v>
          </cell>
          <cell r="I5476" t="str">
            <v>ZZ</v>
          </cell>
          <cell r="J5476">
            <v>61.8</v>
          </cell>
          <cell r="N5476" t="e">
            <v>#DIV/0!</v>
          </cell>
        </row>
        <row r="5477">
          <cell r="E5477" t="str">
            <v>HGC-Lib-2469291</v>
          </cell>
          <cell r="F5477" t="str">
            <v>LD240805D-0973A</v>
          </cell>
          <cell r="G5477">
            <v>12</v>
          </cell>
          <cell r="H5477" t="str">
            <v>DNA宏基因组文库</v>
          </cell>
          <cell r="I5477" t="str">
            <v>ZZ</v>
          </cell>
          <cell r="J5477">
            <v>35.799999999999997</v>
          </cell>
          <cell r="N5477" t="e">
            <v>#DIV/0!</v>
          </cell>
        </row>
        <row r="5478">
          <cell r="E5478" t="str">
            <v>HGC-Lib-2469292</v>
          </cell>
          <cell r="F5478" t="str">
            <v>LD240805D-0974A</v>
          </cell>
          <cell r="G5478">
            <v>12</v>
          </cell>
          <cell r="H5478" t="str">
            <v>DNA宏基因组文库</v>
          </cell>
          <cell r="I5478" t="str">
            <v>ZZ</v>
          </cell>
          <cell r="J5478">
            <v>55.6</v>
          </cell>
          <cell r="N5478" t="e">
            <v>#DIV/0!</v>
          </cell>
        </row>
        <row r="5479">
          <cell r="E5479" t="str">
            <v>HGC-Lib-2469293</v>
          </cell>
          <cell r="F5479" t="str">
            <v>LR240815R-0022A</v>
          </cell>
          <cell r="G5479">
            <v>6</v>
          </cell>
          <cell r="H5479" t="str">
            <v>普通真核转录组文库</v>
          </cell>
          <cell r="I5479" t="str">
            <v>ZZ</v>
          </cell>
          <cell r="J5479">
            <v>1.02</v>
          </cell>
          <cell r="N5479" t="e">
            <v>#DIV/0!</v>
          </cell>
        </row>
        <row r="5480">
          <cell r="E5480" t="str">
            <v>HGC-Lib-2469294</v>
          </cell>
          <cell r="F5480" t="str">
            <v>LR240815R-0024A</v>
          </cell>
          <cell r="G5480">
            <v>6</v>
          </cell>
          <cell r="H5480" t="str">
            <v>普通真核转录组文库</v>
          </cell>
          <cell r="I5480" t="str">
            <v>ZZ</v>
          </cell>
          <cell r="J5480">
            <v>59.4</v>
          </cell>
          <cell r="N5480" t="e">
            <v>#DIV/0!</v>
          </cell>
        </row>
        <row r="5481">
          <cell r="E5481" t="str">
            <v>HGC-Lib-2469295</v>
          </cell>
          <cell r="F5481" t="str">
            <v>LR240815R-0027A</v>
          </cell>
          <cell r="G5481">
            <v>6</v>
          </cell>
          <cell r="H5481" t="str">
            <v>普通真核转录组文库</v>
          </cell>
          <cell r="I5481" t="str">
            <v>ZZ</v>
          </cell>
          <cell r="J5481">
            <v>26.2</v>
          </cell>
          <cell r="N5481" t="e">
            <v>#DIV/0!</v>
          </cell>
        </row>
        <row r="5482">
          <cell r="E5482" t="str">
            <v>HGC-Lib-2469296</v>
          </cell>
          <cell r="F5482" t="str">
            <v>LR240815R-0028A</v>
          </cell>
          <cell r="G5482">
            <v>6</v>
          </cell>
          <cell r="H5482" t="str">
            <v>普通真核转录组文库</v>
          </cell>
          <cell r="I5482" t="str">
            <v>ZZ</v>
          </cell>
          <cell r="J5482">
            <v>57.6</v>
          </cell>
          <cell r="N5482" t="e">
            <v>#DIV/0!</v>
          </cell>
        </row>
        <row r="5483">
          <cell r="E5483" t="str">
            <v>HGC-Lib-2469297</v>
          </cell>
          <cell r="F5483" t="str">
            <v>LR240815R-0030A</v>
          </cell>
          <cell r="G5483">
            <v>6</v>
          </cell>
          <cell r="H5483" t="str">
            <v>普通真核转录组文库</v>
          </cell>
          <cell r="I5483" t="str">
            <v>ZZ</v>
          </cell>
          <cell r="J5483">
            <v>27.6</v>
          </cell>
          <cell r="N5483" t="e">
            <v>#DIV/0!</v>
          </cell>
        </row>
        <row r="5484">
          <cell r="E5484" t="str">
            <v>HGC-Lib-2469298</v>
          </cell>
          <cell r="F5484" t="str">
            <v>LR240815R-0031A</v>
          </cell>
          <cell r="G5484">
            <v>6</v>
          </cell>
          <cell r="H5484" t="str">
            <v>普通真核转录组文库</v>
          </cell>
          <cell r="I5484" t="str">
            <v>ZZ</v>
          </cell>
          <cell r="J5484">
            <v>38.6</v>
          </cell>
          <cell r="N5484" t="e">
            <v>#DIV/0!</v>
          </cell>
        </row>
        <row r="5485">
          <cell r="E5485" t="str">
            <v>HGC-Lib-2469299</v>
          </cell>
          <cell r="F5485" t="str">
            <v>LR240815R-0032A</v>
          </cell>
          <cell r="G5485">
            <v>6</v>
          </cell>
          <cell r="H5485" t="str">
            <v>普通真核转录组文库</v>
          </cell>
          <cell r="I5485" t="str">
            <v>ZZ</v>
          </cell>
          <cell r="J5485">
            <v>49.4</v>
          </cell>
          <cell r="N5485" t="e">
            <v>#DIV/0!</v>
          </cell>
        </row>
        <row r="5486">
          <cell r="E5486" t="str">
            <v>HGC-Lib-2469300</v>
          </cell>
          <cell r="F5486" t="str">
            <v>LR240815R-0033A</v>
          </cell>
          <cell r="G5486">
            <v>6</v>
          </cell>
          <cell r="H5486" t="str">
            <v>普通真核转录组文库</v>
          </cell>
          <cell r="I5486" t="str">
            <v>ZZ</v>
          </cell>
          <cell r="J5486">
            <v>50.2</v>
          </cell>
          <cell r="N5486" t="e">
            <v>#DIV/0!</v>
          </cell>
        </row>
        <row r="5487">
          <cell r="E5487" t="str">
            <v>HGC-Lib-2469301</v>
          </cell>
          <cell r="F5487" t="str">
            <v>LR240815R-0034A</v>
          </cell>
          <cell r="G5487">
            <v>6</v>
          </cell>
          <cell r="H5487" t="str">
            <v>普通真核转录组文库</v>
          </cell>
          <cell r="I5487" t="str">
            <v>ZZ</v>
          </cell>
          <cell r="J5487">
            <v>50.2</v>
          </cell>
          <cell r="N5487" t="e">
            <v>#DIV/0!</v>
          </cell>
        </row>
        <row r="5488">
          <cell r="E5488" t="str">
            <v>HGC-Lib-2469302</v>
          </cell>
          <cell r="F5488" t="str">
            <v>LR240815R-0035A</v>
          </cell>
          <cell r="G5488">
            <v>6</v>
          </cell>
          <cell r="H5488" t="str">
            <v>普通真核转录组文库</v>
          </cell>
          <cell r="I5488" t="str">
            <v>ZZ</v>
          </cell>
          <cell r="J5488">
            <v>34.6</v>
          </cell>
          <cell r="N5488" t="e">
            <v>#DIV/0!</v>
          </cell>
        </row>
        <row r="5489">
          <cell r="E5489" t="str">
            <v>HGC-Lib-2469303</v>
          </cell>
          <cell r="F5489" t="str">
            <v>LR240815R-0036A</v>
          </cell>
          <cell r="G5489">
            <v>6</v>
          </cell>
          <cell r="H5489" t="str">
            <v>普通真核转录组文库</v>
          </cell>
          <cell r="I5489" t="str">
            <v>ZZ</v>
          </cell>
          <cell r="J5489">
            <v>49.4</v>
          </cell>
          <cell r="N5489" t="e">
            <v>#DIV/0!</v>
          </cell>
        </row>
        <row r="5490">
          <cell r="E5490" t="str">
            <v>HGC-Lib-2469304</v>
          </cell>
          <cell r="F5490" t="str">
            <v>LR240815R-0037A</v>
          </cell>
          <cell r="G5490">
            <v>6</v>
          </cell>
          <cell r="H5490" t="str">
            <v>普通真核转录组文库</v>
          </cell>
          <cell r="I5490" t="str">
            <v>ZZ</v>
          </cell>
          <cell r="J5490">
            <v>52.2</v>
          </cell>
          <cell r="N5490" t="e">
            <v>#DIV/0!</v>
          </cell>
        </row>
        <row r="5491">
          <cell r="E5491" t="str">
            <v>HGC-Lib-2469305</v>
          </cell>
          <cell r="F5491" t="str">
            <v>LD240702O-2057A</v>
          </cell>
          <cell r="G5491">
            <v>10</v>
          </cell>
          <cell r="H5491" t="str">
            <v>DNA病毒组文库</v>
          </cell>
          <cell r="I5491" t="str">
            <v>ZZ</v>
          </cell>
          <cell r="J5491">
            <v>34.4</v>
          </cell>
          <cell r="N5491" t="e">
            <v>#DIV/0!</v>
          </cell>
        </row>
        <row r="5492">
          <cell r="E5492" t="str">
            <v>HGC-Lib-2469306</v>
          </cell>
          <cell r="F5492" t="str">
            <v>LR240815R-0038A</v>
          </cell>
          <cell r="G5492">
            <v>6</v>
          </cell>
          <cell r="H5492" t="str">
            <v>普通真核转录组文库</v>
          </cell>
          <cell r="I5492" t="str">
            <v>ZZ</v>
          </cell>
          <cell r="J5492">
            <v>54.8</v>
          </cell>
          <cell r="N5492" t="e">
            <v>#DIV/0!</v>
          </cell>
        </row>
        <row r="5493">
          <cell r="E5493" t="str">
            <v>HGC-Lib-2469307</v>
          </cell>
          <cell r="F5493" t="str">
            <v>LD240702O-2058A</v>
          </cell>
          <cell r="G5493">
            <v>10</v>
          </cell>
          <cell r="H5493" t="str">
            <v>DNA病毒组文库</v>
          </cell>
          <cell r="I5493" t="str">
            <v>ZZ</v>
          </cell>
          <cell r="J5493">
            <v>13.8</v>
          </cell>
          <cell r="N5493" t="e">
            <v>#DIV/0!</v>
          </cell>
        </row>
        <row r="5494">
          <cell r="E5494" t="str">
            <v>HGC-Lib-2469308</v>
          </cell>
          <cell r="F5494" t="str">
            <v>LR240815R-0039A</v>
          </cell>
          <cell r="G5494">
            <v>6</v>
          </cell>
          <cell r="H5494" t="str">
            <v>普通真核转录组文库</v>
          </cell>
          <cell r="I5494" t="str">
            <v>ZZ</v>
          </cell>
          <cell r="J5494">
            <v>45.6</v>
          </cell>
          <cell r="N5494" t="e">
            <v>#DIV/0!</v>
          </cell>
        </row>
        <row r="5495">
          <cell r="E5495" t="str">
            <v>HGC-Lib-2469309</v>
          </cell>
          <cell r="F5495" t="str">
            <v>LD240702O-2059A</v>
          </cell>
          <cell r="G5495">
            <v>10</v>
          </cell>
          <cell r="H5495" t="str">
            <v>DNA病毒组文库</v>
          </cell>
          <cell r="I5495" t="str">
            <v>ZZ</v>
          </cell>
          <cell r="J5495">
            <v>20.2</v>
          </cell>
          <cell r="N5495" t="e">
            <v>#DIV/0!</v>
          </cell>
        </row>
        <row r="5496">
          <cell r="E5496" t="str">
            <v>HGC-Lib-2469310</v>
          </cell>
          <cell r="F5496" t="str">
            <v>LD240702O-2060A</v>
          </cell>
          <cell r="G5496">
            <v>10</v>
          </cell>
          <cell r="H5496" t="str">
            <v>DNA病毒组文库</v>
          </cell>
          <cell r="I5496" t="str">
            <v>ZZ</v>
          </cell>
          <cell r="J5496">
            <v>16.3</v>
          </cell>
          <cell r="N5496" t="e">
            <v>#DIV/0!</v>
          </cell>
        </row>
        <row r="5497">
          <cell r="E5497" t="str">
            <v>HGC-Lib-2469311</v>
          </cell>
          <cell r="F5497" t="str">
            <v>LD240702O-2061A</v>
          </cell>
          <cell r="G5497">
            <v>10</v>
          </cell>
          <cell r="H5497" t="str">
            <v>DNA病毒组文库</v>
          </cell>
          <cell r="I5497" t="str">
            <v>ZZ</v>
          </cell>
          <cell r="J5497">
            <v>14.7</v>
          </cell>
          <cell r="N5497" t="e">
            <v>#DIV/0!</v>
          </cell>
        </row>
        <row r="5498">
          <cell r="E5498" t="str">
            <v>HGC-Lib-2469312</v>
          </cell>
          <cell r="F5498" t="str">
            <v>LD240702O-2062A</v>
          </cell>
          <cell r="G5498">
            <v>10</v>
          </cell>
          <cell r="H5498" t="str">
            <v>DNA病毒组文库</v>
          </cell>
          <cell r="I5498" t="str">
            <v>ZZ</v>
          </cell>
          <cell r="J5498">
            <v>21.4</v>
          </cell>
          <cell r="N5498" t="e">
            <v>#DIV/0!</v>
          </cell>
        </row>
        <row r="5499">
          <cell r="E5499" t="str">
            <v>HGC-Lib-2469313</v>
          </cell>
          <cell r="F5499" t="str">
            <v>LD240702O-2063A</v>
          </cell>
          <cell r="G5499">
            <v>10</v>
          </cell>
          <cell r="H5499" t="str">
            <v>DNA病毒组文库</v>
          </cell>
          <cell r="I5499" t="str">
            <v>ZZ</v>
          </cell>
          <cell r="J5499">
            <v>39.200000000000003</v>
          </cell>
          <cell r="N5499" t="e">
            <v>#DIV/0!</v>
          </cell>
        </row>
        <row r="5500">
          <cell r="E5500" t="str">
            <v>HGC-Lib-2469314</v>
          </cell>
          <cell r="F5500" t="str">
            <v>LD240702O-2064A</v>
          </cell>
          <cell r="G5500">
            <v>10</v>
          </cell>
          <cell r="H5500" t="str">
            <v>DNA病毒组文库</v>
          </cell>
          <cell r="I5500" t="str">
            <v>ZZ</v>
          </cell>
          <cell r="J5500">
            <v>19.3</v>
          </cell>
          <cell r="N5500" t="e">
            <v>#DIV/0!</v>
          </cell>
        </row>
        <row r="5501">
          <cell r="E5501" t="str">
            <v>HGC-Lib-2469315</v>
          </cell>
          <cell r="F5501" t="str">
            <v>LD240702O-2065A</v>
          </cell>
          <cell r="G5501">
            <v>10</v>
          </cell>
          <cell r="H5501" t="str">
            <v>DNA病毒组文库</v>
          </cell>
          <cell r="I5501" t="str">
            <v>ZZ</v>
          </cell>
          <cell r="J5501">
            <v>22.6</v>
          </cell>
          <cell r="N5501" t="e">
            <v>#DIV/0!</v>
          </cell>
        </row>
        <row r="5502">
          <cell r="E5502" t="str">
            <v>HGC-Lib-2469316</v>
          </cell>
          <cell r="F5502" t="str">
            <v>LD240702O-2066A</v>
          </cell>
          <cell r="G5502">
            <v>10</v>
          </cell>
          <cell r="H5502" t="str">
            <v>DNA病毒组文库</v>
          </cell>
          <cell r="I5502" t="str">
            <v>ZZ</v>
          </cell>
          <cell r="J5502">
            <v>8</v>
          </cell>
          <cell r="N5502" t="e">
            <v>#DIV/0!</v>
          </cell>
        </row>
        <row r="5503">
          <cell r="E5503" t="str">
            <v>HGC-Lib-2469317</v>
          </cell>
          <cell r="F5503" t="str">
            <v>LD240702O-2067A</v>
          </cell>
          <cell r="G5503">
            <v>10</v>
          </cell>
          <cell r="H5503" t="str">
            <v>DNA病毒组文库</v>
          </cell>
          <cell r="I5503" t="str">
            <v>ZZ</v>
          </cell>
          <cell r="J5503">
            <v>6.72</v>
          </cell>
          <cell r="N5503" t="e">
            <v>#DIV/0!</v>
          </cell>
        </row>
        <row r="5504">
          <cell r="E5504" t="str">
            <v>HGC-Lib-2469318</v>
          </cell>
          <cell r="F5504" t="str">
            <v>LD240702O-2068A</v>
          </cell>
          <cell r="G5504">
            <v>10</v>
          </cell>
          <cell r="H5504" t="str">
            <v>DNA病毒组文库</v>
          </cell>
          <cell r="I5504" t="str">
            <v>ZZ</v>
          </cell>
          <cell r="J5504">
            <v>22.8</v>
          </cell>
          <cell r="N5504" t="e">
            <v>#DIV/0!</v>
          </cell>
        </row>
        <row r="5505">
          <cell r="E5505" t="str">
            <v>HGC-Lib-2469319</v>
          </cell>
          <cell r="F5505" t="str">
            <v>LR240805O-5533B</v>
          </cell>
          <cell r="G5505">
            <v>2</v>
          </cell>
          <cell r="H5505" t="str">
            <v>原核链特异性转录组文库</v>
          </cell>
          <cell r="I5505" t="str">
            <v>ZZ</v>
          </cell>
          <cell r="J5505">
            <v>8.02</v>
          </cell>
          <cell r="N5505" t="e">
            <v>#DIV/0!</v>
          </cell>
        </row>
        <row r="5506">
          <cell r="E5506" t="str">
            <v>HGC-Lib-2469320</v>
          </cell>
          <cell r="F5506" t="str">
            <v>LR240809O-0959A</v>
          </cell>
          <cell r="G5506">
            <v>2</v>
          </cell>
          <cell r="H5506" t="str">
            <v>原核链特异性转录组文库</v>
          </cell>
          <cell r="I5506" t="str">
            <v>ZZ</v>
          </cell>
          <cell r="J5506">
            <v>21.2</v>
          </cell>
          <cell r="N5506" t="e">
            <v>#DIV/0!</v>
          </cell>
        </row>
        <row r="5507">
          <cell r="E5507" t="str">
            <v>HGC-Lib-2469321</v>
          </cell>
          <cell r="F5507" t="str">
            <v>LR240809O-0960A</v>
          </cell>
          <cell r="G5507">
            <v>2</v>
          </cell>
          <cell r="H5507" t="str">
            <v>原核链特异性转录组文库</v>
          </cell>
          <cell r="I5507" t="str">
            <v>ZZ</v>
          </cell>
          <cell r="J5507">
            <v>25.6</v>
          </cell>
          <cell r="N5507" t="e">
            <v>#DIV/0!</v>
          </cell>
        </row>
        <row r="5508">
          <cell r="E5508" t="str">
            <v>HGC-Lib-2469322</v>
          </cell>
          <cell r="F5508" t="str">
            <v>LR240812R-0057A</v>
          </cell>
          <cell r="G5508">
            <v>2</v>
          </cell>
          <cell r="H5508" t="str">
            <v>原核链特异性转录组文库</v>
          </cell>
          <cell r="I5508" t="str">
            <v>ZZ</v>
          </cell>
          <cell r="J5508">
            <v>6</v>
          </cell>
          <cell r="N5508" t="e">
            <v>#DIV/0!</v>
          </cell>
        </row>
        <row r="5509">
          <cell r="E5509" t="str">
            <v>HGC-Lib-2469323</v>
          </cell>
          <cell r="F5509" t="str">
            <v>LR240812R-0058A</v>
          </cell>
          <cell r="G5509">
            <v>2</v>
          </cell>
          <cell r="H5509" t="str">
            <v>原核链特异性转录组文库</v>
          </cell>
          <cell r="I5509" t="str">
            <v>ZZ</v>
          </cell>
          <cell r="J5509">
            <v>7.22</v>
          </cell>
          <cell r="N5509" t="e">
            <v>#DIV/0!</v>
          </cell>
        </row>
        <row r="5510">
          <cell r="E5510" t="str">
            <v>HGC-Lib-2469324</v>
          </cell>
          <cell r="F5510" t="str">
            <v>LR240812R-0059A</v>
          </cell>
          <cell r="G5510">
            <v>2</v>
          </cell>
          <cell r="H5510" t="str">
            <v>原核链特异性转录组文库</v>
          </cell>
          <cell r="I5510" t="str">
            <v>ZZ</v>
          </cell>
          <cell r="J5510">
            <v>21.2</v>
          </cell>
          <cell r="N5510" t="e">
            <v>#DIV/0!</v>
          </cell>
        </row>
        <row r="5511">
          <cell r="E5511" t="str">
            <v>HGC-Lib-2469325</v>
          </cell>
          <cell r="F5511" t="str">
            <v>LR240812R-0060A</v>
          </cell>
          <cell r="G5511">
            <v>2</v>
          </cell>
          <cell r="H5511" t="str">
            <v>原核链特异性转录组文库</v>
          </cell>
          <cell r="I5511" t="str">
            <v>ZZ</v>
          </cell>
          <cell r="J5511">
            <v>17.8</v>
          </cell>
          <cell r="N5511" t="e">
            <v>#DIV/0!</v>
          </cell>
        </row>
        <row r="5512">
          <cell r="E5512" t="str">
            <v>HGC-Lib-2469326</v>
          </cell>
          <cell r="F5512" t="str">
            <v>LM240730O-2285A</v>
          </cell>
          <cell r="G5512">
            <v>2</v>
          </cell>
          <cell r="H5512" t="str">
            <v>扩增子文库</v>
          </cell>
          <cell r="I5512" t="str">
            <v>ZZ</v>
          </cell>
          <cell r="J5512">
            <v>50.8</v>
          </cell>
          <cell r="N5512" t="e">
            <v>#DIV/0!</v>
          </cell>
        </row>
        <row r="5513">
          <cell r="E5513" t="str">
            <v>HGC-Lib-2469327</v>
          </cell>
          <cell r="F5513" t="str">
            <v>LM240729O-5132A</v>
          </cell>
          <cell r="G5513">
            <v>1</v>
          </cell>
          <cell r="H5513" t="str">
            <v>扩增子文库</v>
          </cell>
          <cell r="I5513" t="str">
            <v>ZZ</v>
          </cell>
          <cell r="J5513">
            <v>64.2</v>
          </cell>
          <cell r="N5513" t="e">
            <v>#DIV/0!</v>
          </cell>
        </row>
        <row r="5514">
          <cell r="E5514" t="str">
            <v>HGC-Lib-2469328</v>
          </cell>
          <cell r="F5514" t="str">
            <v>LM240730O-2284A</v>
          </cell>
          <cell r="G5514">
            <v>1</v>
          </cell>
          <cell r="H5514" t="str">
            <v>扩增子文库</v>
          </cell>
          <cell r="I5514" t="str">
            <v>ZZ</v>
          </cell>
          <cell r="J5514">
            <v>54</v>
          </cell>
          <cell r="N5514" t="e">
            <v>#DIV/0!</v>
          </cell>
        </row>
        <row r="5515">
          <cell r="E5515" t="str">
            <v>HGC-Lib-2469329</v>
          </cell>
          <cell r="F5515" t="str">
            <v>LM240731O-3138A</v>
          </cell>
          <cell r="G5515">
            <v>1</v>
          </cell>
          <cell r="H5515" t="str">
            <v>扩增子文库</v>
          </cell>
          <cell r="I5515" t="str">
            <v>ZZ</v>
          </cell>
          <cell r="J5515">
            <v>64.2</v>
          </cell>
          <cell r="N5515" t="e">
            <v>#DIV/0!</v>
          </cell>
        </row>
        <row r="5516">
          <cell r="E5516" t="str">
            <v>HGC-Lib-2469330</v>
          </cell>
          <cell r="F5516" t="str">
            <v>LM240731O-3140A</v>
          </cell>
          <cell r="G5516">
            <v>1</v>
          </cell>
          <cell r="H5516" t="str">
            <v>扩增子文库</v>
          </cell>
          <cell r="I5516" t="str">
            <v>ZZ</v>
          </cell>
          <cell r="J5516">
            <v>62.2</v>
          </cell>
          <cell r="N5516" t="e">
            <v>#DIV/0!</v>
          </cell>
        </row>
        <row r="5517">
          <cell r="E5517" t="str">
            <v>HGC-Lib-2469331</v>
          </cell>
          <cell r="F5517" t="str">
            <v>LM240731O-3139A</v>
          </cell>
          <cell r="G5517">
            <v>1</v>
          </cell>
          <cell r="H5517" t="str">
            <v>扩增子文库</v>
          </cell>
          <cell r="I5517" t="str">
            <v>ZZ</v>
          </cell>
          <cell r="J5517">
            <v>57.8</v>
          </cell>
          <cell r="N5517" t="e">
            <v>#DIV/0!</v>
          </cell>
        </row>
        <row r="5518">
          <cell r="E5518" t="str">
            <v>HGC-Lib-2469332</v>
          </cell>
          <cell r="F5518" t="str">
            <v>LM240805O-5532A</v>
          </cell>
          <cell r="G5518">
            <v>1</v>
          </cell>
          <cell r="H5518" t="str">
            <v>扩增子文库</v>
          </cell>
          <cell r="I5518" t="str">
            <v>ZZ</v>
          </cell>
          <cell r="J5518">
            <v>69</v>
          </cell>
          <cell r="N5518" t="e">
            <v>#DIV/0!</v>
          </cell>
        </row>
        <row r="5519">
          <cell r="E5519" t="str">
            <v>HGC-Lib-2469333</v>
          </cell>
          <cell r="F5519" t="str">
            <v>LM240801D-0316A</v>
          </cell>
          <cell r="G5519">
            <v>1</v>
          </cell>
          <cell r="H5519" t="str">
            <v>扩增子文库</v>
          </cell>
          <cell r="I5519" t="str">
            <v>ZZ</v>
          </cell>
          <cell r="J5519">
            <v>87.4</v>
          </cell>
          <cell r="N5519" t="e">
            <v>#DIV/0!</v>
          </cell>
        </row>
        <row r="5520">
          <cell r="E5520" t="str">
            <v>HGC-Lib-2469334</v>
          </cell>
          <cell r="F5520" t="str">
            <v>LM240731O-3143A</v>
          </cell>
          <cell r="G5520">
            <v>1</v>
          </cell>
          <cell r="H5520" t="str">
            <v>扩增子文库</v>
          </cell>
          <cell r="I5520" t="str">
            <v>ZZ</v>
          </cell>
          <cell r="J5520">
            <v>10.5</v>
          </cell>
          <cell r="N5520" t="e">
            <v>#DIV/0!</v>
          </cell>
        </row>
        <row r="5521">
          <cell r="E5521" t="str">
            <v>HGC-Lib-2469335</v>
          </cell>
          <cell r="F5521" t="str">
            <v>LM240813O-1494A</v>
          </cell>
          <cell r="G5521">
            <v>1</v>
          </cell>
          <cell r="H5521" t="str">
            <v>扩增子文库</v>
          </cell>
          <cell r="I5521" t="str">
            <v>ZZ</v>
          </cell>
          <cell r="J5521">
            <v>18.7</v>
          </cell>
          <cell r="N5521" t="e">
            <v>#DIV/0!</v>
          </cell>
        </row>
        <row r="5522">
          <cell r="E5522" t="str">
            <v>HGC-Lib-2469336</v>
          </cell>
          <cell r="F5522" t="str">
            <v>LM240731O-3144A</v>
          </cell>
          <cell r="G5522">
            <v>1</v>
          </cell>
          <cell r="H5522" t="str">
            <v>扩增子文库</v>
          </cell>
          <cell r="I5522" t="str">
            <v>ZZ</v>
          </cell>
          <cell r="J5522">
            <v>50.6</v>
          </cell>
          <cell r="N5522" t="e">
            <v>#DIV/0!</v>
          </cell>
        </row>
        <row r="5523">
          <cell r="E5523" t="str">
            <v>HGC-Lib-2469337</v>
          </cell>
          <cell r="F5523" t="str">
            <v>LM240731O-3145A</v>
          </cell>
          <cell r="G5523">
            <v>1</v>
          </cell>
          <cell r="H5523" t="str">
            <v>扩增子文库</v>
          </cell>
          <cell r="I5523" t="str">
            <v>GZQ</v>
          </cell>
          <cell r="J5523">
            <v>53.2</v>
          </cell>
          <cell r="N5523" t="e">
            <v>#DIV/0!</v>
          </cell>
        </row>
        <row r="5524">
          <cell r="E5524" t="str">
            <v>HGC-Lib-2469338</v>
          </cell>
          <cell r="F5524" t="str">
            <v>LM240731O-3146A</v>
          </cell>
          <cell r="G5524">
            <v>1</v>
          </cell>
          <cell r="H5524" t="str">
            <v>扩增子文库</v>
          </cell>
          <cell r="I5524" t="str">
            <v>GZQ</v>
          </cell>
          <cell r="J5524">
            <v>54.4</v>
          </cell>
          <cell r="N5524" t="e">
            <v>#DIV/0!</v>
          </cell>
        </row>
        <row r="5525">
          <cell r="E5525" t="str">
            <v>HGC-Lib-2469339</v>
          </cell>
          <cell r="F5525" t="str">
            <v>LM240722O-6021A</v>
          </cell>
          <cell r="G5525">
            <v>1</v>
          </cell>
          <cell r="H5525" t="str">
            <v>扩增子文库</v>
          </cell>
          <cell r="I5525" t="str">
            <v>GZQ</v>
          </cell>
          <cell r="J5525">
            <v>30</v>
          </cell>
          <cell r="N5525" t="e">
            <v>#DIV/0!</v>
          </cell>
        </row>
        <row r="5526">
          <cell r="E5526" t="str">
            <v>HGC-Lib-2469340</v>
          </cell>
          <cell r="F5526" t="str">
            <v>LM240328O-4965A</v>
          </cell>
          <cell r="G5526">
            <v>1</v>
          </cell>
          <cell r="H5526" t="str">
            <v>扩增子文库</v>
          </cell>
          <cell r="I5526" t="str">
            <v>GZQ</v>
          </cell>
          <cell r="J5526">
            <v>44.8</v>
          </cell>
          <cell r="N5526" t="e">
            <v>#DIV/0!</v>
          </cell>
        </row>
        <row r="5527">
          <cell r="E5527" t="str">
            <v>HGC-Lib-2469341</v>
          </cell>
          <cell r="F5527" t="str">
            <v>LM240328O-4966A</v>
          </cell>
          <cell r="G5527">
            <v>1</v>
          </cell>
          <cell r="H5527" t="str">
            <v>扩增子文库</v>
          </cell>
          <cell r="I5527" t="str">
            <v>GZQ</v>
          </cell>
          <cell r="J5527">
            <v>51.6</v>
          </cell>
          <cell r="N5527" t="e">
            <v>#DIV/0!</v>
          </cell>
        </row>
        <row r="5528">
          <cell r="E5528" t="str">
            <v>HGC-Lib-2469342</v>
          </cell>
          <cell r="F5528" t="str">
            <v>LM240328O-4967A</v>
          </cell>
          <cell r="G5528">
            <v>1</v>
          </cell>
          <cell r="H5528" t="str">
            <v>扩增子文库</v>
          </cell>
          <cell r="I5528" t="str">
            <v>GZQ</v>
          </cell>
          <cell r="J5528">
            <v>54.4</v>
          </cell>
          <cell r="N5528" t="e">
            <v>#DIV/0!</v>
          </cell>
        </row>
        <row r="5529">
          <cell r="E5529" t="str">
            <v>HGC-Lib-2469343</v>
          </cell>
          <cell r="F5529" t="str">
            <v>LM240724O-2689A</v>
          </cell>
          <cell r="G5529">
            <v>1</v>
          </cell>
          <cell r="H5529" t="str">
            <v>扩增子文库</v>
          </cell>
          <cell r="I5529" t="str">
            <v>GZQ</v>
          </cell>
          <cell r="J5529">
            <v>3.92</v>
          </cell>
          <cell r="N5529" t="e">
            <v>#DIV/0!</v>
          </cell>
        </row>
        <row r="5530">
          <cell r="E5530" t="str">
            <v>HGC-Lib-2469344</v>
          </cell>
          <cell r="F5530" t="str">
            <v>LM240725D-0489A</v>
          </cell>
          <cell r="G5530">
            <v>1</v>
          </cell>
          <cell r="H5530" t="str">
            <v>扩增子文库</v>
          </cell>
          <cell r="I5530" t="str">
            <v>GZQ</v>
          </cell>
          <cell r="J5530">
            <v>19.399999999999999</v>
          </cell>
          <cell r="N5530" t="e">
            <v>#DIV/0!</v>
          </cell>
        </row>
        <row r="5531">
          <cell r="E5531" t="str">
            <v>HGC-Lib-2469345</v>
          </cell>
          <cell r="F5531" t="str">
            <v>LM240725D-0490A</v>
          </cell>
          <cell r="G5531">
            <v>1</v>
          </cell>
          <cell r="H5531" t="str">
            <v>扩增子文库</v>
          </cell>
          <cell r="I5531" t="str">
            <v>GZQ</v>
          </cell>
          <cell r="J5531">
            <v>9.7200000000000006</v>
          </cell>
          <cell r="N5531" t="e">
            <v>#DIV/0!</v>
          </cell>
        </row>
        <row r="5532">
          <cell r="E5532" t="str">
            <v>HGC-Lib-2469346</v>
          </cell>
          <cell r="F5532" t="str">
            <v>LD240718O-1686A</v>
          </cell>
          <cell r="G5532">
            <v>10</v>
          </cell>
          <cell r="H5532" t="str">
            <v>DNA宏基因组文库</v>
          </cell>
          <cell r="I5532" t="str">
            <v>GZQ</v>
          </cell>
          <cell r="J5532">
            <v>74</v>
          </cell>
          <cell r="N5532" t="e">
            <v>#DIV/0!</v>
          </cell>
        </row>
        <row r="5533">
          <cell r="E5533" t="str">
            <v>HGC-Lib-2469347</v>
          </cell>
          <cell r="F5533" t="str">
            <v>LD240718O-1687A</v>
          </cell>
          <cell r="G5533">
            <v>10</v>
          </cell>
          <cell r="H5533" t="str">
            <v>DNA宏基因组文库</v>
          </cell>
          <cell r="I5533" t="str">
            <v>GZQ</v>
          </cell>
          <cell r="J5533">
            <v>28.6</v>
          </cell>
          <cell r="N5533" t="e">
            <v>#DIV/0!</v>
          </cell>
        </row>
        <row r="5534">
          <cell r="E5534" t="str">
            <v>HGC-Lib-2469348</v>
          </cell>
          <cell r="F5534" t="str">
            <v>LD240718O-1688A</v>
          </cell>
          <cell r="G5534">
            <v>10</v>
          </cell>
          <cell r="H5534" t="str">
            <v>DNA宏基因组文库</v>
          </cell>
          <cell r="I5534" t="str">
            <v>GZQ</v>
          </cell>
          <cell r="J5534">
            <v>16</v>
          </cell>
          <cell r="N5534" t="e">
            <v>#DIV/0!</v>
          </cell>
        </row>
        <row r="5535">
          <cell r="E5535" t="str">
            <v>HGC-Lib-2469349</v>
          </cell>
          <cell r="F5535" t="str">
            <v>LD240718O-1689A</v>
          </cell>
          <cell r="G5535">
            <v>10</v>
          </cell>
          <cell r="H5535" t="str">
            <v>DNA宏基因组文库</v>
          </cell>
          <cell r="I5535" t="str">
            <v>GZQ</v>
          </cell>
          <cell r="J5535">
            <v>13.9</v>
          </cell>
          <cell r="N5535" t="e">
            <v>#DIV/0!</v>
          </cell>
        </row>
        <row r="5536">
          <cell r="E5536" t="str">
            <v>HGC-Lib-2469350</v>
          </cell>
          <cell r="F5536" t="str">
            <v>LD240718O-1690A</v>
          </cell>
          <cell r="G5536">
            <v>10</v>
          </cell>
          <cell r="H5536" t="str">
            <v>DNA宏基因组文库</v>
          </cell>
          <cell r="I5536" t="str">
            <v>GZQ</v>
          </cell>
          <cell r="J5536">
            <v>21</v>
          </cell>
          <cell r="N5536" t="e">
            <v>#DIV/0!</v>
          </cell>
        </row>
        <row r="5537">
          <cell r="E5537" t="str">
            <v>HGC-Lib-2469351</v>
          </cell>
          <cell r="F5537" t="str">
            <v>LD240718O-1691A</v>
          </cell>
          <cell r="G5537">
            <v>10</v>
          </cell>
          <cell r="H5537" t="str">
            <v>DNA宏基因组文库</v>
          </cell>
          <cell r="I5537" t="str">
            <v>GZQ</v>
          </cell>
          <cell r="J5537">
            <v>76.8</v>
          </cell>
          <cell r="N5537" t="e">
            <v>#DIV/0!</v>
          </cell>
        </row>
        <row r="5538">
          <cell r="E5538" t="str">
            <v>HGC-Lib-2469352</v>
          </cell>
          <cell r="F5538" t="str">
            <v>LD240718O-1692A</v>
          </cell>
          <cell r="G5538">
            <v>10</v>
          </cell>
          <cell r="H5538" t="str">
            <v>DNA宏基因组文库</v>
          </cell>
          <cell r="I5538" t="str">
            <v>GZQ</v>
          </cell>
          <cell r="J5538">
            <v>28.8</v>
          </cell>
          <cell r="N5538" t="e">
            <v>#DIV/0!</v>
          </cell>
        </row>
        <row r="5539">
          <cell r="E5539" t="str">
            <v>HGC-Lib-2469353</v>
          </cell>
          <cell r="F5539" t="str">
            <v>LD240718O-1693A</v>
          </cell>
          <cell r="G5539">
            <v>10</v>
          </cell>
          <cell r="H5539" t="str">
            <v>DNA宏基因组文库</v>
          </cell>
          <cell r="I5539" t="str">
            <v>GZQ</v>
          </cell>
          <cell r="J5539">
            <v>67.2</v>
          </cell>
          <cell r="N5539" t="e">
            <v>#DIV/0!</v>
          </cell>
        </row>
        <row r="5540">
          <cell r="E5540" t="str">
            <v>HGC-Lib-2469354</v>
          </cell>
          <cell r="F5540" t="str">
            <v>LD240718O-1694A</v>
          </cell>
          <cell r="G5540">
            <v>10</v>
          </cell>
          <cell r="H5540" t="str">
            <v>DNA宏基因组文库</v>
          </cell>
          <cell r="I5540" t="str">
            <v>GZQ</v>
          </cell>
          <cell r="J5540">
            <v>77.599999999999994</v>
          </cell>
          <cell r="N5540" t="e">
            <v>#DIV/0!</v>
          </cell>
        </row>
        <row r="5541">
          <cell r="E5541" t="str">
            <v>HGC-Lib-2469355</v>
          </cell>
          <cell r="F5541" t="str">
            <v>LD240718O-1695A</v>
          </cell>
          <cell r="G5541">
            <v>10</v>
          </cell>
          <cell r="H5541" t="str">
            <v>DNA宏基因组文库</v>
          </cell>
          <cell r="I5541" t="str">
            <v>GZQ</v>
          </cell>
          <cell r="J5541">
            <v>86.4</v>
          </cell>
          <cell r="N5541" t="e">
            <v>#DIV/0!</v>
          </cell>
        </row>
        <row r="5542">
          <cell r="E5542" t="str">
            <v>HGC-Lib-2469356</v>
          </cell>
          <cell r="F5542" t="str">
            <v>LD240718O-1696A</v>
          </cell>
          <cell r="G5542">
            <v>10</v>
          </cell>
          <cell r="H5542" t="str">
            <v>DNA宏基因组文库</v>
          </cell>
          <cell r="I5542" t="str">
            <v>GZQ</v>
          </cell>
          <cell r="J5542">
            <v>87.2</v>
          </cell>
          <cell r="N5542" t="e">
            <v>#DIV/0!</v>
          </cell>
        </row>
        <row r="5543">
          <cell r="E5543" t="str">
            <v>HGC-Lib-2469357</v>
          </cell>
          <cell r="F5543" t="str">
            <v>LD240718O-1697A</v>
          </cell>
          <cell r="G5543">
            <v>10</v>
          </cell>
          <cell r="H5543" t="str">
            <v>DNA宏基因组文库</v>
          </cell>
          <cell r="I5543" t="str">
            <v>GZQ</v>
          </cell>
          <cell r="J5543">
            <v>80.400000000000006</v>
          </cell>
          <cell r="N5543" t="e">
            <v>#DIV/0!</v>
          </cell>
        </row>
        <row r="5544">
          <cell r="E5544" t="str">
            <v>HGC-Lib-2469358</v>
          </cell>
          <cell r="F5544" t="str">
            <v>LD240718O-1698A</v>
          </cell>
          <cell r="G5544">
            <v>10</v>
          </cell>
          <cell r="H5544" t="str">
            <v>DNA宏基因组文库</v>
          </cell>
          <cell r="I5544" t="str">
            <v>GZQ</v>
          </cell>
          <cell r="J5544">
            <v>80</v>
          </cell>
          <cell r="N5544" t="e">
            <v>#DIV/0!</v>
          </cell>
        </row>
        <row r="5545">
          <cell r="E5545" t="str">
            <v>HGC-Lib-2469359</v>
          </cell>
          <cell r="F5545" t="str">
            <v>LD240718O-1699A</v>
          </cell>
          <cell r="G5545">
            <v>10</v>
          </cell>
          <cell r="H5545" t="str">
            <v>DNA宏基因组文库</v>
          </cell>
          <cell r="I5545" t="str">
            <v>GZQ</v>
          </cell>
          <cell r="J5545">
            <v>62.4</v>
          </cell>
          <cell r="N5545" t="e">
            <v>#DIV/0!</v>
          </cell>
        </row>
        <row r="5546">
          <cell r="E5546" t="str">
            <v>HGC-Lib-2469360</v>
          </cell>
          <cell r="F5546" t="str">
            <v>LD240718O-1700A</v>
          </cell>
          <cell r="G5546">
            <v>10</v>
          </cell>
          <cell r="H5546" t="str">
            <v>DNA宏基因组文库</v>
          </cell>
          <cell r="I5546" t="str">
            <v>GZQ</v>
          </cell>
          <cell r="J5546">
            <v>32.1</v>
          </cell>
          <cell r="N5546" t="e">
            <v>#DIV/0!</v>
          </cell>
        </row>
        <row r="5547">
          <cell r="E5547" t="str">
            <v>HGC-Lib-2469361</v>
          </cell>
          <cell r="F5547" t="str">
            <v>LD240718O-1701A</v>
          </cell>
          <cell r="G5547">
            <v>10</v>
          </cell>
          <cell r="H5547" t="str">
            <v>DNA宏基因组文库</v>
          </cell>
          <cell r="I5547" t="str">
            <v>GZQ</v>
          </cell>
          <cell r="J5547">
            <v>89.2</v>
          </cell>
          <cell r="N5547" t="e">
            <v>#DIV/0!</v>
          </cell>
        </row>
        <row r="5548">
          <cell r="E5548" t="str">
            <v>HGC-Lib-2469362</v>
          </cell>
          <cell r="F5548" t="str">
            <v>LD240718O-1702A</v>
          </cell>
          <cell r="G5548">
            <v>10</v>
          </cell>
          <cell r="H5548" t="str">
            <v>DNA宏基因组文库</v>
          </cell>
          <cell r="I5548" t="str">
            <v>GZQ</v>
          </cell>
          <cell r="J5548">
            <v>86.8</v>
          </cell>
          <cell r="N5548" t="e">
            <v>#DIV/0!</v>
          </cell>
        </row>
        <row r="5549">
          <cell r="E5549" t="str">
            <v>HGC-Lib-2469363</v>
          </cell>
          <cell r="F5549" t="str">
            <v>LD240718O-1703A</v>
          </cell>
          <cell r="G5549">
            <v>10</v>
          </cell>
          <cell r="H5549" t="str">
            <v>DNA宏基因组文库</v>
          </cell>
          <cell r="I5549" t="str">
            <v>GZQ</v>
          </cell>
          <cell r="J5549">
            <v>84.6</v>
          </cell>
          <cell r="N5549" t="e">
            <v>#DIV/0!</v>
          </cell>
        </row>
        <row r="5550">
          <cell r="E5550" t="str">
            <v>HGC-Lib-2469364</v>
          </cell>
          <cell r="F5550" t="str">
            <v>LD240718O-1704A</v>
          </cell>
          <cell r="G5550">
            <v>10</v>
          </cell>
          <cell r="H5550" t="str">
            <v>DNA宏基因组文库</v>
          </cell>
          <cell r="I5550" t="str">
            <v>GZQ</v>
          </cell>
          <cell r="J5550">
            <v>79.8</v>
          </cell>
          <cell r="N5550" t="e">
            <v>#DIV/0!</v>
          </cell>
        </row>
        <row r="5551">
          <cell r="E5551" t="str">
            <v>HGC-Lib-2469365</v>
          </cell>
          <cell r="F5551" t="str">
            <v>LD240718O-1705A</v>
          </cell>
          <cell r="G5551">
            <v>10</v>
          </cell>
          <cell r="H5551" t="str">
            <v>DNA宏基因组文库</v>
          </cell>
          <cell r="I5551" t="str">
            <v>GZQ</v>
          </cell>
          <cell r="J5551">
            <v>88.4</v>
          </cell>
          <cell r="N5551" t="e">
            <v>#DIV/0!</v>
          </cell>
        </row>
        <row r="5552">
          <cell r="E5552" t="str">
            <v>HGC-Lib-2469366</v>
          </cell>
          <cell r="F5552" t="str">
            <v>LD240718O-1706A</v>
          </cell>
          <cell r="G5552">
            <v>10</v>
          </cell>
          <cell r="H5552" t="str">
            <v>DNA宏基因组文库</v>
          </cell>
          <cell r="I5552" t="str">
            <v>GZQ</v>
          </cell>
          <cell r="J5552">
            <v>80.8</v>
          </cell>
          <cell r="N5552" t="e">
            <v>#DIV/0!</v>
          </cell>
        </row>
        <row r="5553">
          <cell r="E5553" t="str">
            <v>HGC-Lib-2469367</v>
          </cell>
          <cell r="F5553" t="str">
            <v>LD240718O-1707A</v>
          </cell>
          <cell r="G5553">
            <v>10</v>
          </cell>
          <cell r="H5553" t="str">
            <v>DNA宏基因组文库</v>
          </cell>
          <cell r="I5553" t="str">
            <v>GZQ</v>
          </cell>
          <cell r="J5553">
            <v>77.400000000000006</v>
          </cell>
          <cell r="N5553" t="e">
            <v>#DIV/0!</v>
          </cell>
        </row>
        <row r="5554">
          <cell r="E5554" t="str">
            <v>HGC-Lib-2469368</v>
          </cell>
          <cell r="F5554" t="str">
            <v>LD240718O-1708A</v>
          </cell>
          <cell r="G5554">
            <v>10</v>
          </cell>
          <cell r="H5554" t="str">
            <v>DNA宏基因组文库</v>
          </cell>
          <cell r="I5554" t="str">
            <v>GZQ</v>
          </cell>
          <cell r="J5554">
            <v>79</v>
          </cell>
          <cell r="N5554" t="e">
            <v>#DIV/0!</v>
          </cell>
        </row>
        <row r="5555">
          <cell r="E5555" t="str">
            <v>HGC-Lib-2469369</v>
          </cell>
          <cell r="F5555" t="str">
            <v>LD240718O-1709A</v>
          </cell>
          <cell r="G5555">
            <v>10</v>
          </cell>
          <cell r="H5555" t="str">
            <v>DNA宏基因组文库</v>
          </cell>
          <cell r="I5555" t="str">
            <v>GZQ</v>
          </cell>
          <cell r="J5555">
            <v>70</v>
          </cell>
          <cell r="N5555" t="e">
            <v>#DIV/0!</v>
          </cell>
        </row>
        <row r="5556">
          <cell r="E5556" t="str">
            <v>HGC-Lib-2469370</v>
          </cell>
          <cell r="F5556" t="str">
            <v>LD240718O-1710A</v>
          </cell>
          <cell r="G5556">
            <v>10</v>
          </cell>
          <cell r="H5556" t="str">
            <v>DNA宏基因组文库</v>
          </cell>
          <cell r="I5556" t="str">
            <v>GZQ</v>
          </cell>
          <cell r="J5556">
            <v>79.8</v>
          </cell>
          <cell r="N5556" t="e">
            <v>#DIV/0!</v>
          </cell>
        </row>
        <row r="5557">
          <cell r="E5557" t="str">
            <v>HGC-Lib-2469371</v>
          </cell>
          <cell r="F5557" t="str">
            <v>LD240718O-1711A</v>
          </cell>
          <cell r="G5557">
            <v>10</v>
          </cell>
          <cell r="H5557" t="str">
            <v>DNA宏基因组文库</v>
          </cell>
          <cell r="I5557" t="str">
            <v>GZQ</v>
          </cell>
          <cell r="J5557">
            <v>75</v>
          </cell>
          <cell r="N5557" t="e">
            <v>#DIV/0!</v>
          </cell>
        </row>
        <row r="5558">
          <cell r="E5558" t="str">
            <v>HGC-Lib-2469372</v>
          </cell>
          <cell r="F5558" t="str">
            <v>LD240718O-1712A</v>
          </cell>
          <cell r="G5558">
            <v>10</v>
          </cell>
          <cell r="H5558" t="str">
            <v>DNA宏基因组文库</v>
          </cell>
          <cell r="I5558" t="str">
            <v>GZQ</v>
          </cell>
          <cell r="J5558">
            <v>86.2</v>
          </cell>
          <cell r="N5558" t="e">
            <v>#DIV/0!</v>
          </cell>
        </row>
        <row r="5559">
          <cell r="E5559" t="str">
            <v>HGC-Lib-2469373</v>
          </cell>
          <cell r="F5559" t="str">
            <v>LD240718O-1713A</v>
          </cell>
          <cell r="G5559">
            <v>10</v>
          </cell>
          <cell r="H5559" t="str">
            <v>DNA宏基因组文库</v>
          </cell>
          <cell r="I5559" t="str">
            <v>GZQ</v>
          </cell>
          <cell r="J5559">
            <v>83.6</v>
          </cell>
          <cell r="N5559" t="e">
            <v>#DIV/0!</v>
          </cell>
        </row>
        <row r="5560">
          <cell r="E5560" t="str">
            <v>HGC-Lib-2469374</v>
          </cell>
          <cell r="F5560" t="str">
            <v>LD240718O-1714A</v>
          </cell>
          <cell r="G5560">
            <v>10</v>
          </cell>
          <cell r="H5560" t="str">
            <v>DNA宏基因组文库</v>
          </cell>
          <cell r="I5560" t="str">
            <v>GZQ</v>
          </cell>
          <cell r="J5560">
            <v>71.8</v>
          </cell>
          <cell r="N5560" t="e">
            <v>#DIV/0!</v>
          </cell>
        </row>
        <row r="5561">
          <cell r="E5561" t="str">
            <v>HGC-Lib-2469375</v>
          </cell>
          <cell r="F5561" t="str">
            <v>LD240718O-1715A</v>
          </cell>
          <cell r="G5561">
            <v>10</v>
          </cell>
          <cell r="H5561" t="str">
            <v>DNA宏基因组文库</v>
          </cell>
          <cell r="I5561" t="str">
            <v>GZQ</v>
          </cell>
          <cell r="J5561">
            <v>83.4</v>
          </cell>
          <cell r="N5561" t="e">
            <v>#DIV/0!</v>
          </cell>
        </row>
        <row r="5562">
          <cell r="E5562" t="str">
            <v>HGC-Lib-2469376</v>
          </cell>
          <cell r="F5562" t="str">
            <v>LD240718O-1716A</v>
          </cell>
          <cell r="G5562">
            <v>10</v>
          </cell>
          <cell r="H5562" t="str">
            <v>DNA宏基因组文库</v>
          </cell>
          <cell r="I5562" t="str">
            <v>GZQ</v>
          </cell>
          <cell r="J5562">
            <v>65.2</v>
          </cell>
          <cell r="N5562" t="e">
            <v>#DIV/0!</v>
          </cell>
        </row>
        <row r="5563">
          <cell r="E5563" t="str">
            <v>HGC-Lib-2469377</v>
          </cell>
          <cell r="F5563" t="str">
            <v>LD240718O-1717A</v>
          </cell>
          <cell r="G5563">
            <v>10</v>
          </cell>
          <cell r="H5563" t="str">
            <v>DNA宏基因组文库</v>
          </cell>
          <cell r="I5563" t="str">
            <v>GZQ</v>
          </cell>
          <cell r="J5563">
            <v>71.599999999999994</v>
          </cell>
          <cell r="N5563" t="e">
            <v>#DIV/0!</v>
          </cell>
        </row>
        <row r="5564">
          <cell r="E5564" t="str">
            <v>HGC-Lib-2469378</v>
          </cell>
          <cell r="F5564" t="str">
            <v>LD240718O-1718A</v>
          </cell>
          <cell r="G5564">
            <v>10</v>
          </cell>
          <cell r="H5564" t="str">
            <v>DNA宏基因组文库</v>
          </cell>
          <cell r="I5564" t="str">
            <v>GZQ</v>
          </cell>
          <cell r="J5564">
            <v>65.2</v>
          </cell>
          <cell r="N5564" t="e">
            <v>#DIV/0!</v>
          </cell>
        </row>
        <row r="5565">
          <cell r="E5565" t="str">
            <v>HGC-Lib-2469379</v>
          </cell>
          <cell r="F5565" t="str">
            <v>LD240718O-1719A</v>
          </cell>
          <cell r="G5565">
            <v>10</v>
          </cell>
          <cell r="H5565" t="str">
            <v>DNA宏基因组文库</v>
          </cell>
          <cell r="I5565" t="str">
            <v>GZQ</v>
          </cell>
          <cell r="J5565">
            <v>89.6</v>
          </cell>
          <cell r="N5565" t="e">
            <v>#DIV/0!</v>
          </cell>
        </row>
        <row r="5566">
          <cell r="E5566" t="str">
            <v>HGC-Lib-2469380</v>
          </cell>
          <cell r="F5566" t="str">
            <v>LD240718O-1720A</v>
          </cell>
          <cell r="G5566">
            <v>10</v>
          </cell>
          <cell r="H5566" t="str">
            <v>DNA宏基因组文库</v>
          </cell>
          <cell r="I5566" t="str">
            <v>GZQ</v>
          </cell>
          <cell r="J5566">
            <v>28.4</v>
          </cell>
          <cell r="N5566" t="e">
            <v>#DIV/0!</v>
          </cell>
        </row>
        <row r="5567">
          <cell r="E5567" t="str">
            <v>HGC-Lib-2469381</v>
          </cell>
          <cell r="F5567" t="str">
            <v>LD240718O-1721A</v>
          </cell>
          <cell r="G5567">
            <v>10</v>
          </cell>
          <cell r="H5567" t="str">
            <v>DNA宏基因组文库</v>
          </cell>
          <cell r="I5567" t="str">
            <v>GZQ</v>
          </cell>
          <cell r="J5567">
            <v>85.4</v>
          </cell>
          <cell r="N5567" t="e">
            <v>#DIV/0!</v>
          </cell>
        </row>
        <row r="5568">
          <cell r="E5568" t="str">
            <v>HGC-Lib-2469382</v>
          </cell>
          <cell r="F5568" t="str">
            <v>LD240718O-1722A</v>
          </cell>
          <cell r="G5568">
            <v>10</v>
          </cell>
          <cell r="H5568" t="str">
            <v>DNA宏基因组文库</v>
          </cell>
          <cell r="I5568" t="str">
            <v>GZQ</v>
          </cell>
          <cell r="J5568">
            <v>83.2</v>
          </cell>
          <cell r="N5568" t="e">
            <v>#DIV/0!</v>
          </cell>
        </row>
        <row r="5569">
          <cell r="E5569" t="str">
            <v>HGC-Lib-2469383</v>
          </cell>
          <cell r="F5569" t="str">
            <v>LD240718O-1723A</v>
          </cell>
          <cell r="G5569">
            <v>10</v>
          </cell>
          <cell r="H5569" t="str">
            <v>DNA宏基因组文库</v>
          </cell>
          <cell r="I5569" t="str">
            <v>GZQ</v>
          </cell>
          <cell r="J5569">
            <v>76.599999999999994</v>
          </cell>
          <cell r="N5569" t="e">
            <v>#DIV/0!</v>
          </cell>
        </row>
        <row r="5570">
          <cell r="E5570" t="str">
            <v>HGC-Lib-2469384</v>
          </cell>
          <cell r="F5570" t="str">
            <v>LD240718O-1724A</v>
          </cell>
          <cell r="G5570">
            <v>10</v>
          </cell>
          <cell r="H5570" t="str">
            <v>DNA宏基因组文库</v>
          </cell>
          <cell r="I5570" t="str">
            <v>GZQ</v>
          </cell>
          <cell r="J5570">
            <v>63.4</v>
          </cell>
          <cell r="N5570" t="e">
            <v>#DIV/0!</v>
          </cell>
        </row>
        <row r="5571">
          <cell r="E5571" t="str">
            <v>HGC-Lib-2469385</v>
          </cell>
          <cell r="F5571" t="str">
            <v>LD240718O-1725A</v>
          </cell>
          <cell r="G5571">
            <v>10</v>
          </cell>
          <cell r="H5571" t="str">
            <v>DNA宏基因组文库</v>
          </cell>
          <cell r="I5571" t="str">
            <v>XCL</v>
          </cell>
          <cell r="J5571">
            <v>82.2</v>
          </cell>
          <cell r="N5571" t="e">
            <v>#DIV/0!</v>
          </cell>
        </row>
        <row r="5572">
          <cell r="E5572" t="str">
            <v>HGC-Lib-2469386</v>
          </cell>
          <cell r="F5572" t="str">
            <v>LD240718O-1726A</v>
          </cell>
          <cell r="G5572">
            <v>10</v>
          </cell>
          <cell r="H5572" t="str">
            <v>DNA宏基因组文库</v>
          </cell>
          <cell r="I5572" t="str">
            <v>XCL</v>
          </cell>
          <cell r="J5572">
            <v>75.2</v>
          </cell>
          <cell r="N5572" t="e">
            <v>#DIV/0!</v>
          </cell>
        </row>
        <row r="5573">
          <cell r="E5573" t="str">
            <v>HGC-Lib-2469387</v>
          </cell>
          <cell r="F5573" t="str">
            <v>LD240718O-1727A</v>
          </cell>
          <cell r="G5573">
            <v>10</v>
          </cell>
          <cell r="H5573" t="str">
            <v>DNA宏基因组文库</v>
          </cell>
          <cell r="I5573" t="str">
            <v>XCL</v>
          </cell>
          <cell r="J5573">
            <v>55.8</v>
          </cell>
          <cell r="N5573" t="e">
            <v>#DIV/0!</v>
          </cell>
        </row>
        <row r="5574">
          <cell r="E5574" t="str">
            <v>HGC-Lib-2469388</v>
          </cell>
          <cell r="F5574" t="str">
            <v>LD240718O-1728A</v>
          </cell>
          <cell r="G5574">
            <v>10</v>
          </cell>
          <cell r="H5574" t="str">
            <v>DNA宏基因组文库</v>
          </cell>
          <cell r="I5574" t="str">
            <v>XCL</v>
          </cell>
          <cell r="J5574">
            <v>79.8</v>
          </cell>
          <cell r="N5574" t="e">
            <v>#DIV/0!</v>
          </cell>
        </row>
        <row r="5575">
          <cell r="E5575" t="str">
            <v>HGC-Lib-2469389</v>
          </cell>
          <cell r="F5575" t="str">
            <v>LD240718O-1729A</v>
          </cell>
          <cell r="G5575">
            <v>10</v>
          </cell>
          <cell r="H5575" t="str">
            <v>DNA宏基因组文库</v>
          </cell>
          <cell r="I5575" t="str">
            <v>XCL</v>
          </cell>
          <cell r="J5575">
            <v>76</v>
          </cell>
          <cell r="N5575" t="e">
            <v>#DIV/0!</v>
          </cell>
        </row>
        <row r="5576">
          <cell r="E5576" t="str">
            <v>HGC-Lib-2469390</v>
          </cell>
          <cell r="F5576" t="str">
            <v>LD240718O-1730A</v>
          </cell>
          <cell r="G5576">
            <v>10</v>
          </cell>
          <cell r="H5576" t="str">
            <v>DNA宏基因组文库</v>
          </cell>
          <cell r="I5576" t="str">
            <v>XCL</v>
          </cell>
          <cell r="J5576">
            <v>83.6</v>
          </cell>
          <cell r="N5576" t="e">
            <v>#DIV/0!</v>
          </cell>
        </row>
        <row r="5577">
          <cell r="E5577" t="str">
            <v>HGC-Lib-2469391</v>
          </cell>
          <cell r="F5577" t="str">
            <v>LD240718O-1731A</v>
          </cell>
          <cell r="G5577">
            <v>10</v>
          </cell>
          <cell r="H5577" t="str">
            <v>DNA宏基因组文库</v>
          </cell>
          <cell r="I5577" t="str">
            <v>XCL</v>
          </cell>
          <cell r="J5577">
            <v>38</v>
          </cell>
          <cell r="N5577" t="e">
            <v>#DIV/0!</v>
          </cell>
        </row>
        <row r="5578">
          <cell r="E5578" t="str">
            <v>HGC-Lib-2469392</v>
          </cell>
          <cell r="F5578" t="str">
            <v>LD240718O-1732A</v>
          </cell>
          <cell r="G5578">
            <v>10</v>
          </cell>
          <cell r="H5578" t="str">
            <v>DNA宏基因组文库</v>
          </cell>
          <cell r="I5578" t="str">
            <v>XCL</v>
          </cell>
          <cell r="J5578">
            <v>81.599999999999994</v>
          </cell>
          <cell r="N5578" t="e">
            <v>#DIV/0!</v>
          </cell>
        </row>
        <row r="5579">
          <cell r="E5579" t="str">
            <v>HGC-Lib-2469393</v>
          </cell>
          <cell r="F5579" t="str">
            <v>LD240718O-1733A</v>
          </cell>
          <cell r="G5579">
            <v>10</v>
          </cell>
          <cell r="H5579" t="str">
            <v>DNA宏基因组文库</v>
          </cell>
          <cell r="I5579" t="str">
            <v>XCL</v>
          </cell>
          <cell r="J5579">
            <v>86</v>
          </cell>
          <cell r="N5579" t="e">
            <v>#DIV/0!</v>
          </cell>
        </row>
        <row r="5580">
          <cell r="E5580" t="str">
            <v>HGC-Lib-2469394</v>
          </cell>
          <cell r="F5580" t="str">
            <v>LD240718O-1734A</v>
          </cell>
          <cell r="G5580">
            <v>10</v>
          </cell>
          <cell r="H5580" t="str">
            <v>DNA宏基因组文库</v>
          </cell>
          <cell r="I5580" t="str">
            <v>XCL</v>
          </cell>
          <cell r="J5580">
            <v>91.6</v>
          </cell>
          <cell r="N5580" t="e">
            <v>#DIV/0!</v>
          </cell>
        </row>
        <row r="5581">
          <cell r="E5581" t="str">
            <v>HGC-Lib-2469395</v>
          </cell>
          <cell r="F5581" t="str">
            <v>LD240718O-1735A</v>
          </cell>
          <cell r="G5581">
            <v>10</v>
          </cell>
          <cell r="H5581" t="str">
            <v>DNA宏基因组文库</v>
          </cell>
          <cell r="I5581" t="str">
            <v>XCL</v>
          </cell>
          <cell r="J5581">
            <v>76.400000000000006</v>
          </cell>
          <cell r="N5581" t="e">
            <v>#DIV/0!</v>
          </cell>
        </row>
        <row r="5582">
          <cell r="E5582" t="str">
            <v>HGC-Lib-2469396</v>
          </cell>
          <cell r="F5582" t="str">
            <v>LD240718O-1736A</v>
          </cell>
          <cell r="G5582">
            <v>10</v>
          </cell>
          <cell r="H5582" t="str">
            <v>DNA宏基因组文库</v>
          </cell>
          <cell r="I5582" t="str">
            <v>XCL</v>
          </cell>
          <cell r="J5582">
            <v>89.2</v>
          </cell>
          <cell r="N5582" t="e">
            <v>#DIV/0!</v>
          </cell>
        </row>
        <row r="5583">
          <cell r="E5583" t="str">
            <v>HGC-Lib-2469397</v>
          </cell>
          <cell r="F5583" t="str">
            <v>LD240718O-1737A</v>
          </cell>
          <cell r="G5583">
            <v>10</v>
          </cell>
          <cell r="H5583" t="str">
            <v>DNA宏基因组文库</v>
          </cell>
          <cell r="I5583" t="str">
            <v>XCL</v>
          </cell>
          <cell r="J5583">
            <v>73.599999999999994</v>
          </cell>
          <cell r="N5583" t="e">
            <v>#DIV/0!</v>
          </cell>
        </row>
        <row r="5584">
          <cell r="E5584" t="str">
            <v>HGC-Lib-2469398</v>
          </cell>
          <cell r="F5584" t="str">
            <v>LD240718O-1738A</v>
          </cell>
          <cell r="G5584">
            <v>10</v>
          </cell>
          <cell r="H5584" t="str">
            <v>DNA宏基因组文库</v>
          </cell>
          <cell r="I5584" t="str">
            <v>XCL</v>
          </cell>
          <cell r="J5584">
            <v>82.8</v>
          </cell>
          <cell r="N5584" t="e">
            <v>#DIV/0!</v>
          </cell>
        </row>
        <row r="5585">
          <cell r="E5585" t="str">
            <v>HGC-Lib-2469399</v>
          </cell>
          <cell r="F5585" t="str">
            <v>LD240718O-1739A</v>
          </cell>
          <cell r="G5585">
            <v>10</v>
          </cell>
          <cell r="H5585" t="str">
            <v>DNA宏基因组文库</v>
          </cell>
          <cell r="I5585" t="str">
            <v>XCL</v>
          </cell>
          <cell r="J5585">
            <v>76.599999999999994</v>
          </cell>
          <cell r="N5585" t="e">
            <v>#DIV/0!</v>
          </cell>
        </row>
        <row r="5586">
          <cell r="E5586" t="str">
            <v>HGC-Lib-2469400</v>
          </cell>
          <cell r="F5586" t="str">
            <v>LD240718O-1740A</v>
          </cell>
          <cell r="G5586">
            <v>10</v>
          </cell>
          <cell r="H5586" t="str">
            <v>DNA宏基因组文库</v>
          </cell>
          <cell r="I5586" t="str">
            <v>XCL</v>
          </cell>
          <cell r="J5586">
            <v>108</v>
          </cell>
          <cell r="N5586" t="e">
            <v>#DIV/0!</v>
          </cell>
        </row>
        <row r="5587">
          <cell r="E5587" t="str">
            <v>HGC-Lib-2469401</v>
          </cell>
          <cell r="F5587" t="str">
            <v>LD240718O-1741A</v>
          </cell>
          <cell r="G5587">
            <v>10</v>
          </cell>
          <cell r="H5587" t="str">
            <v>DNA宏基因组文库</v>
          </cell>
          <cell r="I5587" t="str">
            <v>XCL</v>
          </cell>
          <cell r="J5587">
            <v>76.599999999999994</v>
          </cell>
          <cell r="N5587" t="e">
            <v>#DIV/0!</v>
          </cell>
        </row>
        <row r="5588">
          <cell r="E5588" t="str">
            <v>HGC-Lib-2469402</v>
          </cell>
          <cell r="F5588" t="str">
            <v>LD240718O-1742A</v>
          </cell>
          <cell r="G5588">
            <v>10</v>
          </cell>
          <cell r="H5588" t="str">
            <v>DNA宏基因组文库</v>
          </cell>
          <cell r="I5588" t="str">
            <v>XCL</v>
          </cell>
          <cell r="J5588">
            <v>80.599999999999994</v>
          </cell>
          <cell r="N5588" t="e">
            <v>#DIV/0!</v>
          </cell>
        </row>
        <row r="5589">
          <cell r="E5589" t="str">
            <v>HGC-Lib-2469403</v>
          </cell>
          <cell r="F5589" t="str">
            <v>LD240718O-1743A</v>
          </cell>
          <cell r="G5589">
            <v>10</v>
          </cell>
          <cell r="H5589" t="str">
            <v>DNA宏基因组文库</v>
          </cell>
          <cell r="I5589" t="str">
            <v>XCL</v>
          </cell>
          <cell r="J5589">
            <v>84.4</v>
          </cell>
          <cell r="N5589" t="e">
            <v>#DIV/0!</v>
          </cell>
        </row>
        <row r="5590">
          <cell r="E5590" t="str">
            <v>HGC-Lib-2469404</v>
          </cell>
          <cell r="F5590" t="str">
            <v>LD240718O-1744A</v>
          </cell>
          <cell r="G5590">
            <v>10</v>
          </cell>
          <cell r="H5590" t="str">
            <v>DNA宏基因组文库</v>
          </cell>
          <cell r="I5590" t="str">
            <v>XCL</v>
          </cell>
          <cell r="J5590">
            <v>84.6</v>
          </cell>
          <cell r="N5590" t="e">
            <v>#DIV/0!</v>
          </cell>
        </row>
        <row r="5591">
          <cell r="E5591" t="str">
            <v>HGC-Lib-2469405</v>
          </cell>
          <cell r="F5591" t="str">
            <v>LD240718O-1745A</v>
          </cell>
          <cell r="G5591">
            <v>10</v>
          </cell>
          <cell r="H5591" t="str">
            <v>DNA宏基因组文库</v>
          </cell>
          <cell r="I5591" t="str">
            <v>XCL</v>
          </cell>
          <cell r="J5591">
            <v>77.2</v>
          </cell>
          <cell r="N5591" t="e">
            <v>#DIV/0!</v>
          </cell>
        </row>
        <row r="5592">
          <cell r="E5592" t="str">
            <v>HGC-Lib-2469406</v>
          </cell>
          <cell r="F5592" t="str">
            <v>LD240718O-1746A</v>
          </cell>
          <cell r="G5592">
            <v>10</v>
          </cell>
          <cell r="H5592" t="str">
            <v>DNA宏基因组文库</v>
          </cell>
          <cell r="I5592" t="str">
            <v>XCL</v>
          </cell>
          <cell r="J5592">
            <v>67</v>
          </cell>
          <cell r="N5592" t="e">
            <v>#DIV/0!</v>
          </cell>
        </row>
        <row r="5593">
          <cell r="E5593" t="str">
            <v>HGC-Lib-2469407</v>
          </cell>
          <cell r="F5593" t="str">
            <v>LD240718O-1747A</v>
          </cell>
          <cell r="G5593">
            <v>10</v>
          </cell>
          <cell r="H5593" t="str">
            <v>DNA宏基因组文库</v>
          </cell>
          <cell r="I5593" t="str">
            <v>XCL</v>
          </cell>
          <cell r="J5593">
            <v>79.400000000000006</v>
          </cell>
          <cell r="N5593" t="e">
            <v>#DIV/0!</v>
          </cell>
        </row>
        <row r="5594">
          <cell r="E5594" t="str">
            <v>HGC-Lib-2469408</v>
          </cell>
          <cell r="F5594" t="str">
            <v>LD240718O-1748A</v>
          </cell>
          <cell r="G5594">
            <v>10</v>
          </cell>
          <cell r="H5594" t="str">
            <v>DNA宏基因组文库</v>
          </cell>
          <cell r="I5594" t="str">
            <v>XCL</v>
          </cell>
          <cell r="J5594">
            <v>77</v>
          </cell>
          <cell r="N5594" t="e">
            <v>#DIV/0!</v>
          </cell>
        </row>
        <row r="5595">
          <cell r="E5595" t="str">
            <v>HGC-Lib-2469409</v>
          </cell>
          <cell r="F5595" t="str">
            <v>LD240718O-1749A</v>
          </cell>
          <cell r="G5595">
            <v>10</v>
          </cell>
          <cell r="H5595" t="str">
            <v>DNA宏基因组文库</v>
          </cell>
          <cell r="I5595" t="str">
            <v>XCL</v>
          </cell>
          <cell r="J5595">
            <v>71.2</v>
          </cell>
          <cell r="N5595" t="e">
            <v>#DIV/0!</v>
          </cell>
        </row>
        <row r="5596">
          <cell r="E5596" t="str">
            <v>HGC-Lib-2469410</v>
          </cell>
          <cell r="F5596" t="str">
            <v>LD240718O-1750A</v>
          </cell>
          <cell r="G5596">
            <v>10</v>
          </cell>
          <cell r="H5596" t="str">
            <v>DNA宏基因组文库</v>
          </cell>
          <cell r="I5596" t="str">
            <v>XCL</v>
          </cell>
          <cell r="J5596">
            <v>78</v>
          </cell>
          <cell r="N5596" t="e">
            <v>#DIV/0!</v>
          </cell>
        </row>
        <row r="5597">
          <cell r="E5597" t="str">
            <v>HGC-Lib-2469411</v>
          </cell>
          <cell r="F5597" t="str">
            <v>LD240718O-1751A</v>
          </cell>
          <cell r="G5597">
            <v>10</v>
          </cell>
          <cell r="H5597" t="str">
            <v>DNA宏基因组文库</v>
          </cell>
          <cell r="I5597" t="str">
            <v>XCL</v>
          </cell>
          <cell r="J5597">
            <v>76.400000000000006</v>
          </cell>
          <cell r="N5597" t="e">
            <v>#DIV/0!</v>
          </cell>
        </row>
        <row r="5598">
          <cell r="E5598" t="str">
            <v>HGC-Lib-2469412</v>
          </cell>
          <cell r="F5598" t="str">
            <v>LD240718O-1752A</v>
          </cell>
          <cell r="G5598">
            <v>10</v>
          </cell>
          <cell r="H5598" t="str">
            <v>DNA宏基因组文库</v>
          </cell>
          <cell r="I5598" t="str">
            <v>XCL</v>
          </cell>
          <cell r="J5598">
            <v>75.400000000000006</v>
          </cell>
          <cell r="N5598" t="e">
            <v>#DIV/0!</v>
          </cell>
        </row>
        <row r="5599">
          <cell r="E5599" t="str">
            <v>HGC-Lib-2469413</v>
          </cell>
          <cell r="F5599" t="str">
            <v>LD240718O-1753A</v>
          </cell>
          <cell r="G5599">
            <v>10</v>
          </cell>
          <cell r="H5599" t="str">
            <v>DNA宏基因组文库</v>
          </cell>
          <cell r="I5599" t="str">
            <v>XCL</v>
          </cell>
          <cell r="J5599">
            <v>76</v>
          </cell>
          <cell r="N5599" t="e">
            <v>#DIV/0!</v>
          </cell>
        </row>
        <row r="5600">
          <cell r="E5600" t="str">
            <v>HGC-Lib-2469414</v>
          </cell>
          <cell r="F5600" t="str">
            <v>LD240718O-1754A</v>
          </cell>
          <cell r="G5600">
            <v>10</v>
          </cell>
          <cell r="H5600" t="str">
            <v>DNA宏基因组文库</v>
          </cell>
          <cell r="I5600" t="str">
            <v>XCL</v>
          </cell>
          <cell r="J5600">
            <v>87.8</v>
          </cell>
          <cell r="N5600" t="e">
            <v>#DIV/0!</v>
          </cell>
        </row>
        <row r="5601">
          <cell r="E5601" t="str">
            <v>HGC-Lib-2469415</v>
          </cell>
          <cell r="F5601" t="str">
            <v>LD240718O-1755A</v>
          </cell>
          <cell r="G5601">
            <v>10</v>
          </cell>
          <cell r="H5601" t="str">
            <v>DNA宏基因组文库</v>
          </cell>
          <cell r="I5601" t="str">
            <v>XCL</v>
          </cell>
          <cell r="J5601">
            <v>78</v>
          </cell>
          <cell r="N5601" t="e">
            <v>#DIV/0!</v>
          </cell>
        </row>
        <row r="5602">
          <cell r="E5602" t="str">
            <v>HGC-Lib-2469416</v>
          </cell>
          <cell r="F5602" t="str">
            <v>LD240718O-1756A</v>
          </cell>
          <cell r="G5602">
            <v>10</v>
          </cell>
          <cell r="H5602" t="str">
            <v>DNA宏基因组文库</v>
          </cell>
          <cell r="I5602" t="str">
            <v>XCL</v>
          </cell>
          <cell r="J5602">
            <v>76.599999999999994</v>
          </cell>
          <cell r="N5602" t="e">
            <v>#DIV/0!</v>
          </cell>
        </row>
        <row r="5603">
          <cell r="E5603" t="str">
            <v>HGC-Lib-2469417</v>
          </cell>
          <cell r="F5603" t="str">
            <v>LD240718O-1757A</v>
          </cell>
          <cell r="G5603">
            <v>10</v>
          </cell>
          <cell r="H5603" t="str">
            <v>DNA宏基因组文库</v>
          </cell>
          <cell r="I5603" t="str">
            <v>XCL</v>
          </cell>
          <cell r="J5603">
            <v>78.8</v>
          </cell>
          <cell r="N5603" t="e">
            <v>#DIV/0!</v>
          </cell>
        </row>
        <row r="5604">
          <cell r="E5604" t="str">
            <v>HGC-Lib-2469418</v>
          </cell>
          <cell r="F5604" t="str">
            <v>LD240718O-1758A</v>
          </cell>
          <cell r="G5604">
            <v>10</v>
          </cell>
          <cell r="H5604" t="str">
            <v>DNA宏基因组文库</v>
          </cell>
          <cell r="I5604" t="str">
            <v>XCL</v>
          </cell>
          <cell r="J5604">
            <v>73.8</v>
          </cell>
          <cell r="N5604" t="e">
            <v>#DIV/0!</v>
          </cell>
        </row>
        <row r="5605">
          <cell r="E5605" t="str">
            <v>HGC-Lib-2469419</v>
          </cell>
          <cell r="F5605" t="str">
            <v>LD240718O-1759A</v>
          </cell>
          <cell r="G5605">
            <v>10</v>
          </cell>
          <cell r="H5605" t="str">
            <v>DNA宏基因组文库</v>
          </cell>
          <cell r="I5605" t="str">
            <v>XCL</v>
          </cell>
          <cell r="J5605">
            <v>79.8</v>
          </cell>
          <cell r="N5605" t="e">
            <v>#DIV/0!</v>
          </cell>
        </row>
        <row r="5606">
          <cell r="E5606" t="str">
            <v>HGC-Lib-2469420</v>
          </cell>
          <cell r="F5606" t="str">
            <v>LD240718O-1760A</v>
          </cell>
          <cell r="G5606">
            <v>10</v>
          </cell>
          <cell r="H5606" t="str">
            <v>DNA宏基因组文库</v>
          </cell>
          <cell r="I5606" t="str">
            <v>XCL</v>
          </cell>
          <cell r="J5606">
            <v>86.8</v>
          </cell>
          <cell r="N5606" t="e">
            <v>#DIV/0!</v>
          </cell>
        </row>
        <row r="5607">
          <cell r="E5607" t="str">
            <v>HGC-Lib-2469421</v>
          </cell>
          <cell r="F5607" t="str">
            <v>LD240718O-1761A</v>
          </cell>
          <cell r="G5607">
            <v>10</v>
          </cell>
          <cell r="H5607" t="str">
            <v>DNA宏基因组文库</v>
          </cell>
          <cell r="I5607" t="str">
            <v>XCL</v>
          </cell>
          <cell r="J5607">
            <v>79.2</v>
          </cell>
          <cell r="N5607" t="e">
            <v>#DIV/0!</v>
          </cell>
        </row>
        <row r="5608">
          <cell r="E5608" t="str">
            <v>HGC-Lib-2469422</v>
          </cell>
          <cell r="F5608" t="str">
            <v>LD240718O-1762A</v>
          </cell>
          <cell r="G5608">
            <v>10</v>
          </cell>
          <cell r="H5608" t="str">
            <v>DNA宏基因组文库</v>
          </cell>
          <cell r="I5608" t="str">
            <v>XCL</v>
          </cell>
          <cell r="J5608">
            <v>75.400000000000006</v>
          </cell>
          <cell r="N5608" t="e">
            <v>#DIV/0!</v>
          </cell>
        </row>
        <row r="5609">
          <cell r="E5609" t="str">
            <v>HGC-Lib-2469423</v>
          </cell>
          <cell r="F5609" t="str">
            <v>LD240718O-1763A</v>
          </cell>
          <cell r="G5609">
            <v>10</v>
          </cell>
          <cell r="H5609" t="str">
            <v>DNA宏基因组文库</v>
          </cell>
          <cell r="I5609" t="str">
            <v>XCL</v>
          </cell>
          <cell r="J5609">
            <v>81</v>
          </cell>
          <cell r="N5609" t="e">
            <v>#DIV/0!</v>
          </cell>
        </row>
        <row r="5610">
          <cell r="E5610" t="str">
            <v>HGC-Lib-2469424</v>
          </cell>
          <cell r="F5610" t="str">
            <v>LD240718O-1764A</v>
          </cell>
          <cell r="G5610">
            <v>10</v>
          </cell>
          <cell r="H5610" t="str">
            <v>DNA宏基因组文库</v>
          </cell>
          <cell r="I5610" t="str">
            <v>XCL</v>
          </cell>
          <cell r="J5610">
            <v>74.2</v>
          </cell>
          <cell r="N5610" t="e">
            <v>#DIV/0!</v>
          </cell>
        </row>
        <row r="5611">
          <cell r="E5611" t="str">
            <v>HGC-Lib-2469425</v>
          </cell>
          <cell r="F5611" t="str">
            <v>LD240718O-1765A</v>
          </cell>
          <cell r="G5611">
            <v>10</v>
          </cell>
          <cell r="H5611" t="str">
            <v>DNA宏基因组文库</v>
          </cell>
          <cell r="I5611" t="str">
            <v>XCL</v>
          </cell>
          <cell r="J5611">
            <v>82.4</v>
          </cell>
          <cell r="N5611" t="e">
            <v>#DIV/0!</v>
          </cell>
        </row>
        <row r="5612">
          <cell r="E5612" t="str">
            <v>HGC-Lib-2469426</v>
          </cell>
          <cell r="F5612" t="str">
            <v>LD240718O-1766A</v>
          </cell>
          <cell r="G5612">
            <v>10</v>
          </cell>
          <cell r="H5612" t="str">
            <v>DNA宏基因组文库</v>
          </cell>
          <cell r="I5612" t="str">
            <v>XCL</v>
          </cell>
          <cell r="J5612">
            <v>87</v>
          </cell>
          <cell r="N5612" t="e">
            <v>#DIV/0!</v>
          </cell>
        </row>
        <row r="5613">
          <cell r="E5613" t="str">
            <v>HGC-Lib-2469427</v>
          </cell>
          <cell r="F5613" t="str">
            <v>LD240718O-1767A</v>
          </cell>
          <cell r="G5613">
            <v>10</v>
          </cell>
          <cell r="H5613" t="str">
            <v>DNA宏基因组文库</v>
          </cell>
          <cell r="I5613" t="str">
            <v>XCL</v>
          </cell>
          <cell r="J5613">
            <v>59</v>
          </cell>
          <cell r="N5613" t="e">
            <v>#DIV/0!</v>
          </cell>
        </row>
        <row r="5614">
          <cell r="E5614" t="str">
            <v>HGC-Lib-2469428</v>
          </cell>
          <cell r="F5614" t="str">
            <v>LD240718O-1768A</v>
          </cell>
          <cell r="G5614">
            <v>10</v>
          </cell>
          <cell r="H5614" t="str">
            <v>DNA宏基因组文库</v>
          </cell>
          <cell r="I5614" t="str">
            <v>XCL</v>
          </cell>
          <cell r="J5614">
            <v>75.8</v>
          </cell>
          <cell r="N5614" t="e">
            <v>#DIV/0!</v>
          </cell>
        </row>
        <row r="5615">
          <cell r="E5615" t="str">
            <v>HGC-Lib-2469429</v>
          </cell>
          <cell r="F5615" t="str">
            <v>LD240718O-1769A</v>
          </cell>
          <cell r="G5615">
            <v>10</v>
          </cell>
          <cell r="H5615" t="str">
            <v>DNA宏基因组文库</v>
          </cell>
          <cell r="I5615" t="str">
            <v>XCL</v>
          </cell>
          <cell r="J5615">
            <v>84.4</v>
          </cell>
          <cell r="N5615" t="e">
            <v>#DIV/0!</v>
          </cell>
        </row>
        <row r="5616">
          <cell r="E5616" t="str">
            <v>HGC-Lib-2469430</v>
          </cell>
          <cell r="F5616" t="str">
            <v>LD240718O-1770A</v>
          </cell>
          <cell r="G5616">
            <v>10</v>
          </cell>
          <cell r="H5616" t="str">
            <v>DNA宏基因组文库</v>
          </cell>
          <cell r="I5616" t="str">
            <v>XCL</v>
          </cell>
          <cell r="J5616">
            <v>84.2</v>
          </cell>
          <cell r="N5616" t="e">
            <v>#DIV/0!</v>
          </cell>
        </row>
        <row r="5617">
          <cell r="E5617" t="str">
            <v>HGC-Lib-2469431</v>
          </cell>
          <cell r="F5617" t="str">
            <v>LD240718O-1771A</v>
          </cell>
          <cell r="G5617">
            <v>10</v>
          </cell>
          <cell r="H5617" t="str">
            <v>DNA宏基因组文库</v>
          </cell>
          <cell r="I5617" t="str">
            <v>XCL</v>
          </cell>
          <cell r="J5617">
            <v>80</v>
          </cell>
          <cell r="N5617" t="e">
            <v>#DIV/0!</v>
          </cell>
        </row>
        <row r="5618">
          <cell r="E5618" t="str">
            <v>HGC-Lib-2469432</v>
          </cell>
          <cell r="F5618" t="str">
            <v>LD240718O-1772A</v>
          </cell>
          <cell r="G5618">
            <v>10</v>
          </cell>
          <cell r="H5618" t="str">
            <v>DNA宏基因组文库</v>
          </cell>
          <cell r="I5618" t="str">
            <v>XCL</v>
          </cell>
          <cell r="J5618">
            <v>79.2</v>
          </cell>
          <cell r="N5618" t="e">
            <v>#DIV/0!</v>
          </cell>
        </row>
        <row r="5619">
          <cell r="E5619" t="str">
            <v>HGC-Lib-2469433</v>
          </cell>
          <cell r="F5619" t="str">
            <v>LD240718O-1773A</v>
          </cell>
          <cell r="G5619">
            <v>10</v>
          </cell>
          <cell r="H5619" t="str">
            <v>DNA宏基因组文库</v>
          </cell>
          <cell r="I5619" t="str">
            <v>WWH</v>
          </cell>
          <cell r="J5619">
            <v>72</v>
          </cell>
          <cell r="N5619" t="e">
            <v>#DIV/0!</v>
          </cell>
        </row>
        <row r="5620">
          <cell r="E5620" t="str">
            <v>HGC-Lib-2469434</v>
          </cell>
          <cell r="F5620" t="str">
            <v>LD240718O-1774A</v>
          </cell>
          <cell r="G5620">
            <v>10</v>
          </cell>
          <cell r="H5620" t="str">
            <v>DNA宏基因组文库</v>
          </cell>
          <cell r="I5620" t="str">
            <v>WWH</v>
          </cell>
          <cell r="J5620">
            <v>52.6</v>
          </cell>
          <cell r="N5620" t="e">
            <v>#DIV/0!</v>
          </cell>
        </row>
        <row r="5621">
          <cell r="E5621" t="str">
            <v>HGC-Lib-2469435</v>
          </cell>
          <cell r="F5621" t="str">
            <v>LD240718O-1775A</v>
          </cell>
          <cell r="G5621">
            <v>10</v>
          </cell>
          <cell r="H5621" t="str">
            <v>DNA宏基因组文库</v>
          </cell>
          <cell r="I5621" t="str">
            <v>WWH</v>
          </cell>
          <cell r="J5621">
            <v>41.4</v>
          </cell>
          <cell r="N5621" t="e">
            <v>#DIV/0!</v>
          </cell>
        </row>
        <row r="5622">
          <cell r="E5622" t="str">
            <v>HGC-Lib-2469436</v>
          </cell>
          <cell r="F5622" t="str">
            <v>LD240718O-1776A</v>
          </cell>
          <cell r="G5622">
            <v>10</v>
          </cell>
          <cell r="H5622" t="str">
            <v>DNA宏基因组文库</v>
          </cell>
          <cell r="I5622" t="str">
            <v>WWH</v>
          </cell>
          <cell r="J5622">
            <v>72.2</v>
          </cell>
          <cell r="N5622" t="e">
            <v>#DIV/0!</v>
          </cell>
        </row>
        <row r="5623">
          <cell r="E5623" t="str">
            <v>HGC-Lib-2469437</v>
          </cell>
          <cell r="F5623" t="str">
            <v>LD240718O-1777A</v>
          </cell>
          <cell r="G5623">
            <v>10</v>
          </cell>
          <cell r="H5623" t="str">
            <v>DNA宏基因组文库</v>
          </cell>
          <cell r="I5623" t="str">
            <v>WWH</v>
          </cell>
          <cell r="J5623">
            <v>76.599999999999994</v>
          </cell>
          <cell r="N5623" t="e">
            <v>#DIV/0!</v>
          </cell>
        </row>
        <row r="5624">
          <cell r="E5624" t="str">
            <v>HGC-Lib-2469438</v>
          </cell>
          <cell r="F5624" t="str">
            <v>LD240718O-1778A</v>
          </cell>
          <cell r="G5624">
            <v>10</v>
          </cell>
          <cell r="H5624" t="str">
            <v>DNA宏基因组文库</v>
          </cell>
          <cell r="I5624" t="str">
            <v>WWH</v>
          </cell>
          <cell r="J5624">
            <v>74.8</v>
          </cell>
          <cell r="N5624" t="e">
            <v>#DIV/0!</v>
          </cell>
        </row>
        <row r="5625">
          <cell r="E5625" t="str">
            <v>HGC-Lib-2469439</v>
          </cell>
          <cell r="F5625" t="str">
            <v>LD240718O-1779A</v>
          </cell>
          <cell r="G5625">
            <v>10</v>
          </cell>
          <cell r="H5625" t="str">
            <v>DNA宏基因组文库</v>
          </cell>
          <cell r="I5625" t="str">
            <v>WWH</v>
          </cell>
          <cell r="J5625">
            <v>76.599999999999994</v>
          </cell>
          <cell r="N5625" t="e">
            <v>#DIV/0!</v>
          </cell>
        </row>
        <row r="5626">
          <cell r="E5626" t="str">
            <v>HGC-Lib-2469440</v>
          </cell>
          <cell r="F5626" t="str">
            <v>LD240718O-1780A</v>
          </cell>
          <cell r="G5626">
            <v>10</v>
          </cell>
          <cell r="H5626" t="str">
            <v>DNA宏基因组文库</v>
          </cell>
          <cell r="I5626" t="str">
            <v>WWH</v>
          </cell>
          <cell r="J5626">
            <v>78.400000000000006</v>
          </cell>
          <cell r="N5626" t="e">
            <v>#DIV/0!</v>
          </cell>
        </row>
        <row r="5627">
          <cell r="E5627" t="str">
            <v>HGC-Lib-2469441</v>
          </cell>
          <cell r="F5627" t="str">
            <v>LD240718O-1781A</v>
          </cell>
          <cell r="G5627">
            <v>10</v>
          </cell>
          <cell r="H5627" t="str">
            <v>DNA宏基因组文库</v>
          </cell>
          <cell r="I5627" t="str">
            <v>WWH</v>
          </cell>
          <cell r="J5627">
            <v>34</v>
          </cell>
          <cell r="N5627" t="e">
            <v>#DIV/0!</v>
          </cell>
        </row>
        <row r="5628">
          <cell r="E5628" t="str">
            <v>HGC-Lib-2469442</v>
          </cell>
          <cell r="F5628" t="str">
            <v>LD240718O-1782A</v>
          </cell>
          <cell r="G5628">
            <v>10</v>
          </cell>
          <cell r="H5628" t="str">
            <v>DNA宏基因组文库</v>
          </cell>
          <cell r="I5628" t="str">
            <v>WWH</v>
          </cell>
          <cell r="J5628">
            <v>64.8</v>
          </cell>
          <cell r="N5628" t="e">
            <v>#DIV/0!</v>
          </cell>
        </row>
        <row r="5629">
          <cell r="E5629" t="str">
            <v>HGC-Lib-2469443</v>
          </cell>
          <cell r="F5629" t="str">
            <v>LD240718O-1783A</v>
          </cell>
          <cell r="G5629">
            <v>10</v>
          </cell>
          <cell r="H5629" t="str">
            <v>DNA宏基因组文库</v>
          </cell>
          <cell r="I5629" t="str">
            <v>WWH</v>
          </cell>
          <cell r="J5629">
            <v>20.8</v>
          </cell>
          <cell r="N5629" t="e">
            <v>#DIV/0!</v>
          </cell>
        </row>
        <row r="5630">
          <cell r="E5630" t="str">
            <v>HGC-Lib-2469444</v>
          </cell>
          <cell r="F5630" t="str">
            <v>LD240718O-1784A</v>
          </cell>
          <cell r="G5630">
            <v>10</v>
          </cell>
          <cell r="H5630" t="str">
            <v>DNA宏基因组文库</v>
          </cell>
          <cell r="I5630" t="str">
            <v>WWH</v>
          </cell>
          <cell r="J5630">
            <v>20.8</v>
          </cell>
          <cell r="N5630" t="e">
            <v>#DIV/0!</v>
          </cell>
        </row>
        <row r="5631">
          <cell r="E5631" t="str">
            <v>HGC-Lib-2469445</v>
          </cell>
          <cell r="F5631" t="str">
            <v>LD240718O-1785A</v>
          </cell>
          <cell r="G5631">
            <v>10</v>
          </cell>
          <cell r="H5631" t="str">
            <v>DNA宏基因组文库</v>
          </cell>
          <cell r="I5631" t="str">
            <v>WWH</v>
          </cell>
          <cell r="J5631">
            <v>22.8</v>
          </cell>
          <cell r="N5631" t="e">
            <v>#DIV/0!</v>
          </cell>
        </row>
        <row r="5632">
          <cell r="E5632" t="str">
            <v>HGC-Lib-2469446</v>
          </cell>
          <cell r="F5632" t="str">
            <v>LD240718O-1786A</v>
          </cell>
          <cell r="G5632">
            <v>10</v>
          </cell>
          <cell r="H5632" t="str">
            <v>DNA宏基因组文库</v>
          </cell>
          <cell r="I5632" t="str">
            <v>WWH</v>
          </cell>
          <cell r="J5632">
            <v>78.2</v>
          </cell>
          <cell r="N5632" t="e">
            <v>#DIV/0!</v>
          </cell>
        </row>
        <row r="5633">
          <cell r="E5633" t="str">
            <v>HGC-Lib-2469447</v>
          </cell>
          <cell r="F5633" t="str">
            <v>LD240718O-1787A</v>
          </cell>
          <cell r="G5633">
            <v>10</v>
          </cell>
          <cell r="H5633" t="str">
            <v>DNA宏基因组文库</v>
          </cell>
          <cell r="I5633" t="str">
            <v>WWH</v>
          </cell>
          <cell r="J5633">
            <v>14.6</v>
          </cell>
          <cell r="N5633" t="e">
            <v>#DIV/0!</v>
          </cell>
        </row>
        <row r="5634">
          <cell r="E5634" t="str">
            <v>HGC-Lib-2469448</v>
          </cell>
          <cell r="F5634" t="str">
            <v>LD240718O-1788A</v>
          </cell>
          <cell r="G5634">
            <v>10</v>
          </cell>
          <cell r="H5634" t="str">
            <v>DNA宏基因组文库</v>
          </cell>
          <cell r="I5634" t="str">
            <v>WWH</v>
          </cell>
          <cell r="J5634">
            <v>78.599999999999994</v>
          </cell>
          <cell r="N5634" t="e">
            <v>#DIV/0!</v>
          </cell>
        </row>
        <row r="5635">
          <cell r="E5635" t="str">
            <v>HGC-Lib-2469449</v>
          </cell>
          <cell r="F5635" t="str">
            <v>LD240718O-1789A</v>
          </cell>
          <cell r="G5635">
            <v>10</v>
          </cell>
          <cell r="H5635" t="str">
            <v>DNA宏基因组文库</v>
          </cell>
          <cell r="I5635" t="str">
            <v>WWH</v>
          </cell>
          <cell r="J5635">
            <v>36.4</v>
          </cell>
          <cell r="N5635" t="e">
            <v>#DIV/0!</v>
          </cell>
        </row>
        <row r="5636">
          <cell r="E5636" t="str">
            <v>HGC-Lib-2469450</v>
          </cell>
          <cell r="F5636" t="str">
            <v>LD240718O-1790A</v>
          </cell>
          <cell r="G5636">
            <v>10</v>
          </cell>
          <cell r="H5636" t="str">
            <v>DNA宏基因组文库</v>
          </cell>
          <cell r="I5636" t="str">
            <v>WWH</v>
          </cell>
          <cell r="J5636">
            <v>48.4</v>
          </cell>
          <cell r="N5636" t="e">
            <v>#DIV/0!</v>
          </cell>
        </row>
        <row r="5637">
          <cell r="E5637" t="str">
            <v>HGC-Lib-2469451</v>
          </cell>
          <cell r="F5637" t="str">
            <v>LD240718O-1791A</v>
          </cell>
          <cell r="G5637">
            <v>10</v>
          </cell>
          <cell r="H5637" t="str">
            <v>DNA宏基因组文库</v>
          </cell>
          <cell r="I5637" t="str">
            <v>WWH</v>
          </cell>
          <cell r="J5637">
            <v>70</v>
          </cell>
          <cell r="N5637" t="e">
            <v>#DIV/0!</v>
          </cell>
        </row>
        <row r="5638">
          <cell r="E5638" t="str">
            <v>HGC-Lib-2469452</v>
          </cell>
          <cell r="F5638" t="str">
            <v>LD240718O-1792A</v>
          </cell>
          <cell r="G5638">
            <v>10</v>
          </cell>
          <cell r="H5638" t="str">
            <v>DNA宏基因组文库</v>
          </cell>
          <cell r="I5638" t="str">
            <v>WWH</v>
          </cell>
          <cell r="J5638">
            <v>60.4</v>
          </cell>
          <cell r="N5638" t="e">
            <v>#DIV/0!</v>
          </cell>
        </row>
        <row r="5639">
          <cell r="E5639" t="str">
            <v>HGC-Lib-2469453</v>
          </cell>
          <cell r="F5639" t="str">
            <v>LD240718O-1793A</v>
          </cell>
          <cell r="G5639">
            <v>10</v>
          </cell>
          <cell r="H5639" t="str">
            <v>DNA宏基因组文库</v>
          </cell>
          <cell r="I5639" t="str">
            <v>WWH</v>
          </cell>
          <cell r="J5639">
            <v>59.2</v>
          </cell>
          <cell r="N5639" t="e">
            <v>#DIV/0!</v>
          </cell>
        </row>
        <row r="5640">
          <cell r="E5640" t="str">
            <v>HGC-Lib-2469454</v>
          </cell>
          <cell r="F5640" t="str">
            <v>LD240718O-1794A</v>
          </cell>
          <cell r="G5640">
            <v>10</v>
          </cell>
          <cell r="H5640" t="str">
            <v>DNA宏基因组文库</v>
          </cell>
          <cell r="I5640" t="str">
            <v>WWH</v>
          </cell>
          <cell r="J5640">
            <v>41.8</v>
          </cell>
          <cell r="N5640" t="e">
            <v>#DIV/0!</v>
          </cell>
        </row>
        <row r="5641">
          <cell r="E5641" t="str">
            <v>HGC-Lib-2469455</v>
          </cell>
          <cell r="F5641" t="str">
            <v>LD240718O-1795A</v>
          </cell>
          <cell r="G5641">
            <v>10</v>
          </cell>
          <cell r="H5641" t="str">
            <v>DNA宏基因组文库</v>
          </cell>
          <cell r="I5641" t="str">
            <v>WWH</v>
          </cell>
          <cell r="J5641">
            <v>43.8</v>
          </cell>
          <cell r="N5641" t="e">
            <v>#DIV/0!</v>
          </cell>
        </row>
        <row r="5642">
          <cell r="E5642" t="str">
            <v>HGC-Lib-2469456</v>
          </cell>
          <cell r="F5642" t="str">
            <v>LD240718O-1796A</v>
          </cell>
          <cell r="G5642">
            <v>10</v>
          </cell>
          <cell r="H5642" t="str">
            <v>DNA宏基因组文库</v>
          </cell>
          <cell r="I5642" t="str">
            <v>WWH</v>
          </cell>
          <cell r="J5642">
            <v>53.8</v>
          </cell>
          <cell r="N5642" t="e">
            <v>#DIV/0!</v>
          </cell>
        </row>
        <row r="5643">
          <cell r="E5643" t="str">
            <v>HGC-Lib-2469457</v>
          </cell>
          <cell r="F5643" t="str">
            <v>LD240718O-1797A</v>
          </cell>
          <cell r="G5643">
            <v>10</v>
          </cell>
          <cell r="H5643" t="str">
            <v>DNA宏基因组文库</v>
          </cell>
          <cell r="I5643" t="str">
            <v>WWH</v>
          </cell>
          <cell r="J5643">
            <v>52.8</v>
          </cell>
          <cell r="N5643" t="e">
            <v>#DIV/0!</v>
          </cell>
        </row>
        <row r="5644">
          <cell r="E5644" t="str">
            <v>HGC-Lib-2469458</v>
          </cell>
          <cell r="F5644" t="str">
            <v>LD240718O-1798A</v>
          </cell>
          <cell r="G5644">
            <v>10</v>
          </cell>
          <cell r="H5644" t="str">
            <v>DNA宏基因组文库</v>
          </cell>
          <cell r="I5644" t="str">
            <v>WWH</v>
          </cell>
          <cell r="J5644">
            <v>72.400000000000006</v>
          </cell>
          <cell r="N5644" t="e">
            <v>#DIV/0!</v>
          </cell>
        </row>
        <row r="5645">
          <cell r="E5645" t="str">
            <v>HGC-Lib-2469459</v>
          </cell>
          <cell r="F5645" t="str">
            <v>LD240718O-1799A</v>
          </cell>
          <cell r="G5645">
            <v>10</v>
          </cell>
          <cell r="H5645" t="str">
            <v>DNA宏基因组文库</v>
          </cell>
          <cell r="I5645" t="str">
            <v>WWH</v>
          </cell>
          <cell r="J5645">
            <v>71.599999999999994</v>
          </cell>
          <cell r="N5645" t="e">
            <v>#DIV/0!</v>
          </cell>
        </row>
        <row r="5646">
          <cell r="E5646" t="str">
            <v>HGC-Lib-2469460</v>
          </cell>
          <cell r="F5646" t="str">
            <v>LD240718O-1800A</v>
          </cell>
          <cell r="G5646">
            <v>10</v>
          </cell>
          <cell r="H5646" t="str">
            <v>DNA宏基因组文库</v>
          </cell>
          <cell r="I5646" t="str">
            <v>WWH</v>
          </cell>
          <cell r="J5646">
            <v>75.599999999999994</v>
          </cell>
          <cell r="N5646" t="e">
            <v>#DIV/0!</v>
          </cell>
        </row>
        <row r="5647">
          <cell r="E5647" t="str">
            <v>HGC-Lib-2469461</v>
          </cell>
          <cell r="F5647" t="str">
            <v>LD240718O-1801A</v>
          </cell>
          <cell r="G5647">
            <v>10</v>
          </cell>
          <cell r="H5647" t="str">
            <v>DNA宏基因组文库</v>
          </cell>
          <cell r="I5647" t="str">
            <v>WWH</v>
          </cell>
          <cell r="J5647">
            <v>78.599999999999994</v>
          </cell>
          <cell r="N5647" t="e">
            <v>#DIV/0!</v>
          </cell>
        </row>
        <row r="5648">
          <cell r="E5648" t="str">
            <v>HGC-Lib-2469462</v>
          </cell>
          <cell r="F5648" t="str">
            <v>LD240718O-1802A</v>
          </cell>
          <cell r="G5648">
            <v>10</v>
          </cell>
          <cell r="H5648" t="str">
            <v>DNA宏基因组文库</v>
          </cell>
          <cell r="I5648" t="str">
            <v>WWH</v>
          </cell>
          <cell r="J5648">
            <v>42</v>
          </cell>
          <cell r="N5648" t="e">
            <v>#DIV/0!</v>
          </cell>
        </row>
        <row r="5649">
          <cell r="E5649" t="str">
            <v>HGC-Lib-2469463</v>
          </cell>
          <cell r="F5649" t="str">
            <v>LD240718O-1803A</v>
          </cell>
          <cell r="G5649">
            <v>10</v>
          </cell>
          <cell r="H5649" t="str">
            <v>DNA宏基因组文库</v>
          </cell>
          <cell r="I5649" t="str">
            <v>WWH</v>
          </cell>
          <cell r="J5649">
            <v>64.599999999999994</v>
          </cell>
          <cell r="N5649" t="e">
            <v>#DIV/0!</v>
          </cell>
        </row>
        <row r="5650">
          <cell r="E5650" t="str">
            <v>HGC-Lib-2469464</v>
          </cell>
          <cell r="F5650" t="str">
            <v>LD240718O-1804A</v>
          </cell>
          <cell r="G5650">
            <v>10</v>
          </cell>
          <cell r="H5650" t="str">
            <v>DNA宏基因组文库</v>
          </cell>
          <cell r="I5650" t="str">
            <v>WWH</v>
          </cell>
          <cell r="J5650">
            <v>18.899999999999999</v>
          </cell>
          <cell r="N5650" t="e">
            <v>#DIV/0!</v>
          </cell>
        </row>
        <row r="5651">
          <cell r="E5651" t="str">
            <v>HGC-Lib-2469465</v>
          </cell>
          <cell r="F5651" t="str">
            <v>LD240718O-1805A</v>
          </cell>
          <cell r="G5651">
            <v>10</v>
          </cell>
          <cell r="H5651" t="str">
            <v>DNA宏基因组文库</v>
          </cell>
          <cell r="I5651" t="str">
            <v>WWH</v>
          </cell>
          <cell r="J5651">
            <v>76.8</v>
          </cell>
          <cell r="N5651" t="e">
            <v>#DIV/0!</v>
          </cell>
        </row>
        <row r="5652">
          <cell r="E5652" t="str">
            <v>HGC-Lib-2469466</v>
          </cell>
          <cell r="F5652" t="str">
            <v>LD240718O-1806A</v>
          </cell>
          <cell r="G5652">
            <v>10</v>
          </cell>
          <cell r="H5652" t="str">
            <v>DNA宏基因组文库</v>
          </cell>
          <cell r="I5652" t="str">
            <v>WWH</v>
          </cell>
          <cell r="J5652">
            <v>72.599999999999994</v>
          </cell>
          <cell r="N5652" t="e">
            <v>#DIV/0!</v>
          </cell>
        </row>
        <row r="5653">
          <cell r="E5653" t="str">
            <v>HGC-Lib-2469467</v>
          </cell>
          <cell r="F5653" t="str">
            <v>LD240718O-1807A</v>
          </cell>
          <cell r="G5653">
            <v>10</v>
          </cell>
          <cell r="H5653" t="str">
            <v>DNA宏基因组文库</v>
          </cell>
          <cell r="I5653" t="str">
            <v>WWH</v>
          </cell>
          <cell r="J5653">
            <v>82.2</v>
          </cell>
          <cell r="N5653" t="e">
            <v>#DIV/0!</v>
          </cell>
        </row>
        <row r="5654">
          <cell r="E5654" t="str">
            <v>HGC-Lib-2469468</v>
          </cell>
          <cell r="F5654" t="str">
            <v>LD240718O-1808A</v>
          </cell>
          <cell r="G5654">
            <v>10</v>
          </cell>
          <cell r="H5654" t="str">
            <v>DNA宏基因组文库</v>
          </cell>
          <cell r="I5654" t="str">
            <v>WWH</v>
          </cell>
          <cell r="J5654">
            <v>28.6</v>
          </cell>
          <cell r="N5654" t="e">
            <v>#DIV/0!</v>
          </cell>
        </row>
        <row r="5655">
          <cell r="E5655" t="str">
            <v>HGC-Lib-2469469</v>
          </cell>
          <cell r="F5655" t="str">
            <v>LD240718O-1809A</v>
          </cell>
          <cell r="G5655">
            <v>10</v>
          </cell>
          <cell r="H5655" t="str">
            <v>DNA宏基因组文库</v>
          </cell>
          <cell r="I5655" t="str">
            <v>WWH</v>
          </cell>
          <cell r="J5655">
            <v>73.400000000000006</v>
          </cell>
          <cell r="N5655" t="e">
            <v>#DIV/0!</v>
          </cell>
        </row>
        <row r="5656">
          <cell r="E5656" t="str">
            <v>HGC-Lib-2469470</v>
          </cell>
          <cell r="F5656" t="str">
            <v>LD240718O-1810A</v>
          </cell>
          <cell r="G5656">
            <v>10</v>
          </cell>
          <cell r="H5656" t="str">
            <v>DNA宏基因组文库</v>
          </cell>
          <cell r="I5656" t="str">
            <v>WWH</v>
          </cell>
          <cell r="J5656">
            <v>33.799999999999997</v>
          </cell>
          <cell r="N5656" t="e">
            <v>#DIV/0!</v>
          </cell>
        </row>
        <row r="5657">
          <cell r="E5657" t="str">
            <v>HGC-Lib-2469471</v>
          </cell>
          <cell r="F5657" t="str">
            <v>LD240718O-1811A</v>
          </cell>
          <cell r="G5657">
            <v>10</v>
          </cell>
          <cell r="H5657" t="str">
            <v>DNA宏基因组文库</v>
          </cell>
          <cell r="I5657" t="str">
            <v>WWH</v>
          </cell>
          <cell r="J5657">
            <v>21.4</v>
          </cell>
          <cell r="N5657" t="e">
            <v>#DIV/0!</v>
          </cell>
        </row>
        <row r="5658">
          <cell r="E5658" t="str">
            <v>HGC-Lib-2469472</v>
          </cell>
          <cell r="F5658" t="str">
            <v>LD240718O-1812A</v>
          </cell>
          <cell r="G5658">
            <v>10</v>
          </cell>
          <cell r="H5658" t="str">
            <v>DNA宏基因组文库</v>
          </cell>
          <cell r="I5658" t="str">
            <v>WWH</v>
          </cell>
          <cell r="J5658">
            <v>46.4</v>
          </cell>
          <cell r="N5658" t="e">
            <v>#DIV/0!</v>
          </cell>
        </row>
        <row r="5659">
          <cell r="E5659" t="str">
            <v>HGC-Lib-2469473</v>
          </cell>
          <cell r="F5659" t="str">
            <v>LD240718O-1813A</v>
          </cell>
          <cell r="G5659">
            <v>10</v>
          </cell>
          <cell r="H5659" t="str">
            <v>DNA宏基因组文库</v>
          </cell>
          <cell r="I5659" t="str">
            <v>WWH</v>
          </cell>
          <cell r="J5659">
            <v>34.200000000000003</v>
          </cell>
          <cell r="N5659" t="e">
            <v>#DIV/0!</v>
          </cell>
        </row>
        <row r="5660">
          <cell r="E5660" t="str">
            <v>HGC-Lib-2469474</v>
          </cell>
          <cell r="F5660" t="str">
            <v>LD240718O-1814A</v>
          </cell>
          <cell r="G5660">
            <v>10</v>
          </cell>
          <cell r="H5660" t="str">
            <v>DNA宏基因组文库</v>
          </cell>
          <cell r="I5660" t="str">
            <v>WWH</v>
          </cell>
          <cell r="J5660">
            <v>46</v>
          </cell>
          <cell r="N5660" t="e">
            <v>#DIV/0!</v>
          </cell>
        </row>
        <row r="5661">
          <cell r="E5661" t="str">
            <v>HGC-Lib-2469475</v>
          </cell>
          <cell r="F5661" t="str">
            <v>LD240718O-1815A</v>
          </cell>
          <cell r="G5661">
            <v>10</v>
          </cell>
          <cell r="H5661" t="str">
            <v>DNA宏基因组文库</v>
          </cell>
          <cell r="I5661" t="str">
            <v>WWH</v>
          </cell>
          <cell r="J5661">
            <v>63.8</v>
          </cell>
          <cell r="N5661" t="e">
            <v>#DIV/0!</v>
          </cell>
        </row>
        <row r="5662">
          <cell r="E5662" t="str">
            <v>HGC-Lib-2469476</v>
          </cell>
          <cell r="F5662" t="str">
            <v>LD240718O-1816A</v>
          </cell>
          <cell r="G5662">
            <v>10</v>
          </cell>
          <cell r="H5662" t="str">
            <v>DNA宏基因组文库</v>
          </cell>
          <cell r="I5662" t="str">
            <v>WWH</v>
          </cell>
          <cell r="J5662">
            <v>23</v>
          </cell>
          <cell r="N5662" t="e">
            <v>#DIV/0!</v>
          </cell>
        </row>
        <row r="5663">
          <cell r="E5663" t="str">
            <v>HGC-Lib-2469477</v>
          </cell>
          <cell r="F5663" t="str">
            <v>LD240718O-1817A</v>
          </cell>
          <cell r="G5663">
            <v>10</v>
          </cell>
          <cell r="H5663" t="str">
            <v>DNA宏基因组文库</v>
          </cell>
          <cell r="I5663" t="str">
            <v>WWH</v>
          </cell>
          <cell r="J5663">
            <v>73.2</v>
          </cell>
          <cell r="N5663" t="e">
            <v>#DIV/0!</v>
          </cell>
        </row>
        <row r="5664">
          <cell r="E5664" t="str">
            <v>HGC-Lib-2469478</v>
          </cell>
          <cell r="F5664" t="str">
            <v>LD240718O-1818A</v>
          </cell>
          <cell r="G5664">
            <v>10</v>
          </cell>
          <cell r="H5664" t="str">
            <v>DNA宏基因组文库</v>
          </cell>
          <cell r="I5664" t="str">
            <v>WWH</v>
          </cell>
          <cell r="J5664">
            <v>47.2</v>
          </cell>
          <cell r="N5664" t="e">
            <v>#DIV/0!</v>
          </cell>
        </row>
        <row r="5665">
          <cell r="E5665" t="str">
            <v>HGC-Lib-2469479</v>
          </cell>
          <cell r="F5665" t="str">
            <v>LD240718O-1819A</v>
          </cell>
          <cell r="G5665">
            <v>10</v>
          </cell>
          <cell r="H5665" t="str">
            <v>DNA宏基因组文库</v>
          </cell>
          <cell r="I5665" t="str">
            <v>WWH</v>
          </cell>
          <cell r="J5665">
            <v>72</v>
          </cell>
          <cell r="N5665" t="e">
            <v>#DIV/0!</v>
          </cell>
        </row>
        <row r="5666">
          <cell r="E5666" t="str">
            <v>HGC-Lib-2469480</v>
          </cell>
          <cell r="F5666" t="str">
            <v>LD240718O-1820A</v>
          </cell>
          <cell r="G5666">
            <v>10</v>
          </cell>
          <cell r="H5666" t="str">
            <v>DNA宏基因组文库</v>
          </cell>
          <cell r="I5666" t="str">
            <v>WWH</v>
          </cell>
          <cell r="J5666">
            <v>84</v>
          </cell>
          <cell r="N5666" t="e">
            <v>#DIV/0!</v>
          </cell>
        </row>
        <row r="5667">
          <cell r="E5667" t="str">
            <v>HGC-Lib-2469481</v>
          </cell>
          <cell r="F5667" t="str">
            <v>LD240718O-1821A</v>
          </cell>
          <cell r="G5667">
            <v>10</v>
          </cell>
          <cell r="H5667" t="str">
            <v>DNA宏基因组文库</v>
          </cell>
          <cell r="I5667" t="str">
            <v>XCL</v>
          </cell>
          <cell r="J5667">
            <v>57.8</v>
          </cell>
          <cell r="N5667" t="e">
            <v>#DIV/0!</v>
          </cell>
        </row>
        <row r="5668">
          <cell r="E5668" t="str">
            <v>HGC-Lib-2469482</v>
          </cell>
          <cell r="F5668" t="str">
            <v>LD240718O-1822A</v>
          </cell>
          <cell r="G5668">
            <v>10</v>
          </cell>
          <cell r="H5668" t="str">
            <v>DNA宏基因组文库</v>
          </cell>
          <cell r="I5668" t="str">
            <v>XCL</v>
          </cell>
          <cell r="J5668">
            <v>66</v>
          </cell>
          <cell r="N5668" t="e">
            <v>#DIV/0!</v>
          </cell>
        </row>
        <row r="5669">
          <cell r="E5669" t="str">
            <v>HGC-Lib-2469483</v>
          </cell>
          <cell r="F5669" t="str">
            <v>LD240718O-1823A</v>
          </cell>
          <cell r="G5669">
            <v>10</v>
          </cell>
          <cell r="H5669" t="str">
            <v>DNA宏基因组文库</v>
          </cell>
          <cell r="I5669" t="str">
            <v>XCL</v>
          </cell>
          <cell r="J5669">
            <v>86</v>
          </cell>
          <cell r="N5669" t="e">
            <v>#DIV/0!</v>
          </cell>
        </row>
        <row r="5670">
          <cell r="E5670" t="str">
            <v>HGC-Lib-2469484</v>
          </cell>
          <cell r="F5670" t="str">
            <v>LD240718O-1824A</v>
          </cell>
          <cell r="G5670">
            <v>10</v>
          </cell>
          <cell r="H5670" t="str">
            <v>DNA宏基因组文库</v>
          </cell>
          <cell r="I5670" t="str">
            <v>XCL</v>
          </cell>
          <cell r="J5670">
            <v>40</v>
          </cell>
          <cell r="N5670" t="e">
            <v>#DIV/0!</v>
          </cell>
        </row>
        <row r="5671">
          <cell r="E5671" t="str">
            <v>HGC-Lib-2469485</v>
          </cell>
          <cell r="F5671" t="str">
            <v>LD240718O-1825A</v>
          </cell>
          <cell r="G5671">
            <v>10</v>
          </cell>
          <cell r="H5671" t="str">
            <v>DNA宏基因组文库</v>
          </cell>
          <cell r="I5671" t="str">
            <v>XCL</v>
          </cell>
          <cell r="J5671">
            <v>68.2</v>
          </cell>
          <cell r="N5671" t="e">
            <v>#DIV/0!</v>
          </cell>
        </row>
        <row r="5672">
          <cell r="E5672" t="str">
            <v>HGC-Lib-2469486</v>
          </cell>
          <cell r="F5672" t="str">
            <v>LD240718O-1826A</v>
          </cell>
          <cell r="G5672">
            <v>10</v>
          </cell>
          <cell r="H5672" t="str">
            <v>DNA宏基因组文库</v>
          </cell>
          <cell r="I5672" t="str">
            <v>XCL</v>
          </cell>
          <cell r="J5672">
            <v>63</v>
          </cell>
          <cell r="N5672" t="e">
            <v>#DIV/0!</v>
          </cell>
        </row>
        <row r="5673">
          <cell r="E5673" t="str">
            <v>HGC-Lib-2469487</v>
          </cell>
          <cell r="F5673" t="str">
            <v>LD240718O-1827A</v>
          </cell>
          <cell r="G5673">
            <v>10</v>
          </cell>
          <cell r="H5673" t="str">
            <v>DNA宏基因组文库</v>
          </cell>
          <cell r="I5673" t="str">
            <v>XCL</v>
          </cell>
          <cell r="J5673">
            <v>51</v>
          </cell>
          <cell r="N5673" t="e">
            <v>#DIV/0!</v>
          </cell>
        </row>
        <row r="5674">
          <cell r="E5674" t="str">
            <v>HGC-Lib-2469488</v>
          </cell>
          <cell r="F5674" t="str">
            <v>LD240718O-1828A</v>
          </cell>
          <cell r="G5674">
            <v>10</v>
          </cell>
          <cell r="H5674" t="str">
            <v>DNA宏基因组文库</v>
          </cell>
          <cell r="I5674" t="str">
            <v>XCL</v>
          </cell>
          <cell r="J5674">
            <v>25</v>
          </cell>
          <cell r="N5674" t="e">
            <v>#DIV/0!</v>
          </cell>
        </row>
        <row r="5675">
          <cell r="E5675" t="str">
            <v>HGC-Lib-2469489</v>
          </cell>
          <cell r="F5675" t="str">
            <v>LD240718O-1829A</v>
          </cell>
          <cell r="G5675">
            <v>10</v>
          </cell>
          <cell r="H5675" t="str">
            <v>DNA宏基因组文库</v>
          </cell>
          <cell r="I5675" t="str">
            <v>XCL</v>
          </cell>
          <cell r="J5675">
            <v>61.4</v>
          </cell>
          <cell r="N5675" t="e">
            <v>#DIV/0!</v>
          </cell>
        </row>
        <row r="5676">
          <cell r="E5676" t="str">
            <v>HGC-Lib-2469490</v>
          </cell>
          <cell r="F5676" t="str">
            <v>LD240718O-1830A</v>
          </cell>
          <cell r="G5676">
            <v>10</v>
          </cell>
          <cell r="H5676" t="str">
            <v>DNA宏基因组文库</v>
          </cell>
          <cell r="I5676" t="str">
            <v>XCL</v>
          </cell>
          <cell r="J5676">
            <v>29.4</v>
          </cell>
          <cell r="N5676" t="e">
            <v>#DIV/0!</v>
          </cell>
        </row>
        <row r="5677">
          <cell r="E5677" t="str">
            <v>HGC-Lib-2469491</v>
          </cell>
          <cell r="F5677" t="str">
            <v>LD240718O-1831A</v>
          </cell>
          <cell r="G5677">
            <v>10</v>
          </cell>
          <cell r="H5677" t="str">
            <v>DNA宏基因组文库</v>
          </cell>
          <cell r="I5677" t="str">
            <v>XCL</v>
          </cell>
          <cell r="J5677">
            <v>40.799999999999997</v>
          </cell>
          <cell r="N5677" t="e">
            <v>#DIV/0!</v>
          </cell>
        </row>
        <row r="5678">
          <cell r="E5678" t="str">
            <v>HGC-Lib-2469492</v>
          </cell>
          <cell r="F5678" t="str">
            <v>LD240718O-1832A</v>
          </cell>
          <cell r="G5678">
            <v>10</v>
          </cell>
          <cell r="H5678" t="str">
            <v>DNA宏基因组文库</v>
          </cell>
          <cell r="I5678" t="str">
            <v>XCL</v>
          </cell>
          <cell r="J5678">
            <v>66.2</v>
          </cell>
          <cell r="N5678" t="e">
            <v>#DIV/0!</v>
          </cell>
        </row>
        <row r="5679">
          <cell r="E5679" t="str">
            <v>HGC-Lib-2469493</v>
          </cell>
          <cell r="F5679" t="str">
            <v>LD240718O-1833A</v>
          </cell>
          <cell r="G5679">
            <v>10</v>
          </cell>
          <cell r="H5679" t="str">
            <v>DNA宏基因组文库</v>
          </cell>
          <cell r="I5679" t="str">
            <v>XCL</v>
          </cell>
          <cell r="J5679">
            <v>59.2</v>
          </cell>
          <cell r="N5679" t="e">
            <v>#DIV/0!</v>
          </cell>
        </row>
        <row r="5680">
          <cell r="E5680" t="str">
            <v>HGC-Lib-2469494</v>
          </cell>
          <cell r="F5680" t="str">
            <v>LD240718O-1834A</v>
          </cell>
          <cell r="G5680">
            <v>10</v>
          </cell>
          <cell r="H5680" t="str">
            <v>DNA宏基因组文库</v>
          </cell>
          <cell r="I5680" t="str">
            <v>XCL</v>
          </cell>
          <cell r="J5680">
            <v>78.599999999999994</v>
          </cell>
          <cell r="N5680" t="e">
            <v>#DIV/0!</v>
          </cell>
        </row>
        <row r="5681">
          <cell r="E5681" t="str">
            <v>HGC-Lib-2469495</v>
          </cell>
          <cell r="F5681" t="str">
            <v>LD240718O-1835A</v>
          </cell>
          <cell r="G5681">
            <v>10</v>
          </cell>
          <cell r="H5681" t="str">
            <v>DNA宏基因组文库</v>
          </cell>
          <cell r="I5681" t="str">
            <v>XCL</v>
          </cell>
          <cell r="J5681">
            <v>75.2</v>
          </cell>
          <cell r="N5681" t="e">
            <v>#DIV/0!</v>
          </cell>
        </row>
        <row r="5682">
          <cell r="E5682" t="str">
            <v>HGC-Lib-2469496</v>
          </cell>
          <cell r="F5682" t="str">
            <v>LD240718O-1836A</v>
          </cell>
          <cell r="G5682">
            <v>10</v>
          </cell>
          <cell r="H5682" t="str">
            <v>DNA宏基因组文库</v>
          </cell>
          <cell r="I5682" t="str">
            <v>XCL</v>
          </cell>
          <cell r="J5682">
            <v>83.2</v>
          </cell>
          <cell r="N5682" t="e">
            <v>#DIV/0!</v>
          </cell>
        </row>
        <row r="5683">
          <cell r="E5683" t="str">
            <v>HGC-Lib-2469497</v>
          </cell>
          <cell r="F5683" t="str">
            <v>LD240718O-1837A</v>
          </cell>
          <cell r="G5683">
            <v>10</v>
          </cell>
          <cell r="H5683" t="str">
            <v>DNA宏基因组文库</v>
          </cell>
          <cell r="I5683" t="str">
            <v>XCL</v>
          </cell>
          <cell r="J5683">
            <v>5.14</v>
          </cell>
          <cell r="N5683" t="e">
            <v>#DIV/0!</v>
          </cell>
        </row>
        <row r="5684">
          <cell r="E5684" t="str">
            <v>HGC-Lib-2469498</v>
          </cell>
          <cell r="F5684" t="str">
            <v>LD240718O-1838A</v>
          </cell>
          <cell r="G5684">
            <v>10</v>
          </cell>
          <cell r="H5684" t="str">
            <v>DNA宏基因组文库</v>
          </cell>
          <cell r="I5684" t="str">
            <v>XCL</v>
          </cell>
          <cell r="J5684">
            <v>20.2</v>
          </cell>
          <cell r="N5684" t="e">
            <v>#DIV/0!</v>
          </cell>
        </row>
        <row r="5685">
          <cell r="E5685" t="str">
            <v>HGC-Lib-2469499</v>
          </cell>
          <cell r="F5685" t="str">
            <v>LD240718O-1839A</v>
          </cell>
          <cell r="G5685">
            <v>10</v>
          </cell>
          <cell r="H5685" t="str">
            <v>DNA宏基因组文库</v>
          </cell>
          <cell r="I5685" t="str">
            <v>XCL</v>
          </cell>
          <cell r="J5685">
            <v>21.8</v>
          </cell>
          <cell r="N5685" t="e">
            <v>#DIV/0!</v>
          </cell>
        </row>
        <row r="5686">
          <cell r="E5686" t="str">
            <v>HGC-Lib-2469500</v>
          </cell>
          <cell r="F5686" t="str">
            <v>LD240718O-1840A</v>
          </cell>
          <cell r="G5686">
            <v>10</v>
          </cell>
          <cell r="H5686" t="str">
            <v>DNA宏基因组文库</v>
          </cell>
          <cell r="I5686" t="str">
            <v>XCL</v>
          </cell>
          <cell r="J5686">
            <v>19.100000000000001</v>
          </cell>
          <cell r="N5686" t="e">
            <v>#DIV/0!</v>
          </cell>
        </row>
        <row r="5687">
          <cell r="E5687" t="str">
            <v>HGC-Lib-2469501</v>
          </cell>
          <cell r="F5687" t="str">
            <v>LD240718O-1841A</v>
          </cell>
          <cell r="G5687">
            <v>10</v>
          </cell>
          <cell r="H5687" t="str">
            <v>DNA宏基因组文库</v>
          </cell>
          <cell r="I5687" t="str">
            <v>XCL</v>
          </cell>
          <cell r="J5687">
            <v>45.6</v>
          </cell>
          <cell r="N5687" t="e">
            <v>#DIV/0!</v>
          </cell>
        </row>
        <row r="5688">
          <cell r="E5688" t="str">
            <v>HGC-Lib-2469502</v>
          </cell>
          <cell r="F5688" t="str">
            <v>LD240718O-1842A</v>
          </cell>
          <cell r="G5688">
            <v>10</v>
          </cell>
          <cell r="H5688" t="str">
            <v>DNA宏基因组文库</v>
          </cell>
          <cell r="I5688" t="str">
            <v>XCL</v>
          </cell>
          <cell r="J5688">
            <v>42.4</v>
          </cell>
          <cell r="N5688" t="e">
            <v>#DIV/0!</v>
          </cell>
        </row>
        <row r="5689">
          <cell r="E5689" t="str">
            <v>HGC-Lib-2469503</v>
          </cell>
          <cell r="F5689" t="str">
            <v>LD240718O-1843A</v>
          </cell>
          <cell r="G5689">
            <v>10</v>
          </cell>
          <cell r="H5689" t="str">
            <v>DNA宏基因组文库</v>
          </cell>
          <cell r="I5689" t="str">
            <v>XCL</v>
          </cell>
          <cell r="J5689">
            <v>63.6</v>
          </cell>
          <cell r="N5689" t="e">
            <v>#DIV/0!</v>
          </cell>
        </row>
        <row r="5690">
          <cell r="E5690" t="str">
            <v>HGC-POOL-2469672</v>
          </cell>
          <cell r="F5690" t="str">
            <v>HMB12L</v>
          </cell>
          <cell r="G5690">
            <v>400</v>
          </cell>
          <cell r="H5690" t="str">
            <v>ATAC-Seq文库</v>
          </cell>
          <cell r="I5690" t="str">
            <v>HZK</v>
          </cell>
          <cell r="J5690">
            <v>0.438</v>
          </cell>
          <cell r="K5690">
            <v>382</v>
          </cell>
          <cell r="N5690">
            <v>1.7639951671365299</v>
          </cell>
        </row>
        <row r="5691">
          <cell r="E5691" t="str">
            <v>HGC-POOL-2469680</v>
          </cell>
          <cell r="F5691" t="str">
            <v>Dicer_TRBP_lib_Khoa</v>
          </cell>
          <cell r="G5691">
            <v>60</v>
          </cell>
          <cell r="H5691" t="str">
            <v>PCR产物文库</v>
          </cell>
          <cell r="I5691" t="str">
            <v>HZK</v>
          </cell>
          <cell r="J5691">
            <v>0.90400000000000003</v>
          </cell>
          <cell r="K5691">
            <v>302</v>
          </cell>
          <cell r="N5691">
            <v>4.6051961283749403</v>
          </cell>
        </row>
        <row r="5692">
          <cell r="E5692" t="str">
            <v>HGC-Lib-2469669</v>
          </cell>
          <cell r="F5692" t="str">
            <v>R240821003</v>
          </cell>
          <cell r="G5692">
            <v>120</v>
          </cell>
          <cell r="H5692" t="str">
            <v>singleron-3'转录组文库</v>
          </cell>
          <cell r="I5692" t="str">
            <v>HZK</v>
          </cell>
          <cell r="J5692">
            <v>10.7</v>
          </cell>
          <cell r="N5692" t="e">
            <v>#DIV/0!</v>
          </cell>
        </row>
        <row r="5693">
          <cell r="E5693" t="str">
            <v>HGC-Lib-2469670</v>
          </cell>
          <cell r="F5693" t="str">
            <v>R240821004</v>
          </cell>
          <cell r="G5693">
            <v>120</v>
          </cell>
          <cell r="H5693" t="str">
            <v>singleron-3'转录组文库</v>
          </cell>
          <cell r="I5693" t="str">
            <v>HZK</v>
          </cell>
          <cell r="J5693">
            <v>7.86</v>
          </cell>
          <cell r="N5693" t="e">
            <v>#DIV/0!</v>
          </cell>
        </row>
        <row r="5694">
          <cell r="E5694" t="str">
            <v>HGC-Lib-2469671</v>
          </cell>
          <cell r="F5694" t="str">
            <v>R240821005</v>
          </cell>
          <cell r="G5694">
            <v>120</v>
          </cell>
          <cell r="H5694" t="str">
            <v>singleron-3'转录组文库</v>
          </cell>
          <cell r="I5694" t="str">
            <v>HZK</v>
          </cell>
          <cell r="J5694">
            <v>9.52</v>
          </cell>
          <cell r="N5694" t="e">
            <v>#DIV/0!</v>
          </cell>
        </row>
        <row r="5695">
          <cell r="E5695" t="str">
            <v>HGC-Lib-2469681</v>
          </cell>
          <cell r="F5695" t="str">
            <v>LA240822019</v>
          </cell>
          <cell r="G5695">
            <v>100</v>
          </cell>
          <cell r="H5695" t="str">
            <v>singleron-3'转录组文库</v>
          </cell>
          <cell r="I5695" t="str">
            <v>HZK</v>
          </cell>
          <cell r="J5695">
            <v>16.5</v>
          </cell>
          <cell r="N5695" t="e">
            <v>#DIV/0!</v>
          </cell>
        </row>
        <row r="5696">
          <cell r="E5696" t="str">
            <v>HGC-Lib-2469682</v>
          </cell>
          <cell r="F5696" t="str">
            <v>LC240818021</v>
          </cell>
          <cell r="G5696">
            <v>150</v>
          </cell>
          <cell r="H5696" t="str">
            <v>singleron-3'转录组文库</v>
          </cell>
          <cell r="I5696" t="str">
            <v>HZK</v>
          </cell>
          <cell r="J5696">
            <v>10.7</v>
          </cell>
          <cell r="N5696" t="e">
            <v>#DIV/0!</v>
          </cell>
        </row>
        <row r="5697">
          <cell r="E5697" t="str">
            <v>HGC-Lib-2469683</v>
          </cell>
          <cell r="F5697" t="str">
            <v>LC240818018</v>
          </cell>
          <cell r="G5697">
            <v>150</v>
          </cell>
          <cell r="H5697" t="str">
            <v>singleron-3'转录组文库</v>
          </cell>
          <cell r="I5697" t="str">
            <v>HZK</v>
          </cell>
          <cell r="J5697">
            <v>11.1</v>
          </cell>
          <cell r="N5697" t="e">
            <v>#DIV/0!</v>
          </cell>
        </row>
        <row r="5698">
          <cell r="E5698" t="str">
            <v>HGC-Lib-2469684</v>
          </cell>
          <cell r="F5698" t="str">
            <v>LC240818019</v>
          </cell>
          <cell r="G5698">
            <v>150</v>
          </cell>
          <cell r="H5698" t="str">
            <v>singleron-3'转录组文库</v>
          </cell>
          <cell r="I5698" t="str">
            <v>HZK</v>
          </cell>
          <cell r="J5698">
            <v>8.18</v>
          </cell>
          <cell r="N5698" t="e">
            <v>#DIV/0!</v>
          </cell>
        </row>
        <row r="5699">
          <cell r="E5699" t="str">
            <v>HGC-Lib-2469685</v>
          </cell>
          <cell r="F5699" t="str">
            <v>LC240818020</v>
          </cell>
          <cell r="G5699">
            <v>150</v>
          </cell>
          <cell r="H5699" t="str">
            <v>singleron-3'转录组文库</v>
          </cell>
          <cell r="I5699" t="str">
            <v>HZK</v>
          </cell>
          <cell r="J5699">
            <v>4.16</v>
          </cell>
          <cell r="N5699" t="e">
            <v>#DIV/0!</v>
          </cell>
        </row>
        <row r="5700">
          <cell r="E5700" t="str">
            <v>HGC-Lib-2469686</v>
          </cell>
          <cell r="F5700" t="str">
            <v>LA240821009</v>
          </cell>
          <cell r="G5700">
            <v>150</v>
          </cell>
          <cell r="H5700" t="str">
            <v>singleron-3'转录组文库</v>
          </cell>
          <cell r="I5700" t="str">
            <v>HZK</v>
          </cell>
          <cell r="J5700">
            <v>15.5</v>
          </cell>
          <cell r="N5700" t="e">
            <v>#DIV/0!</v>
          </cell>
        </row>
        <row r="5701">
          <cell r="E5701" t="str">
            <v>HGC-Lib-2469687</v>
          </cell>
          <cell r="F5701" t="str">
            <v>LA240821008</v>
          </cell>
          <cell r="G5701">
            <v>150</v>
          </cell>
          <cell r="H5701" t="str">
            <v>singleron-3'转录组文库</v>
          </cell>
          <cell r="I5701" t="str">
            <v>HZK</v>
          </cell>
          <cell r="J5701">
            <v>18</v>
          </cell>
          <cell r="N5701" t="e">
            <v>#DIV/0!</v>
          </cell>
        </row>
        <row r="5702">
          <cell r="E5702" t="str">
            <v>HGC-Lib-2469688</v>
          </cell>
          <cell r="F5702" t="str">
            <v>LC240817020</v>
          </cell>
          <cell r="G5702">
            <v>120</v>
          </cell>
          <cell r="H5702" t="str">
            <v>singleron-3'转录组文库</v>
          </cell>
          <cell r="I5702" t="str">
            <v>HZK</v>
          </cell>
          <cell r="J5702">
            <v>15.8</v>
          </cell>
          <cell r="N5702" t="e">
            <v>#DIV/0!</v>
          </cell>
        </row>
        <row r="5703">
          <cell r="E5703" t="str">
            <v>HGC-Lib-2469689</v>
          </cell>
          <cell r="F5703" t="str">
            <v>LA240822029</v>
          </cell>
          <cell r="G5703">
            <v>100</v>
          </cell>
          <cell r="H5703" t="str">
            <v>singleron-3'转录组文库</v>
          </cell>
          <cell r="I5703" t="str">
            <v>HZK</v>
          </cell>
          <cell r="J5703">
            <v>25.4</v>
          </cell>
          <cell r="N5703" t="e">
            <v>#DIV/0!</v>
          </cell>
        </row>
        <row r="5704">
          <cell r="E5704" t="str">
            <v>HGC-Lib-2469690</v>
          </cell>
          <cell r="F5704" t="str">
            <v>LC240822033</v>
          </cell>
          <cell r="G5704">
            <v>10</v>
          </cell>
          <cell r="H5704" t="str">
            <v>singleron-3'转录组文库</v>
          </cell>
          <cell r="I5704" t="str">
            <v>HZK</v>
          </cell>
          <cell r="J5704">
            <v>13.4</v>
          </cell>
          <cell r="N5704" t="e">
            <v>#DIV/0!</v>
          </cell>
        </row>
        <row r="5705">
          <cell r="E5705" t="str">
            <v>HGC-Lib-2469691</v>
          </cell>
          <cell r="F5705" t="str">
            <v>LC240822032</v>
          </cell>
          <cell r="G5705">
            <v>120</v>
          </cell>
          <cell r="H5705" t="str">
            <v>singleron-3'转录组文库</v>
          </cell>
          <cell r="I5705" t="str">
            <v>HZK</v>
          </cell>
          <cell r="J5705">
            <v>30.4</v>
          </cell>
          <cell r="N5705" t="e">
            <v>#DIV/0!</v>
          </cell>
        </row>
        <row r="5706">
          <cell r="E5706" t="str">
            <v>HGC-Lib-2469692</v>
          </cell>
          <cell r="F5706" t="str">
            <v>LC240822031</v>
          </cell>
          <cell r="G5706">
            <v>120</v>
          </cell>
          <cell r="H5706" t="str">
            <v>singleron-3'转录组文库</v>
          </cell>
          <cell r="I5706" t="str">
            <v>HZK</v>
          </cell>
          <cell r="J5706">
            <v>30.8</v>
          </cell>
          <cell r="N5706" t="e">
            <v>#DIV/0!</v>
          </cell>
        </row>
        <row r="5707">
          <cell r="E5707" t="str">
            <v>HGC-Lib-2469693</v>
          </cell>
          <cell r="F5707" t="str">
            <v>LC240822034</v>
          </cell>
          <cell r="G5707">
            <v>120</v>
          </cell>
          <cell r="H5707" t="str">
            <v>singleron-3'转录组文库</v>
          </cell>
          <cell r="I5707" t="str">
            <v>HZK</v>
          </cell>
          <cell r="J5707">
            <v>26.6</v>
          </cell>
          <cell r="N5707" t="e">
            <v>#DIV/0!</v>
          </cell>
        </row>
        <row r="5708">
          <cell r="E5708" t="str">
            <v>HGC-Lib-2469694</v>
          </cell>
          <cell r="F5708" t="str">
            <v>LFTA240823042</v>
          </cell>
          <cell r="G5708">
            <v>10</v>
          </cell>
          <cell r="H5708" t="str">
            <v>singleron-3'全长转录组文库</v>
          </cell>
          <cell r="I5708" t="str">
            <v>HZK</v>
          </cell>
          <cell r="J5708">
            <v>14.3</v>
          </cell>
          <cell r="N5708" t="e">
            <v>#DIV/0!</v>
          </cell>
        </row>
        <row r="5709">
          <cell r="E5709" t="str">
            <v>HGC-Lib-2469695</v>
          </cell>
          <cell r="F5709" t="str">
            <v>LC240430133</v>
          </cell>
          <cell r="G5709">
            <v>100</v>
          </cell>
          <cell r="H5709" t="str">
            <v>singleron-3'转录组文库</v>
          </cell>
          <cell r="I5709" t="str">
            <v>HZK</v>
          </cell>
          <cell r="J5709">
            <v>22.8</v>
          </cell>
          <cell r="N5709" t="e">
            <v>#DIV/0!</v>
          </cell>
        </row>
        <row r="5710">
          <cell r="E5710" t="str">
            <v>HGC-Lib-2469696</v>
          </cell>
          <cell r="F5710" t="str">
            <v>LC240429074</v>
          </cell>
          <cell r="G5710">
            <v>100</v>
          </cell>
          <cell r="H5710" t="str">
            <v>singleron-3'转录组文库</v>
          </cell>
          <cell r="I5710" t="str">
            <v>HZK</v>
          </cell>
          <cell r="J5710">
            <v>19.3</v>
          </cell>
          <cell r="N5710" t="e">
            <v>#DIV/0!</v>
          </cell>
        </row>
        <row r="5711">
          <cell r="E5711" t="str">
            <v>HGC-Lib-2469697</v>
          </cell>
          <cell r="F5711" t="str">
            <v>LC240528014</v>
          </cell>
          <cell r="G5711">
            <v>100</v>
          </cell>
          <cell r="H5711" t="str">
            <v>singleron-3'转录组文库</v>
          </cell>
          <cell r="I5711" t="str">
            <v>HZK</v>
          </cell>
          <cell r="J5711">
            <v>15.6</v>
          </cell>
          <cell r="N5711" t="e">
            <v>#DIV/0!</v>
          </cell>
        </row>
        <row r="5712">
          <cell r="E5712" t="str">
            <v>HGC-Lib-2469698</v>
          </cell>
          <cell r="F5712" t="str">
            <v>LC240316024</v>
          </cell>
          <cell r="G5712">
            <v>100</v>
          </cell>
          <cell r="H5712" t="str">
            <v>singleron-3'转录组文库</v>
          </cell>
          <cell r="I5712" t="str">
            <v>HZK</v>
          </cell>
          <cell r="J5712">
            <v>13.6</v>
          </cell>
          <cell r="N5712" t="e">
            <v>#DIV/0!</v>
          </cell>
        </row>
        <row r="5713">
          <cell r="E5713" t="str">
            <v>HGC-Lib-2469699</v>
          </cell>
          <cell r="F5713" t="str">
            <v>LFTBC240814017</v>
          </cell>
          <cell r="G5713">
            <v>100</v>
          </cell>
          <cell r="H5713" t="str">
            <v>singleron-3'全长转录组文库</v>
          </cell>
          <cell r="I5713" t="str">
            <v>HZK</v>
          </cell>
          <cell r="J5713">
            <v>18.7</v>
          </cell>
          <cell r="N5713" t="e">
            <v>#DIV/0!</v>
          </cell>
        </row>
        <row r="5714">
          <cell r="E5714" t="str">
            <v>HGC-Lib-2469700</v>
          </cell>
          <cell r="F5714" t="str">
            <v>LA240824034</v>
          </cell>
          <cell r="G5714">
            <v>10</v>
          </cell>
          <cell r="H5714" t="str">
            <v>singleron-3'转录组文库</v>
          </cell>
          <cell r="I5714" t="str">
            <v>HZK</v>
          </cell>
          <cell r="J5714">
            <v>13.4</v>
          </cell>
          <cell r="N5714" t="e">
            <v>#DIV/0!</v>
          </cell>
        </row>
        <row r="5715">
          <cell r="E5715" t="str">
            <v>HGC-Lib-2469701</v>
          </cell>
          <cell r="F5715" t="str">
            <v>LC240823013</v>
          </cell>
          <cell r="G5715">
            <v>10</v>
          </cell>
          <cell r="H5715" t="str">
            <v>singleron-3'转录组文库</v>
          </cell>
          <cell r="I5715" t="str">
            <v>HZK</v>
          </cell>
          <cell r="J5715">
            <v>12.2</v>
          </cell>
          <cell r="N5715" t="e">
            <v>#DIV/0!</v>
          </cell>
        </row>
        <row r="5716">
          <cell r="E5716" t="str">
            <v>HGC-Lib-2469702</v>
          </cell>
          <cell r="F5716" t="str">
            <v>LC240823012</v>
          </cell>
          <cell r="G5716">
            <v>150</v>
          </cell>
          <cell r="H5716" t="str">
            <v>singleron-3'转录组文库</v>
          </cell>
          <cell r="I5716" t="str">
            <v>HZK</v>
          </cell>
          <cell r="J5716">
            <v>17.399999999999999</v>
          </cell>
          <cell r="N5716" t="e">
            <v>#DIV/0!</v>
          </cell>
        </row>
        <row r="5717">
          <cell r="E5717" t="str">
            <v>HGC-Lib-2469703</v>
          </cell>
          <cell r="F5717" t="str">
            <v>LC240825001</v>
          </cell>
          <cell r="G5717">
            <v>90</v>
          </cell>
          <cell r="H5717" t="str">
            <v>singleron-3'转录组文库</v>
          </cell>
          <cell r="I5717" t="str">
            <v>HZK</v>
          </cell>
          <cell r="J5717">
            <v>30.4</v>
          </cell>
          <cell r="N5717" t="e">
            <v>#DIV/0!</v>
          </cell>
        </row>
        <row r="5718">
          <cell r="E5718" t="str">
            <v>HGC-Lib-2469704</v>
          </cell>
          <cell r="F5718" t="str">
            <v>LHC240824036</v>
          </cell>
          <cell r="G5718">
            <v>200</v>
          </cell>
          <cell r="H5718" t="str">
            <v>singleron-3'转录组文库</v>
          </cell>
          <cell r="I5718" t="str">
            <v>HZK</v>
          </cell>
          <cell r="J5718">
            <v>31</v>
          </cell>
          <cell r="N5718" t="e">
            <v>#DIV/0!</v>
          </cell>
        </row>
        <row r="5719">
          <cell r="E5719" t="str">
            <v>HGC-Lib-2469705</v>
          </cell>
          <cell r="F5719" t="str">
            <v>LHC240824037</v>
          </cell>
          <cell r="G5719">
            <v>200</v>
          </cell>
          <cell r="H5719" t="str">
            <v>singleron-3'转录组文库</v>
          </cell>
          <cell r="I5719" t="str">
            <v>HZK</v>
          </cell>
          <cell r="J5719">
            <v>28.4</v>
          </cell>
          <cell r="N5719" t="e">
            <v>#DIV/0!</v>
          </cell>
        </row>
        <row r="5720">
          <cell r="E5720" t="str">
            <v>HGC-Lib-2469706</v>
          </cell>
          <cell r="F5720" t="str">
            <v>LHC240825003</v>
          </cell>
          <cell r="G5720">
            <v>200</v>
          </cell>
          <cell r="H5720" t="str">
            <v>singleron-3'转录组文库</v>
          </cell>
          <cell r="I5720" t="str">
            <v>HZK</v>
          </cell>
          <cell r="J5720">
            <v>27.6</v>
          </cell>
          <cell r="N5720" t="e">
            <v>#DIV/0!</v>
          </cell>
        </row>
        <row r="5721">
          <cell r="E5721" t="str">
            <v>HGC-Lib-2469707</v>
          </cell>
          <cell r="F5721" t="str">
            <v>LHC240825002</v>
          </cell>
          <cell r="G5721">
            <v>200</v>
          </cell>
          <cell r="H5721" t="str">
            <v>singleron-3'转录组文库</v>
          </cell>
          <cell r="I5721" t="str">
            <v>HZK</v>
          </cell>
          <cell r="J5721">
            <v>34</v>
          </cell>
          <cell r="N5721" t="e">
            <v>#DIV/0!</v>
          </cell>
        </row>
        <row r="5722">
          <cell r="E5722" t="str">
            <v>HGC-Lib-2469708</v>
          </cell>
          <cell r="F5722" t="str">
            <v>LA240823059</v>
          </cell>
          <cell r="G5722">
            <v>100</v>
          </cell>
          <cell r="H5722" t="str">
            <v>singleron-3'转录组文库</v>
          </cell>
          <cell r="I5722" t="str">
            <v>HZK</v>
          </cell>
          <cell r="J5722">
            <v>33.4</v>
          </cell>
          <cell r="N5722" t="e">
            <v>#DIV/0!</v>
          </cell>
        </row>
        <row r="5723">
          <cell r="E5723" t="str">
            <v>HGC-Lib-2469712</v>
          </cell>
          <cell r="F5723" t="str">
            <v>CtoT-12-3R</v>
          </cell>
          <cell r="G5723">
            <v>2</v>
          </cell>
          <cell r="H5723" t="str">
            <v>PCR片段文库</v>
          </cell>
          <cell r="I5723" t="str">
            <v>HZK</v>
          </cell>
          <cell r="J5723">
            <v>44</v>
          </cell>
          <cell r="K5723">
            <v>439</v>
          </cell>
          <cell r="L5723" t="str">
            <v>HZK</v>
          </cell>
          <cell r="N5723">
            <v>154.19660066584899</v>
          </cell>
        </row>
        <row r="5724">
          <cell r="E5724" t="str">
            <v>HGC-Lib-2469715</v>
          </cell>
          <cell r="F5724" t="str">
            <v>L240821035X3</v>
          </cell>
          <cell r="G5724">
            <v>150</v>
          </cell>
          <cell r="H5724" t="str">
            <v>10X 3'转录组文库</v>
          </cell>
          <cell r="I5724" t="str">
            <v>HZK</v>
          </cell>
          <cell r="J5724">
            <v>16.3</v>
          </cell>
          <cell r="N5724" t="e">
            <v>#DIV/0!</v>
          </cell>
        </row>
        <row r="5725">
          <cell r="E5725" t="str">
            <v>HGC-Lib-2469716</v>
          </cell>
          <cell r="F5725" t="str">
            <v>L240820015X3</v>
          </cell>
          <cell r="G5725">
            <v>150</v>
          </cell>
          <cell r="H5725" t="str">
            <v>10X 3'转录组文库</v>
          </cell>
          <cell r="I5725" t="str">
            <v>HZK</v>
          </cell>
          <cell r="J5725">
            <v>1.71</v>
          </cell>
          <cell r="N5725" t="e">
            <v>#DIV/0!</v>
          </cell>
        </row>
        <row r="5726">
          <cell r="E5726" t="str">
            <v>HGC-Lib-2469717</v>
          </cell>
          <cell r="F5726" t="str">
            <v>L240814032X3</v>
          </cell>
          <cell r="G5726">
            <v>100</v>
          </cell>
          <cell r="H5726" t="str">
            <v>10X 3'转录组文库</v>
          </cell>
          <cell r="I5726" t="str">
            <v>HZK</v>
          </cell>
          <cell r="J5726">
            <v>5.82</v>
          </cell>
          <cell r="N5726" t="e">
            <v>#DIV/0!</v>
          </cell>
        </row>
        <row r="5727">
          <cell r="E5727" t="str">
            <v>HGC-Lib-2469718</v>
          </cell>
          <cell r="F5727" t="str">
            <v>L240816043X3</v>
          </cell>
          <cell r="G5727">
            <v>100</v>
          </cell>
          <cell r="H5727" t="str">
            <v>10X 3'转录组文库</v>
          </cell>
          <cell r="I5727" t="str">
            <v>HZK</v>
          </cell>
          <cell r="J5727">
            <v>13.9</v>
          </cell>
          <cell r="N5727" t="e">
            <v>#DIV/0!</v>
          </cell>
        </row>
        <row r="5728">
          <cell r="E5728" t="str">
            <v>HGC-Lib-2469719</v>
          </cell>
          <cell r="F5728" t="str">
            <v>L240814036XT</v>
          </cell>
          <cell r="G5728">
            <v>12</v>
          </cell>
          <cell r="H5728" t="str">
            <v>10X TCR文库</v>
          </cell>
          <cell r="I5728" t="str">
            <v>HZK</v>
          </cell>
          <cell r="J5728">
            <v>74.599999999999994</v>
          </cell>
          <cell r="N5728" t="e">
            <v>#DIV/0!</v>
          </cell>
        </row>
        <row r="5729">
          <cell r="E5729" t="str">
            <v>HGC-Lib-2469720</v>
          </cell>
          <cell r="F5729" t="str">
            <v>L240815023X5</v>
          </cell>
          <cell r="G5729">
            <v>100</v>
          </cell>
          <cell r="H5729" t="str">
            <v>10X 5'转录组文库</v>
          </cell>
          <cell r="I5729" t="str">
            <v>HZK</v>
          </cell>
          <cell r="J5729">
            <v>37.200000000000003</v>
          </cell>
          <cell r="N5729" t="e">
            <v>#DIV/0!</v>
          </cell>
        </row>
        <row r="5730">
          <cell r="E5730" t="str">
            <v>HGC-Lib-2469721</v>
          </cell>
          <cell r="F5730" t="str">
            <v>L240814036XB</v>
          </cell>
          <cell r="G5730">
            <v>12</v>
          </cell>
          <cell r="H5730" t="str">
            <v>10X BCR文库</v>
          </cell>
          <cell r="I5730" t="str">
            <v>HZK</v>
          </cell>
          <cell r="J5730">
            <v>49</v>
          </cell>
          <cell r="N5730" t="e">
            <v>#DIV/0!</v>
          </cell>
        </row>
        <row r="5731">
          <cell r="E5731" t="str">
            <v>HGC-Lib-2469722</v>
          </cell>
          <cell r="F5731" t="str">
            <v>L240814036X5</v>
          </cell>
          <cell r="G5731">
            <v>100</v>
          </cell>
          <cell r="H5731" t="str">
            <v>10X 5'转录组文库</v>
          </cell>
          <cell r="I5731" t="str">
            <v>HZK</v>
          </cell>
          <cell r="J5731">
            <v>29</v>
          </cell>
          <cell r="N5731" t="e">
            <v>#DIV/0!</v>
          </cell>
        </row>
        <row r="5732">
          <cell r="E5732" t="str">
            <v>HGC-Lib-2469723</v>
          </cell>
          <cell r="F5732" t="str">
            <v>hitomcll460</v>
          </cell>
          <cell r="G5732">
            <v>2</v>
          </cell>
          <cell r="H5732" t="str">
            <v>PCR片段文库</v>
          </cell>
          <cell r="I5732" t="str">
            <v>HZK</v>
          </cell>
          <cell r="J5732">
            <v>60</v>
          </cell>
          <cell r="K5732">
            <v>535</v>
          </cell>
          <cell r="L5732" t="str">
            <v>HZK</v>
          </cell>
          <cell r="N5732">
            <v>172.53774263120101</v>
          </cell>
        </row>
        <row r="5733">
          <cell r="E5733" t="str">
            <v>HGC-Lib-2469724</v>
          </cell>
          <cell r="F5733" t="str">
            <v>hitomcll461</v>
          </cell>
          <cell r="G5733">
            <v>2</v>
          </cell>
          <cell r="H5733" t="str">
            <v>PCR片段文库</v>
          </cell>
          <cell r="I5733" t="str">
            <v>HZK</v>
          </cell>
          <cell r="J5733">
            <v>39.799999999999997</v>
          </cell>
          <cell r="K5733">
            <v>550</v>
          </cell>
          <cell r="L5733" t="str">
            <v>HZK</v>
          </cell>
          <cell r="N5733">
            <v>111.32867132867101</v>
          </cell>
        </row>
        <row r="5734">
          <cell r="E5734" t="str">
            <v>HGC-Lib-2469725</v>
          </cell>
          <cell r="F5734" t="str">
            <v>hitomcll462</v>
          </cell>
          <cell r="G5734">
            <v>2</v>
          </cell>
          <cell r="H5734" t="str">
            <v>PCR片段文库</v>
          </cell>
          <cell r="I5734" t="str">
            <v>HZK</v>
          </cell>
          <cell r="J5734">
            <v>41.8</v>
          </cell>
          <cell r="K5734">
            <v>531</v>
          </cell>
          <cell r="L5734" t="str">
            <v>HZK</v>
          </cell>
          <cell r="N5734">
            <v>121.106765174562</v>
          </cell>
        </row>
        <row r="5735">
          <cell r="E5735" t="str">
            <v>HGC-Lib-2469726</v>
          </cell>
          <cell r="F5735" t="str">
            <v>hitomcll463</v>
          </cell>
          <cell r="G5735">
            <v>2</v>
          </cell>
          <cell r="H5735" t="str">
            <v>PCR片段文库</v>
          </cell>
          <cell r="I5735" t="str">
            <v>HZK</v>
          </cell>
          <cell r="J5735">
            <v>46.4</v>
          </cell>
          <cell r="K5735">
            <v>552</v>
          </cell>
          <cell r="L5735" t="str">
            <v>HZK</v>
          </cell>
          <cell r="N5735">
            <v>129.31995540691199</v>
          </cell>
        </row>
        <row r="5736">
          <cell r="E5736" t="str">
            <v>HGC-POOL-2469727</v>
          </cell>
          <cell r="F5736" t="str">
            <v>EMT</v>
          </cell>
          <cell r="G5736">
            <v>5</v>
          </cell>
          <cell r="H5736" t="str">
            <v>mRNA文库</v>
          </cell>
          <cell r="I5736" t="str">
            <v>HZK</v>
          </cell>
          <cell r="J5736">
            <v>13.1</v>
          </cell>
          <cell r="K5736">
            <v>106</v>
          </cell>
          <cell r="L5736" t="str">
            <v>HZK</v>
          </cell>
          <cell r="N5736">
            <v>190.13062409288801</v>
          </cell>
        </row>
        <row r="5737">
          <cell r="E5737" t="str">
            <v>HGC-POOL-2469728</v>
          </cell>
          <cell r="F5737" t="str">
            <v>NWZ-EXON</v>
          </cell>
          <cell r="G5737">
            <v>10</v>
          </cell>
          <cell r="H5737" t="str">
            <v>WES/panel捕获文库</v>
          </cell>
          <cell r="I5737" t="str">
            <v>HZK</v>
          </cell>
          <cell r="J5737">
            <v>3.22</v>
          </cell>
          <cell r="N5737" t="e">
            <v>#DIV/0!</v>
          </cell>
        </row>
        <row r="5738">
          <cell r="E5738" t="str">
            <v>HGC-Lib-2469729</v>
          </cell>
          <cell r="F5738" t="str">
            <v>LD240530O-2464A</v>
          </cell>
          <cell r="G5738">
            <v>10</v>
          </cell>
          <cell r="H5738" t="str">
            <v>DNA宏基因组文库</v>
          </cell>
          <cell r="I5738" t="str">
            <v>ZZ</v>
          </cell>
          <cell r="J5738">
            <v>76</v>
          </cell>
          <cell r="N5738" t="e">
            <v>#DIV/0!</v>
          </cell>
        </row>
        <row r="5739">
          <cell r="E5739" t="str">
            <v>HGC-Lib-2469730</v>
          </cell>
          <cell r="F5739" t="str">
            <v>LD240530O-2465A</v>
          </cell>
          <cell r="G5739">
            <v>10</v>
          </cell>
          <cell r="H5739" t="str">
            <v>DNA宏基因组文库</v>
          </cell>
          <cell r="I5739" t="str">
            <v>ZZ</v>
          </cell>
          <cell r="J5739">
            <v>60.2</v>
          </cell>
          <cell r="N5739" t="e">
            <v>#DIV/0!</v>
          </cell>
        </row>
        <row r="5740">
          <cell r="E5740" t="str">
            <v>HGC-Lib-2469731</v>
          </cell>
          <cell r="F5740" t="str">
            <v>LD240530O-2466A</v>
          </cell>
          <cell r="G5740">
            <v>10</v>
          </cell>
          <cell r="H5740" t="str">
            <v>DNA宏基因组文库</v>
          </cell>
          <cell r="I5740" t="str">
            <v>ZZ</v>
          </cell>
          <cell r="J5740">
            <v>33.4</v>
          </cell>
          <cell r="N5740" t="e">
            <v>#DIV/0!</v>
          </cell>
        </row>
        <row r="5741">
          <cell r="E5741" t="str">
            <v>HGC-Lib-2469732</v>
          </cell>
          <cell r="F5741" t="str">
            <v>LD240530O-2467A</v>
          </cell>
          <cell r="G5741">
            <v>10</v>
          </cell>
          <cell r="H5741" t="str">
            <v>DNA宏基因组文库</v>
          </cell>
          <cell r="I5741" t="str">
            <v>ZZ</v>
          </cell>
          <cell r="J5741">
            <v>16.7</v>
          </cell>
          <cell r="N5741" t="e">
            <v>#DIV/0!</v>
          </cell>
        </row>
        <row r="5742">
          <cell r="E5742" t="str">
            <v>HGC-Lib-2469733</v>
          </cell>
          <cell r="F5742" t="str">
            <v>LD240530O-2468A</v>
          </cell>
          <cell r="G5742">
            <v>10</v>
          </cell>
          <cell r="H5742" t="str">
            <v>DNA宏基因组文库</v>
          </cell>
          <cell r="I5742" t="str">
            <v>ZZ</v>
          </cell>
          <cell r="J5742">
            <v>20.399999999999999</v>
          </cell>
          <cell r="N5742" t="e">
            <v>#DIV/0!</v>
          </cell>
        </row>
        <row r="5743">
          <cell r="E5743" t="str">
            <v>HGC-Lib-2469734</v>
          </cell>
          <cell r="F5743" t="str">
            <v>LD240530O-2469A</v>
          </cell>
          <cell r="G5743">
            <v>10</v>
          </cell>
          <cell r="H5743" t="str">
            <v>DNA宏基因组文库</v>
          </cell>
          <cell r="I5743" t="str">
            <v>ZZ</v>
          </cell>
          <cell r="J5743">
            <v>12.2</v>
          </cell>
          <cell r="N5743" t="e">
            <v>#DIV/0!</v>
          </cell>
        </row>
        <row r="5744">
          <cell r="E5744" t="str">
            <v>HGC-Lib-2469735</v>
          </cell>
          <cell r="F5744" t="str">
            <v>LD240530O-2470A</v>
          </cell>
          <cell r="G5744">
            <v>10</v>
          </cell>
          <cell r="H5744" t="str">
            <v>DNA宏基因组文库</v>
          </cell>
          <cell r="I5744" t="str">
            <v>ZZ</v>
          </cell>
          <cell r="J5744">
            <v>16.399999999999999</v>
          </cell>
          <cell r="N5744" t="e">
            <v>#DIV/0!</v>
          </cell>
        </row>
        <row r="5745">
          <cell r="E5745" t="str">
            <v>HGC-Lib-2469736</v>
          </cell>
          <cell r="F5745" t="str">
            <v>LD240530O-2471A</v>
          </cell>
          <cell r="G5745">
            <v>10</v>
          </cell>
          <cell r="H5745" t="str">
            <v>DNA宏基因组文库</v>
          </cell>
          <cell r="I5745" t="str">
            <v>ZZ</v>
          </cell>
          <cell r="J5745">
            <v>9.5399999999999991</v>
          </cell>
          <cell r="N5745" t="e">
            <v>#DIV/0!</v>
          </cell>
        </row>
        <row r="5746">
          <cell r="E5746" t="str">
            <v>HGC-Lib-2469737</v>
          </cell>
          <cell r="F5746" t="str">
            <v>LD240530O-2472A</v>
          </cell>
          <cell r="G5746">
            <v>10</v>
          </cell>
          <cell r="H5746" t="str">
            <v>DNA宏基因组文库</v>
          </cell>
          <cell r="I5746" t="str">
            <v>ZZ</v>
          </cell>
          <cell r="J5746">
            <v>34.4</v>
          </cell>
          <cell r="N5746" t="e">
            <v>#DIV/0!</v>
          </cell>
        </row>
        <row r="5747">
          <cell r="E5747" t="str">
            <v>HGC-Lib-2469738</v>
          </cell>
          <cell r="F5747" t="str">
            <v>LD240530O-2473A</v>
          </cell>
          <cell r="G5747">
            <v>10</v>
          </cell>
          <cell r="H5747" t="str">
            <v>DNA宏基因组文库</v>
          </cell>
          <cell r="I5747" t="str">
            <v>ZZ</v>
          </cell>
          <cell r="J5747">
            <v>30.4</v>
          </cell>
          <cell r="N5747" t="e">
            <v>#DIV/0!</v>
          </cell>
        </row>
        <row r="5748">
          <cell r="E5748" t="str">
            <v>HGC-Lib-2469739</v>
          </cell>
          <cell r="F5748" t="str">
            <v>LD240530O-2474A</v>
          </cell>
          <cell r="G5748">
            <v>10</v>
          </cell>
          <cell r="H5748" t="str">
            <v>DNA宏基因组文库</v>
          </cell>
          <cell r="I5748" t="str">
            <v>ZZ</v>
          </cell>
          <cell r="J5748">
            <v>42.8</v>
          </cell>
          <cell r="N5748" t="e">
            <v>#DIV/0!</v>
          </cell>
        </row>
        <row r="5749">
          <cell r="E5749" t="str">
            <v>HGC-Lib-2469740</v>
          </cell>
          <cell r="F5749" t="str">
            <v>LD240530O-2475A</v>
          </cell>
          <cell r="G5749">
            <v>10</v>
          </cell>
          <cell r="H5749" t="str">
            <v>DNA宏基因组文库</v>
          </cell>
          <cell r="I5749" t="str">
            <v>ZZ</v>
          </cell>
          <cell r="J5749">
            <v>20</v>
          </cell>
          <cell r="N5749" t="e">
            <v>#DIV/0!</v>
          </cell>
        </row>
        <row r="5750">
          <cell r="E5750" t="str">
            <v>HGC-Lib-2469741</v>
          </cell>
          <cell r="F5750" t="str">
            <v>LD240530O-2476A</v>
          </cell>
          <cell r="G5750">
            <v>10</v>
          </cell>
          <cell r="H5750" t="str">
            <v>DNA宏基因组文库</v>
          </cell>
          <cell r="I5750" t="str">
            <v>ZZ</v>
          </cell>
          <cell r="J5750">
            <v>28.2</v>
          </cell>
          <cell r="N5750" t="e">
            <v>#DIV/0!</v>
          </cell>
        </row>
        <row r="5751">
          <cell r="E5751" t="str">
            <v>HGC-Lib-2469742</v>
          </cell>
          <cell r="F5751" t="str">
            <v>LD240530O-2477A</v>
          </cell>
          <cell r="G5751">
            <v>10</v>
          </cell>
          <cell r="H5751" t="str">
            <v>DNA宏基因组文库</v>
          </cell>
          <cell r="I5751" t="str">
            <v>ZZ</v>
          </cell>
          <cell r="J5751">
            <v>23</v>
          </cell>
          <cell r="N5751" t="e">
            <v>#DIV/0!</v>
          </cell>
        </row>
        <row r="5752">
          <cell r="E5752" t="str">
            <v>HGC-Lib-2469743</v>
          </cell>
          <cell r="F5752" t="str">
            <v>LD240530O-2478A</v>
          </cell>
          <cell r="G5752">
            <v>10</v>
          </cell>
          <cell r="H5752" t="str">
            <v>DNA宏基因组文库</v>
          </cell>
          <cell r="I5752" t="str">
            <v>ZZ</v>
          </cell>
          <cell r="J5752">
            <v>57.4</v>
          </cell>
          <cell r="N5752" t="e">
            <v>#DIV/0!</v>
          </cell>
        </row>
        <row r="5753">
          <cell r="E5753" t="str">
            <v>HGC-Lib-2469744</v>
          </cell>
          <cell r="F5753" t="str">
            <v>LD240530O-2479A</v>
          </cell>
          <cell r="G5753">
            <v>10</v>
          </cell>
          <cell r="H5753" t="str">
            <v>DNA宏基因组文库</v>
          </cell>
          <cell r="I5753" t="str">
            <v>ZZ</v>
          </cell>
          <cell r="J5753">
            <v>90</v>
          </cell>
          <cell r="N5753" t="e">
            <v>#DIV/0!</v>
          </cell>
        </row>
        <row r="5754">
          <cell r="E5754" t="str">
            <v>HGC-Lib-2469745</v>
          </cell>
          <cell r="F5754" t="str">
            <v>LD240530O-2480A</v>
          </cell>
          <cell r="G5754">
            <v>10</v>
          </cell>
          <cell r="H5754" t="str">
            <v>DNA宏基因组文库</v>
          </cell>
          <cell r="I5754" t="str">
            <v>ZZ</v>
          </cell>
          <cell r="J5754">
            <v>98</v>
          </cell>
          <cell r="N5754" t="e">
            <v>#DIV/0!</v>
          </cell>
        </row>
        <row r="5755">
          <cell r="E5755" t="str">
            <v>HGC-Lib-2469746</v>
          </cell>
          <cell r="F5755" t="str">
            <v>LD240530O-2481A</v>
          </cell>
          <cell r="G5755">
            <v>10</v>
          </cell>
          <cell r="H5755" t="str">
            <v>DNA宏基因组文库</v>
          </cell>
          <cell r="I5755" t="str">
            <v>ZZ</v>
          </cell>
          <cell r="J5755">
            <v>37.799999999999997</v>
          </cell>
          <cell r="N5755" t="e">
            <v>#DIV/0!</v>
          </cell>
        </row>
        <row r="5756">
          <cell r="E5756" t="str">
            <v>HGC-Lib-2469747</v>
          </cell>
          <cell r="F5756" t="str">
            <v>LD240530O-2482A</v>
          </cell>
          <cell r="G5756">
            <v>10</v>
          </cell>
          <cell r="H5756" t="str">
            <v>DNA宏基因组文库</v>
          </cell>
          <cell r="I5756" t="str">
            <v>ZZ</v>
          </cell>
          <cell r="J5756">
            <v>61.6</v>
          </cell>
          <cell r="N5756" t="e">
            <v>#DIV/0!</v>
          </cell>
        </row>
        <row r="5757">
          <cell r="E5757" t="str">
            <v>HGC-Lib-2469748</v>
          </cell>
          <cell r="F5757" t="str">
            <v>LD240530O-2483A</v>
          </cell>
          <cell r="G5757">
            <v>10</v>
          </cell>
          <cell r="H5757" t="str">
            <v>DNA宏基因组文库</v>
          </cell>
          <cell r="I5757" t="str">
            <v>ZZ</v>
          </cell>
          <cell r="J5757">
            <v>44</v>
          </cell>
          <cell r="N5757" t="e">
            <v>#DIV/0!</v>
          </cell>
        </row>
        <row r="5758">
          <cell r="E5758" t="str">
            <v>HGC-Lib-2469749</v>
          </cell>
          <cell r="F5758" t="str">
            <v>LD240530O-2484A</v>
          </cell>
          <cell r="G5758">
            <v>10</v>
          </cell>
          <cell r="H5758" t="str">
            <v>DNA宏基因组文库</v>
          </cell>
          <cell r="I5758" t="str">
            <v>ZZ</v>
          </cell>
          <cell r="J5758">
            <v>53.4</v>
          </cell>
          <cell r="N5758" t="e">
            <v>#DIV/0!</v>
          </cell>
        </row>
        <row r="5759">
          <cell r="E5759" t="str">
            <v>HGC-Lib-2469750</v>
          </cell>
          <cell r="F5759" t="str">
            <v>LD240530O-2485A</v>
          </cell>
          <cell r="G5759">
            <v>10</v>
          </cell>
          <cell r="H5759" t="str">
            <v>DNA宏基因组文库</v>
          </cell>
          <cell r="I5759" t="str">
            <v>ZZ</v>
          </cell>
          <cell r="J5759">
            <v>7.4</v>
          </cell>
          <cell r="N5759" t="e">
            <v>#DIV/0!</v>
          </cell>
        </row>
        <row r="5760">
          <cell r="E5760" t="str">
            <v>HGC-Lib-2469751</v>
          </cell>
          <cell r="F5760" t="str">
            <v>LD240530O-2486A</v>
          </cell>
          <cell r="G5760">
            <v>10</v>
          </cell>
          <cell r="H5760" t="str">
            <v>DNA宏基因组文库</v>
          </cell>
          <cell r="I5760" t="str">
            <v>ZZ</v>
          </cell>
          <cell r="J5760">
            <v>47.6</v>
          </cell>
          <cell r="N5760" t="e">
            <v>#DIV/0!</v>
          </cell>
        </row>
        <row r="5761">
          <cell r="E5761" t="str">
            <v>HGC-Lib-2469752</v>
          </cell>
          <cell r="F5761" t="str">
            <v>LD240530O-2487A</v>
          </cell>
          <cell r="G5761">
            <v>10</v>
          </cell>
          <cell r="H5761" t="str">
            <v>DNA宏基因组文库</v>
          </cell>
          <cell r="I5761" t="str">
            <v>ZZ</v>
          </cell>
          <cell r="J5761">
            <v>61.8</v>
          </cell>
          <cell r="N5761" t="e">
            <v>#DIV/0!</v>
          </cell>
        </row>
        <row r="5762">
          <cell r="E5762" t="str">
            <v>HGC-Lib-2469753</v>
          </cell>
          <cell r="F5762" t="str">
            <v>LD240530O-2488A</v>
          </cell>
          <cell r="G5762">
            <v>10</v>
          </cell>
          <cell r="H5762" t="str">
            <v>DNA宏基因组文库</v>
          </cell>
          <cell r="I5762" t="str">
            <v>ZZ</v>
          </cell>
          <cell r="J5762">
            <v>43.4</v>
          </cell>
          <cell r="N5762" t="e">
            <v>#DIV/0!</v>
          </cell>
        </row>
        <row r="5763">
          <cell r="E5763" t="str">
            <v>HGC-Lib-2469754</v>
          </cell>
          <cell r="F5763" t="str">
            <v>LD240530O-2489A</v>
          </cell>
          <cell r="G5763">
            <v>10</v>
          </cell>
          <cell r="H5763" t="str">
            <v>DNA宏基因组文库</v>
          </cell>
          <cell r="I5763" t="str">
            <v>ZZ</v>
          </cell>
          <cell r="J5763">
            <v>54</v>
          </cell>
          <cell r="N5763" t="e">
            <v>#DIV/0!</v>
          </cell>
        </row>
        <row r="5764">
          <cell r="E5764" t="str">
            <v>HGC-Lib-2469755</v>
          </cell>
          <cell r="F5764" t="str">
            <v>LD240530O-2490A</v>
          </cell>
          <cell r="G5764">
            <v>10</v>
          </cell>
          <cell r="H5764" t="str">
            <v>DNA宏基因组文库</v>
          </cell>
          <cell r="I5764" t="str">
            <v>ZZ</v>
          </cell>
          <cell r="J5764">
            <v>53.8</v>
          </cell>
          <cell r="N5764" t="e">
            <v>#DIV/0!</v>
          </cell>
        </row>
        <row r="5765">
          <cell r="E5765" t="str">
            <v>HGC-Lib-2469756</v>
          </cell>
          <cell r="F5765" t="str">
            <v>LD240530O-2491A</v>
          </cell>
          <cell r="G5765">
            <v>10</v>
          </cell>
          <cell r="H5765" t="str">
            <v>DNA宏基因组文库</v>
          </cell>
          <cell r="I5765" t="str">
            <v>ZZ</v>
          </cell>
          <cell r="J5765">
            <v>32.799999999999997</v>
          </cell>
          <cell r="N5765" t="e">
            <v>#DIV/0!</v>
          </cell>
        </row>
        <row r="5766">
          <cell r="E5766" t="str">
            <v>HGC-Lib-2469757</v>
          </cell>
          <cell r="F5766" t="str">
            <v>LD240530O-2492A</v>
          </cell>
          <cell r="G5766">
            <v>10</v>
          </cell>
          <cell r="H5766" t="str">
            <v>DNA宏基因组文库</v>
          </cell>
          <cell r="I5766" t="str">
            <v>ZZ</v>
          </cell>
          <cell r="J5766">
            <v>55.2</v>
          </cell>
          <cell r="N5766" t="e">
            <v>#DIV/0!</v>
          </cell>
        </row>
        <row r="5767">
          <cell r="E5767" t="str">
            <v>HGC-Lib-2469758</v>
          </cell>
          <cell r="F5767" t="str">
            <v>LD240530O-2493A</v>
          </cell>
          <cell r="G5767">
            <v>10</v>
          </cell>
          <cell r="H5767" t="str">
            <v>DNA宏基因组文库</v>
          </cell>
          <cell r="I5767" t="str">
            <v>ZZ</v>
          </cell>
          <cell r="J5767">
            <v>41.2</v>
          </cell>
          <cell r="N5767" t="e">
            <v>#DIV/0!</v>
          </cell>
        </row>
        <row r="5768">
          <cell r="E5768" t="str">
            <v>HGC-Lib-2469759</v>
          </cell>
          <cell r="F5768" t="str">
            <v>LD240530O-2494A</v>
          </cell>
          <cell r="G5768">
            <v>10</v>
          </cell>
          <cell r="H5768" t="str">
            <v>DNA宏基因组文库</v>
          </cell>
          <cell r="I5768" t="str">
            <v>ZZ</v>
          </cell>
          <cell r="J5768">
            <v>62.4</v>
          </cell>
          <cell r="N5768" t="e">
            <v>#DIV/0!</v>
          </cell>
        </row>
        <row r="5769">
          <cell r="E5769" t="str">
            <v>HGC-Lib-2469760</v>
          </cell>
          <cell r="F5769" t="str">
            <v>LD240530O-2495A</v>
          </cell>
          <cell r="G5769">
            <v>10</v>
          </cell>
          <cell r="H5769" t="str">
            <v>DNA宏基因组文库</v>
          </cell>
          <cell r="I5769" t="str">
            <v>ZZ</v>
          </cell>
          <cell r="J5769">
            <v>42.6</v>
          </cell>
          <cell r="N5769" t="e">
            <v>#DIV/0!</v>
          </cell>
        </row>
        <row r="5770">
          <cell r="E5770" t="str">
            <v>HGC-Lib-2469761</v>
          </cell>
          <cell r="F5770" t="str">
            <v>LD240530O-2496A</v>
          </cell>
          <cell r="G5770">
            <v>10</v>
          </cell>
          <cell r="H5770" t="str">
            <v>DNA宏基因组文库</v>
          </cell>
          <cell r="I5770" t="str">
            <v>ZZ</v>
          </cell>
          <cell r="J5770">
            <v>46.8</v>
          </cell>
          <cell r="N5770" t="e">
            <v>#DIV/0!</v>
          </cell>
        </row>
        <row r="5771">
          <cell r="E5771" t="str">
            <v>HGC-Lib-2469762</v>
          </cell>
          <cell r="F5771" t="str">
            <v>LD240530O-2497A</v>
          </cell>
          <cell r="G5771">
            <v>10</v>
          </cell>
          <cell r="H5771" t="str">
            <v>DNA宏基因组文库</v>
          </cell>
          <cell r="I5771" t="str">
            <v>ZZ</v>
          </cell>
          <cell r="J5771">
            <v>43.4</v>
          </cell>
          <cell r="N5771" t="e">
            <v>#DIV/0!</v>
          </cell>
        </row>
        <row r="5772">
          <cell r="E5772" t="str">
            <v>HGC-Lib-2469763</v>
          </cell>
          <cell r="F5772" t="str">
            <v>LD240530O-2498A</v>
          </cell>
          <cell r="G5772">
            <v>10</v>
          </cell>
          <cell r="H5772" t="str">
            <v>DNA宏基因组文库</v>
          </cell>
          <cell r="I5772" t="str">
            <v>ZZ</v>
          </cell>
          <cell r="J5772">
            <v>43.6</v>
          </cell>
          <cell r="N5772" t="e">
            <v>#DIV/0!</v>
          </cell>
        </row>
        <row r="5773">
          <cell r="E5773" t="str">
            <v>HGC-Lib-2469764</v>
          </cell>
          <cell r="F5773" t="str">
            <v>LD240530O-2499A</v>
          </cell>
          <cell r="G5773">
            <v>10</v>
          </cell>
          <cell r="H5773" t="str">
            <v>DNA宏基因组文库</v>
          </cell>
          <cell r="I5773" t="str">
            <v>ZZ</v>
          </cell>
          <cell r="J5773">
            <v>37.799999999999997</v>
          </cell>
          <cell r="N5773" t="e">
            <v>#DIV/0!</v>
          </cell>
        </row>
        <row r="5774">
          <cell r="E5774" t="str">
            <v>HGC-Lib-2469765</v>
          </cell>
          <cell r="F5774" t="str">
            <v>LD240530O-2500A</v>
          </cell>
          <cell r="G5774">
            <v>10</v>
          </cell>
          <cell r="H5774" t="str">
            <v>DNA宏基因组文库</v>
          </cell>
          <cell r="I5774" t="str">
            <v>ZZ</v>
          </cell>
          <cell r="J5774">
            <v>36.200000000000003</v>
          </cell>
          <cell r="N5774" t="e">
            <v>#DIV/0!</v>
          </cell>
        </row>
        <row r="5775">
          <cell r="E5775" t="str">
            <v>HGC-Lib-2469766</v>
          </cell>
          <cell r="F5775" t="str">
            <v>LD240530O-2501A</v>
          </cell>
          <cell r="G5775">
            <v>10</v>
          </cell>
          <cell r="H5775" t="str">
            <v>DNA宏基因组文库</v>
          </cell>
          <cell r="I5775" t="str">
            <v>ZZ</v>
          </cell>
          <cell r="J5775">
            <v>41</v>
          </cell>
          <cell r="N5775" t="e">
            <v>#DIV/0!</v>
          </cell>
        </row>
        <row r="5776">
          <cell r="E5776" t="str">
            <v>HGC-Lib-2469767</v>
          </cell>
          <cell r="F5776" t="str">
            <v>LD240530O-2502A</v>
          </cell>
          <cell r="G5776">
            <v>10</v>
          </cell>
          <cell r="H5776" t="str">
            <v>DNA宏基因组文库</v>
          </cell>
          <cell r="I5776" t="str">
            <v>ZZ</v>
          </cell>
          <cell r="J5776">
            <v>52.8</v>
          </cell>
          <cell r="N5776" t="e">
            <v>#DIV/0!</v>
          </cell>
        </row>
        <row r="5777">
          <cell r="E5777" t="str">
            <v>HGC-Lib-2469768</v>
          </cell>
          <cell r="F5777" t="str">
            <v>LD240530O-2503A</v>
          </cell>
          <cell r="G5777">
            <v>10</v>
          </cell>
          <cell r="H5777" t="str">
            <v>DNA宏基因组文库</v>
          </cell>
          <cell r="I5777" t="str">
            <v>ZZ</v>
          </cell>
          <cell r="J5777">
            <v>39.799999999999997</v>
          </cell>
          <cell r="N5777" t="e">
            <v>#DIV/0!</v>
          </cell>
        </row>
        <row r="5778">
          <cell r="E5778" t="str">
            <v>HGC-Lib-2469769</v>
          </cell>
          <cell r="F5778" t="str">
            <v>LD240530O-2504A</v>
          </cell>
          <cell r="G5778">
            <v>10</v>
          </cell>
          <cell r="H5778" t="str">
            <v>DNA宏基因组文库</v>
          </cell>
          <cell r="I5778" t="str">
            <v>ZZ</v>
          </cell>
          <cell r="J5778">
            <v>49.2</v>
          </cell>
          <cell r="N5778" t="e">
            <v>#DIV/0!</v>
          </cell>
        </row>
        <row r="5779">
          <cell r="E5779" t="str">
            <v>HGC-Lib-2469770</v>
          </cell>
          <cell r="F5779" t="str">
            <v>LD240530O-2505A</v>
          </cell>
          <cell r="G5779">
            <v>10</v>
          </cell>
          <cell r="H5779" t="str">
            <v>DNA宏基因组文库</v>
          </cell>
          <cell r="I5779" t="str">
            <v>ZZ</v>
          </cell>
          <cell r="J5779">
            <v>48.6</v>
          </cell>
          <cell r="N5779" t="e">
            <v>#DIV/0!</v>
          </cell>
        </row>
        <row r="5780">
          <cell r="E5780" t="str">
            <v>HGC-Lib-2469771</v>
          </cell>
          <cell r="F5780" t="str">
            <v>LD240530O-2506A</v>
          </cell>
          <cell r="G5780">
            <v>10</v>
          </cell>
          <cell r="H5780" t="str">
            <v>DNA宏基因组文库</v>
          </cell>
          <cell r="I5780" t="str">
            <v>ZZ</v>
          </cell>
          <cell r="J5780">
            <v>43</v>
          </cell>
          <cell r="N5780" t="e">
            <v>#DIV/0!</v>
          </cell>
        </row>
        <row r="5781">
          <cell r="E5781" t="str">
            <v>HGC-Lib-2469772</v>
          </cell>
          <cell r="F5781" t="str">
            <v>LD240530O-2507A</v>
          </cell>
          <cell r="G5781">
            <v>10</v>
          </cell>
          <cell r="H5781" t="str">
            <v>DNA宏基因组文库</v>
          </cell>
          <cell r="I5781" t="str">
            <v>ZZ</v>
          </cell>
          <cell r="J5781">
            <v>56</v>
          </cell>
          <cell r="N5781" t="e">
            <v>#DIV/0!</v>
          </cell>
        </row>
        <row r="5782">
          <cell r="E5782" t="str">
            <v>HGC-Lib-2469773</v>
          </cell>
          <cell r="F5782" t="str">
            <v>LD240530O-2508A</v>
          </cell>
          <cell r="G5782">
            <v>10</v>
          </cell>
          <cell r="H5782" t="str">
            <v>DNA宏基因组文库</v>
          </cell>
          <cell r="I5782" t="str">
            <v>ZZ</v>
          </cell>
          <cell r="J5782">
            <v>36.4</v>
          </cell>
          <cell r="N5782" t="e">
            <v>#DIV/0!</v>
          </cell>
        </row>
        <row r="5783">
          <cell r="E5783" t="str">
            <v>HGC-Lib-2469774</v>
          </cell>
          <cell r="F5783" t="str">
            <v>LR240718O-1678A</v>
          </cell>
          <cell r="G5783">
            <v>6</v>
          </cell>
          <cell r="H5783" t="str">
            <v>普通真核转录组文库</v>
          </cell>
          <cell r="I5783" t="str">
            <v>ZZ</v>
          </cell>
          <cell r="J5783">
            <v>29.2</v>
          </cell>
          <cell r="N5783" t="e">
            <v>#DIV/0!</v>
          </cell>
        </row>
        <row r="5784">
          <cell r="E5784" t="str">
            <v>HGC-Lib-2469775</v>
          </cell>
          <cell r="F5784" t="str">
            <v>LR240718O-1679A</v>
          </cell>
          <cell r="G5784">
            <v>6</v>
          </cell>
          <cell r="H5784" t="str">
            <v>普通真核转录组文库</v>
          </cell>
          <cell r="I5784" t="str">
            <v>ZZ</v>
          </cell>
          <cell r="J5784">
            <v>17</v>
          </cell>
          <cell r="N5784" t="e">
            <v>#DIV/0!</v>
          </cell>
        </row>
        <row r="5785">
          <cell r="E5785" t="str">
            <v>HGC-Lib-2469776</v>
          </cell>
          <cell r="F5785" t="str">
            <v>LR240718O-1680A</v>
          </cell>
          <cell r="G5785">
            <v>6</v>
          </cell>
          <cell r="H5785" t="str">
            <v>普通真核转录组文库</v>
          </cell>
          <cell r="I5785" t="str">
            <v>ZZ</v>
          </cell>
          <cell r="J5785">
            <v>18.600000000000001</v>
          </cell>
          <cell r="N5785" t="e">
            <v>#DIV/0!</v>
          </cell>
        </row>
        <row r="5786">
          <cell r="E5786" t="str">
            <v>HGC-Lib-2469777</v>
          </cell>
          <cell r="F5786" t="str">
            <v>LR240718O-1681A</v>
          </cell>
          <cell r="G5786">
            <v>6</v>
          </cell>
          <cell r="H5786" t="str">
            <v>普通真核转录组文库</v>
          </cell>
          <cell r="I5786" t="str">
            <v>TY</v>
          </cell>
          <cell r="J5786">
            <v>23.4</v>
          </cell>
          <cell r="N5786" t="e">
            <v>#DIV/0!</v>
          </cell>
        </row>
        <row r="5787">
          <cell r="E5787" t="str">
            <v>HGC-Lib-2469778</v>
          </cell>
          <cell r="F5787" t="str">
            <v>LR240802O-1192A</v>
          </cell>
          <cell r="G5787">
            <v>6</v>
          </cell>
          <cell r="H5787" t="str">
            <v>普通真核转录组文库</v>
          </cell>
          <cell r="I5787" t="str">
            <v>TY</v>
          </cell>
          <cell r="J5787">
            <v>21.8</v>
          </cell>
          <cell r="N5787" t="e">
            <v>#DIV/0!</v>
          </cell>
        </row>
        <row r="5788">
          <cell r="E5788" t="str">
            <v>HGC-Lib-2469779</v>
          </cell>
          <cell r="F5788" t="str">
            <v>LR240802O-1193A</v>
          </cell>
          <cell r="G5788">
            <v>6</v>
          </cell>
          <cell r="H5788" t="str">
            <v>普通真核转录组文库</v>
          </cell>
          <cell r="I5788" t="str">
            <v>TY</v>
          </cell>
          <cell r="J5788">
            <v>11.8</v>
          </cell>
          <cell r="N5788" t="e">
            <v>#DIV/0!</v>
          </cell>
        </row>
        <row r="5789">
          <cell r="E5789" t="str">
            <v>HGC-Lib-2469780</v>
          </cell>
          <cell r="F5789" t="str">
            <v>LR240802O-1194A</v>
          </cell>
          <cell r="G5789">
            <v>6</v>
          </cell>
          <cell r="H5789" t="str">
            <v>普通真核转录组文库</v>
          </cell>
          <cell r="I5789" t="str">
            <v>TY</v>
          </cell>
          <cell r="J5789">
            <v>24.8</v>
          </cell>
          <cell r="N5789" t="e">
            <v>#DIV/0!</v>
          </cell>
        </row>
        <row r="5790">
          <cell r="E5790" t="str">
            <v>HGC-Lib-2469781</v>
          </cell>
          <cell r="F5790" t="str">
            <v>LR240802O-1195A</v>
          </cell>
          <cell r="G5790">
            <v>6</v>
          </cell>
          <cell r="H5790" t="str">
            <v>普通真核转录组文库</v>
          </cell>
          <cell r="I5790" t="str">
            <v>TY</v>
          </cell>
          <cell r="J5790">
            <v>11.4</v>
          </cell>
          <cell r="N5790" t="e">
            <v>#DIV/0!</v>
          </cell>
        </row>
        <row r="5791">
          <cell r="E5791" t="str">
            <v>HGC-Lib-2469782</v>
          </cell>
          <cell r="F5791" t="str">
            <v>LR240802O-1196A</v>
          </cell>
          <cell r="G5791">
            <v>6</v>
          </cell>
          <cell r="H5791" t="str">
            <v>普通真核转录组文库</v>
          </cell>
          <cell r="I5791" t="str">
            <v>TY</v>
          </cell>
          <cell r="J5791">
            <v>15.1</v>
          </cell>
          <cell r="N5791" t="e">
            <v>#DIV/0!</v>
          </cell>
        </row>
        <row r="5792">
          <cell r="E5792" t="str">
            <v>HGC-Lib-2469783</v>
          </cell>
          <cell r="F5792" t="str">
            <v>LR240802O-1197A</v>
          </cell>
          <cell r="G5792">
            <v>6</v>
          </cell>
          <cell r="H5792" t="str">
            <v>普通真核转录组文库</v>
          </cell>
          <cell r="I5792" t="str">
            <v>TY</v>
          </cell>
          <cell r="J5792">
            <v>15.3</v>
          </cell>
          <cell r="N5792" t="e">
            <v>#DIV/0!</v>
          </cell>
        </row>
        <row r="5793">
          <cell r="E5793" t="str">
            <v>HGC-Lib-2469784</v>
          </cell>
          <cell r="F5793" t="str">
            <v>LR240802O-1198A</v>
          </cell>
          <cell r="G5793">
            <v>6</v>
          </cell>
          <cell r="H5793" t="str">
            <v>普通真核转录组文库</v>
          </cell>
          <cell r="I5793" t="str">
            <v>TY</v>
          </cell>
          <cell r="J5793">
            <v>65.8</v>
          </cell>
          <cell r="N5793" t="e">
            <v>#DIV/0!</v>
          </cell>
        </row>
        <row r="5794">
          <cell r="E5794" t="str">
            <v>HGC-Lib-2469785</v>
          </cell>
          <cell r="F5794" t="str">
            <v>LR240802O-1199A</v>
          </cell>
          <cell r="G5794">
            <v>6</v>
          </cell>
          <cell r="H5794" t="str">
            <v>普通真核转录组文库</v>
          </cell>
          <cell r="I5794" t="str">
            <v>TY</v>
          </cell>
          <cell r="J5794">
            <v>10.199999999999999</v>
          </cell>
          <cell r="N5794" t="e">
            <v>#DIV/0!</v>
          </cell>
        </row>
        <row r="5795">
          <cell r="E5795" t="str">
            <v>HGC-Lib-2469786</v>
          </cell>
          <cell r="F5795" t="str">
            <v>LR240802O-1200A</v>
          </cell>
          <cell r="G5795">
            <v>6</v>
          </cell>
          <cell r="H5795" t="str">
            <v>普通真核转录组文库</v>
          </cell>
          <cell r="I5795" t="str">
            <v>TY</v>
          </cell>
          <cell r="J5795">
            <v>15.5</v>
          </cell>
          <cell r="N5795" t="e">
            <v>#DIV/0!</v>
          </cell>
        </row>
        <row r="5796">
          <cell r="E5796" t="str">
            <v>HGC-Lib-2469787</v>
          </cell>
          <cell r="F5796" t="str">
            <v>LR240802O-1201A</v>
          </cell>
          <cell r="G5796">
            <v>6</v>
          </cell>
          <cell r="H5796" t="str">
            <v>普通真核转录组文库</v>
          </cell>
          <cell r="I5796" t="str">
            <v>TY</v>
          </cell>
          <cell r="J5796">
            <v>13.4</v>
          </cell>
          <cell r="N5796" t="e">
            <v>#DIV/0!</v>
          </cell>
        </row>
        <row r="5797">
          <cell r="E5797" t="str">
            <v>HGC-Lib-2469788</v>
          </cell>
          <cell r="F5797" t="str">
            <v>LR240802O-1202A</v>
          </cell>
          <cell r="G5797">
            <v>6</v>
          </cell>
          <cell r="H5797" t="str">
            <v>普通真核转录组文库</v>
          </cell>
          <cell r="I5797" t="str">
            <v>TY</v>
          </cell>
          <cell r="J5797">
            <v>11.6</v>
          </cell>
          <cell r="N5797" t="e">
            <v>#DIV/0!</v>
          </cell>
        </row>
        <row r="5798">
          <cell r="E5798" t="str">
            <v>HGC-Lib-2469789</v>
          </cell>
          <cell r="F5798" t="str">
            <v>LR240802O-1203A</v>
          </cell>
          <cell r="G5798">
            <v>6</v>
          </cell>
          <cell r="H5798" t="str">
            <v>普通真核转录组文库</v>
          </cell>
          <cell r="I5798" t="str">
            <v>TY</v>
          </cell>
          <cell r="J5798">
            <v>14.8</v>
          </cell>
          <cell r="N5798" t="e">
            <v>#DIV/0!</v>
          </cell>
        </row>
        <row r="5799">
          <cell r="E5799" t="str">
            <v>HGC-Lib-2469790</v>
          </cell>
          <cell r="F5799" t="str">
            <v>LR240802O-1204A</v>
          </cell>
          <cell r="G5799">
            <v>6</v>
          </cell>
          <cell r="H5799" t="str">
            <v>普通真核转录组文库</v>
          </cell>
          <cell r="I5799" t="str">
            <v>TY</v>
          </cell>
          <cell r="J5799">
            <v>11.2</v>
          </cell>
          <cell r="N5799" t="e">
            <v>#DIV/0!</v>
          </cell>
        </row>
        <row r="5800">
          <cell r="E5800" t="str">
            <v>HGC-Lib-2469791</v>
          </cell>
          <cell r="F5800" t="str">
            <v>LR240802O-1205A</v>
          </cell>
          <cell r="G5800">
            <v>6</v>
          </cell>
          <cell r="H5800" t="str">
            <v>普通真核转录组文库</v>
          </cell>
          <cell r="I5800" t="str">
            <v>TY</v>
          </cell>
          <cell r="J5800">
            <v>13.6</v>
          </cell>
          <cell r="N5800" t="e">
            <v>#DIV/0!</v>
          </cell>
        </row>
        <row r="5801">
          <cell r="E5801" t="str">
            <v>HGC-Lib-2469792</v>
          </cell>
          <cell r="F5801" t="str">
            <v>LR240802O-1206A</v>
          </cell>
          <cell r="G5801">
            <v>6</v>
          </cell>
          <cell r="H5801" t="str">
            <v>普通真核转录组文库</v>
          </cell>
          <cell r="I5801" t="str">
            <v>TY</v>
          </cell>
          <cell r="J5801">
            <v>16</v>
          </cell>
          <cell r="N5801" t="e">
            <v>#DIV/0!</v>
          </cell>
        </row>
        <row r="5802">
          <cell r="E5802" t="str">
            <v>HGC-Lib-2469793</v>
          </cell>
          <cell r="F5802" t="str">
            <v>LR240802O-1207A</v>
          </cell>
          <cell r="G5802">
            <v>6</v>
          </cell>
          <cell r="H5802" t="str">
            <v>普通真核转录组文库</v>
          </cell>
          <cell r="I5802" t="str">
            <v>TY</v>
          </cell>
          <cell r="J5802">
            <v>12.7</v>
          </cell>
          <cell r="N5802" t="e">
            <v>#DIV/0!</v>
          </cell>
        </row>
        <row r="5803">
          <cell r="E5803" t="str">
            <v>HGC-Lib-2469794</v>
          </cell>
          <cell r="F5803" t="str">
            <v>LR240802O-1209A</v>
          </cell>
          <cell r="G5803">
            <v>6</v>
          </cell>
          <cell r="H5803" t="str">
            <v>普通真核转录组文库</v>
          </cell>
          <cell r="I5803" t="str">
            <v>TY</v>
          </cell>
          <cell r="J5803">
            <v>6.52</v>
          </cell>
          <cell r="N5803" t="e">
            <v>#DIV/0!</v>
          </cell>
        </row>
        <row r="5804">
          <cell r="E5804" t="str">
            <v>HGC-Lib-2469795</v>
          </cell>
          <cell r="F5804" t="str">
            <v>LR240802O-1210A</v>
          </cell>
          <cell r="G5804">
            <v>6</v>
          </cell>
          <cell r="H5804" t="str">
            <v>普通真核转录组文库</v>
          </cell>
          <cell r="I5804" t="str">
            <v>TY</v>
          </cell>
          <cell r="J5804">
            <v>75.599999999999994</v>
          </cell>
          <cell r="N5804" t="e">
            <v>#DIV/0!</v>
          </cell>
        </row>
        <row r="5805">
          <cell r="E5805" t="str">
            <v>HGC-Lib-2469796</v>
          </cell>
          <cell r="F5805" t="str">
            <v>LR240802O-1211A</v>
          </cell>
          <cell r="G5805">
            <v>6</v>
          </cell>
          <cell r="H5805" t="str">
            <v>普通真核转录组文库</v>
          </cell>
          <cell r="I5805" t="str">
            <v>TY</v>
          </cell>
          <cell r="J5805">
            <v>15.2</v>
          </cell>
          <cell r="N5805" t="e">
            <v>#DIV/0!</v>
          </cell>
        </row>
        <row r="5806">
          <cell r="E5806" t="str">
            <v>HGC-Lib-2469797</v>
          </cell>
          <cell r="F5806" t="str">
            <v>LR240802O-1212A</v>
          </cell>
          <cell r="G5806">
            <v>6</v>
          </cell>
          <cell r="H5806" t="str">
            <v>普通真核转录组文库</v>
          </cell>
          <cell r="I5806" t="str">
            <v>TY</v>
          </cell>
          <cell r="J5806">
            <v>12.9</v>
          </cell>
          <cell r="N5806" t="e">
            <v>#DIV/0!</v>
          </cell>
        </row>
        <row r="5807">
          <cell r="E5807" t="str">
            <v>HGC-Lib-2469798</v>
          </cell>
          <cell r="F5807" t="str">
            <v>LR240802O-1213A</v>
          </cell>
          <cell r="G5807">
            <v>6</v>
          </cell>
          <cell r="H5807" t="str">
            <v>普通真核转录组文库</v>
          </cell>
          <cell r="I5807" t="str">
            <v>TY</v>
          </cell>
          <cell r="J5807">
            <v>10.5</v>
          </cell>
          <cell r="N5807" t="e">
            <v>#DIV/0!</v>
          </cell>
        </row>
        <row r="5808">
          <cell r="E5808" t="str">
            <v>HGC-Lib-2469799</v>
          </cell>
          <cell r="F5808" t="str">
            <v>LR240802O-1214A</v>
          </cell>
          <cell r="G5808">
            <v>6</v>
          </cell>
          <cell r="H5808" t="str">
            <v>普通真核转录组文库</v>
          </cell>
          <cell r="I5808" t="str">
            <v>TY</v>
          </cell>
          <cell r="J5808">
            <v>19.8</v>
          </cell>
          <cell r="N5808" t="e">
            <v>#DIV/0!</v>
          </cell>
        </row>
        <row r="5809">
          <cell r="E5809" t="str">
            <v>HGC-Lib-2469800</v>
          </cell>
          <cell r="F5809" t="str">
            <v>LR240802O-1215A</v>
          </cell>
          <cell r="G5809">
            <v>6</v>
          </cell>
          <cell r="H5809" t="str">
            <v>普通真核转录组文库</v>
          </cell>
          <cell r="I5809" t="str">
            <v>TY</v>
          </cell>
          <cell r="J5809">
            <v>12.7</v>
          </cell>
          <cell r="N5809" t="e">
            <v>#DIV/0!</v>
          </cell>
        </row>
        <row r="5810">
          <cell r="E5810" t="str">
            <v>HGC-Lib-2469801</v>
          </cell>
          <cell r="F5810" t="str">
            <v>LR240802O-1216A</v>
          </cell>
          <cell r="G5810">
            <v>6</v>
          </cell>
          <cell r="H5810" t="str">
            <v>普通真核转录组文库</v>
          </cell>
          <cell r="I5810" t="str">
            <v>XCL</v>
          </cell>
          <cell r="J5810">
            <v>11.2</v>
          </cell>
          <cell r="N5810" t="e">
            <v>#DIV/0!</v>
          </cell>
        </row>
        <row r="5811">
          <cell r="E5811" t="str">
            <v>HGC-Lib-2469802</v>
          </cell>
          <cell r="F5811" t="str">
            <v>LR240802O-1217A</v>
          </cell>
          <cell r="G5811">
            <v>6</v>
          </cell>
          <cell r="H5811" t="str">
            <v>普通真核转录组文库</v>
          </cell>
          <cell r="I5811" t="str">
            <v>XCL</v>
          </cell>
          <cell r="J5811">
            <v>10.199999999999999</v>
          </cell>
          <cell r="N5811" t="e">
            <v>#DIV/0!</v>
          </cell>
        </row>
        <row r="5812">
          <cell r="E5812" t="str">
            <v>HGC-Lib-2469803</v>
          </cell>
          <cell r="F5812" t="str">
            <v>LR240802O-1218A</v>
          </cell>
          <cell r="G5812">
            <v>6</v>
          </cell>
          <cell r="H5812" t="str">
            <v>普通真核转录组文库</v>
          </cell>
          <cell r="I5812" t="str">
            <v>XCL</v>
          </cell>
          <cell r="J5812">
            <v>18.5</v>
          </cell>
          <cell r="N5812" t="e">
            <v>#DIV/0!</v>
          </cell>
        </row>
        <row r="5813">
          <cell r="E5813" t="str">
            <v>HGC-Lib-2469804</v>
          </cell>
          <cell r="F5813" t="str">
            <v>LR240802O-1219A</v>
          </cell>
          <cell r="G5813">
            <v>6</v>
          </cell>
          <cell r="H5813" t="str">
            <v>普通真核转录组文库</v>
          </cell>
          <cell r="I5813" t="str">
            <v>XCL</v>
          </cell>
          <cell r="J5813">
            <v>13.8</v>
          </cell>
          <cell r="N5813" t="e">
            <v>#DIV/0!</v>
          </cell>
        </row>
        <row r="5814">
          <cell r="E5814" t="str">
            <v>HGC-Lib-2469805</v>
          </cell>
          <cell r="F5814" t="str">
            <v>LR240802O-1220A</v>
          </cell>
          <cell r="G5814">
            <v>6</v>
          </cell>
          <cell r="H5814" t="str">
            <v>普通真核转录组文库</v>
          </cell>
          <cell r="I5814" t="str">
            <v>XCL</v>
          </cell>
          <cell r="J5814">
            <v>18</v>
          </cell>
          <cell r="N5814" t="e">
            <v>#DIV/0!</v>
          </cell>
        </row>
        <row r="5815">
          <cell r="E5815" t="str">
            <v>HGC-Lib-2469806</v>
          </cell>
          <cell r="F5815" t="str">
            <v>LR240802O-1221A</v>
          </cell>
          <cell r="G5815">
            <v>6</v>
          </cell>
          <cell r="H5815" t="str">
            <v>普通真核转录组文库</v>
          </cell>
          <cell r="I5815" t="str">
            <v>XCL</v>
          </cell>
          <cell r="J5815">
            <v>14.6</v>
          </cell>
          <cell r="N5815" t="e">
            <v>#DIV/0!</v>
          </cell>
        </row>
        <row r="5816">
          <cell r="E5816" t="str">
            <v>HGC-Lib-2469807</v>
          </cell>
          <cell r="F5816" t="str">
            <v>LR240802O-1222A</v>
          </cell>
          <cell r="G5816">
            <v>6</v>
          </cell>
          <cell r="H5816" t="str">
            <v>普通真核转录组文库</v>
          </cell>
          <cell r="I5816" t="str">
            <v>XCL</v>
          </cell>
          <cell r="J5816">
            <v>16.8</v>
          </cell>
          <cell r="N5816" t="e">
            <v>#DIV/0!</v>
          </cell>
        </row>
        <row r="5817">
          <cell r="E5817" t="str">
            <v>HGC-Lib-2469808</v>
          </cell>
          <cell r="F5817" t="str">
            <v>LR240807O-3274A</v>
          </cell>
          <cell r="G5817">
            <v>20</v>
          </cell>
          <cell r="H5817" t="str">
            <v>宏转录组文库</v>
          </cell>
          <cell r="I5817" t="str">
            <v>XCL</v>
          </cell>
          <cell r="J5817">
            <v>18.5</v>
          </cell>
          <cell r="N5817" t="e">
            <v>#DIV/0!</v>
          </cell>
        </row>
        <row r="5818">
          <cell r="E5818" t="str">
            <v>HGC-Lib-2469809</v>
          </cell>
          <cell r="F5818" t="str">
            <v>LR240814R-0006A</v>
          </cell>
          <cell r="G5818">
            <v>10</v>
          </cell>
          <cell r="H5818" t="str">
            <v>RNA病毒基因组文库</v>
          </cell>
          <cell r="I5818" t="str">
            <v>XCL</v>
          </cell>
          <cell r="J5818">
            <v>2.52</v>
          </cell>
          <cell r="N5818" t="e">
            <v>#DIV/0!</v>
          </cell>
        </row>
        <row r="5819">
          <cell r="E5819" t="str">
            <v>HGC-Lib-2469810</v>
          </cell>
          <cell r="F5819" t="str">
            <v>LR240814R-0007A</v>
          </cell>
          <cell r="G5819">
            <v>10</v>
          </cell>
          <cell r="H5819" t="str">
            <v>RNA病毒基因组文库</v>
          </cell>
          <cell r="I5819" t="str">
            <v>XCL</v>
          </cell>
          <cell r="J5819">
            <v>2.1800000000000002</v>
          </cell>
          <cell r="N5819" t="e">
            <v>#DIV/0!</v>
          </cell>
        </row>
        <row r="5820">
          <cell r="E5820" t="str">
            <v>HGC-Lib-2469811</v>
          </cell>
          <cell r="F5820" t="str">
            <v>LR240814R-0008A</v>
          </cell>
          <cell r="G5820">
            <v>10</v>
          </cell>
          <cell r="H5820" t="str">
            <v>RNA病毒基因组文库</v>
          </cell>
          <cell r="I5820" t="str">
            <v>XCL</v>
          </cell>
          <cell r="J5820">
            <v>1.25</v>
          </cell>
          <cell r="N5820" t="e">
            <v>#DIV/0!</v>
          </cell>
        </row>
        <row r="5821">
          <cell r="E5821" t="str">
            <v>HGC-Lib-2469812</v>
          </cell>
          <cell r="F5821" t="str">
            <v>LD240530O-2529B</v>
          </cell>
          <cell r="G5821">
            <v>10</v>
          </cell>
          <cell r="H5821" t="str">
            <v>DNA宏基因组文库</v>
          </cell>
          <cell r="I5821" t="str">
            <v>XCL</v>
          </cell>
          <cell r="J5821">
            <v>34.799999999999997</v>
          </cell>
          <cell r="N5821" t="e">
            <v>#DIV/0!</v>
          </cell>
        </row>
        <row r="5822">
          <cell r="E5822" t="str">
            <v>HGC-Lib-2469813</v>
          </cell>
          <cell r="F5822" t="str">
            <v>LD240530O-2530B</v>
          </cell>
          <cell r="G5822">
            <v>10</v>
          </cell>
          <cell r="H5822" t="str">
            <v>DNA宏基因组文库</v>
          </cell>
          <cell r="I5822" t="str">
            <v>XCL</v>
          </cell>
          <cell r="J5822">
            <v>57.4</v>
          </cell>
          <cell r="N5822" t="e">
            <v>#DIV/0!</v>
          </cell>
        </row>
        <row r="5823">
          <cell r="E5823" t="str">
            <v>HGC-Lib-2469814</v>
          </cell>
          <cell r="F5823" t="str">
            <v>LD240530O-2531B</v>
          </cell>
          <cell r="G5823">
            <v>10</v>
          </cell>
          <cell r="H5823" t="str">
            <v>DNA宏基因组文库</v>
          </cell>
          <cell r="I5823" t="str">
            <v>XCL</v>
          </cell>
          <cell r="J5823">
            <v>58.2</v>
          </cell>
          <cell r="N5823" t="e">
            <v>#DIV/0!</v>
          </cell>
        </row>
        <row r="5824">
          <cell r="E5824" t="str">
            <v>HGC-Lib-2469815</v>
          </cell>
          <cell r="F5824" t="str">
            <v>LD240807O-3772B</v>
          </cell>
          <cell r="G5824">
            <v>30</v>
          </cell>
          <cell r="H5824" t="str">
            <v>DNA宏基因组文库</v>
          </cell>
          <cell r="I5824" t="str">
            <v>XCL</v>
          </cell>
          <cell r="J5824">
            <v>77.400000000000006</v>
          </cell>
          <cell r="N5824" t="e">
            <v>#DIV/0!</v>
          </cell>
        </row>
        <row r="5825">
          <cell r="E5825" t="str">
            <v>HGC-Lib-2469816</v>
          </cell>
          <cell r="F5825" t="str">
            <v>LD240807O-3773B</v>
          </cell>
          <cell r="G5825">
            <v>30</v>
          </cell>
          <cell r="H5825" t="str">
            <v>DNA宏基因组文库</v>
          </cell>
          <cell r="I5825" t="str">
            <v>XCL</v>
          </cell>
          <cell r="J5825">
            <v>29.4</v>
          </cell>
          <cell r="N5825" t="e">
            <v>#DIV/0!</v>
          </cell>
        </row>
        <row r="5826">
          <cell r="E5826" t="str">
            <v>HGC-Lib-2469817</v>
          </cell>
          <cell r="F5826" t="str">
            <v>LD240807O-3774B</v>
          </cell>
          <cell r="G5826">
            <v>30</v>
          </cell>
          <cell r="H5826" t="str">
            <v>DNA宏基因组文库</v>
          </cell>
          <cell r="I5826" t="str">
            <v>XCL</v>
          </cell>
          <cell r="J5826">
            <v>93</v>
          </cell>
          <cell r="N5826" t="e">
            <v>#DIV/0!</v>
          </cell>
        </row>
        <row r="5827">
          <cell r="E5827" t="str">
            <v>HGC-Lib-2469818</v>
          </cell>
          <cell r="F5827" t="str">
            <v>LD240807O-3775B</v>
          </cell>
          <cell r="G5827">
            <v>30</v>
          </cell>
          <cell r="H5827" t="str">
            <v>DNA宏基因组文库</v>
          </cell>
          <cell r="I5827" t="str">
            <v>XCL</v>
          </cell>
          <cell r="J5827">
            <v>30.6</v>
          </cell>
          <cell r="N5827" t="e">
            <v>#DIV/0!</v>
          </cell>
        </row>
        <row r="5828">
          <cell r="E5828" t="str">
            <v>HGC-Lib-2469819</v>
          </cell>
          <cell r="F5828" t="str">
            <v>LD240807O-3776B</v>
          </cell>
          <cell r="G5828">
            <v>30</v>
          </cell>
          <cell r="H5828" t="str">
            <v>DNA宏基因组文库</v>
          </cell>
          <cell r="I5828" t="str">
            <v>XCL</v>
          </cell>
          <cell r="J5828">
            <v>110</v>
          </cell>
          <cell r="N5828" t="e">
            <v>#DIV/0!</v>
          </cell>
        </row>
        <row r="5829">
          <cell r="E5829" t="str">
            <v>HGC-Lib-2469820</v>
          </cell>
          <cell r="F5829" t="str">
            <v>LD240807O-3777B</v>
          </cell>
          <cell r="G5829">
            <v>30</v>
          </cell>
          <cell r="H5829" t="str">
            <v>DNA宏基因组文库</v>
          </cell>
          <cell r="I5829" t="str">
            <v>XCL</v>
          </cell>
          <cell r="J5829">
            <v>88.4</v>
          </cell>
          <cell r="N5829" t="e">
            <v>#DIV/0!</v>
          </cell>
        </row>
        <row r="5830">
          <cell r="E5830" t="str">
            <v>HGC-Lib-2469821</v>
          </cell>
          <cell r="F5830" t="str">
            <v>LD240807O-3778B</v>
          </cell>
          <cell r="G5830">
            <v>30</v>
          </cell>
          <cell r="H5830" t="str">
            <v>DNA宏基因组文库</v>
          </cell>
          <cell r="I5830" t="str">
            <v>XCL</v>
          </cell>
          <cell r="J5830">
            <v>26.6</v>
          </cell>
          <cell r="N5830" t="e">
            <v>#DIV/0!</v>
          </cell>
        </row>
        <row r="5831">
          <cell r="E5831" t="str">
            <v>HGC-Lib-2469822</v>
          </cell>
          <cell r="F5831" t="str">
            <v>LD240812D-0455B</v>
          </cell>
          <cell r="G5831">
            <v>20</v>
          </cell>
          <cell r="H5831" t="str">
            <v>DNA宏基因组文库</v>
          </cell>
          <cell r="I5831" t="str">
            <v>XCL</v>
          </cell>
          <cell r="J5831">
            <v>77</v>
          </cell>
          <cell r="N5831" t="e">
            <v>#DIV/0!</v>
          </cell>
        </row>
        <row r="5832">
          <cell r="E5832" t="str">
            <v>HGC-Lib-2469823</v>
          </cell>
          <cell r="F5832" t="str">
            <v>LR240802O-1337B</v>
          </cell>
          <cell r="G5832">
            <v>6</v>
          </cell>
          <cell r="H5832" t="str">
            <v>普通真核转录组文库</v>
          </cell>
          <cell r="I5832" t="str">
            <v>XCL</v>
          </cell>
          <cell r="J5832">
            <v>3.74</v>
          </cell>
          <cell r="N5832" t="e">
            <v>#DIV/0!</v>
          </cell>
        </row>
        <row r="5833">
          <cell r="E5833" t="str">
            <v>HGC-Lib-2469824</v>
          </cell>
          <cell r="F5833" t="str">
            <v>LR240806O-2206A</v>
          </cell>
          <cell r="G5833">
            <v>6</v>
          </cell>
          <cell r="H5833" t="str">
            <v>普通真核转录组文库</v>
          </cell>
          <cell r="I5833" t="str">
            <v>XCL</v>
          </cell>
          <cell r="J5833">
            <v>39.6</v>
          </cell>
          <cell r="N5833" t="e">
            <v>#DIV/0!</v>
          </cell>
        </row>
        <row r="5834">
          <cell r="E5834" t="str">
            <v>HGC-Lib-2469825</v>
          </cell>
          <cell r="F5834" t="str">
            <v>LR240806O-2207A</v>
          </cell>
          <cell r="G5834">
            <v>6</v>
          </cell>
          <cell r="H5834" t="str">
            <v>普通真核转录组文库</v>
          </cell>
          <cell r="I5834" t="str">
            <v>GZQ</v>
          </cell>
          <cell r="J5834">
            <v>40.6</v>
          </cell>
          <cell r="N5834" t="e">
            <v>#DIV/0!</v>
          </cell>
        </row>
        <row r="5835">
          <cell r="E5835" t="str">
            <v>HGC-Lib-2469826</v>
          </cell>
          <cell r="F5835" t="str">
            <v>LR240806O-2208A</v>
          </cell>
          <cell r="G5835">
            <v>6</v>
          </cell>
          <cell r="H5835" t="str">
            <v>普通真核转录组文库</v>
          </cell>
          <cell r="I5835" t="str">
            <v>GZQ</v>
          </cell>
          <cell r="J5835">
            <v>40.200000000000003</v>
          </cell>
          <cell r="N5835" t="e">
            <v>#DIV/0!</v>
          </cell>
        </row>
        <row r="5836">
          <cell r="E5836" t="str">
            <v>HGC-Lib-2469827</v>
          </cell>
          <cell r="F5836" t="str">
            <v>LR240806O-2209A</v>
          </cell>
          <cell r="G5836">
            <v>6</v>
          </cell>
          <cell r="H5836" t="str">
            <v>普通真核转录组文库</v>
          </cell>
          <cell r="I5836" t="str">
            <v>GZQ</v>
          </cell>
          <cell r="J5836">
            <v>36</v>
          </cell>
          <cell r="N5836" t="e">
            <v>#DIV/0!</v>
          </cell>
        </row>
        <row r="5837">
          <cell r="E5837" t="str">
            <v>HGC-Lib-2469828</v>
          </cell>
          <cell r="F5837" t="str">
            <v>LR240806O-2210A</v>
          </cell>
          <cell r="G5837">
            <v>6</v>
          </cell>
          <cell r="H5837" t="str">
            <v>普通真核转录组文库</v>
          </cell>
          <cell r="I5837" t="str">
            <v>GZQ</v>
          </cell>
          <cell r="J5837">
            <v>71.599999999999994</v>
          </cell>
          <cell r="N5837" t="e">
            <v>#DIV/0!</v>
          </cell>
        </row>
        <row r="5838">
          <cell r="E5838" t="str">
            <v>HGC-Lib-2469829</v>
          </cell>
          <cell r="F5838" t="str">
            <v>LR240806O-2211A</v>
          </cell>
          <cell r="G5838">
            <v>6</v>
          </cell>
          <cell r="H5838" t="str">
            <v>普通真核转录组文库</v>
          </cell>
          <cell r="I5838" t="str">
            <v>GZQ</v>
          </cell>
          <cell r="J5838">
            <v>11.2</v>
          </cell>
          <cell r="N5838" t="e">
            <v>#DIV/0!</v>
          </cell>
        </row>
        <row r="5839">
          <cell r="E5839" t="str">
            <v>HGC-Lib-2469830</v>
          </cell>
          <cell r="F5839" t="str">
            <v>LR240806O-2212A</v>
          </cell>
          <cell r="G5839">
            <v>6</v>
          </cell>
          <cell r="H5839" t="str">
            <v>普通真核转录组文库</v>
          </cell>
          <cell r="I5839" t="str">
            <v>GZQ</v>
          </cell>
          <cell r="J5839">
            <v>28.8</v>
          </cell>
          <cell r="N5839" t="e">
            <v>#DIV/0!</v>
          </cell>
        </row>
        <row r="5840">
          <cell r="E5840" t="str">
            <v>HGC-Lib-2469831</v>
          </cell>
          <cell r="F5840" t="str">
            <v>LR240806O-2213A</v>
          </cell>
          <cell r="G5840">
            <v>6</v>
          </cell>
          <cell r="H5840" t="str">
            <v>普通真核转录组文库</v>
          </cell>
          <cell r="I5840" t="str">
            <v>GZQ</v>
          </cell>
          <cell r="J5840">
            <v>34.4</v>
          </cell>
          <cell r="N5840" t="e">
            <v>#DIV/0!</v>
          </cell>
        </row>
        <row r="5841">
          <cell r="E5841" t="str">
            <v>HGC-Lib-2469832</v>
          </cell>
          <cell r="F5841" t="str">
            <v>LR240815R-0040B</v>
          </cell>
          <cell r="G5841">
            <v>6</v>
          </cell>
          <cell r="H5841" t="str">
            <v>普通真核转录组文库</v>
          </cell>
          <cell r="I5841" t="str">
            <v>GZQ</v>
          </cell>
          <cell r="J5841">
            <v>29.6</v>
          </cell>
          <cell r="N5841" t="e">
            <v>#DIV/0!</v>
          </cell>
        </row>
        <row r="5842">
          <cell r="E5842" t="str">
            <v>HGC-Lib-2469833</v>
          </cell>
          <cell r="F5842" t="str">
            <v>LR240815R-0041B</v>
          </cell>
          <cell r="G5842">
            <v>6</v>
          </cell>
          <cell r="H5842" t="str">
            <v>普通真核转录组文库</v>
          </cell>
          <cell r="I5842" t="str">
            <v>GZQ</v>
          </cell>
          <cell r="J5842">
            <v>4.5</v>
          </cell>
          <cell r="N5842" t="e">
            <v>#DIV/0!</v>
          </cell>
        </row>
        <row r="5843">
          <cell r="E5843" t="str">
            <v>HGC-Lib-2469834</v>
          </cell>
          <cell r="F5843" t="str">
            <v>LR240815R-0042B</v>
          </cell>
          <cell r="G5843">
            <v>6</v>
          </cell>
          <cell r="H5843" t="str">
            <v>普通真核转录组文库</v>
          </cell>
          <cell r="I5843" t="str">
            <v>GZQ</v>
          </cell>
          <cell r="J5843">
            <v>17.7</v>
          </cell>
          <cell r="N5843" t="e">
            <v>#DIV/0!</v>
          </cell>
        </row>
        <row r="5844">
          <cell r="E5844" t="str">
            <v>HGC-Lib-2469835</v>
          </cell>
          <cell r="F5844" t="str">
            <v>LR240815R-0043B</v>
          </cell>
          <cell r="G5844">
            <v>6</v>
          </cell>
          <cell r="H5844" t="str">
            <v>普通真核转录组文库</v>
          </cell>
          <cell r="I5844" t="str">
            <v>GZQ</v>
          </cell>
          <cell r="J5844">
            <v>18.899999999999999</v>
          </cell>
          <cell r="N5844" t="e">
            <v>#DIV/0!</v>
          </cell>
        </row>
        <row r="5845">
          <cell r="E5845" t="str">
            <v>HGC-Lib-2469836</v>
          </cell>
          <cell r="F5845" t="str">
            <v>LD240315O-2590A</v>
          </cell>
          <cell r="G5845">
            <v>20</v>
          </cell>
          <cell r="H5845" t="str">
            <v>DNA宏基因组文库</v>
          </cell>
          <cell r="I5845" t="str">
            <v>GZQ</v>
          </cell>
          <cell r="J5845">
            <v>88.6</v>
          </cell>
          <cell r="N5845" t="e">
            <v>#DIV/0!</v>
          </cell>
        </row>
        <row r="5846">
          <cell r="E5846" t="str">
            <v>HGC-Lib-2469837</v>
          </cell>
          <cell r="F5846" t="str">
            <v>LD240315O-2591A</v>
          </cell>
          <cell r="G5846">
            <v>20</v>
          </cell>
          <cell r="H5846" t="str">
            <v>DNA宏基因组文库</v>
          </cell>
          <cell r="I5846" t="str">
            <v>GZQ</v>
          </cell>
          <cell r="J5846">
            <v>59.4</v>
          </cell>
          <cell r="N5846" t="e">
            <v>#DIV/0!</v>
          </cell>
        </row>
        <row r="5847">
          <cell r="E5847" t="str">
            <v>HGC-Lib-2469838</v>
          </cell>
          <cell r="F5847" t="str">
            <v>LD240315O-2592A</v>
          </cell>
          <cell r="G5847">
            <v>20</v>
          </cell>
          <cell r="H5847" t="str">
            <v>DNA宏基因组文库</v>
          </cell>
          <cell r="I5847" t="str">
            <v>GZQ</v>
          </cell>
          <cell r="J5847">
            <v>64.400000000000006</v>
          </cell>
          <cell r="N5847" t="e">
            <v>#DIV/0!</v>
          </cell>
        </row>
        <row r="5848">
          <cell r="E5848" t="str">
            <v>HGC-Lib-2469839</v>
          </cell>
          <cell r="F5848" t="str">
            <v>LD240315O-2593A</v>
          </cell>
          <cell r="G5848">
            <v>20</v>
          </cell>
          <cell r="H5848" t="str">
            <v>DNA宏基因组文库</v>
          </cell>
          <cell r="I5848" t="str">
            <v>GZQ</v>
          </cell>
          <cell r="J5848">
            <v>69.8</v>
          </cell>
          <cell r="N5848" t="e">
            <v>#DIV/0!</v>
          </cell>
        </row>
        <row r="5849">
          <cell r="E5849" t="str">
            <v>HGC-Lib-2469840</v>
          </cell>
          <cell r="F5849" t="str">
            <v>LD240315O-2594A</v>
          </cell>
          <cell r="G5849">
            <v>20</v>
          </cell>
          <cell r="H5849" t="str">
            <v>DNA宏基因组文库</v>
          </cell>
          <cell r="I5849" t="str">
            <v>GZQ</v>
          </cell>
          <cell r="J5849">
            <v>51.4</v>
          </cell>
          <cell r="N5849" t="e">
            <v>#DIV/0!</v>
          </cell>
        </row>
        <row r="5850">
          <cell r="E5850" t="str">
            <v>HGC-Lib-2469841</v>
          </cell>
          <cell r="F5850" t="str">
            <v>LD240315O-2595A</v>
          </cell>
          <cell r="G5850">
            <v>20</v>
          </cell>
          <cell r="H5850" t="str">
            <v>DNA宏基因组文库</v>
          </cell>
          <cell r="I5850" t="str">
            <v>GZQ</v>
          </cell>
          <cell r="J5850">
            <v>57.4</v>
          </cell>
          <cell r="N5850" t="e">
            <v>#DIV/0!</v>
          </cell>
        </row>
        <row r="5851">
          <cell r="E5851" t="str">
            <v>HGC-Lib-2469842</v>
          </cell>
          <cell r="F5851" t="str">
            <v>LD240802O-1312A</v>
          </cell>
          <cell r="G5851">
            <v>15</v>
          </cell>
          <cell r="H5851" t="str">
            <v>DNA宏基因组文库</v>
          </cell>
          <cell r="I5851" t="str">
            <v>GZQ</v>
          </cell>
          <cell r="J5851">
            <v>52</v>
          </cell>
          <cell r="N5851" t="e">
            <v>#DIV/0!</v>
          </cell>
        </row>
        <row r="5852">
          <cell r="E5852" t="str">
            <v>HGC-Lib-2469843</v>
          </cell>
          <cell r="F5852" t="str">
            <v>LD240802O-1313A</v>
          </cell>
          <cell r="G5852">
            <v>15</v>
          </cell>
          <cell r="H5852" t="str">
            <v>DNA宏基因组文库</v>
          </cell>
          <cell r="I5852" t="str">
            <v>GZQ</v>
          </cell>
          <cell r="J5852">
            <v>60.6</v>
          </cell>
          <cell r="N5852" t="e">
            <v>#DIV/0!</v>
          </cell>
        </row>
        <row r="5853">
          <cell r="E5853" t="str">
            <v>HGC-Lib-2469844</v>
          </cell>
          <cell r="F5853" t="str">
            <v>LD240802O-1314A</v>
          </cell>
          <cell r="G5853">
            <v>15</v>
          </cell>
          <cell r="H5853" t="str">
            <v>DNA宏基因组文库</v>
          </cell>
          <cell r="I5853" t="str">
            <v>GZQ</v>
          </cell>
          <cell r="J5853">
            <v>24.6</v>
          </cell>
          <cell r="N5853" t="e">
            <v>#DIV/0!</v>
          </cell>
        </row>
        <row r="5854">
          <cell r="E5854" t="str">
            <v>HGC-Lib-2469845</v>
          </cell>
          <cell r="F5854" t="str">
            <v>LD240802O-1315A</v>
          </cell>
          <cell r="G5854">
            <v>15</v>
          </cell>
          <cell r="H5854" t="str">
            <v>DNA宏基因组文库</v>
          </cell>
          <cell r="I5854" t="str">
            <v>GZQ</v>
          </cell>
          <cell r="J5854">
            <v>43.4</v>
          </cell>
          <cell r="N5854" t="e">
            <v>#DIV/0!</v>
          </cell>
        </row>
        <row r="5855">
          <cell r="E5855" t="str">
            <v>HGC-Lib-2469846</v>
          </cell>
          <cell r="F5855" t="str">
            <v>LD240802O-1316A</v>
          </cell>
          <cell r="G5855">
            <v>15</v>
          </cell>
          <cell r="H5855" t="str">
            <v>DNA宏基因组文库</v>
          </cell>
          <cell r="I5855" t="str">
            <v>GZQ</v>
          </cell>
          <cell r="J5855">
            <v>37.799999999999997</v>
          </cell>
          <cell r="N5855" t="e">
            <v>#DIV/0!</v>
          </cell>
        </row>
        <row r="5856">
          <cell r="E5856" t="str">
            <v>HGC-Lib-2469847</v>
          </cell>
          <cell r="F5856" t="str">
            <v>LD240802O-1317A</v>
          </cell>
          <cell r="G5856">
            <v>15</v>
          </cell>
          <cell r="H5856" t="str">
            <v>DNA宏基因组文库</v>
          </cell>
          <cell r="I5856" t="str">
            <v>GZQ</v>
          </cell>
          <cell r="J5856">
            <v>45</v>
          </cell>
          <cell r="N5856" t="e">
            <v>#DIV/0!</v>
          </cell>
        </row>
        <row r="5857">
          <cell r="E5857" t="str">
            <v>HGC-Lib-2469848</v>
          </cell>
          <cell r="F5857" t="str">
            <v>LD240802O-1318A</v>
          </cell>
          <cell r="G5857">
            <v>15</v>
          </cell>
          <cell r="H5857" t="str">
            <v>DNA宏基因组文库</v>
          </cell>
          <cell r="I5857" t="str">
            <v>GZQ</v>
          </cell>
          <cell r="J5857">
            <v>37.4</v>
          </cell>
          <cell r="N5857" t="e">
            <v>#DIV/0!</v>
          </cell>
        </row>
        <row r="5858">
          <cell r="E5858" t="str">
            <v>HGC-Lib-2469849</v>
          </cell>
          <cell r="F5858" t="str">
            <v>LD240802O-1319A</v>
          </cell>
          <cell r="G5858">
            <v>15</v>
          </cell>
          <cell r="H5858" t="str">
            <v>DNA宏基因组文库</v>
          </cell>
          <cell r="I5858" t="str">
            <v>GZQ</v>
          </cell>
          <cell r="J5858">
            <v>58.6</v>
          </cell>
          <cell r="N5858" t="e">
            <v>#DIV/0!</v>
          </cell>
        </row>
        <row r="5859">
          <cell r="E5859" t="str">
            <v>HGC-Lib-2469850</v>
          </cell>
          <cell r="F5859" t="str">
            <v>LD240802O-1320A</v>
          </cell>
          <cell r="G5859">
            <v>15</v>
          </cell>
          <cell r="H5859" t="str">
            <v>DNA宏基因组文库</v>
          </cell>
          <cell r="I5859" t="str">
            <v>GZQ</v>
          </cell>
          <cell r="J5859">
            <v>61.4</v>
          </cell>
          <cell r="N5859" t="e">
            <v>#DIV/0!</v>
          </cell>
        </row>
        <row r="5860">
          <cell r="E5860" t="str">
            <v>HGC-Lib-2469851</v>
          </cell>
          <cell r="F5860" t="str">
            <v>LD240802O-1321A</v>
          </cell>
          <cell r="G5860">
            <v>15</v>
          </cell>
          <cell r="H5860" t="str">
            <v>DNA宏基因组文库</v>
          </cell>
          <cell r="I5860" t="str">
            <v>GZQ</v>
          </cell>
          <cell r="J5860">
            <v>74</v>
          </cell>
          <cell r="N5860" t="e">
            <v>#DIV/0!</v>
          </cell>
        </row>
        <row r="5861">
          <cell r="E5861" t="str">
            <v>HGC-Lib-2469852</v>
          </cell>
          <cell r="F5861" t="str">
            <v>LD240802O-1322A</v>
          </cell>
          <cell r="G5861">
            <v>15</v>
          </cell>
          <cell r="H5861" t="str">
            <v>DNA宏基因组文库</v>
          </cell>
          <cell r="I5861" t="str">
            <v>GZQ</v>
          </cell>
          <cell r="J5861">
            <v>49</v>
          </cell>
          <cell r="N5861" t="e">
            <v>#DIV/0!</v>
          </cell>
        </row>
        <row r="5862">
          <cell r="E5862" t="str">
            <v>HGC-Lib-2469853</v>
          </cell>
          <cell r="F5862" t="str">
            <v>LD240802O-1323A</v>
          </cell>
          <cell r="G5862">
            <v>15</v>
          </cell>
          <cell r="H5862" t="str">
            <v>DNA宏基因组文库</v>
          </cell>
          <cell r="I5862" t="str">
            <v>GZQ</v>
          </cell>
          <cell r="J5862">
            <v>45.2</v>
          </cell>
          <cell r="N5862" t="e">
            <v>#DIV/0!</v>
          </cell>
        </row>
        <row r="5863">
          <cell r="E5863" t="str">
            <v>HGC-Lib-2469854</v>
          </cell>
          <cell r="F5863" t="str">
            <v>LD240802O-1324A</v>
          </cell>
          <cell r="G5863">
            <v>15</v>
          </cell>
          <cell r="H5863" t="str">
            <v>DNA宏基因组文库</v>
          </cell>
          <cell r="I5863" t="str">
            <v>GZQ</v>
          </cell>
          <cell r="J5863">
            <v>35.6</v>
          </cell>
          <cell r="N5863" t="e">
            <v>#DIV/0!</v>
          </cell>
        </row>
        <row r="5864">
          <cell r="E5864" t="str">
            <v>HGC-Lib-2469855</v>
          </cell>
          <cell r="F5864" t="str">
            <v>LD240802O-1325A</v>
          </cell>
          <cell r="G5864">
            <v>15</v>
          </cell>
          <cell r="H5864" t="str">
            <v>DNA宏基因组文库</v>
          </cell>
          <cell r="I5864" t="str">
            <v>GZQ</v>
          </cell>
          <cell r="J5864">
            <v>37</v>
          </cell>
          <cell r="N5864" t="e">
            <v>#DIV/0!</v>
          </cell>
        </row>
        <row r="5865">
          <cell r="E5865" t="str">
            <v>HGC-Lib-2469856</v>
          </cell>
          <cell r="F5865" t="str">
            <v>LD240802O-1326A</v>
          </cell>
          <cell r="G5865">
            <v>15</v>
          </cell>
          <cell r="H5865" t="str">
            <v>DNA宏基因组文库</v>
          </cell>
          <cell r="I5865" t="str">
            <v>GZQ</v>
          </cell>
          <cell r="J5865">
            <v>38.4</v>
          </cell>
          <cell r="N5865" t="e">
            <v>#DIV/0!</v>
          </cell>
        </row>
        <row r="5866">
          <cell r="E5866" t="str">
            <v>HGC-Lib-2469857</v>
          </cell>
          <cell r="F5866" t="str">
            <v>LD240802O-1327A</v>
          </cell>
          <cell r="G5866">
            <v>15</v>
          </cell>
          <cell r="H5866" t="str">
            <v>DNA宏基因组文库</v>
          </cell>
          <cell r="I5866" t="str">
            <v>GZQ</v>
          </cell>
          <cell r="J5866">
            <v>39.6</v>
          </cell>
          <cell r="N5866" t="e">
            <v>#DIV/0!</v>
          </cell>
        </row>
        <row r="5867">
          <cell r="E5867" t="str">
            <v>HGC-Lib-2469858</v>
          </cell>
          <cell r="F5867" t="str">
            <v>LD240802O-1328A</v>
          </cell>
          <cell r="G5867">
            <v>15</v>
          </cell>
          <cell r="H5867" t="str">
            <v>DNA宏基因组文库</v>
          </cell>
          <cell r="I5867" t="str">
            <v>GZQ</v>
          </cell>
          <cell r="J5867">
            <v>43.2</v>
          </cell>
          <cell r="N5867" t="e">
            <v>#DIV/0!</v>
          </cell>
        </row>
        <row r="5868">
          <cell r="E5868" t="str">
            <v>HGC-Lib-2469859</v>
          </cell>
          <cell r="F5868" t="str">
            <v>LD240802O-1329A</v>
          </cell>
          <cell r="G5868">
            <v>15</v>
          </cell>
          <cell r="H5868" t="str">
            <v>DNA宏基因组文库</v>
          </cell>
          <cell r="I5868" t="str">
            <v>GZQ</v>
          </cell>
          <cell r="J5868">
            <v>41</v>
          </cell>
          <cell r="N5868" t="e">
            <v>#DIV/0!</v>
          </cell>
        </row>
        <row r="5869">
          <cell r="E5869" t="str">
            <v>HGC-Lib-2469860</v>
          </cell>
          <cell r="F5869" t="str">
            <v>LD240802O-1330A</v>
          </cell>
          <cell r="G5869">
            <v>15</v>
          </cell>
          <cell r="H5869" t="str">
            <v>DNA宏基因组文库</v>
          </cell>
          <cell r="I5869" t="str">
            <v>GZQ</v>
          </cell>
          <cell r="J5869">
            <v>50.2</v>
          </cell>
          <cell r="N5869" t="e">
            <v>#DIV/0!</v>
          </cell>
        </row>
        <row r="5870">
          <cell r="E5870" t="str">
            <v>HGC-Lib-2469861</v>
          </cell>
          <cell r="F5870" t="str">
            <v>LD240802O-1331A</v>
          </cell>
          <cell r="G5870">
            <v>15</v>
          </cell>
          <cell r="H5870" t="str">
            <v>DNA宏基因组文库</v>
          </cell>
          <cell r="I5870" t="str">
            <v>GZQ</v>
          </cell>
          <cell r="J5870">
            <v>49.4</v>
          </cell>
          <cell r="N5870" t="e">
            <v>#DIV/0!</v>
          </cell>
        </row>
        <row r="5871">
          <cell r="E5871" t="str">
            <v>HGC-Lib-2469862</v>
          </cell>
          <cell r="F5871" t="str">
            <v>LD240802O-1332A</v>
          </cell>
          <cell r="G5871">
            <v>15</v>
          </cell>
          <cell r="H5871" t="str">
            <v>DNA宏基因组文库</v>
          </cell>
          <cell r="I5871" t="str">
            <v>GZQ</v>
          </cell>
          <cell r="J5871">
            <v>54.2</v>
          </cell>
          <cell r="N5871" t="e">
            <v>#DIV/0!</v>
          </cell>
        </row>
        <row r="5872">
          <cell r="E5872" t="str">
            <v>HGC-Lib-2469863</v>
          </cell>
          <cell r="F5872" t="str">
            <v>LD240802O-1333A</v>
          </cell>
          <cell r="G5872">
            <v>15</v>
          </cell>
          <cell r="H5872" t="str">
            <v>DNA宏基因组文库</v>
          </cell>
          <cell r="I5872" t="str">
            <v>GZQ</v>
          </cell>
          <cell r="J5872">
            <v>55.2</v>
          </cell>
          <cell r="N5872" t="e">
            <v>#DIV/0!</v>
          </cell>
        </row>
        <row r="5873">
          <cell r="E5873" t="str">
            <v>HGC-Lib-2469864</v>
          </cell>
          <cell r="F5873" t="str">
            <v>LD240802O-1334A</v>
          </cell>
          <cell r="G5873">
            <v>15</v>
          </cell>
          <cell r="H5873" t="str">
            <v>DNA宏基因组文库</v>
          </cell>
          <cell r="I5873" t="str">
            <v>GZQ</v>
          </cell>
          <cell r="J5873">
            <v>51.2</v>
          </cell>
          <cell r="N5873" t="e">
            <v>#DIV/0!</v>
          </cell>
        </row>
        <row r="5874">
          <cell r="E5874" t="str">
            <v>HGC-Lib-2469865</v>
          </cell>
          <cell r="F5874" t="str">
            <v>LD240802O-1335A</v>
          </cell>
          <cell r="G5874">
            <v>15</v>
          </cell>
          <cell r="H5874" t="str">
            <v>DNA宏基因组文库</v>
          </cell>
          <cell r="I5874" t="str">
            <v>GZQ</v>
          </cell>
          <cell r="J5874">
            <v>31.2</v>
          </cell>
          <cell r="N5874" t="e">
            <v>#DIV/0!</v>
          </cell>
        </row>
        <row r="5875">
          <cell r="E5875" t="str">
            <v>HGC-Lib-2469866</v>
          </cell>
          <cell r="F5875" t="str">
            <v>LD240802O-1336A</v>
          </cell>
          <cell r="G5875">
            <v>15</v>
          </cell>
          <cell r="H5875" t="str">
            <v>DNA宏基因组文库</v>
          </cell>
          <cell r="I5875" t="str">
            <v>GZQ</v>
          </cell>
          <cell r="J5875">
            <v>32.6</v>
          </cell>
          <cell r="N5875" t="e">
            <v>#DIV/0!</v>
          </cell>
        </row>
        <row r="5876">
          <cell r="E5876" t="str">
            <v>HGC-Lib-2469867</v>
          </cell>
          <cell r="F5876" t="str">
            <v>LD240716D-0621B</v>
          </cell>
          <cell r="G5876">
            <v>1</v>
          </cell>
          <cell r="H5876" t="str">
            <v>DNA基因组文库</v>
          </cell>
          <cell r="I5876" t="str">
            <v>GZQ</v>
          </cell>
          <cell r="J5876">
            <v>23.4</v>
          </cell>
          <cell r="N5876" t="e">
            <v>#DIV/0!</v>
          </cell>
        </row>
        <row r="5877">
          <cell r="E5877" t="str">
            <v>HGC-Lib-2469868</v>
          </cell>
          <cell r="F5877" t="str">
            <v>LD240716D-0622B</v>
          </cell>
          <cell r="G5877">
            <v>1</v>
          </cell>
          <cell r="H5877" t="str">
            <v>DNA基因组文库</v>
          </cell>
          <cell r="I5877" t="str">
            <v>GZQ</v>
          </cell>
          <cell r="J5877">
            <v>24</v>
          </cell>
          <cell r="N5877" t="e">
            <v>#DIV/0!</v>
          </cell>
        </row>
        <row r="5878">
          <cell r="E5878" t="str">
            <v>HGC-Lib-2469869</v>
          </cell>
          <cell r="F5878" t="str">
            <v>LD240808O-1760A</v>
          </cell>
          <cell r="G5878">
            <v>1</v>
          </cell>
          <cell r="H5878" t="str">
            <v>DNA基因组文库</v>
          </cell>
          <cell r="I5878" t="str">
            <v>GZQ</v>
          </cell>
          <cell r="J5878">
            <v>42.6</v>
          </cell>
          <cell r="N5878" t="e">
            <v>#DIV/0!</v>
          </cell>
        </row>
        <row r="5879">
          <cell r="E5879" t="str">
            <v>HGC-Lib-2469870</v>
          </cell>
          <cell r="F5879" t="str">
            <v>LD240812O-7802A</v>
          </cell>
          <cell r="G5879">
            <v>1</v>
          </cell>
          <cell r="H5879" t="str">
            <v>DNA基因组文库</v>
          </cell>
          <cell r="I5879" t="str">
            <v>GZQ</v>
          </cell>
          <cell r="J5879">
            <v>33.6</v>
          </cell>
          <cell r="N5879" t="e">
            <v>#DIV/0!</v>
          </cell>
        </row>
        <row r="5880">
          <cell r="E5880" t="str">
            <v>HGC-Lib-2469871</v>
          </cell>
          <cell r="F5880" t="str">
            <v>LD240812O-7803A</v>
          </cell>
          <cell r="G5880">
            <v>1</v>
          </cell>
          <cell r="H5880" t="str">
            <v>DNA基因组文库</v>
          </cell>
          <cell r="I5880" t="str">
            <v>GZQ</v>
          </cell>
          <cell r="J5880">
            <v>29</v>
          </cell>
          <cell r="N5880" t="e">
            <v>#DIV/0!</v>
          </cell>
        </row>
        <row r="5881">
          <cell r="E5881" t="str">
            <v>HGC-Lib-2469872</v>
          </cell>
          <cell r="F5881" t="str">
            <v>LD240812O-7804A</v>
          </cell>
          <cell r="G5881">
            <v>1</v>
          </cell>
          <cell r="H5881" t="str">
            <v>DNA基因组文库</v>
          </cell>
          <cell r="I5881" t="str">
            <v>GZQ</v>
          </cell>
          <cell r="J5881">
            <v>12.9</v>
          </cell>
          <cell r="N5881" t="e">
            <v>#DIV/0!</v>
          </cell>
        </row>
        <row r="5882">
          <cell r="E5882" t="str">
            <v>HGC-Lib-2469873</v>
          </cell>
          <cell r="F5882" t="str">
            <v>LD240812O-7805A</v>
          </cell>
          <cell r="G5882">
            <v>1</v>
          </cell>
          <cell r="H5882" t="str">
            <v>DNA基因组文库</v>
          </cell>
          <cell r="I5882" t="str">
            <v>WWH</v>
          </cell>
          <cell r="J5882">
            <v>8.6999999999999993</v>
          </cell>
          <cell r="N5882" t="e">
            <v>#DIV/0!</v>
          </cell>
        </row>
        <row r="5883">
          <cell r="E5883" t="str">
            <v>HGC-Lib-2469874</v>
          </cell>
          <cell r="F5883" t="str">
            <v>LD240812O-7806A</v>
          </cell>
          <cell r="G5883">
            <v>1</v>
          </cell>
          <cell r="H5883" t="str">
            <v>DNA基因组文库</v>
          </cell>
          <cell r="I5883" t="str">
            <v>WWH</v>
          </cell>
          <cell r="J5883">
            <v>22.8</v>
          </cell>
          <cell r="N5883" t="e">
            <v>#DIV/0!</v>
          </cell>
        </row>
        <row r="5884">
          <cell r="E5884" t="str">
            <v>HGC-Lib-2469875</v>
          </cell>
          <cell r="F5884" t="str">
            <v>LD240812O-7807A</v>
          </cell>
          <cell r="G5884">
            <v>1</v>
          </cell>
          <cell r="H5884" t="str">
            <v>DNA基因组文库</v>
          </cell>
          <cell r="I5884" t="str">
            <v>WWH</v>
          </cell>
          <cell r="J5884">
            <v>34.799999999999997</v>
          </cell>
          <cell r="N5884" t="e">
            <v>#DIV/0!</v>
          </cell>
        </row>
        <row r="5885">
          <cell r="E5885" t="str">
            <v>HGC-Lib-2469876</v>
          </cell>
          <cell r="F5885" t="str">
            <v>LD240812O-7808A</v>
          </cell>
          <cell r="G5885">
            <v>1</v>
          </cell>
          <cell r="H5885" t="str">
            <v>DNA基因组文库</v>
          </cell>
          <cell r="I5885" t="str">
            <v>WWH</v>
          </cell>
          <cell r="J5885">
            <v>45.2</v>
          </cell>
          <cell r="N5885" t="e">
            <v>#DIV/0!</v>
          </cell>
        </row>
        <row r="5886">
          <cell r="E5886" t="str">
            <v>HGC-Lib-2469877</v>
          </cell>
          <cell r="F5886" t="str">
            <v>LD240815O-2190A</v>
          </cell>
          <cell r="G5886">
            <v>10</v>
          </cell>
          <cell r="H5886" t="str">
            <v>DNA宏基因组文库</v>
          </cell>
          <cell r="I5886" t="str">
            <v>WWH</v>
          </cell>
          <cell r="J5886">
            <v>11.8</v>
          </cell>
          <cell r="N5886" t="e">
            <v>#DIV/0!</v>
          </cell>
        </row>
        <row r="5887">
          <cell r="E5887" t="str">
            <v>HGC-Lib-2469878</v>
          </cell>
          <cell r="F5887" t="str">
            <v>LD240815O-2191A</v>
          </cell>
          <cell r="G5887">
            <v>10</v>
          </cell>
          <cell r="H5887" t="str">
            <v>DNA宏基因组文库</v>
          </cell>
          <cell r="I5887" t="str">
            <v>WWH</v>
          </cell>
          <cell r="J5887">
            <v>91.6</v>
          </cell>
          <cell r="N5887" t="e">
            <v>#DIV/0!</v>
          </cell>
        </row>
        <row r="5888">
          <cell r="E5888" t="str">
            <v>HGC-Lib-2469879</v>
          </cell>
          <cell r="F5888" t="str">
            <v>LD240815O-2192A</v>
          </cell>
          <cell r="G5888">
            <v>10</v>
          </cell>
          <cell r="H5888" t="str">
            <v>DNA宏基因组文库</v>
          </cell>
          <cell r="I5888" t="str">
            <v>WWH</v>
          </cell>
          <cell r="J5888">
            <v>68.8</v>
          </cell>
          <cell r="N5888" t="e">
            <v>#DIV/0!</v>
          </cell>
        </row>
        <row r="5889">
          <cell r="E5889" t="str">
            <v>HGC-Lib-2469880</v>
          </cell>
          <cell r="F5889" t="str">
            <v>LD240815O-2242A</v>
          </cell>
          <cell r="G5889">
            <v>10</v>
          </cell>
          <cell r="H5889" t="str">
            <v>DNA宏基因组文库</v>
          </cell>
          <cell r="I5889" t="str">
            <v>WWH</v>
          </cell>
          <cell r="J5889">
            <v>75.400000000000006</v>
          </cell>
          <cell r="N5889" t="e">
            <v>#DIV/0!</v>
          </cell>
        </row>
        <row r="5890">
          <cell r="E5890" t="str">
            <v>HGC-Lib-2469881</v>
          </cell>
          <cell r="F5890" t="str">
            <v>LD240819D-1323A</v>
          </cell>
          <cell r="G5890">
            <v>1</v>
          </cell>
          <cell r="H5890" t="str">
            <v>DNA基因组文库</v>
          </cell>
          <cell r="I5890" t="str">
            <v>WWH</v>
          </cell>
          <cell r="J5890">
            <v>16.2</v>
          </cell>
          <cell r="N5890" t="e">
            <v>#DIV/0!</v>
          </cell>
        </row>
        <row r="5891">
          <cell r="E5891" t="str">
            <v>HGC-Lib-2469882</v>
          </cell>
          <cell r="F5891" t="str">
            <v>LD240819D-1324A</v>
          </cell>
          <cell r="G5891">
            <v>1</v>
          </cell>
          <cell r="H5891" t="str">
            <v>DNA基因组文库</v>
          </cell>
          <cell r="I5891" t="str">
            <v>WWH</v>
          </cell>
          <cell r="J5891">
            <v>42</v>
          </cell>
          <cell r="N5891" t="e">
            <v>#DIV/0!</v>
          </cell>
        </row>
        <row r="5892">
          <cell r="E5892" t="str">
            <v>HGC-Lib-2469883</v>
          </cell>
          <cell r="F5892" t="str">
            <v>LD240819D-1325A</v>
          </cell>
          <cell r="G5892">
            <v>1</v>
          </cell>
          <cell r="H5892" t="str">
            <v>DNA基因组文库</v>
          </cell>
          <cell r="I5892" t="str">
            <v>WWH</v>
          </cell>
          <cell r="J5892">
            <v>36.799999999999997</v>
          </cell>
          <cell r="N5892" t="e">
            <v>#DIV/0!</v>
          </cell>
        </row>
        <row r="5893">
          <cell r="E5893" t="str">
            <v>HGC-Lib-2469884</v>
          </cell>
          <cell r="F5893" t="str">
            <v>LD240819D-1326A</v>
          </cell>
          <cell r="G5893">
            <v>1</v>
          </cell>
          <cell r="H5893" t="str">
            <v>DNA基因组文库</v>
          </cell>
          <cell r="I5893" t="str">
            <v>WWH</v>
          </cell>
          <cell r="J5893">
            <v>13.4</v>
          </cell>
          <cell r="N5893" t="e">
            <v>#DIV/0!</v>
          </cell>
        </row>
        <row r="5894">
          <cell r="E5894" t="str">
            <v>HGC-Lib-2469885</v>
          </cell>
          <cell r="F5894" t="str">
            <v>LR240819O-1324A</v>
          </cell>
          <cell r="G5894">
            <v>6</v>
          </cell>
          <cell r="H5894" t="str">
            <v>普通真核转录组文库</v>
          </cell>
          <cell r="I5894" t="str">
            <v>WWH</v>
          </cell>
          <cell r="J5894">
            <v>51</v>
          </cell>
          <cell r="N5894" t="e">
            <v>#DIV/0!</v>
          </cell>
        </row>
        <row r="5895">
          <cell r="E5895" t="str">
            <v>HGC-Lib-2469886</v>
          </cell>
          <cell r="F5895" t="str">
            <v>LR240819O-1325A</v>
          </cell>
          <cell r="G5895">
            <v>6</v>
          </cell>
          <cell r="H5895" t="str">
            <v>普通真核转录组文库</v>
          </cell>
          <cell r="I5895" t="str">
            <v>WWH</v>
          </cell>
          <cell r="J5895">
            <v>28.4</v>
          </cell>
          <cell r="N5895" t="e">
            <v>#DIV/0!</v>
          </cell>
        </row>
        <row r="5896">
          <cell r="E5896" t="str">
            <v>HGC-Lib-2469887</v>
          </cell>
          <cell r="F5896" t="str">
            <v>LR240819O-1326A</v>
          </cell>
          <cell r="G5896">
            <v>6</v>
          </cell>
          <cell r="H5896" t="str">
            <v>普通真核转录组文库</v>
          </cell>
          <cell r="I5896" t="str">
            <v>WWH</v>
          </cell>
          <cell r="J5896">
            <v>31</v>
          </cell>
          <cell r="N5896" t="e">
            <v>#DIV/0!</v>
          </cell>
        </row>
        <row r="5897">
          <cell r="E5897" t="str">
            <v>HGC-Lib-2469888</v>
          </cell>
          <cell r="F5897" t="str">
            <v>LR240819O-1327A</v>
          </cell>
          <cell r="G5897">
            <v>6</v>
          </cell>
          <cell r="H5897" t="str">
            <v>普通真核转录组文库</v>
          </cell>
          <cell r="I5897" t="str">
            <v>WWH</v>
          </cell>
          <cell r="J5897">
            <v>42.4</v>
          </cell>
          <cell r="N5897" t="e">
            <v>#DIV/0!</v>
          </cell>
        </row>
        <row r="5898">
          <cell r="E5898" t="str">
            <v>HGC-Lib-2469889</v>
          </cell>
          <cell r="F5898" t="str">
            <v>LR240819O-1328A</v>
          </cell>
          <cell r="G5898">
            <v>6</v>
          </cell>
          <cell r="H5898" t="str">
            <v>普通真核转录组文库</v>
          </cell>
          <cell r="I5898" t="str">
            <v>WWH</v>
          </cell>
          <cell r="J5898">
            <v>58.4</v>
          </cell>
          <cell r="N5898" t="e">
            <v>#DIV/0!</v>
          </cell>
        </row>
        <row r="5899">
          <cell r="E5899" t="str">
            <v>HGC-Lib-2469890</v>
          </cell>
          <cell r="F5899" t="str">
            <v>LR240819O-1329A</v>
          </cell>
          <cell r="G5899">
            <v>6</v>
          </cell>
          <cell r="H5899" t="str">
            <v>普通真核转录组文库</v>
          </cell>
          <cell r="I5899" t="str">
            <v>WWH</v>
          </cell>
          <cell r="J5899">
            <v>69.599999999999994</v>
          </cell>
          <cell r="N5899" t="e">
            <v>#DIV/0!</v>
          </cell>
        </row>
        <row r="5900">
          <cell r="E5900" t="str">
            <v>HGC-Lib-2469891</v>
          </cell>
          <cell r="F5900" t="str">
            <v>LR240819O-1330A</v>
          </cell>
          <cell r="G5900">
            <v>6</v>
          </cell>
          <cell r="H5900" t="str">
            <v>普通真核转录组文库</v>
          </cell>
          <cell r="I5900" t="str">
            <v>WWH</v>
          </cell>
          <cell r="J5900">
            <v>43</v>
          </cell>
          <cell r="N5900" t="e">
            <v>#DIV/0!</v>
          </cell>
        </row>
        <row r="5901">
          <cell r="E5901" t="str">
            <v>HGC-Lib-2469892</v>
          </cell>
          <cell r="F5901" t="str">
            <v>LR240819O-1331A</v>
          </cell>
          <cell r="G5901">
            <v>6</v>
          </cell>
          <cell r="H5901" t="str">
            <v>普通真核转录组文库</v>
          </cell>
          <cell r="I5901" t="str">
            <v>WWH</v>
          </cell>
          <cell r="J5901">
            <v>27.2</v>
          </cell>
          <cell r="N5901" t="e">
            <v>#DIV/0!</v>
          </cell>
        </row>
        <row r="5902">
          <cell r="E5902" t="str">
            <v>HGC-Lib-2469893</v>
          </cell>
          <cell r="F5902" t="str">
            <v>LR240819O-1332A</v>
          </cell>
          <cell r="G5902">
            <v>6</v>
          </cell>
          <cell r="H5902" t="str">
            <v>普通真核转录组文库</v>
          </cell>
          <cell r="I5902" t="str">
            <v>WWH</v>
          </cell>
          <cell r="J5902">
            <v>18.8</v>
          </cell>
          <cell r="N5902" t="e">
            <v>#DIV/0!</v>
          </cell>
        </row>
        <row r="5903">
          <cell r="E5903" t="str">
            <v>HGC-Lib-2469894</v>
          </cell>
          <cell r="F5903" t="str">
            <v>LR240819O-1333A</v>
          </cell>
          <cell r="G5903">
            <v>6</v>
          </cell>
          <cell r="H5903" t="str">
            <v>普通真核转录组文库</v>
          </cell>
          <cell r="I5903" t="str">
            <v>WWH</v>
          </cell>
          <cell r="J5903">
            <v>64</v>
          </cell>
          <cell r="N5903" t="e">
            <v>#DIV/0!</v>
          </cell>
        </row>
        <row r="5904">
          <cell r="E5904" t="str">
            <v>HGC-Lib-2469895</v>
          </cell>
          <cell r="F5904" t="str">
            <v>LR240819O-1334A</v>
          </cell>
          <cell r="G5904">
            <v>6</v>
          </cell>
          <cell r="H5904" t="str">
            <v>普通真核转录组文库</v>
          </cell>
          <cell r="I5904" t="str">
            <v>WWH</v>
          </cell>
          <cell r="J5904">
            <v>41</v>
          </cell>
          <cell r="N5904" t="e">
            <v>#DIV/0!</v>
          </cell>
        </row>
        <row r="5905">
          <cell r="E5905" t="str">
            <v>HGC-Lib-2469896</v>
          </cell>
          <cell r="F5905" t="str">
            <v>LR240819O-1335A</v>
          </cell>
          <cell r="G5905">
            <v>6</v>
          </cell>
          <cell r="H5905" t="str">
            <v>普通真核转录组文库</v>
          </cell>
          <cell r="I5905" t="str">
            <v>WWH</v>
          </cell>
          <cell r="J5905">
            <v>32.200000000000003</v>
          </cell>
          <cell r="N5905" t="e">
            <v>#DIV/0!</v>
          </cell>
        </row>
        <row r="5906">
          <cell r="E5906" t="str">
            <v>HGC-Lib-2469897</v>
          </cell>
          <cell r="F5906" t="str">
            <v>LR240819O-1336A</v>
          </cell>
          <cell r="G5906">
            <v>6</v>
          </cell>
          <cell r="H5906" t="str">
            <v>普通真核转录组文库</v>
          </cell>
          <cell r="I5906" t="str">
            <v>WWH</v>
          </cell>
          <cell r="J5906">
            <v>35</v>
          </cell>
          <cell r="N5906" t="e">
            <v>#DIV/0!</v>
          </cell>
        </row>
        <row r="5907">
          <cell r="E5907" t="str">
            <v>HGC-Lib-2469898</v>
          </cell>
          <cell r="F5907" t="str">
            <v>LR240819O-1337A</v>
          </cell>
          <cell r="G5907">
            <v>6</v>
          </cell>
          <cell r="H5907" t="str">
            <v>普通真核转录组文库</v>
          </cell>
          <cell r="I5907" t="str">
            <v>WWH</v>
          </cell>
          <cell r="J5907">
            <v>31.4</v>
          </cell>
          <cell r="N5907" t="e">
            <v>#DIV/0!</v>
          </cell>
        </row>
        <row r="5908">
          <cell r="E5908" t="str">
            <v>HGC-Lib-2469899</v>
          </cell>
          <cell r="F5908" t="str">
            <v>LR240819O-1338A</v>
          </cell>
          <cell r="G5908">
            <v>6</v>
          </cell>
          <cell r="H5908" t="str">
            <v>普通真核转录组文库</v>
          </cell>
          <cell r="I5908" t="str">
            <v>WWH</v>
          </cell>
          <cell r="J5908">
            <v>41.6</v>
          </cell>
          <cell r="N5908" t="e">
            <v>#DIV/0!</v>
          </cell>
        </row>
        <row r="5909">
          <cell r="E5909" t="str">
            <v>HGC-Lib-2469900</v>
          </cell>
          <cell r="F5909" t="str">
            <v>LR240819O-1339A</v>
          </cell>
          <cell r="G5909">
            <v>6</v>
          </cell>
          <cell r="H5909" t="str">
            <v>普通真核转录组文库</v>
          </cell>
          <cell r="I5909" t="str">
            <v>WWH</v>
          </cell>
          <cell r="J5909">
            <v>36</v>
          </cell>
          <cell r="N5909" t="e">
            <v>#DIV/0!</v>
          </cell>
        </row>
        <row r="5910">
          <cell r="E5910" t="str">
            <v>HGC-Lib-2469901</v>
          </cell>
          <cell r="F5910" t="str">
            <v>LR240819O-1340A</v>
          </cell>
          <cell r="G5910">
            <v>6</v>
          </cell>
          <cell r="H5910" t="str">
            <v>普通真核转录组文库</v>
          </cell>
          <cell r="I5910" t="str">
            <v>WWH</v>
          </cell>
          <cell r="J5910">
            <v>42.4</v>
          </cell>
          <cell r="N5910" t="e">
            <v>#DIV/0!</v>
          </cell>
        </row>
        <row r="5911">
          <cell r="E5911" t="str">
            <v>HGC-Lib-2469902</v>
          </cell>
          <cell r="F5911" t="str">
            <v>LR240819O-1341A</v>
          </cell>
          <cell r="G5911">
            <v>6</v>
          </cell>
          <cell r="H5911" t="str">
            <v>普通真核转录组文库</v>
          </cell>
          <cell r="I5911" t="str">
            <v>WWH</v>
          </cell>
          <cell r="J5911">
            <v>31</v>
          </cell>
          <cell r="N5911" t="e">
            <v>#DIV/0!</v>
          </cell>
        </row>
        <row r="5912">
          <cell r="E5912" t="str">
            <v>HGC-Lib-2469903</v>
          </cell>
          <cell r="F5912" t="str">
            <v>LR240819O-1342A</v>
          </cell>
          <cell r="G5912">
            <v>6</v>
          </cell>
          <cell r="H5912" t="str">
            <v>普通真核转录组文库</v>
          </cell>
          <cell r="I5912" t="str">
            <v>WWH</v>
          </cell>
          <cell r="J5912">
            <v>35</v>
          </cell>
          <cell r="N5912" t="e">
            <v>#DIV/0!</v>
          </cell>
        </row>
        <row r="5913">
          <cell r="E5913" t="str">
            <v>HGC-Lib-2469904</v>
          </cell>
          <cell r="F5913" t="str">
            <v>LR240819O-1343A</v>
          </cell>
          <cell r="G5913">
            <v>6</v>
          </cell>
          <cell r="H5913" t="str">
            <v>普通真核转录组文库</v>
          </cell>
          <cell r="I5913" t="str">
            <v>WWH</v>
          </cell>
          <cell r="J5913">
            <v>18</v>
          </cell>
          <cell r="N5913" t="e">
            <v>#DIV/0!</v>
          </cell>
        </row>
        <row r="5914">
          <cell r="E5914" t="str">
            <v>HGC-Lib-2469905</v>
          </cell>
          <cell r="F5914" t="str">
            <v>LR240819O-1344A</v>
          </cell>
          <cell r="G5914">
            <v>6</v>
          </cell>
          <cell r="H5914" t="str">
            <v>普通真核转录组文库</v>
          </cell>
          <cell r="I5914" t="str">
            <v>WWH</v>
          </cell>
          <cell r="J5914">
            <v>55</v>
          </cell>
          <cell r="N5914" t="e">
            <v>#DIV/0!</v>
          </cell>
        </row>
        <row r="5915">
          <cell r="E5915" t="str">
            <v>HGC-Lib-2469906</v>
          </cell>
          <cell r="F5915" t="str">
            <v>LR240819O-1345A</v>
          </cell>
          <cell r="G5915">
            <v>6</v>
          </cell>
          <cell r="H5915" t="str">
            <v>普通真核转录组文库</v>
          </cell>
          <cell r="I5915" t="str">
            <v>WWH</v>
          </cell>
          <cell r="J5915">
            <v>39.4</v>
          </cell>
          <cell r="N5915" t="e">
            <v>#DIV/0!</v>
          </cell>
        </row>
        <row r="5916">
          <cell r="E5916" t="str">
            <v>HGC-Lib-2469907</v>
          </cell>
          <cell r="F5916" t="str">
            <v>LR240819O-1346A</v>
          </cell>
          <cell r="G5916">
            <v>6</v>
          </cell>
          <cell r="H5916" t="str">
            <v>普通真核转录组文库</v>
          </cell>
          <cell r="I5916" t="str">
            <v>WWH</v>
          </cell>
          <cell r="J5916">
            <v>33.6</v>
          </cell>
          <cell r="N5916" t="e">
            <v>#DIV/0!</v>
          </cell>
        </row>
        <row r="5917">
          <cell r="E5917" t="str">
            <v>HGC-Lib-2469908</v>
          </cell>
          <cell r="F5917" t="str">
            <v>LR240819O-1347A</v>
          </cell>
          <cell r="G5917">
            <v>6</v>
          </cell>
          <cell r="H5917" t="str">
            <v>普通真核转录组文库</v>
          </cell>
          <cell r="I5917" t="str">
            <v>WWH</v>
          </cell>
          <cell r="J5917">
            <v>63.4</v>
          </cell>
          <cell r="N5917" t="e">
            <v>#DIV/0!</v>
          </cell>
        </row>
        <row r="5918">
          <cell r="E5918" t="str">
            <v>HGC-Lib-2469909</v>
          </cell>
          <cell r="F5918" t="str">
            <v>LR240813O-2467A</v>
          </cell>
          <cell r="G5918">
            <v>6</v>
          </cell>
          <cell r="H5918" t="str">
            <v>普通真核转录组文库</v>
          </cell>
          <cell r="I5918" t="str">
            <v>WWH</v>
          </cell>
          <cell r="J5918">
            <v>29</v>
          </cell>
          <cell r="N5918" t="e">
            <v>#DIV/0!</v>
          </cell>
        </row>
        <row r="5919">
          <cell r="E5919" t="str">
            <v>HGC-Lib-2469910</v>
          </cell>
          <cell r="F5919" t="str">
            <v>LR240813O-2468A</v>
          </cell>
          <cell r="G5919">
            <v>6</v>
          </cell>
          <cell r="H5919" t="str">
            <v>普通真核转录组文库</v>
          </cell>
          <cell r="I5919" t="str">
            <v>WWH</v>
          </cell>
          <cell r="J5919">
            <v>42.4</v>
          </cell>
          <cell r="N5919" t="e">
            <v>#DIV/0!</v>
          </cell>
        </row>
        <row r="5920">
          <cell r="E5920" t="str">
            <v>HGC-Lib-2469911</v>
          </cell>
          <cell r="F5920" t="str">
            <v>LR240813O-2469A</v>
          </cell>
          <cell r="G5920">
            <v>6</v>
          </cell>
          <cell r="H5920" t="str">
            <v>普通真核转录组文库</v>
          </cell>
          <cell r="I5920" t="str">
            <v>WWH</v>
          </cell>
          <cell r="J5920">
            <v>34.799999999999997</v>
          </cell>
          <cell r="N5920" t="e">
            <v>#DIV/0!</v>
          </cell>
        </row>
        <row r="5921">
          <cell r="E5921" t="str">
            <v>HGC-Lib-2469912</v>
          </cell>
          <cell r="F5921" t="str">
            <v>LR240813O-2470A</v>
          </cell>
          <cell r="G5921">
            <v>6</v>
          </cell>
          <cell r="H5921" t="str">
            <v>普通真核转录组文库</v>
          </cell>
          <cell r="I5921" t="str">
            <v>WWH</v>
          </cell>
          <cell r="J5921">
            <v>57.8</v>
          </cell>
          <cell r="N5921" t="e">
            <v>#DIV/0!</v>
          </cell>
        </row>
        <row r="5922">
          <cell r="E5922" t="str">
            <v>HGC-Lib-2469913</v>
          </cell>
          <cell r="F5922" t="str">
            <v>LR240813O-2471A</v>
          </cell>
          <cell r="G5922">
            <v>6</v>
          </cell>
          <cell r="H5922" t="str">
            <v>普通真核转录组文库</v>
          </cell>
          <cell r="I5922" t="str">
            <v>WWH</v>
          </cell>
          <cell r="J5922">
            <v>51.4</v>
          </cell>
          <cell r="N5922" t="e">
            <v>#DIV/0!</v>
          </cell>
        </row>
        <row r="5923">
          <cell r="E5923" t="str">
            <v>HGC-Lib-2469914</v>
          </cell>
          <cell r="F5923" t="str">
            <v>LR240813O-2472A</v>
          </cell>
          <cell r="G5923">
            <v>6</v>
          </cell>
          <cell r="H5923" t="str">
            <v>普通真核转录组文库</v>
          </cell>
          <cell r="I5923" t="str">
            <v>WWH</v>
          </cell>
          <cell r="J5923">
            <v>36.6</v>
          </cell>
          <cell r="N5923" t="e">
            <v>#DIV/0!</v>
          </cell>
        </row>
        <row r="5924">
          <cell r="E5924" t="str">
            <v>HGC-Lib-2469915</v>
          </cell>
          <cell r="F5924" t="str">
            <v>LR240813O-2473A</v>
          </cell>
          <cell r="G5924">
            <v>6</v>
          </cell>
          <cell r="H5924" t="str">
            <v>普通真核转录组文库</v>
          </cell>
          <cell r="I5924" t="str">
            <v>WWH</v>
          </cell>
          <cell r="J5924">
            <v>25.2</v>
          </cell>
          <cell r="N5924" t="e">
            <v>#DIV/0!</v>
          </cell>
        </row>
        <row r="5925">
          <cell r="E5925" t="str">
            <v>HGC-Lib-2469916</v>
          </cell>
          <cell r="F5925" t="str">
            <v>LR240813O-2474A</v>
          </cell>
          <cell r="G5925">
            <v>6</v>
          </cell>
          <cell r="H5925" t="str">
            <v>普通真核转录组文库</v>
          </cell>
          <cell r="I5925" t="str">
            <v>WWH</v>
          </cell>
          <cell r="J5925">
            <v>1.65</v>
          </cell>
          <cell r="N5925" t="e">
            <v>#DIV/0!</v>
          </cell>
        </row>
        <row r="5926">
          <cell r="E5926" t="str">
            <v>HGC-Lib-2469917</v>
          </cell>
          <cell r="F5926" t="str">
            <v>LR240813O-2475A</v>
          </cell>
          <cell r="G5926">
            <v>6</v>
          </cell>
          <cell r="H5926" t="str">
            <v>普通真核转录组文库</v>
          </cell>
          <cell r="I5926" t="str">
            <v>WWH</v>
          </cell>
          <cell r="J5926">
            <v>23.8</v>
          </cell>
          <cell r="N5926" t="e">
            <v>#DIV/0!</v>
          </cell>
        </row>
        <row r="5927">
          <cell r="E5927" t="str">
            <v>HGC-Lib-2469918</v>
          </cell>
          <cell r="F5927" t="str">
            <v>LR240813O-2476A</v>
          </cell>
          <cell r="G5927">
            <v>6</v>
          </cell>
          <cell r="H5927" t="str">
            <v>普通真核转录组文库</v>
          </cell>
          <cell r="I5927" t="str">
            <v>WWH</v>
          </cell>
          <cell r="J5927">
            <v>14.4</v>
          </cell>
          <cell r="N5927" t="e">
            <v>#DIV/0!</v>
          </cell>
        </row>
        <row r="5928">
          <cell r="E5928" t="str">
            <v>HGC-Lib-2469919</v>
          </cell>
          <cell r="F5928" t="str">
            <v>LR240813O-2477A</v>
          </cell>
          <cell r="G5928">
            <v>6</v>
          </cell>
          <cell r="H5928" t="str">
            <v>普通真核转录组文库</v>
          </cell>
          <cell r="I5928" t="str">
            <v>WWH</v>
          </cell>
          <cell r="J5928">
            <v>25.2</v>
          </cell>
          <cell r="N5928" t="e">
            <v>#DIV/0!</v>
          </cell>
        </row>
        <row r="5929">
          <cell r="E5929" t="str">
            <v>HGC-Lib-2469920</v>
          </cell>
          <cell r="F5929" t="str">
            <v>LR240813O-2478A</v>
          </cell>
          <cell r="G5929">
            <v>6</v>
          </cell>
          <cell r="H5929" t="str">
            <v>普通真核转录组文库</v>
          </cell>
          <cell r="I5929" t="str">
            <v>WWH</v>
          </cell>
          <cell r="J5929">
            <v>20.2</v>
          </cell>
          <cell r="N5929" t="e">
            <v>#DIV/0!</v>
          </cell>
        </row>
        <row r="5930">
          <cell r="E5930" t="str">
            <v>HGC-Lib-2469921</v>
          </cell>
          <cell r="F5930" t="str">
            <v>LR240813O-2479A</v>
          </cell>
          <cell r="G5930">
            <v>6</v>
          </cell>
          <cell r="H5930" t="str">
            <v>普通真核转录组文库</v>
          </cell>
          <cell r="I5930" t="str">
            <v>XCL</v>
          </cell>
          <cell r="J5930">
            <v>18</v>
          </cell>
          <cell r="N5930" t="e">
            <v>#DIV/0!</v>
          </cell>
        </row>
        <row r="5931">
          <cell r="E5931" t="str">
            <v>HGC-Lib-2469922</v>
          </cell>
          <cell r="F5931" t="str">
            <v>LR240813O-2480A</v>
          </cell>
          <cell r="G5931">
            <v>6</v>
          </cell>
          <cell r="H5931" t="str">
            <v>普通真核转录组文库</v>
          </cell>
          <cell r="I5931" t="str">
            <v>XCL</v>
          </cell>
          <cell r="J5931">
            <v>19.7</v>
          </cell>
          <cell r="N5931" t="e">
            <v>#DIV/0!</v>
          </cell>
        </row>
        <row r="5932">
          <cell r="E5932" t="str">
            <v>HGC-Lib-2469923</v>
          </cell>
          <cell r="F5932" t="str">
            <v>LR240813O-2481A</v>
          </cell>
          <cell r="G5932">
            <v>6</v>
          </cell>
          <cell r="H5932" t="str">
            <v>普通真核转录组文库</v>
          </cell>
          <cell r="I5932" t="str">
            <v>XCL</v>
          </cell>
          <cell r="J5932">
            <v>12.9</v>
          </cell>
          <cell r="N5932" t="e">
            <v>#DIV/0!</v>
          </cell>
        </row>
        <row r="5933">
          <cell r="E5933" t="str">
            <v>HGC-Lib-2469924</v>
          </cell>
          <cell r="F5933" t="str">
            <v>LR240813O-2482A</v>
          </cell>
          <cell r="G5933">
            <v>6</v>
          </cell>
          <cell r="H5933" t="str">
            <v>普通真核转录组文库</v>
          </cell>
          <cell r="I5933" t="str">
            <v>XCL</v>
          </cell>
          <cell r="J5933">
            <v>15.7</v>
          </cell>
          <cell r="N5933" t="e">
            <v>#DIV/0!</v>
          </cell>
        </row>
        <row r="5934">
          <cell r="E5934" t="str">
            <v>HGC-Lib-2469925</v>
          </cell>
          <cell r="F5934" t="str">
            <v>LR240813O-2483A</v>
          </cell>
          <cell r="G5934">
            <v>6</v>
          </cell>
          <cell r="H5934" t="str">
            <v>普通真核转录组文库</v>
          </cell>
          <cell r="I5934" t="str">
            <v>XCL</v>
          </cell>
          <cell r="J5934">
            <v>18.5</v>
          </cell>
          <cell r="N5934" t="e">
            <v>#DIV/0!</v>
          </cell>
        </row>
        <row r="5935">
          <cell r="E5935" t="str">
            <v>HGC-Lib-2469926</v>
          </cell>
          <cell r="F5935" t="str">
            <v>LR240813O-2484A</v>
          </cell>
          <cell r="G5935">
            <v>6</v>
          </cell>
          <cell r="H5935" t="str">
            <v>普通真核转录组文库</v>
          </cell>
          <cell r="I5935" t="str">
            <v>XCL</v>
          </cell>
          <cell r="J5935">
            <v>8.82</v>
          </cell>
          <cell r="N5935" t="e">
            <v>#DIV/0!</v>
          </cell>
        </row>
        <row r="5936">
          <cell r="E5936" t="str">
            <v>HGC-Lib-2469927</v>
          </cell>
          <cell r="F5936" t="str">
            <v>LR240814O-1797A</v>
          </cell>
          <cell r="G5936">
            <v>6</v>
          </cell>
          <cell r="H5936" t="str">
            <v>普通真核转录组文库</v>
          </cell>
          <cell r="I5936" t="str">
            <v>XCL</v>
          </cell>
          <cell r="J5936">
            <v>41.8</v>
          </cell>
          <cell r="N5936" t="e">
            <v>#DIV/0!</v>
          </cell>
        </row>
        <row r="5937">
          <cell r="E5937" t="str">
            <v>HGC-Lib-2469928</v>
          </cell>
          <cell r="F5937" t="str">
            <v>LR240814O-1798A</v>
          </cell>
          <cell r="G5937">
            <v>6</v>
          </cell>
          <cell r="H5937" t="str">
            <v>普通真核转录组文库</v>
          </cell>
          <cell r="I5937" t="str">
            <v>XCL</v>
          </cell>
          <cell r="J5937">
            <v>42.8</v>
          </cell>
          <cell r="N5937" t="e">
            <v>#DIV/0!</v>
          </cell>
        </row>
        <row r="5938">
          <cell r="E5938" t="str">
            <v>HGC-Lib-2469929</v>
          </cell>
          <cell r="F5938" t="str">
            <v>LR240814O-1799A</v>
          </cell>
          <cell r="G5938">
            <v>6</v>
          </cell>
          <cell r="H5938" t="str">
            <v>普通真核转录组文库</v>
          </cell>
          <cell r="I5938" t="str">
            <v>XCL</v>
          </cell>
          <cell r="J5938">
            <v>38.799999999999997</v>
          </cell>
          <cell r="N5938" t="e">
            <v>#DIV/0!</v>
          </cell>
        </row>
        <row r="5939">
          <cell r="E5939" t="str">
            <v>HGC-Lib-2469930</v>
          </cell>
          <cell r="F5939" t="str">
            <v>LR240814O-1800A</v>
          </cell>
          <cell r="G5939">
            <v>6</v>
          </cell>
          <cell r="H5939" t="str">
            <v>普通真核转录组文库</v>
          </cell>
          <cell r="I5939" t="str">
            <v>XCL</v>
          </cell>
          <cell r="J5939">
            <v>15.2</v>
          </cell>
          <cell r="N5939" t="e">
            <v>#DIV/0!</v>
          </cell>
        </row>
        <row r="5940">
          <cell r="E5940" t="str">
            <v>HGC-Lib-2469931</v>
          </cell>
          <cell r="F5940" t="str">
            <v>LR240814O-1801A</v>
          </cell>
          <cell r="G5940">
            <v>6</v>
          </cell>
          <cell r="H5940" t="str">
            <v>普通真核转录组文库</v>
          </cell>
          <cell r="I5940" t="str">
            <v>XCL</v>
          </cell>
          <cell r="J5940">
            <v>18.3</v>
          </cell>
          <cell r="N5940" t="e">
            <v>#DIV/0!</v>
          </cell>
        </row>
        <row r="5941">
          <cell r="E5941" t="str">
            <v>HGC-Lib-2469932</v>
          </cell>
          <cell r="F5941" t="str">
            <v>LR240814O-1802A</v>
          </cell>
          <cell r="G5941">
            <v>6</v>
          </cell>
          <cell r="H5941" t="str">
            <v>普通真核转录组文库</v>
          </cell>
          <cell r="I5941" t="str">
            <v>XCL</v>
          </cell>
          <cell r="J5941">
            <v>24.4</v>
          </cell>
          <cell r="N5941" t="e">
            <v>#DIV/0!</v>
          </cell>
        </row>
        <row r="5942">
          <cell r="E5942" t="str">
            <v>HGC-Lib-2469933</v>
          </cell>
          <cell r="F5942" t="str">
            <v>Lib-C003-cfDNA-WGS</v>
          </cell>
          <cell r="G5942">
            <v>30</v>
          </cell>
          <cell r="H5942" t="str">
            <v>全基因组文库</v>
          </cell>
          <cell r="I5942" t="str">
            <v>XCL</v>
          </cell>
          <cell r="J5942">
            <v>12.4</v>
          </cell>
          <cell r="K5942">
            <v>351</v>
          </cell>
          <cell r="L5942" t="str">
            <v>YHT</v>
          </cell>
          <cell r="N5942">
            <v>54.350208196361997</v>
          </cell>
        </row>
        <row r="5943">
          <cell r="E5943" t="str">
            <v>HGC-Lib-2469934</v>
          </cell>
          <cell r="F5943" t="str">
            <v>Lib-C004-cfDNA-WGS</v>
          </cell>
          <cell r="G5943">
            <v>30</v>
          </cell>
          <cell r="H5943" t="str">
            <v>全基因组文库</v>
          </cell>
          <cell r="I5943" t="str">
            <v>XCL</v>
          </cell>
          <cell r="J5943">
            <v>16.399999999999999</v>
          </cell>
          <cell r="K5943">
            <v>357</v>
          </cell>
          <cell r="L5943" t="str">
            <v>YHT</v>
          </cell>
          <cell r="N5943">
            <v>70.674423615600105</v>
          </cell>
        </row>
        <row r="5944">
          <cell r="E5944" t="str">
            <v>HGC-POOL-2469935</v>
          </cell>
          <cell r="F5944" t="str">
            <v>WES7</v>
          </cell>
          <cell r="G5944">
            <v>252</v>
          </cell>
          <cell r="H5944" t="str">
            <v>WES/panel捕获文库</v>
          </cell>
          <cell r="I5944" t="str">
            <v>XCL</v>
          </cell>
          <cell r="J5944">
            <v>11</v>
          </cell>
          <cell r="K5944">
            <v>354</v>
          </cell>
          <cell r="L5944" t="str">
            <v>YHT</v>
          </cell>
          <cell r="N5944">
            <v>47.805302042590199</v>
          </cell>
        </row>
        <row r="5945">
          <cell r="E5945" t="str">
            <v>HGC-POOL-2469936</v>
          </cell>
          <cell r="F5945" t="str">
            <v>Dana_0828_sdl_K27_K4</v>
          </cell>
          <cell r="G5945">
            <v>72</v>
          </cell>
          <cell r="H5945" t="str">
            <v>Chip-Seq</v>
          </cell>
          <cell r="I5945" t="str">
            <v>XCL</v>
          </cell>
          <cell r="J5945">
            <v>3.3</v>
          </cell>
          <cell r="K5945">
            <v>429</v>
          </cell>
          <cell r="L5945" t="str">
            <v>GZQ</v>
          </cell>
          <cell r="N5945">
            <v>11.834319526627199</v>
          </cell>
        </row>
        <row r="5946">
          <cell r="E5946" t="str">
            <v>HGC-Lib-2469937</v>
          </cell>
          <cell r="F5946" t="str">
            <v>T900-1</v>
          </cell>
          <cell r="G5946">
            <v>2</v>
          </cell>
          <cell r="H5946" t="str">
            <v>全基因组文库</v>
          </cell>
          <cell r="I5946" t="str">
            <v>XCL</v>
          </cell>
          <cell r="J5946">
            <v>9.92</v>
          </cell>
          <cell r="N5946" t="e">
            <v>#DIV/0!</v>
          </cell>
        </row>
        <row r="5947">
          <cell r="E5947" t="str">
            <v>HGC-Lib-2469938</v>
          </cell>
          <cell r="F5947" t="str">
            <v>T900-2</v>
          </cell>
          <cell r="G5947">
            <v>2</v>
          </cell>
          <cell r="H5947" t="str">
            <v>全基因组文库</v>
          </cell>
          <cell r="I5947" t="str">
            <v>XCL</v>
          </cell>
          <cell r="J5947">
            <v>8.6</v>
          </cell>
          <cell r="N5947" t="e">
            <v>#DIV/0!</v>
          </cell>
        </row>
        <row r="5948">
          <cell r="E5948" t="str">
            <v>HGC-Lib-2469939</v>
          </cell>
          <cell r="F5948" t="str">
            <v>T927-1</v>
          </cell>
          <cell r="G5948">
            <v>2</v>
          </cell>
          <cell r="H5948" t="str">
            <v>全基因组文库</v>
          </cell>
          <cell r="I5948" t="str">
            <v>XCL</v>
          </cell>
          <cell r="J5948">
            <v>1.46</v>
          </cell>
          <cell r="N5948" t="e">
            <v>#DIV/0!</v>
          </cell>
        </row>
        <row r="5949">
          <cell r="E5949" t="str">
            <v>HGC-Lib-2469940</v>
          </cell>
          <cell r="F5949" t="str">
            <v>T913-1</v>
          </cell>
          <cell r="G5949">
            <v>1</v>
          </cell>
          <cell r="H5949" t="str">
            <v>PCR产物文库</v>
          </cell>
          <cell r="I5949" t="str">
            <v>XCL</v>
          </cell>
          <cell r="J5949">
            <v>20.8</v>
          </cell>
          <cell r="N5949" t="e">
            <v>#DIV/0!</v>
          </cell>
        </row>
        <row r="5950">
          <cell r="E5950" t="str">
            <v>HGC-Lib-2469941</v>
          </cell>
          <cell r="F5950" t="str">
            <v>T917-1</v>
          </cell>
          <cell r="G5950">
            <v>6</v>
          </cell>
          <cell r="H5950" t="str">
            <v>mRNA文库</v>
          </cell>
          <cell r="I5950" t="str">
            <v>XCL</v>
          </cell>
          <cell r="J5950">
            <v>53.6</v>
          </cell>
          <cell r="N5950" t="e">
            <v>#DIV/0!</v>
          </cell>
        </row>
        <row r="5951">
          <cell r="E5951" t="str">
            <v>HGC-Lib-2469942</v>
          </cell>
          <cell r="F5951" t="str">
            <v>T917-2</v>
          </cell>
          <cell r="G5951">
            <v>6</v>
          </cell>
          <cell r="H5951" t="str">
            <v>mRNA文库</v>
          </cell>
          <cell r="I5951" t="str">
            <v>XCL</v>
          </cell>
          <cell r="J5951">
            <v>30.6</v>
          </cell>
          <cell r="N5951" t="e">
            <v>#DIV/0!</v>
          </cell>
        </row>
        <row r="5952">
          <cell r="E5952" t="str">
            <v>HGC-Lib-2469943</v>
          </cell>
          <cell r="F5952" t="str">
            <v>T917-3</v>
          </cell>
          <cell r="G5952">
            <v>6</v>
          </cell>
          <cell r="H5952" t="str">
            <v>mRNA文库</v>
          </cell>
          <cell r="I5952" t="str">
            <v>XCL</v>
          </cell>
          <cell r="J5952">
            <v>60.8</v>
          </cell>
          <cell r="N5952" t="e">
            <v>#DIV/0!</v>
          </cell>
        </row>
        <row r="5953">
          <cell r="E5953" t="str">
            <v>HGC-Lib-2469944</v>
          </cell>
          <cell r="F5953" t="str">
            <v>T917-5</v>
          </cell>
          <cell r="G5953">
            <v>6</v>
          </cell>
          <cell r="H5953" t="str">
            <v>mRNA文库</v>
          </cell>
          <cell r="I5953" t="str">
            <v>XCL</v>
          </cell>
          <cell r="J5953">
            <v>60.8</v>
          </cell>
          <cell r="N5953" t="e">
            <v>#DIV/0!</v>
          </cell>
        </row>
        <row r="5954">
          <cell r="E5954" t="str">
            <v>HGC-Lib-2469945</v>
          </cell>
          <cell r="F5954" t="str">
            <v>T917-6</v>
          </cell>
          <cell r="G5954">
            <v>6</v>
          </cell>
          <cell r="H5954" t="str">
            <v>mRNA文库</v>
          </cell>
          <cell r="I5954" t="str">
            <v>XCL</v>
          </cell>
          <cell r="J5954">
            <v>40.4</v>
          </cell>
          <cell r="N5954" t="e">
            <v>#DIV/0!</v>
          </cell>
        </row>
        <row r="5955">
          <cell r="E5955" t="str">
            <v>HGC-Lib-2469946</v>
          </cell>
          <cell r="F5955" t="str">
            <v>T917-7</v>
          </cell>
          <cell r="G5955">
            <v>6</v>
          </cell>
          <cell r="H5955" t="str">
            <v>mRNA文库</v>
          </cell>
          <cell r="I5955" t="str">
            <v>XCL</v>
          </cell>
          <cell r="J5955">
            <v>12.9</v>
          </cell>
          <cell r="N5955" t="e">
            <v>#DIV/0!</v>
          </cell>
        </row>
        <row r="5956">
          <cell r="E5956" t="str">
            <v>HGC-Lib-2469947</v>
          </cell>
          <cell r="F5956" t="str">
            <v>T917-8</v>
          </cell>
          <cell r="G5956">
            <v>6</v>
          </cell>
          <cell r="H5956" t="str">
            <v>mRNA文库</v>
          </cell>
          <cell r="I5956" t="str">
            <v>XCL</v>
          </cell>
          <cell r="J5956">
            <v>33.200000000000003</v>
          </cell>
          <cell r="N5956" t="e">
            <v>#DIV/0!</v>
          </cell>
        </row>
        <row r="5957">
          <cell r="E5957" t="str">
            <v>HGC-Lib-2469948</v>
          </cell>
          <cell r="F5957" t="str">
            <v>T917-10</v>
          </cell>
          <cell r="G5957">
            <v>6</v>
          </cell>
          <cell r="H5957" t="str">
            <v>mRNA文库</v>
          </cell>
          <cell r="I5957" t="str">
            <v>XCL</v>
          </cell>
          <cell r="J5957">
            <v>31.8</v>
          </cell>
          <cell r="N5957" t="e">
            <v>#DIV/0!</v>
          </cell>
        </row>
        <row r="5958">
          <cell r="E5958" t="str">
            <v>HGC-Lib-2469949</v>
          </cell>
          <cell r="F5958" t="str">
            <v>T917-11</v>
          </cell>
          <cell r="G5958">
            <v>6</v>
          </cell>
          <cell r="H5958" t="str">
            <v>mRNA文库</v>
          </cell>
          <cell r="I5958" t="str">
            <v>XCL</v>
          </cell>
          <cell r="J5958">
            <v>45.2</v>
          </cell>
          <cell r="N5958" t="e">
            <v>#DIV/0!</v>
          </cell>
        </row>
        <row r="5959">
          <cell r="E5959" t="str">
            <v>HGC-Lib-2469950</v>
          </cell>
          <cell r="F5959" t="str">
            <v>T917-13</v>
          </cell>
          <cell r="G5959">
            <v>6</v>
          </cell>
          <cell r="H5959" t="str">
            <v>mRNA文库</v>
          </cell>
          <cell r="I5959" t="str">
            <v>XCL</v>
          </cell>
          <cell r="J5959">
            <v>37.799999999999997</v>
          </cell>
          <cell r="N5959" t="e">
            <v>#DIV/0!</v>
          </cell>
        </row>
        <row r="5960">
          <cell r="E5960" t="str">
            <v>HGC-Lib-2469951</v>
          </cell>
          <cell r="F5960" t="str">
            <v>T917-14</v>
          </cell>
          <cell r="G5960">
            <v>6</v>
          </cell>
          <cell r="H5960" t="str">
            <v>mRNA文库</v>
          </cell>
          <cell r="I5960" t="str">
            <v>XCL</v>
          </cell>
          <cell r="J5960">
            <v>50.8</v>
          </cell>
          <cell r="N5960" t="e">
            <v>#DIV/0!</v>
          </cell>
        </row>
        <row r="5961">
          <cell r="E5961" t="str">
            <v>HGC-Lib-2469952</v>
          </cell>
          <cell r="F5961" t="str">
            <v>T917-15</v>
          </cell>
          <cell r="G5961">
            <v>6</v>
          </cell>
          <cell r="H5961" t="str">
            <v>mRNA文库</v>
          </cell>
          <cell r="I5961" t="str">
            <v>XCL</v>
          </cell>
          <cell r="J5961">
            <v>30.2</v>
          </cell>
          <cell r="N5961" t="e">
            <v>#DIV/0!</v>
          </cell>
        </row>
        <row r="5962">
          <cell r="E5962" t="str">
            <v>HGC-Lib-2469953</v>
          </cell>
          <cell r="F5962" t="str">
            <v>T917-16</v>
          </cell>
          <cell r="G5962">
            <v>6</v>
          </cell>
          <cell r="H5962" t="str">
            <v>mRNA文库</v>
          </cell>
          <cell r="I5962" t="str">
            <v>XCL</v>
          </cell>
          <cell r="J5962">
            <v>25</v>
          </cell>
          <cell r="N5962" t="e">
            <v>#DIV/0!</v>
          </cell>
        </row>
        <row r="5963">
          <cell r="E5963" t="str">
            <v>HGC-Lib-2469954</v>
          </cell>
          <cell r="F5963" t="str">
            <v>T917-17</v>
          </cell>
          <cell r="G5963">
            <v>6</v>
          </cell>
          <cell r="H5963" t="str">
            <v>mRNA文库</v>
          </cell>
          <cell r="I5963" t="str">
            <v>XCL</v>
          </cell>
          <cell r="J5963">
            <v>19</v>
          </cell>
          <cell r="N5963" t="e">
            <v>#DIV/0!</v>
          </cell>
        </row>
        <row r="5964">
          <cell r="E5964" t="str">
            <v>HGC-Lib-2469955</v>
          </cell>
          <cell r="F5964" t="str">
            <v>T917-18</v>
          </cell>
          <cell r="G5964">
            <v>6</v>
          </cell>
          <cell r="H5964" t="str">
            <v>mRNA文库</v>
          </cell>
          <cell r="I5964" t="str">
            <v>XCL</v>
          </cell>
          <cell r="J5964">
            <v>13.6</v>
          </cell>
          <cell r="N5964" t="e">
            <v>#DIV/0!</v>
          </cell>
        </row>
        <row r="5965">
          <cell r="E5965" t="str">
            <v>HGC-Lib-2469956</v>
          </cell>
          <cell r="F5965" t="str">
            <v>T917-19</v>
          </cell>
          <cell r="G5965">
            <v>6</v>
          </cell>
          <cell r="H5965" t="str">
            <v>mRNA文库</v>
          </cell>
          <cell r="I5965" t="str">
            <v>XCL</v>
          </cell>
          <cell r="J5965">
            <v>37.200000000000003</v>
          </cell>
          <cell r="N5965" t="e">
            <v>#DIV/0!</v>
          </cell>
        </row>
        <row r="5966">
          <cell r="E5966" t="str">
            <v>HGC-Lib-2469957</v>
          </cell>
          <cell r="F5966" t="str">
            <v>T917-20</v>
          </cell>
          <cell r="G5966">
            <v>6</v>
          </cell>
          <cell r="H5966" t="str">
            <v>mRNA文库</v>
          </cell>
          <cell r="I5966" t="str">
            <v>XCL</v>
          </cell>
          <cell r="J5966">
            <v>40.200000000000003</v>
          </cell>
          <cell r="N5966" t="e">
            <v>#DIV/0!</v>
          </cell>
        </row>
        <row r="5967">
          <cell r="E5967" t="str">
            <v>HGC-Lib-2469958</v>
          </cell>
          <cell r="F5967" t="str">
            <v>T917-21</v>
          </cell>
          <cell r="G5967">
            <v>6</v>
          </cell>
          <cell r="H5967" t="str">
            <v>mRNA文库</v>
          </cell>
          <cell r="I5967" t="str">
            <v>XCL</v>
          </cell>
          <cell r="J5967">
            <v>49.6</v>
          </cell>
          <cell r="N5967" t="e">
            <v>#DIV/0!</v>
          </cell>
        </row>
        <row r="5968">
          <cell r="E5968" t="str">
            <v>HGC-Lib-2469959</v>
          </cell>
          <cell r="F5968" t="str">
            <v>T917-22</v>
          </cell>
          <cell r="G5968">
            <v>6</v>
          </cell>
          <cell r="H5968" t="str">
            <v>mRNA文库</v>
          </cell>
          <cell r="I5968" t="str">
            <v>XCL</v>
          </cell>
          <cell r="J5968">
            <v>43.2</v>
          </cell>
          <cell r="N5968" t="e">
            <v>#DIV/0!</v>
          </cell>
        </row>
        <row r="5969">
          <cell r="E5969" t="str">
            <v>HGC-Lib-2469960</v>
          </cell>
          <cell r="F5969" t="str">
            <v>T917-23</v>
          </cell>
          <cell r="G5969">
            <v>6</v>
          </cell>
          <cell r="H5969" t="str">
            <v>mRNA文库</v>
          </cell>
          <cell r="I5969" t="str">
            <v>XCL</v>
          </cell>
          <cell r="J5969">
            <v>46.8</v>
          </cell>
          <cell r="N5969" t="e">
            <v>#DIV/0!</v>
          </cell>
        </row>
        <row r="5970">
          <cell r="E5970" t="str">
            <v>HGC-Lib-2469961</v>
          </cell>
          <cell r="F5970" t="str">
            <v>T917-24</v>
          </cell>
          <cell r="G5970">
            <v>6</v>
          </cell>
          <cell r="H5970" t="str">
            <v>mRNA文库</v>
          </cell>
          <cell r="I5970" t="str">
            <v>XCL</v>
          </cell>
          <cell r="J5970">
            <v>56.8</v>
          </cell>
          <cell r="N5970" t="e">
            <v>#DIV/0!</v>
          </cell>
        </row>
        <row r="5971">
          <cell r="E5971" t="str">
            <v>HGC-Lib-2469962</v>
          </cell>
          <cell r="F5971" t="str">
            <v>ATAC-6-L1</v>
          </cell>
          <cell r="G5971">
            <v>10</v>
          </cell>
          <cell r="H5971" t="str">
            <v>ATAC-Seq文库</v>
          </cell>
          <cell r="I5971" t="str">
            <v>XCL</v>
          </cell>
          <cell r="J5971">
            <v>28.2</v>
          </cell>
          <cell r="K5971">
            <v>352</v>
          </cell>
          <cell r="L5971" t="str">
            <v>YHT</v>
          </cell>
          <cell r="N5971">
            <v>123.251748251748</v>
          </cell>
        </row>
        <row r="5972">
          <cell r="E5972" t="str">
            <v>HGC-Lib-2469963</v>
          </cell>
          <cell r="F5972" t="str">
            <v>ATAC-6-L2</v>
          </cell>
          <cell r="G5972">
            <v>10</v>
          </cell>
          <cell r="H5972" t="str">
            <v>ATAC-Seq文库</v>
          </cell>
          <cell r="I5972" t="str">
            <v>XCL</v>
          </cell>
          <cell r="J5972">
            <v>21.2</v>
          </cell>
          <cell r="K5972">
            <v>476</v>
          </cell>
          <cell r="L5972" t="str">
            <v>YHT</v>
          </cell>
          <cell r="N5972">
            <v>68.519715578539106</v>
          </cell>
        </row>
        <row r="5973">
          <cell r="E5973" t="str">
            <v>HGC-Lib-2469964</v>
          </cell>
          <cell r="F5973" t="str">
            <v>ATAC-6-L3</v>
          </cell>
          <cell r="G5973">
            <v>10</v>
          </cell>
          <cell r="H5973" t="str">
            <v>ATAC-Seq文库</v>
          </cell>
          <cell r="I5973" t="str">
            <v>XCL</v>
          </cell>
          <cell r="J5973">
            <v>9.4600000000000009</v>
          </cell>
          <cell r="K5973">
            <v>391</v>
          </cell>
          <cell r="L5973" t="str">
            <v>YHT</v>
          </cell>
          <cell r="N5973">
            <v>37.222112925437699</v>
          </cell>
        </row>
        <row r="5974">
          <cell r="E5974" t="str">
            <v>HGC-Lib-2469965</v>
          </cell>
          <cell r="F5974" t="str">
            <v>ATAC-6-L4</v>
          </cell>
          <cell r="G5974">
            <v>10</v>
          </cell>
          <cell r="H5974" t="str">
            <v>ATAC-Seq文库</v>
          </cell>
          <cell r="I5974" t="str">
            <v>XCL</v>
          </cell>
          <cell r="J5974">
            <v>20.399999999999999</v>
          </cell>
          <cell r="K5974">
            <v>369</v>
          </cell>
          <cell r="L5974" t="str">
            <v>YHT</v>
          </cell>
          <cell r="N5974">
            <v>85.053158223889895</v>
          </cell>
        </row>
        <row r="5975">
          <cell r="E5975" t="str">
            <v>HGC-Lib-2469968</v>
          </cell>
          <cell r="F5975" t="str">
            <v>wk0829-1</v>
          </cell>
          <cell r="G5975">
            <v>10</v>
          </cell>
          <cell r="H5975" t="str">
            <v>WES/panel捕获文库</v>
          </cell>
          <cell r="I5975" t="str">
            <v>XCL</v>
          </cell>
          <cell r="J5975">
            <v>4.22</v>
          </cell>
          <cell r="K5975">
            <v>401</v>
          </cell>
          <cell r="L5975" t="str">
            <v>GZQ</v>
          </cell>
          <cell r="N5975">
            <v>16.190293497026701</v>
          </cell>
        </row>
        <row r="5976">
          <cell r="E5976" t="str">
            <v>HGC-Lib-2469969</v>
          </cell>
          <cell r="F5976" t="str">
            <v>H-5T-5</v>
          </cell>
          <cell r="G5976">
            <v>5</v>
          </cell>
          <cell r="H5976" t="str">
            <v>PCR产物文库</v>
          </cell>
          <cell r="I5976" t="str">
            <v>XCL</v>
          </cell>
          <cell r="J5976">
            <v>26.8</v>
          </cell>
          <cell r="K5976">
            <v>399</v>
          </cell>
          <cell r="L5976" t="str">
            <v>YHT</v>
          </cell>
          <cell r="N5976">
            <v>103.335261229998</v>
          </cell>
        </row>
        <row r="5977">
          <cell r="E5977" t="str">
            <v>HGC-Lib-2469970</v>
          </cell>
          <cell r="F5977" t="str">
            <v>H-5T-6</v>
          </cell>
          <cell r="G5977">
            <v>5</v>
          </cell>
          <cell r="H5977" t="str">
            <v>PCR产物文库</v>
          </cell>
          <cell r="I5977" t="str">
            <v>XCL</v>
          </cell>
          <cell r="J5977">
            <v>28.6</v>
          </cell>
          <cell r="K5977">
            <v>386</v>
          </cell>
          <cell r="L5977" t="str">
            <v>YHT</v>
          </cell>
          <cell r="N5977">
            <v>113.98963730569901</v>
          </cell>
        </row>
        <row r="5978">
          <cell r="E5978" t="str">
            <v>HGC-Lib-2469971</v>
          </cell>
          <cell r="F5978" t="str">
            <v>H-5T-7</v>
          </cell>
          <cell r="G5978">
            <v>5</v>
          </cell>
          <cell r="H5978" t="str">
            <v>PCR产物文库</v>
          </cell>
          <cell r="I5978" t="str">
            <v>XCL</v>
          </cell>
          <cell r="J5978">
            <v>96.8</v>
          </cell>
          <cell r="K5978">
            <v>423</v>
          </cell>
          <cell r="L5978" t="str">
            <v>YHT</v>
          </cell>
          <cell r="N5978">
            <v>352.06401163848</v>
          </cell>
        </row>
        <row r="5979">
          <cell r="E5979" t="str">
            <v>HGC-Lib-2469972</v>
          </cell>
          <cell r="F5979" t="str">
            <v>N-CH-2</v>
          </cell>
          <cell r="G5979">
            <v>5</v>
          </cell>
          <cell r="H5979" t="str">
            <v>PCR产物文库</v>
          </cell>
          <cell r="I5979" t="str">
            <v>XCL</v>
          </cell>
          <cell r="J5979">
            <v>21.6</v>
          </cell>
          <cell r="K5979">
            <v>413</v>
          </cell>
          <cell r="L5979" t="str">
            <v>YHT</v>
          </cell>
          <cell r="N5979">
            <v>80.461910970385503</v>
          </cell>
        </row>
        <row r="5980">
          <cell r="E5980" t="str">
            <v>HGC-Lib-2469973</v>
          </cell>
          <cell r="F5980" t="str">
            <v>N-CH-3</v>
          </cell>
          <cell r="G5980">
            <v>5</v>
          </cell>
          <cell r="H5980" t="str">
            <v>PCR产物文库</v>
          </cell>
          <cell r="I5980" t="str">
            <v>XCL</v>
          </cell>
          <cell r="J5980">
            <v>41</v>
          </cell>
          <cell r="K5980">
            <v>345</v>
          </cell>
          <cell r="L5980" t="str">
            <v>YHT</v>
          </cell>
          <cell r="N5980">
            <v>182.83166109253099</v>
          </cell>
        </row>
        <row r="5981">
          <cell r="E5981" t="str">
            <v>HGC-Lib-2469974</v>
          </cell>
          <cell r="F5981" t="str">
            <v>N-CH-4</v>
          </cell>
          <cell r="G5981">
            <v>5</v>
          </cell>
          <cell r="H5981" t="str">
            <v>PCR产物文库</v>
          </cell>
          <cell r="I5981" t="str">
            <v>XCL</v>
          </cell>
          <cell r="J5981">
            <v>24.2</v>
          </cell>
          <cell r="K5981">
            <v>411</v>
          </cell>
          <cell r="L5981" t="str">
            <v>YHT</v>
          </cell>
          <cell r="N5981">
            <v>90.585813213550395</v>
          </cell>
        </row>
        <row r="5982">
          <cell r="E5982" t="str">
            <v>HGC-Lib-2469975</v>
          </cell>
          <cell r="F5982" t="str">
            <v>CH-6</v>
          </cell>
          <cell r="G5982">
            <v>5</v>
          </cell>
          <cell r="H5982" t="str">
            <v>PCR产物文库</v>
          </cell>
          <cell r="I5982" t="str">
            <v>XCL</v>
          </cell>
          <cell r="J5982">
            <v>56.6</v>
          </cell>
          <cell r="K5982">
            <v>348</v>
          </cell>
          <cell r="L5982" t="str">
            <v>YHT</v>
          </cell>
          <cell r="N5982">
            <v>250.221043324492</v>
          </cell>
        </row>
        <row r="5983">
          <cell r="E5983" t="str">
            <v>HGC-Lib-2469976</v>
          </cell>
          <cell r="F5983" t="str">
            <v>CH-7</v>
          </cell>
          <cell r="G5983">
            <v>5</v>
          </cell>
          <cell r="H5983" t="str">
            <v>PCR产物文库</v>
          </cell>
          <cell r="I5983" t="str">
            <v>XCL</v>
          </cell>
          <cell r="J5983">
            <v>55.8</v>
          </cell>
          <cell r="K5983">
            <v>355</v>
          </cell>
          <cell r="L5983" t="str">
            <v>YHT</v>
          </cell>
          <cell r="N5983">
            <v>241.820151679307</v>
          </cell>
        </row>
        <row r="5984">
          <cell r="E5984" t="str">
            <v>HGC-Lib-2469977</v>
          </cell>
          <cell r="F5984" t="str">
            <v>N-NL-2</v>
          </cell>
          <cell r="G5984">
            <v>5</v>
          </cell>
          <cell r="H5984" t="str">
            <v>PCR产物文库</v>
          </cell>
          <cell r="I5984" t="str">
            <v>XCL</v>
          </cell>
          <cell r="J5984">
            <v>33.6</v>
          </cell>
          <cell r="K5984">
            <v>374</v>
          </cell>
          <cell r="L5984" t="str">
            <v>YHT</v>
          </cell>
          <cell r="N5984">
            <v>138.214726450021</v>
          </cell>
        </row>
        <row r="5985">
          <cell r="E5985" t="str">
            <v>HGC-Lib-2469978</v>
          </cell>
          <cell r="F5985" t="str">
            <v>Q-2-R1</v>
          </cell>
          <cell r="G5985" t="str">
            <v>6G</v>
          </cell>
          <cell r="H5985" t="str">
            <v>RIP-seq文库</v>
          </cell>
          <cell r="I5985" t="str">
            <v>XCL</v>
          </cell>
          <cell r="J5985">
            <v>0.252</v>
          </cell>
          <cell r="K5985">
            <v>369</v>
          </cell>
          <cell r="L5985" t="str">
            <v>GZQ</v>
          </cell>
          <cell r="N5985">
            <v>1.0506566604127601</v>
          </cell>
        </row>
        <row r="5986">
          <cell r="E5986" t="str">
            <v>HGC-Lib-2469979</v>
          </cell>
          <cell r="F5986" t="str">
            <v>Q-2-R2</v>
          </cell>
          <cell r="G5986" t="str">
            <v>6G</v>
          </cell>
          <cell r="H5986" t="str">
            <v>RIP-seq文库</v>
          </cell>
          <cell r="I5986" t="str">
            <v>XCL</v>
          </cell>
          <cell r="J5986">
            <v>0.45400000000000001</v>
          </cell>
          <cell r="K5986">
            <v>370</v>
          </cell>
          <cell r="L5986" t="str">
            <v>GZQ</v>
          </cell>
          <cell r="N5986">
            <v>1.8877338877338901</v>
          </cell>
        </row>
        <row r="5987">
          <cell r="E5987" t="str">
            <v>HGC-Lib-2469980</v>
          </cell>
          <cell r="F5987" t="str">
            <v>Q-2-R3</v>
          </cell>
          <cell r="G5987" t="str">
            <v>6G</v>
          </cell>
          <cell r="H5987" t="str">
            <v>RIP-seq文库</v>
          </cell>
          <cell r="I5987" t="str">
            <v>XCL</v>
          </cell>
          <cell r="J5987">
            <v>0.38800000000000001</v>
          </cell>
          <cell r="K5987">
            <v>360</v>
          </cell>
          <cell r="L5987" t="str">
            <v>GZQ</v>
          </cell>
          <cell r="N5987">
            <v>1.65811965811966</v>
          </cell>
        </row>
        <row r="5988">
          <cell r="E5988" t="str">
            <v>HGC-Lib-2469981</v>
          </cell>
          <cell r="F5988" t="str">
            <v>4-2-R1</v>
          </cell>
          <cell r="G5988" t="str">
            <v>6G</v>
          </cell>
          <cell r="H5988" t="str">
            <v>RIP-seq文库</v>
          </cell>
          <cell r="I5988" t="str">
            <v>XCL</v>
          </cell>
          <cell r="J5988">
            <v>0.2</v>
          </cell>
          <cell r="K5988">
            <v>369</v>
          </cell>
          <cell r="L5988" t="str">
            <v>GZQ</v>
          </cell>
          <cell r="N5988">
            <v>0.83385449239107801</v>
          </cell>
        </row>
        <row r="5989">
          <cell r="E5989" t="str">
            <v>HGC-Lib-2469982</v>
          </cell>
          <cell r="F5989" t="str">
            <v>4-2-R2</v>
          </cell>
          <cell r="G5989" t="str">
            <v>6G</v>
          </cell>
          <cell r="H5989" t="str">
            <v>RIP-seq文库</v>
          </cell>
          <cell r="I5989" t="str">
            <v>XCL</v>
          </cell>
          <cell r="J5989">
            <v>0.26600000000000001</v>
          </cell>
          <cell r="K5989">
            <v>361</v>
          </cell>
          <cell r="L5989" t="str">
            <v>GZQ</v>
          </cell>
          <cell r="N5989">
            <v>1.1336032388663999</v>
          </cell>
        </row>
        <row r="5990">
          <cell r="E5990" t="str">
            <v>HGC-Lib-2469983</v>
          </cell>
          <cell r="F5990" t="str">
            <v>4-2-R3</v>
          </cell>
          <cell r="G5990" t="str">
            <v>6G</v>
          </cell>
          <cell r="H5990" t="str">
            <v>RIP-seq文库</v>
          </cell>
          <cell r="I5990" t="str">
            <v>GZQ</v>
          </cell>
          <cell r="J5990">
            <v>0.28599999999999998</v>
          </cell>
          <cell r="K5990">
            <v>369</v>
          </cell>
          <cell r="L5990" t="str">
            <v>GZQ</v>
          </cell>
          <cell r="N5990">
            <v>1.1924119241192399</v>
          </cell>
        </row>
        <row r="5991">
          <cell r="E5991" t="str">
            <v>HGC-POOL-2469984</v>
          </cell>
          <cell r="F5991" t="str">
            <v>FAS08</v>
          </cell>
          <cell r="G5991">
            <v>95</v>
          </cell>
          <cell r="H5991" t="str">
            <v>10× 3'单细胞</v>
          </cell>
          <cell r="I5991" t="str">
            <v>GZQ</v>
          </cell>
          <cell r="J5991">
            <v>3</v>
          </cell>
          <cell r="K5991">
            <v>413</v>
          </cell>
          <cell r="L5991" t="str">
            <v>GZQ</v>
          </cell>
          <cell r="N5991">
            <v>11.1752654125535</v>
          </cell>
        </row>
        <row r="5992">
          <cell r="E5992" t="str">
            <v>HGC-Lib-2469985</v>
          </cell>
          <cell r="F5992" t="str">
            <v>LPS-IgG</v>
          </cell>
          <cell r="G5992">
            <v>6</v>
          </cell>
          <cell r="H5992" t="str">
            <v>cut&amp;tag文库</v>
          </cell>
          <cell r="I5992" t="str">
            <v>GZQ</v>
          </cell>
          <cell r="J5992">
            <v>0.16200000000000001</v>
          </cell>
          <cell r="K5992" t="str">
            <v>/</v>
          </cell>
          <cell r="L5992" t="str">
            <v>GZQ</v>
          </cell>
          <cell r="N5992" t="e">
            <v>#VALUE!</v>
          </cell>
        </row>
        <row r="5993">
          <cell r="E5993" t="str">
            <v>HGC-Lib-2469986</v>
          </cell>
          <cell r="F5993" t="str">
            <v>LPS-Lac</v>
          </cell>
          <cell r="G5993">
            <v>6</v>
          </cell>
          <cell r="H5993" t="str">
            <v>cut&amp;tag文库</v>
          </cell>
          <cell r="I5993" t="str">
            <v>GZQ</v>
          </cell>
          <cell r="J5993">
            <v>0.152</v>
          </cell>
          <cell r="K5993" t="str">
            <v>/</v>
          </cell>
          <cell r="L5993" t="str">
            <v>GZQ</v>
          </cell>
          <cell r="N5993" t="e">
            <v>#VALUE!</v>
          </cell>
        </row>
        <row r="5994">
          <cell r="E5994" t="str">
            <v>HGC-Lib-2469987</v>
          </cell>
          <cell r="F5994" t="str">
            <v>IL6-IgG</v>
          </cell>
          <cell r="G5994">
            <v>6</v>
          </cell>
          <cell r="H5994" t="str">
            <v>cut&amp;tag文库</v>
          </cell>
          <cell r="I5994" t="str">
            <v>GZQ</v>
          </cell>
          <cell r="J5994" t="str">
            <v>/</v>
          </cell>
          <cell r="K5994" t="str">
            <v>/</v>
          </cell>
          <cell r="L5994" t="str">
            <v>GZQ</v>
          </cell>
          <cell r="N5994" t="e">
            <v>#VALUE!</v>
          </cell>
        </row>
        <row r="5995">
          <cell r="E5995" t="str">
            <v>HGC-Lib-2469988</v>
          </cell>
          <cell r="F5995" t="str">
            <v>IL6-Lac</v>
          </cell>
          <cell r="G5995">
            <v>6</v>
          </cell>
          <cell r="H5995" t="str">
            <v>cut&amp;tag文库</v>
          </cell>
          <cell r="I5995" t="str">
            <v>GZQ</v>
          </cell>
          <cell r="J5995">
            <v>2.38</v>
          </cell>
          <cell r="K5995">
            <v>591</v>
          </cell>
          <cell r="L5995" t="str">
            <v>GZQ</v>
          </cell>
          <cell r="N5995">
            <v>6.1954965508265003</v>
          </cell>
        </row>
        <row r="5996">
          <cell r="E5996" t="str">
            <v>HGC-Lib-2469989</v>
          </cell>
          <cell r="F5996" t="str">
            <v>0829X1</v>
          </cell>
          <cell r="G5996">
            <v>1000</v>
          </cell>
          <cell r="I5996" t="str">
            <v>GZQ</v>
          </cell>
          <cell r="J5996">
            <v>16.8</v>
          </cell>
          <cell r="K5996">
            <v>424</v>
          </cell>
          <cell r="L5996" t="str">
            <v>YHT</v>
          </cell>
          <cell r="N5996">
            <v>60.9579100145138</v>
          </cell>
        </row>
        <row r="5997">
          <cell r="E5997" t="str">
            <v>HGC-Lib-2469990</v>
          </cell>
          <cell r="F5997" t="str">
            <v>0829X2</v>
          </cell>
          <cell r="G5997">
            <v>1000</v>
          </cell>
          <cell r="I5997" t="str">
            <v>GZQ</v>
          </cell>
          <cell r="J5997">
            <v>19.2</v>
          </cell>
          <cell r="K5997">
            <v>438</v>
          </cell>
          <cell r="L5997" t="str">
            <v>YHT</v>
          </cell>
          <cell r="N5997">
            <v>67.439409905163302</v>
          </cell>
        </row>
        <row r="5998">
          <cell r="E5998" t="str">
            <v>HGC-POOL-2469991</v>
          </cell>
          <cell r="F5998" t="str">
            <v>C1-4</v>
          </cell>
          <cell r="G5998">
            <v>24</v>
          </cell>
          <cell r="H5998" t="str">
            <v>mRNA文库</v>
          </cell>
          <cell r="I5998" t="str">
            <v>GZQ</v>
          </cell>
          <cell r="J5998">
            <v>6.32</v>
          </cell>
          <cell r="K5998">
            <v>403</v>
          </cell>
          <cell r="L5998" t="str">
            <v>GZQ</v>
          </cell>
          <cell r="N5998">
            <v>24.126741744607799</v>
          </cell>
        </row>
        <row r="5999">
          <cell r="E5999" t="str">
            <v>HGC-POOL-2469992</v>
          </cell>
          <cell r="F5999" t="str">
            <v>C5-8</v>
          </cell>
          <cell r="G5999">
            <v>24</v>
          </cell>
          <cell r="H5999" t="str">
            <v>mRNA文库</v>
          </cell>
          <cell r="I5999" t="str">
            <v>GZQ</v>
          </cell>
          <cell r="J5999">
            <v>4.58</v>
          </cell>
          <cell r="K5999">
            <v>397</v>
          </cell>
          <cell r="L5999" t="str">
            <v>GZQ</v>
          </cell>
          <cell r="N5999">
            <v>17.748498353032399</v>
          </cell>
        </row>
        <row r="6000">
          <cell r="E6000" t="str">
            <v>HGC-POOL-2469993</v>
          </cell>
          <cell r="F6000" t="str">
            <v>C9-12</v>
          </cell>
          <cell r="G6000">
            <v>24</v>
          </cell>
          <cell r="H6000" t="str">
            <v>mRNA文库</v>
          </cell>
          <cell r="I6000" t="str">
            <v>GZQ</v>
          </cell>
          <cell r="J6000">
            <v>3</v>
          </cell>
          <cell r="K6000">
            <v>417</v>
          </cell>
          <cell r="L6000" t="str">
            <v>GZQ</v>
          </cell>
          <cell r="N6000">
            <v>11.0680686220255</v>
          </cell>
        </row>
        <row r="6001">
          <cell r="E6001" t="str">
            <v>HGC-Lib-2469994</v>
          </cell>
          <cell r="F6001" t="str">
            <v>B1</v>
          </cell>
          <cell r="G6001">
            <v>10</v>
          </cell>
          <cell r="H6001" t="str">
            <v>Chip-Seq</v>
          </cell>
          <cell r="I6001" t="str">
            <v>GZQ</v>
          </cell>
          <cell r="J6001">
            <v>9.8800000000000008</v>
          </cell>
          <cell r="K6001">
            <v>354</v>
          </cell>
          <cell r="L6001" t="str">
            <v>GZQ</v>
          </cell>
          <cell r="N6001">
            <v>42.937853107344601</v>
          </cell>
        </row>
        <row r="6002">
          <cell r="E6002" t="str">
            <v>HGC-Lib-2469995</v>
          </cell>
          <cell r="F6002" t="str">
            <v>B2</v>
          </cell>
          <cell r="G6002">
            <v>10</v>
          </cell>
          <cell r="H6002" t="str">
            <v>Chip-Seq</v>
          </cell>
          <cell r="I6002" t="str">
            <v>GZQ</v>
          </cell>
          <cell r="J6002">
            <v>6.24</v>
          </cell>
          <cell r="K6002">
            <v>391</v>
          </cell>
          <cell r="L6002" t="str">
            <v>GZQ</v>
          </cell>
          <cell r="N6002">
            <v>24.552429667519199</v>
          </cell>
        </row>
        <row r="6003">
          <cell r="E6003" t="str">
            <v>HGC-Lib-2469996</v>
          </cell>
          <cell r="F6003" t="str">
            <v>B3</v>
          </cell>
          <cell r="G6003">
            <v>10</v>
          </cell>
          <cell r="H6003" t="str">
            <v>Chip-Seq</v>
          </cell>
          <cell r="I6003" t="str">
            <v>GZQ</v>
          </cell>
          <cell r="J6003">
            <v>12.3</v>
          </cell>
          <cell r="K6003">
            <v>367</v>
          </cell>
          <cell r="L6003" t="str">
            <v>GZQ</v>
          </cell>
          <cell r="N6003">
            <v>51.561517501571998</v>
          </cell>
        </row>
        <row r="6004">
          <cell r="E6004" t="str">
            <v>HGC-Lib-2469997</v>
          </cell>
          <cell r="F6004" t="str">
            <v>B4</v>
          </cell>
          <cell r="G6004">
            <v>10</v>
          </cell>
          <cell r="H6004" t="str">
            <v>Chip-Seq</v>
          </cell>
          <cell r="I6004" t="str">
            <v>GZQ</v>
          </cell>
          <cell r="J6004">
            <v>13</v>
          </cell>
          <cell r="K6004">
            <v>336</v>
          </cell>
          <cell r="L6004" t="str">
            <v>GZQ</v>
          </cell>
          <cell r="N6004">
            <v>59.523809523809497</v>
          </cell>
        </row>
        <row r="6005">
          <cell r="E6005" t="str">
            <v>HGC-Lib-2469998</v>
          </cell>
          <cell r="F6005" t="str">
            <v>B5</v>
          </cell>
          <cell r="G6005">
            <v>10</v>
          </cell>
          <cell r="H6005" t="str">
            <v>Chip-Seq</v>
          </cell>
          <cell r="I6005" t="str">
            <v>GZQ</v>
          </cell>
          <cell r="J6005">
            <v>9.86</v>
          </cell>
          <cell r="K6005">
            <v>338</v>
          </cell>
          <cell r="L6005" t="str">
            <v>GZQ</v>
          </cell>
          <cell r="N6005">
            <v>44.879380974055501</v>
          </cell>
        </row>
        <row r="6006">
          <cell r="E6006" t="str">
            <v>HGC-Lib-2469999</v>
          </cell>
          <cell r="F6006" t="str">
            <v>B6</v>
          </cell>
          <cell r="G6006">
            <v>10</v>
          </cell>
          <cell r="H6006" t="str">
            <v>Chip-Seq</v>
          </cell>
          <cell r="I6006" t="str">
            <v>GZQ</v>
          </cell>
          <cell r="J6006">
            <v>7.94</v>
          </cell>
          <cell r="K6006">
            <v>339</v>
          </cell>
          <cell r="L6006" t="str">
            <v>GZQ</v>
          </cell>
          <cell r="N6006">
            <v>36.033582936237799</v>
          </cell>
        </row>
        <row r="6007">
          <cell r="E6007" t="str">
            <v>HGC-Lib-2470000</v>
          </cell>
          <cell r="F6007" t="str">
            <v>B7</v>
          </cell>
          <cell r="G6007">
            <v>10</v>
          </cell>
          <cell r="H6007" t="str">
            <v>Chip-Seq</v>
          </cell>
          <cell r="I6007" t="str">
            <v>GZQ</v>
          </cell>
          <cell r="J6007">
            <v>12.4</v>
          </cell>
          <cell r="K6007">
            <v>339</v>
          </cell>
          <cell r="L6007" t="str">
            <v>GZQ</v>
          </cell>
          <cell r="N6007">
            <v>56.2741093714545</v>
          </cell>
        </row>
        <row r="6008">
          <cell r="E6008" t="str">
            <v>HGC-Lib-2470001</v>
          </cell>
          <cell r="F6008" t="str">
            <v>B8</v>
          </cell>
          <cell r="G6008">
            <v>10</v>
          </cell>
          <cell r="H6008" t="str">
            <v>Chip-Seq</v>
          </cell>
          <cell r="I6008" t="str">
            <v>GZQ</v>
          </cell>
          <cell r="J6008">
            <v>10.1</v>
          </cell>
          <cell r="K6008">
            <v>321</v>
          </cell>
          <cell r="L6008" t="str">
            <v>GZQ</v>
          </cell>
          <cell r="N6008">
            <v>48.406422238197898</v>
          </cell>
        </row>
        <row r="6009">
          <cell r="E6009" t="str">
            <v>HGC-Lib-2470002</v>
          </cell>
          <cell r="F6009" t="str">
            <v>B9</v>
          </cell>
          <cell r="G6009">
            <v>10</v>
          </cell>
          <cell r="H6009" t="str">
            <v>Chip-Seq</v>
          </cell>
          <cell r="I6009" t="str">
            <v>GZQ</v>
          </cell>
          <cell r="J6009">
            <v>10.9</v>
          </cell>
          <cell r="K6009">
            <v>374</v>
          </cell>
          <cell r="L6009" t="str">
            <v>GZQ</v>
          </cell>
          <cell r="N6009">
            <v>44.837515425750702</v>
          </cell>
        </row>
        <row r="6010">
          <cell r="E6010" t="str">
            <v>HGC-Lib-2470003</v>
          </cell>
          <cell r="F6010" t="str">
            <v>B10</v>
          </cell>
          <cell r="G6010">
            <v>10</v>
          </cell>
          <cell r="H6010" t="str">
            <v>Chip-Seq</v>
          </cell>
          <cell r="I6010" t="str">
            <v>GZQ</v>
          </cell>
          <cell r="J6010">
            <v>11</v>
          </cell>
          <cell r="K6010">
            <v>367</v>
          </cell>
          <cell r="L6010" t="str">
            <v>GZQ</v>
          </cell>
          <cell r="N6010">
            <v>46.111926220918001</v>
          </cell>
        </row>
        <row r="6011">
          <cell r="E6011" t="str">
            <v>HGC-POOL-2470004</v>
          </cell>
          <cell r="F6011" t="str">
            <v>I1-3</v>
          </cell>
          <cell r="G6011">
            <v>9</v>
          </cell>
          <cell r="H6011" t="str">
            <v>PCR产物文库</v>
          </cell>
          <cell r="I6011" t="str">
            <v>GZQ</v>
          </cell>
          <cell r="J6011">
            <v>9.68</v>
          </cell>
          <cell r="K6011">
            <v>225</v>
          </cell>
          <cell r="L6011" t="str">
            <v>GZQ</v>
          </cell>
          <cell r="N6011">
            <v>66.188034188034194</v>
          </cell>
        </row>
        <row r="6012">
          <cell r="E6012" t="str">
            <v>HGC-POOL-2470005</v>
          </cell>
          <cell r="F6012" t="str">
            <v>N1-3</v>
          </cell>
          <cell r="G6012">
            <v>9</v>
          </cell>
          <cell r="H6012" t="str">
            <v>PCR产物文库</v>
          </cell>
          <cell r="I6012" t="str">
            <v>GZQ</v>
          </cell>
          <cell r="J6012">
            <v>9.2200000000000006</v>
          </cell>
          <cell r="K6012">
            <v>206</v>
          </cell>
          <cell r="L6012" t="str">
            <v>GZQ</v>
          </cell>
          <cell r="N6012">
            <v>68.857356235997003</v>
          </cell>
        </row>
        <row r="6013">
          <cell r="E6013" t="str">
            <v>HGC-POOL-2470006</v>
          </cell>
          <cell r="F6013" t="str">
            <v>X1-3</v>
          </cell>
          <cell r="G6013">
            <v>9</v>
          </cell>
          <cell r="H6013" t="str">
            <v>PCR产物文库</v>
          </cell>
          <cell r="I6013" t="str">
            <v>GZQ</v>
          </cell>
          <cell r="J6013">
            <v>7.02</v>
          </cell>
          <cell r="K6013">
            <v>213</v>
          </cell>
          <cell r="L6013" t="str">
            <v>GZQ</v>
          </cell>
          <cell r="N6013">
            <v>50.704225352112701</v>
          </cell>
        </row>
        <row r="6014">
          <cell r="E6014" t="str">
            <v>HGC-POOL-2470007</v>
          </cell>
          <cell r="F6014" t="str">
            <v>MF-S</v>
          </cell>
          <cell r="G6014">
            <v>12</v>
          </cell>
          <cell r="H6014" t="str">
            <v>PCR产物文库</v>
          </cell>
          <cell r="I6014" t="str">
            <v>GZQ</v>
          </cell>
          <cell r="J6014">
            <v>6.06</v>
          </cell>
          <cell r="K6014">
            <v>201</v>
          </cell>
          <cell r="L6014" t="str">
            <v>GZQ</v>
          </cell>
          <cell r="N6014">
            <v>46.383467278989698</v>
          </cell>
        </row>
        <row r="6015">
          <cell r="E6015" t="str">
            <v>HGC-Lib-2470008</v>
          </cell>
          <cell r="F6015" t="str">
            <v>Me-IR64-H3K9me2-1</v>
          </cell>
          <cell r="G6015" t="str">
            <v>6G</v>
          </cell>
          <cell r="H6015" t="str">
            <v>CUT&amp;Tag文库</v>
          </cell>
          <cell r="I6015" t="str">
            <v>GZQ</v>
          </cell>
          <cell r="J6015">
            <v>25.6</v>
          </cell>
          <cell r="K6015">
            <v>509</v>
          </cell>
          <cell r="L6015" t="str">
            <v>YHT</v>
          </cell>
          <cell r="N6015">
            <v>77.376454586670704</v>
          </cell>
        </row>
        <row r="6016">
          <cell r="E6016" t="str">
            <v>HGC-Lib-2470009</v>
          </cell>
          <cell r="F6016" t="str">
            <v>Me-IR64-H3K9me2-2</v>
          </cell>
          <cell r="G6016" t="str">
            <v>6G</v>
          </cell>
          <cell r="H6016" t="str">
            <v>CUT&amp;Tag文库</v>
          </cell>
          <cell r="I6016" t="str">
            <v>GZQ</v>
          </cell>
          <cell r="J6016">
            <v>29.4</v>
          </cell>
          <cell r="K6016">
            <v>508</v>
          </cell>
          <cell r="L6016" t="str">
            <v>YHT</v>
          </cell>
          <cell r="N6016">
            <v>89.036947304663798</v>
          </cell>
        </row>
        <row r="6017">
          <cell r="E6017" t="str">
            <v>HGC-Lib-2470010</v>
          </cell>
          <cell r="F6017" t="str">
            <v>Me-IR64-H3K27me3-1</v>
          </cell>
          <cell r="G6017" t="str">
            <v>10G</v>
          </cell>
          <cell r="H6017" t="str">
            <v>CUT&amp;Tag文库</v>
          </cell>
          <cell r="I6017" t="str">
            <v>GZQ</v>
          </cell>
          <cell r="J6017">
            <v>25.4</v>
          </cell>
          <cell r="K6017">
            <v>506</v>
          </cell>
          <cell r="L6017" t="str">
            <v>YHT</v>
          </cell>
          <cell r="N6017">
            <v>77.227120705381594</v>
          </cell>
        </row>
        <row r="6018">
          <cell r="E6018" t="str">
            <v>HGC-Lib-2470011</v>
          </cell>
          <cell r="F6018" t="str">
            <v>Me-IR64-H3K27me3-2</v>
          </cell>
          <cell r="G6018" t="str">
            <v>10G</v>
          </cell>
          <cell r="H6018" t="str">
            <v>CUT&amp;Tag文库</v>
          </cell>
          <cell r="I6018" t="str">
            <v>GZQ</v>
          </cell>
          <cell r="J6018">
            <v>24.4</v>
          </cell>
          <cell r="K6018">
            <v>506</v>
          </cell>
          <cell r="L6018" t="str">
            <v>YHT</v>
          </cell>
          <cell r="N6018">
            <v>74.186682882335006</v>
          </cell>
        </row>
        <row r="6019">
          <cell r="E6019" t="str">
            <v>HGC-Lib-2470012</v>
          </cell>
          <cell r="F6019" t="str">
            <v>Me-ZH11-H3K36me3-1</v>
          </cell>
          <cell r="G6019" t="str">
            <v>10G</v>
          </cell>
          <cell r="H6019" t="str">
            <v>CUT&amp;Tag文库</v>
          </cell>
          <cell r="I6019" t="str">
            <v>GZQ</v>
          </cell>
          <cell r="J6019">
            <v>19.3</v>
          </cell>
          <cell r="K6019">
            <v>544</v>
          </cell>
          <cell r="L6019" t="str">
            <v>YHT</v>
          </cell>
          <cell r="N6019">
            <v>54.581447963800898</v>
          </cell>
        </row>
        <row r="6020">
          <cell r="E6020" t="str">
            <v>HGC-Lib-2470013</v>
          </cell>
          <cell r="F6020" t="str">
            <v>Me-ZH11-H3K36me3-2</v>
          </cell>
          <cell r="G6020" t="str">
            <v>10G</v>
          </cell>
          <cell r="H6020" t="str">
            <v>CUT&amp;Tag文库</v>
          </cell>
          <cell r="I6020" t="str">
            <v>GZQ</v>
          </cell>
          <cell r="J6020">
            <v>24.4</v>
          </cell>
          <cell r="K6020">
            <v>516</v>
          </cell>
          <cell r="L6020" t="str">
            <v>YHT</v>
          </cell>
          <cell r="N6020">
            <v>72.748956469886707</v>
          </cell>
        </row>
        <row r="6021">
          <cell r="E6021" t="str">
            <v>HGC-Lib-2470014</v>
          </cell>
          <cell r="F6021" t="str">
            <v>Me-jmj705-H3K27me3-1</v>
          </cell>
          <cell r="G6021" t="str">
            <v>10G</v>
          </cell>
          <cell r="H6021" t="str">
            <v>CUT&amp;Tag文库</v>
          </cell>
          <cell r="I6021" t="str">
            <v>GZQ</v>
          </cell>
          <cell r="J6021">
            <v>23.6</v>
          </cell>
          <cell r="K6021">
            <v>506</v>
          </cell>
          <cell r="L6021" t="str">
            <v>YHT</v>
          </cell>
          <cell r="N6021">
            <v>71.754332623897795</v>
          </cell>
        </row>
        <row r="6022">
          <cell r="E6022" t="str">
            <v>HGC-Lib-2470015</v>
          </cell>
          <cell r="F6022" t="str">
            <v>Me-jmj705-H3K27me3-2</v>
          </cell>
          <cell r="G6022" t="str">
            <v>10G</v>
          </cell>
          <cell r="H6022" t="str">
            <v>CUT&amp;Tag文库</v>
          </cell>
          <cell r="I6022" t="str">
            <v>GZQ</v>
          </cell>
          <cell r="J6022">
            <v>19</v>
          </cell>
          <cell r="K6022">
            <v>516</v>
          </cell>
          <cell r="L6022" t="str">
            <v>YHT</v>
          </cell>
          <cell r="N6022">
            <v>56.648777579010101</v>
          </cell>
        </row>
        <row r="6023">
          <cell r="E6023" t="str">
            <v>HGC-Lib-2470016</v>
          </cell>
          <cell r="F6023" t="str">
            <v>Mi-sdg725-H3K36me3-1</v>
          </cell>
          <cell r="G6023" t="str">
            <v>10G</v>
          </cell>
          <cell r="H6023" t="str">
            <v>CUT&amp;Tag文库</v>
          </cell>
          <cell r="I6023" t="str">
            <v>GZQ</v>
          </cell>
          <cell r="J6023">
            <v>27.8</v>
          </cell>
          <cell r="K6023">
            <v>543</v>
          </cell>
          <cell r="L6023" t="str">
            <v>YHT</v>
          </cell>
          <cell r="N6023">
            <v>78.764697549227904</v>
          </cell>
        </row>
        <row r="6024">
          <cell r="E6024" t="str">
            <v>HGC-Lib-2470017</v>
          </cell>
          <cell r="F6024" t="str">
            <v>Mi-sdg725-H3K36me3-2</v>
          </cell>
          <cell r="G6024" t="str">
            <v>10G</v>
          </cell>
          <cell r="H6024" t="str">
            <v>CUT&amp;Tag文库</v>
          </cell>
          <cell r="I6024" t="str">
            <v>GZQ</v>
          </cell>
          <cell r="J6024">
            <v>28.4</v>
          </cell>
          <cell r="K6024">
            <v>560</v>
          </cell>
          <cell r="L6024" t="str">
            <v>YHT</v>
          </cell>
          <cell r="N6024">
            <v>78.021978021978001</v>
          </cell>
        </row>
        <row r="6025">
          <cell r="E6025" t="str">
            <v>HGC-Lib-2470018</v>
          </cell>
          <cell r="F6025" t="str">
            <v>MS24081179</v>
          </cell>
          <cell r="G6025">
            <v>450</v>
          </cell>
          <cell r="H6025" t="str">
            <v>华大c4单细胞cDNA文库</v>
          </cell>
          <cell r="I6025" t="str">
            <v>ZZ</v>
          </cell>
          <cell r="J6025">
            <v>56.2</v>
          </cell>
          <cell r="N6025" t="e">
            <v>#DIV/0!</v>
          </cell>
        </row>
        <row r="6026">
          <cell r="E6026" t="str">
            <v>HGC-Lib-2470019</v>
          </cell>
          <cell r="F6026" t="str">
            <v>MS24081180</v>
          </cell>
          <cell r="G6026">
            <v>450</v>
          </cell>
          <cell r="H6026" t="str">
            <v>华大c5单细胞cDNA文库</v>
          </cell>
          <cell r="I6026" t="str">
            <v>ZZ</v>
          </cell>
          <cell r="J6026">
            <v>54.2</v>
          </cell>
          <cell r="N6026" t="e">
            <v>#DIV/0!</v>
          </cell>
        </row>
        <row r="6027">
          <cell r="E6027" t="str">
            <v>HGC-Lib-2470020</v>
          </cell>
          <cell r="F6027" t="str">
            <v>MS24081212</v>
          </cell>
          <cell r="G6027">
            <v>450</v>
          </cell>
          <cell r="H6027" t="str">
            <v>华大c6单细胞cDNA文库</v>
          </cell>
          <cell r="I6027" t="str">
            <v>ZZ</v>
          </cell>
          <cell r="J6027">
            <v>52.2</v>
          </cell>
          <cell r="N6027" t="e">
            <v>#DIV/0!</v>
          </cell>
        </row>
        <row r="6028">
          <cell r="E6028" t="str">
            <v>HGC-Lib-2470021</v>
          </cell>
          <cell r="F6028" t="str">
            <v>MS24081213</v>
          </cell>
          <cell r="G6028">
            <v>450</v>
          </cell>
          <cell r="H6028" t="str">
            <v>华大c7单细胞cDNA文库</v>
          </cell>
          <cell r="I6028" t="str">
            <v>ZZ</v>
          </cell>
          <cell r="J6028">
            <v>50</v>
          </cell>
          <cell r="N6028" t="e">
            <v>#DIV/0!</v>
          </cell>
        </row>
        <row r="6029">
          <cell r="E6029" t="str">
            <v>HGC-Lib-2470022</v>
          </cell>
          <cell r="F6029" t="str">
            <v>MS24080157</v>
          </cell>
          <cell r="G6029">
            <v>45</v>
          </cell>
          <cell r="H6029" t="str">
            <v>华大c4单细胞cDNA文库</v>
          </cell>
          <cell r="I6029" t="str">
            <v>ZZ</v>
          </cell>
          <cell r="J6029">
            <v>28.2</v>
          </cell>
          <cell r="N6029" t="e">
            <v>#DIV/0!</v>
          </cell>
        </row>
        <row r="6030">
          <cell r="E6030" t="str">
            <v>HGC-Lib-2470023</v>
          </cell>
          <cell r="F6030" t="str">
            <v>MS24080158</v>
          </cell>
          <cell r="G6030">
            <v>45</v>
          </cell>
          <cell r="H6030" t="str">
            <v>华大c4单细胞cDNA文库</v>
          </cell>
          <cell r="I6030" t="str">
            <v>ZZ</v>
          </cell>
          <cell r="J6030">
            <v>21</v>
          </cell>
          <cell r="N6030" t="e">
            <v>#DIV/0!</v>
          </cell>
        </row>
        <row r="6031">
          <cell r="E6031" t="str">
            <v>HGC-Lib-2470024</v>
          </cell>
          <cell r="F6031" t="str">
            <v>MS24081179-o</v>
          </cell>
          <cell r="G6031">
            <v>45</v>
          </cell>
          <cell r="H6031" t="str">
            <v>华大c4单细胞oligo文库</v>
          </cell>
          <cell r="I6031" t="str">
            <v>ZZ</v>
          </cell>
          <cell r="J6031">
            <v>41.8</v>
          </cell>
          <cell r="N6031" t="e">
            <v>#DIV/0!</v>
          </cell>
        </row>
        <row r="6032">
          <cell r="E6032" t="str">
            <v>HGC-Lib-2470025</v>
          </cell>
          <cell r="F6032" t="str">
            <v>MS24081180-o</v>
          </cell>
          <cell r="G6032">
            <v>45</v>
          </cell>
          <cell r="H6032" t="str">
            <v>华大c4单细胞oligo文库</v>
          </cell>
          <cell r="I6032" t="str">
            <v>ZZ</v>
          </cell>
          <cell r="J6032">
            <v>41</v>
          </cell>
          <cell r="N6032" t="e">
            <v>#DIV/0!</v>
          </cell>
        </row>
        <row r="6033">
          <cell r="E6033" t="str">
            <v>HGC-Lib-2470026</v>
          </cell>
          <cell r="F6033" t="str">
            <v>MS24081212-o</v>
          </cell>
          <cell r="G6033">
            <v>45</v>
          </cell>
          <cell r="H6033" t="str">
            <v>华大c4单细胞oligo文库</v>
          </cell>
          <cell r="I6033" t="str">
            <v>ZZ</v>
          </cell>
          <cell r="J6033">
            <v>46</v>
          </cell>
          <cell r="N6033" t="e">
            <v>#DIV/0!</v>
          </cell>
        </row>
        <row r="6034">
          <cell r="E6034" t="str">
            <v>HGC-Lib-2470027</v>
          </cell>
          <cell r="F6034" t="str">
            <v>MS24081213-o</v>
          </cell>
          <cell r="G6034">
            <v>45</v>
          </cell>
          <cell r="H6034" t="str">
            <v>华大c4单细胞oligo文库</v>
          </cell>
          <cell r="I6034" t="str">
            <v>ZZ</v>
          </cell>
          <cell r="J6034">
            <v>42.6</v>
          </cell>
          <cell r="N6034" t="e">
            <v>#DIV/0!</v>
          </cell>
        </row>
        <row r="6035">
          <cell r="E6035" t="str">
            <v>HGC-Lib-2470028</v>
          </cell>
          <cell r="F6035" t="str">
            <v>MS24080157-o</v>
          </cell>
          <cell r="G6035">
            <v>45</v>
          </cell>
          <cell r="H6035" t="str">
            <v>华大c4单细胞oligo文库</v>
          </cell>
          <cell r="I6035" t="str">
            <v>ZZ</v>
          </cell>
          <cell r="J6035">
            <v>37.200000000000003</v>
          </cell>
          <cell r="N6035" t="e">
            <v>#DIV/0!</v>
          </cell>
        </row>
        <row r="6036">
          <cell r="E6036" t="str">
            <v>HGC-Lib-2470029</v>
          </cell>
          <cell r="F6036" t="str">
            <v>MS24080158-o</v>
          </cell>
          <cell r="G6036">
            <v>45</v>
          </cell>
          <cell r="H6036" t="str">
            <v>华大c4单细胞oligo文库</v>
          </cell>
          <cell r="I6036" t="str">
            <v>ZZ</v>
          </cell>
          <cell r="J6036">
            <v>39.4</v>
          </cell>
          <cell r="N6036" t="e">
            <v>#DIV/0!</v>
          </cell>
        </row>
        <row r="6037">
          <cell r="E6037" t="str">
            <v>HGC-Lib-2470030</v>
          </cell>
          <cell r="F6037" t="str">
            <v>OL28010-GW132476</v>
          </cell>
          <cell r="G6037">
            <v>1000</v>
          </cell>
          <cell r="H6037" t="str">
            <v>10× 3'单细胞</v>
          </cell>
          <cell r="I6037" t="str">
            <v>ZZ</v>
          </cell>
          <cell r="J6037">
            <v>2.92</v>
          </cell>
          <cell r="K6037">
            <v>502</v>
          </cell>
          <cell r="L6037" t="str">
            <v>GZQ</v>
          </cell>
          <cell r="N6037">
            <v>8.9488201041985906</v>
          </cell>
        </row>
        <row r="6038">
          <cell r="E6038" t="str">
            <v>HGC-Lib-2470031</v>
          </cell>
          <cell r="F6038" t="str">
            <v>LFTA240823039</v>
          </cell>
          <cell r="G6038">
            <v>100</v>
          </cell>
          <cell r="H6038" t="str">
            <v>singleron-3'全长转录组文库</v>
          </cell>
          <cell r="I6038" t="str">
            <v>ZZ</v>
          </cell>
          <cell r="J6038">
            <v>18.7</v>
          </cell>
          <cell r="N6038" t="e">
            <v>#DIV/0!</v>
          </cell>
        </row>
        <row r="6039">
          <cell r="E6039" t="str">
            <v>HGC-Lib-2470032</v>
          </cell>
          <cell r="F6039" t="str">
            <v>LFTA240823038</v>
          </cell>
          <cell r="G6039">
            <v>100</v>
          </cell>
          <cell r="H6039" t="str">
            <v>singleron-3'全长转录组文库</v>
          </cell>
          <cell r="I6039" t="str">
            <v>ZZ</v>
          </cell>
          <cell r="J6039">
            <v>17.600000000000001</v>
          </cell>
          <cell r="N6039" t="e">
            <v>#DIV/0!</v>
          </cell>
        </row>
        <row r="6040">
          <cell r="E6040" t="str">
            <v>HGC-Lib-2470033</v>
          </cell>
          <cell r="F6040" t="str">
            <v>LFTA240823035</v>
          </cell>
          <cell r="G6040">
            <v>100</v>
          </cell>
          <cell r="H6040" t="str">
            <v>singleron-3'全长转录组文库</v>
          </cell>
          <cell r="I6040" t="str">
            <v>ZZ</v>
          </cell>
          <cell r="J6040">
            <v>13.3</v>
          </cell>
          <cell r="N6040" t="e">
            <v>#DIV/0!</v>
          </cell>
        </row>
        <row r="6041">
          <cell r="E6041" t="str">
            <v>HGC-Lib-2470034</v>
          </cell>
          <cell r="F6041" t="str">
            <v>LFTA240823034</v>
          </cell>
          <cell r="G6041">
            <v>100</v>
          </cell>
          <cell r="H6041" t="str">
            <v>singleron-3'全长转录组文库</v>
          </cell>
          <cell r="I6041" t="str">
            <v>ZZ</v>
          </cell>
          <cell r="J6041">
            <v>15.4</v>
          </cell>
          <cell r="N6041" t="e">
            <v>#DIV/0!</v>
          </cell>
        </row>
        <row r="6042">
          <cell r="E6042" t="str">
            <v>HGC-Lib-2470035</v>
          </cell>
          <cell r="F6042" t="str">
            <v>LFTA240823037</v>
          </cell>
          <cell r="G6042">
            <v>100</v>
          </cell>
          <cell r="H6042" t="str">
            <v>singleron-3'全长转录组文库</v>
          </cell>
          <cell r="I6042" t="str">
            <v>ZZ</v>
          </cell>
          <cell r="J6042">
            <v>15.4</v>
          </cell>
          <cell r="N6042" t="e">
            <v>#DIV/0!</v>
          </cell>
        </row>
        <row r="6043">
          <cell r="E6043" t="str">
            <v>HGC-Lib-2470036</v>
          </cell>
          <cell r="F6043" t="str">
            <v>LFTA240823036</v>
          </cell>
          <cell r="G6043">
            <v>100</v>
          </cell>
          <cell r="H6043" t="str">
            <v>singleron-3'全长转录组文库</v>
          </cell>
          <cell r="I6043" t="str">
            <v>ZZ</v>
          </cell>
          <cell r="J6043">
            <v>13.1</v>
          </cell>
          <cell r="N6043" t="e">
            <v>#DIV/0!</v>
          </cell>
        </row>
        <row r="6044">
          <cell r="E6044" t="str">
            <v>HGC-Lib-2470037</v>
          </cell>
          <cell r="F6044" t="str">
            <v>LFTA240824028</v>
          </cell>
          <cell r="G6044">
            <v>100</v>
          </cell>
          <cell r="H6044" t="str">
            <v>singleron-3'全长转录组文库</v>
          </cell>
          <cell r="I6044" t="str">
            <v>ZZ</v>
          </cell>
          <cell r="J6044">
            <v>11</v>
          </cell>
          <cell r="N6044" t="e">
            <v>#DIV/0!</v>
          </cell>
        </row>
        <row r="6045">
          <cell r="E6045" t="str">
            <v>HGC-Lib-2470038</v>
          </cell>
          <cell r="F6045" t="str">
            <v>LFTA240824029X1</v>
          </cell>
          <cell r="G6045">
            <v>100</v>
          </cell>
          <cell r="H6045" t="str">
            <v>singleron-3'全长转录组文库</v>
          </cell>
          <cell r="I6045" t="str">
            <v>ZZ</v>
          </cell>
          <cell r="J6045">
            <v>15.5</v>
          </cell>
          <cell r="N6045" t="e">
            <v>#DIV/0!</v>
          </cell>
        </row>
        <row r="6046">
          <cell r="E6046" t="str">
            <v>HGC-Lib-2470039</v>
          </cell>
          <cell r="F6046" t="str">
            <v>LC240824012</v>
          </cell>
          <cell r="G6046">
            <v>100</v>
          </cell>
          <cell r="H6046" t="str">
            <v>singleron-3'转录组文库</v>
          </cell>
          <cell r="I6046" t="str">
            <v>ZZ</v>
          </cell>
          <cell r="J6046">
            <v>7.34</v>
          </cell>
          <cell r="N6046" t="e">
            <v>#DIV/0!</v>
          </cell>
        </row>
        <row r="6047">
          <cell r="E6047" t="str">
            <v>HGC-Lib-2470040</v>
          </cell>
          <cell r="F6047" t="str">
            <v>LC240824013</v>
          </cell>
          <cell r="G6047">
            <v>100</v>
          </cell>
          <cell r="H6047" t="str">
            <v>singleron-3'转录组文库</v>
          </cell>
          <cell r="I6047" t="str">
            <v>ZZ</v>
          </cell>
          <cell r="J6047">
            <v>8.58</v>
          </cell>
          <cell r="N6047" t="e">
            <v>#DIV/0!</v>
          </cell>
        </row>
        <row r="6048">
          <cell r="E6048" t="str">
            <v>HGC-Lib-2470041</v>
          </cell>
          <cell r="F6048" t="str">
            <v>LC240824018</v>
          </cell>
          <cell r="G6048">
            <v>100</v>
          </cell>
          <cell r="H6048" t="str">
            <v>singleron-3'转录组文库</v>
          </cell>
          <cell r="I6048" t="str">
            <v>ZZ</v>
          </cell>
          <cell r="J6048">
            <v>5.44</v>
          </cell>
          <cell r="N6048" t="e">
            <v>#DIV/0!</v>
          </cell>
        </row>
        <row r="6049">
          <cell r="E6049" t="str">
            <v>HGC-Lib-2470042</v>
          </cell>
          <cell r="F6049" t="str">
            <v>LC240824007</v>
          </cell>
          <cell r="G6049">
            <v>100</v>
          </cell>
          <cell r="H6049" t="str">
            <v>singleron-3'转录组文库</v>
          </cell>
          <cell r="I6049" t="str">
            <v>ZZ</v>
          </cell>
          <cell r="J6049">
            <v>8.0399999999999991</v>
          </cell>
          <cell r="N6049" t="e">
            <v>#DIV/0!</v>
          </cell>
        </row>
        <row r="6050">
          <cell r="E6050" t="str">
            <v>HGC-Lib-2470043</v>
          </cell>
          <cell r="F6050" t="str">
            <v>LC240824020</v>
          </cell>
          <cell r="G6050">
            <v>100</v>
          </cell>
          <cell r="H6050" t="str">
            <v>singleron-3'转录组文库</v>
          </cell>
          <cell r="I6050" t="str">
            <v>ZZ</v>
          </cell>
          <cell r="J6050">
            <v>6.42</v>
          </cell>
          <cell r="N6050" t="e">
            <v>#DIV/0!</v>
          </cell>
        </row>
        <row r="6051">
          <cell r="E6051" t="str">
            <v>HGC-Lib-2470044</v>
          </cell>
          <cell r="F6051" t="str">
            <v>LC240817006</v>
          </cell>
          <cell r="G6051">
            <v>100</v>
          </cell>
          <cell r="H6051" t="str">
            <v>singleron-3'转录组文库</v>
          </cell>
          <cell r="I6051" t="str">
            <v>ZZ</v>
          </cell>
          <cell r="J6051">
            <v>16.600000000000001</v>
          </cell>
          <cell r="N6051" t="e">
            <v>#DIV/0!</v>
          </cell>
        </row>
        <row r="6052">
          <cell r="E6052" t="str">
            <v>HGC-Lib-2470045</v>
          </cell>
          <cell r="F6052" t="str">
            <v>LC240824011</v>
          </cell>
          <cell r="G6052">
            <v>100</v>
          </cell>
          <cell r="H6052" t="str">
            <v>singleron-3'转录组文库</v>
          </cell>
          <cell r="I6052" t="str">
            <v>ZZ</v>
          </cell>
          <cell r="J6052">
            <v>8.42</v>
          </cell>
          <cell r="N6052" t="e">
            <v>#DIV/0!</v>
          </cell>
        </row>
        <row r="6053">
          <cell r="E6053" t="str">
            <v>HGC-Lib-2470046</v>
          </cell>
          <cell r="F6053" t="str">
            <v>LC240824014</v>
          </cell>
          <cell r="G6053">
            <v>100</v>
          </cell>
          <cell r="H6053" t="str">
            <v>singleron-3'转录组文库</v>
          </cell>
          <cell r="I6053" t="str">
            <v>ZZ</v>
          </cell>
          <cell r="J6053">
            <v>6.28</v>
          </cell>
          <cell r="N6053" t="e">
            <v>#DIV/0!</v>
          </cell>
        </row>
        <row r="6054">
          <cell r="E6054" t="str">
            <v>HGC-Lib-2470047</v>
          </cell>
          <cell r="F6054" t="str">
            <v>LC240824015</v>
          </cell>
          <cell r="G6054">
            <v>100</v>
          </cell>
          <cell r="H6054" t="str">
            <v>singleron-3'转录组文库</v>
          </cell>
          <cell r="I6054" t="str">
            <v>ZZ</v>
          </cell>
          <cell r="J6054">
            <v>6.66</v>
          </cell>
          <cell r="N6054" t="e">
            <v>#DIV/0!</v>
          </cell>
        </row>
        <row r="6055">
          <cell r="E6055" t="str">
            <v>HGC-Lib-2470048</v>
          </cell>
          <cell r="F6055" t="str">
            <v>LC240817008</v>
          </cell>
          <cell r="G6055">
            <v>100</v>
          </cell>
          <cell r="H6055" t="str">
            <v>singleron-3'转录组文库</v>
          </cell>
          <cell r="I6055" t="str">
            <v>ZZ</v>
          </cell>
          <cell r="J6055">
            <v>15.6</v>
          </cell>
          <cell r="N6055" t="e">
            <v>#DIV/0!</v>
          </cell>
        </row>
        <row r="6056">
          <cell r="E6056" t="str">
            <v>HGC-Lib-2470049</v>
          </cell>
          <cell r="F6056" t="str">
            <v>LC240824016</v>
          </cell>
          <cell r="G6056">
            <v>100</v>
          </cell>
          <cell r="H6056" t="str">
            <v>singleron-3'转录组文库</v>
          </cell>
          <cell r="I6056" t="str">
            <v>ZZ</v>
          </cell>
          <cell r="J6056">
            <v>5.54</v>
          </cell>
          <cell r="N6056" t="e">
            <v>#DIV/0!</v>
          </cell>
        </row>
        <row r="6057">
          <cell r="E6057" t="str">
            <v>HGC-Lib-2470050</v>
          </cell>
          <cell r="F6057" t="str">
            <v>LC240824017</v>
          </cell>
          <cell r="G6057">
            <v>100</v>
          </cell>
          <cell r="H6057" t="str">
            <v>singleron-3'转录组文库</v>
          </cell>
          <cell r="I6057" t="str">
            <v>ZZ</v>
          </cell>
          <cell r="J6057">
            <v>16.600000000000001</v>
          </cell>
          <cell r="N6057" t="e">
            <v>#DIV/0!</v>
          </cell>
        </row>
        <row r="6058">
          <cell r="E6058" t="str">
            <v>HGC-Lib-2470051</v>
          </cell>
          <cell r="F6058" t="str">
            <v>LC240824009</v>
          </cell>
          <cell r="G6058">
            <v>100</v>
          </cell>
          <cell r="H6058" t="str">
            <v>singleron-3'转录组文库</v>
          </cell>
          <cell r="I6058" t="str">
            <v>ZZ</v>
          </cell>
          <cell r="J6058">
            <v>7.58</v>
          </cell>
          <cell r="N6058" t="e">
            <v>#DIV/0!</v>
          </cell>
        </row>
        <row r="6059">
          <cell r="E6059" t="str">
            <v>HGC-Lib-2470052</v>
          </cell>
          <cell r="F6059" t="str">
            <v>LC240824019</v>
          </cell>
          <cell r="G6059">
            <v>100</v>
          </cell>
          <cell r="H6059" t="str">
            <v>singleron-3'转录组文库</v>
          </cell>
          <cell r="I6059" t="str">
            <v>ZZ</v>
          </cell>
          <cell r="J6059">
            <v>7.8</v>
          </cell>
          <cell r="N6059" t="e">
            <v>#DIV/0!</v>
          </cell>
        </row>
        <row r="6060">
          <cell r="E6060" t="str">
            <v>HGC-Lib-2470053</v>
          </cell>
          <cell r="F6060" t="str">
            <v>LC240817007</v>
          </cell>
          <cell r="G6060">
            <v>100</v>
          </cell>
          <cell r="H6060" t="str">
            <v>singleron-3'转录组文库</v>
          </cell>
          <cell r="I6060" t="str">
            <v>ZZ</v>
          </cell>
          <cell r="J6060">
            <v>10.9</v>
          </cell>
          <cell r="N6060" t="e">
            <v>#DIV/0!</v>
          </cell>
        </row>
        <row r="6061">
          <cell r="E6061" t="str">
            <v>HGC-Lib-2470054</v>
          </cell>
          <cell r="F6061" t="str">
            <v>LC240817003</v>
          </cell>
          <cell r="G6061">
            <v>100</v>
          </cell>
          <cell r="H6061" t="str">
            <v>singleron-3'转录组文库</v>
          </cell>
          <cell r="I6061" t="str">
            <v>ZZ</v>
          </cell>
          <cell r="J6061">
            <v>19.7</v>
          </cell>
          <cell r="N6061" t="e">
            <v>#DIV/0!</v>
          </cell>
        </row>
        <row r="6062">
          <cell r="E6062" t="str">
            <v>HGC-Lib-2470055</v>
          </cell>
          <cell r="F6062" t="str">
            <v>LC240824021</v>
          </cell>
          <cell r="G6062">
            <v>100</v>
          </cell>
          <cell r="H6062" t="str">
            <v>singleron-3'转录组文库</v>
          </cell>
          <cell r="I6062" t="str">
            <v>ZZ</v>
          </cell>
          <cell r="J6062">
            <v>8.64</v>
          </cell>
          <cell r="N6062" t="e">
            <v>#DIV/0!</v>
          </cell>
        </row>
        <row r="6063">
          <cell r="E6063" t="str">
            <v>HGC-Lib-2470056</v>
          </cell>
          <cell r="F6063" t="str">
            <v>LC240817009</v>
          </cell>
          <cell r="G6063">
            <v>100</v>
          </cell>
          <cell r="H6063" t="str">
            <v>singleron-3'转录组文库</v>
          </cell>
          <cell r="I6063" t="str">
            <v>ZZ</v>
          </cell>
          <cell r="J6063">
            <v>14.6</v>
          </cell>
          <cell r="N6063" t="e">
            <v>#DIV/0!</v>
          </cell>
        </row>
        <row r="6064">
          <cell r="E6064" t="str">
            <v>HGC-Lib-2470057</v>
          </cell>
          <cell r="F6064" t="str">
            <v>LC240824008</v>
          </cell>
          <cell r="G6064">
            <v>100</v>
          </cell>
          <cell r="H6064" t="str">
            <v>singleron-3'转录组文库</v>
          </cell>
          <cell r="I6064" t="str">
            <v>ZZ</v>
          </cell>
          <cell r="J6064">
            <v>7.6</v>
          </cell>
          <cell r="N6064" t="e">
            <v>#DIV/0!</v>
          </cell>
        </row>
        <row r="6065">
          <cell r="E6065" t="str">
            <v>HGC-Lib-2470058</v>
          </cell>
          <cell r="F6065" t="str">
            <v>LC240824010</v>
          </cell>
          <cell r="G6065">
            <v>100</v>
          </cell>
          <cell r="H6065" t="str">
            <v>singleron-3'转录组文库</v>
          </cell>
          <cell r="I6065" t="str">
            <v>ZZ</v>
          </cell>
          <cell r="J6065">
            <v>8.42</v>
          </cell>
          <cell r="N6065" t="e">
            <v>#DIV/0!</v>
          </cell>
        </row>
        <row r="6066">
          <cell r="E6066" t="str">
            <v>HGC-Lib-2470059</v>
          </cell>
          <cell r="F6066" t="str">
            <v>LC240817004</v>
          </cell>
          <cell r="G6066">
            <v>100</v>
          </cell>
          <cell r="H6066" t="str">
            <v>singleron-3'转录组文库</v>
          </cell>
          <cell r="I6066" t="str">
            <v>ZZ</v>
          </cell>
          <cell r="J6066">
            <v>16.600000000000001</v>
          </cell>
          <cell r="N6066" t="e">
            <v>#DIV/0!</v>
          </cell>
        </row>
        <row r="6067">
          <cell r="E6067" t="str">
            <v>HGC-Lib-2470060</v>
          </cell>
          <cell r="F6067" t="str">
            <v>LC240824022</v>
          </cell>
          <cell r="G6067">
            <v>100</v>
          </cell>
          <cell r="H6067" t="str">
            <v>singleron-3'转录组文库</v>
          </cell>
          <cell r="I6067" t="str">
            <v>ZZ</v>
          </cell>
          <cell r="J6067">
            <v>18.7</v>
          </cell>
          <cell r="N6067" t="e">
            <v>#DIV/0!</v>
          </cell>
        </row>
        <row r="6068">
          <cell r="E6068" t="str">
            <v>HGC-Lib-2470061</v>
          </cell>
          <cell r="F6068" t="str">
            <v>LC240817005</v>
          </cell>
          <cell r="G6068">
            <v>100</v>
          </cell>
          <cell r="H6068" t="str">
            <v>singleron-3'转录组文库</v>
          </cell>
          <cell r="I6068" t="str">
            <v>ZZ</v>
          </cell>
          <cell r="J6068">
            <v>15.9</v>
          </cell>
          <cell r="N6068" t="e">
            <v>#DIV/0!</v>
          </cell>
        </row>
        <row r="6069">
          <cell r="E6069" t="str">
            <v>HGC-Lib-2470062</v>
          </cell>
          <cell r="F6069" t="str">
            <v>LFTBC240824043CK</v>
          </cell>
          <cell r="G6069">
            <v>90</v>
          </cell>
          <cell r="H6069" t="str">
            <v>singleron-3'全长转录组文库</v>
          </cell>
          <cell r="I6069" t="str">
            <v>ZZ</v>
          </cell>
          <cell r="J6069">
            <v>31.8</v>
          </cell>
          <cell r="N6069" t="e">
            <v>#DIV/0!</v>
          </cell>
        </row>
        <row r="6070">
          <cell r="E6070" t="str">
            <v>HGC-Lib-2470063</v>
          </cell>
          <cell r="F6070" t="str">
            <v>LFTBC240824042CK</v>
          </cell>
          <cell r="G6070">
            <v>90</v>
          </cell>
          <cell r="H6070" t="str">
            <v>singleron-3'全长转录组文库</v>
          </cell>
          <cell r="I6070" t="str">
            <v>ZZ</v>
          </cell>
          <cell r="J6070">
            <v>33.799999999999997</v>
          </cell>
          <cell r="N6070" t="e">
            <v>#DIV/0!</v>
          </cell>
        </row>
        <row r="6071">
          <cell r="E6071" t="str">
            <v>HGC-Lib-2470064</v>
          </cell>
          <cell r="F6071" t="str">
            <v>LA240826034</v>
          </cell>
          <cell r="G6071">
            <v>100</v>
          </cell>
          <cell r="H6071" t="str">
            <v>singleron-3'转录组文库</v>
          </cell>
          <cell r="I6071" t="str">
            <v>ZZ</v>
          </cell>
          <cell r="J6071">
            <v>15.8</v>
          </cell>
          <cell r="N6071" t="e">
            <v>#DIV/0!</v>
          </cell>
        </row>
        <row r="6072">
          <cell r="E6072" t="str">
            <v>HGC-Lib-2470065</v>
          </cell>
          <cell r="F6072" t="str">
            <v>LA240826035</v>
          </cell>
          <cell r="G6072">
            <v>100</v>
          </cell>
          <cell r="H6072" t="str">
            <v>singleron-3'转录组文库</v>
          </cell>
          <cell r="I6072" t="str">
            <v>ZZ</v>
          </cell>
          <cell r="J6072">
            <v>18.899999999999999</v>
          </cell>
          <cell r="N6072" t="e">
            <v>#DIV/0!</v>
          </cell>
        </row>
        <row r="6073">
          <cell r="E6073" t="str">
            <v>HGC-Lib-2470066</v>
          </cell>
          <cell r="F6073" t="str">
            <v>LDC240826007</v>
          </cell>
          <cell r="G6073">
            <v>90</v>
          </cell>
          <cell r="H6073" t="str">
            <v>singleron-3'转录组文库</v>
          </cell>
          <cell r="I6073" t="str">
            <v>GZQ</v>
          </cell>
          <cell r="J6073">
            <v>13</v>
          </cell>
          <cell r="N6073" t="e">
            <v>#DIV/0!</v>
          </cell>
        </row>
        <row r="6074">
          <cell r="E6074" t="str">
            <v>HGC-Lib-2470067</v>
          </cell>
          <cell r="F6074" t="str">
            <v>LDC240826006</v>
          </cell>
          <cell r="G6074">
            <v>90</v>
          </cell>
          <cell r="H6074" t="str">
            <v>singleron-3'转录组文库</v>
          </cell>
          <cell r="I6074" t="str">
            <v>GZQ</v>
          </cell>
          <cell r="J6074">
            <v>16.600000000000001</v>
          </cell>
          <cell r="N6074" t="e">
            <v>#DIV/0!</v>
          </cell>
        </row>
        <row r="6075">
          <cell r="E6075" t="str">
            <v>HGC-POOL-2470068</v>
          </cell>
          <cell r="F6075" t="str">
            <v>PCRD-240829-002</v>
          </cell>
          <cell r="G6075">
            <v>35</v>
          </cell>
          <cell r="H6075" t="str">
            <v>singleron-3'转录组文库</v>
          </cell>
          <cell r="I6075" t="str">
            <v>GZQ</v>
          </cell>
          <cell r="J6075">
            <v>13.2</v>
          </cell>
          <cell r="N6075" t="e">
            <v>#DIV/0!</v>
          </cell>
        </row>
        <row r="6076">
          <cell r="E6076" t="str">
            <v>HGC-Lib-2470072</v>
          </cell>
          <cell r="F6076" t="str">
            <v>155 WT-1</v>
          </cell>
          <cell r="G6076">
            <v>10</v>
          </cell>
          <cell r="H6076" t="str">
            <v>cut&amp;tag文库</v>
          </cell>
          <cell r="I6076" t="str">
            <v>GZQ</v>
          </cell>
          <cell r="J6076">
            <v>0.96</v>
          </cell>
          <cell r="K6076">
            <v>419</v>
          </cell>
          <cell r="L6076" t="str">
            <v>GZQ</v>
          </cell>
          <cell r="M6076">
            <v>1.0900000000000001</v>
          </cell>
          <cell r="N6076">
            <v>3.5248760785753599</v>
          </cell>
        </row>
        <row r="6077">
          <cell r="E6077" t="str">
            <v>HGC-Lib-2470073</v>
          </cell>
          <cell r="F6077" t="str">
            <v>155 WT-2</v>
          </cell>
          <cell r="G6077">
            <v>10</v>
          </cell>
          <cell r="H6077" t="str">
            <v>cut&amp;tag文库</v>
          </cell>
          <cell r="I6077" t="str">
            <v>GZQ</v>
          </cell>
          <cell r="J6077">
            <v>0.374</v>
          </cell>
          <cell r="K6077">
            <v>446</v>
          </cell>
          <cell r="L6077" t="str">
            <v>GZQ</v>
          </cell>
          <cell r="M6077">
            <v>0.40200000000000002</v>
          </cell>
          <cell r="N6077">
            <v>1.29010003449465</v>
          </cell>
        </row>
        <row r="6078">
          <cell r="E6078" t="str">
            <v>HGC-Lib-2470074</v>
          </cell>
          <cell r="F6078" t="str">
            <v>155 WT-3</v>
          </cell>
          <cell r="G6078">
            <v>10</v>
          </cell>
          <cell r="H6078" t="str">
            <v>cut&amp;tag文库</v>
          </cell>
          <cell r="I6078" t="str">
            <v>GZQ</v>
          </cell>
          <cell r="J6078">
            <v>2.54</v>
          </cell>
          <cell r="K6078">
            <v>471</v>
          </cell>
          <cell r="L6078" t="str">
            <v>GZQ</v>
          </cell>
          <cell r="N6078">
            <v>8.2965866405356792</v>
          </cell>
        </row>
        <row r="6079">
          <cell r="E6079" t="str">
            <v>HGC-Lib-2470075</v>
          </cell>
          <cell r="F6079" t="str">
            <v>155 WT-4</v>
          </cell>
          <cell r="G6079">
            <v>10</v>
          </cell>
          <cell r="H6079" t="str">
            <v>cut&amp;tag文库</v>
          </cell>
          <cell r="I6079" t="str">
            <v>GZQ</v>
          </cell>
          <cell r="J6079">
            <v>1.19</v>
          </cell>
          <cell r="K6079">
            <v>477</v>
          </cell>
          <cell r="L6079" t="str">
            <v>GZQ</v>
          </cell>
          <cell r="N6079">
            <v>3.8380906305434599</v>
          </cell>
        </row>
        <row r="6080">
          <cell r="E6080" t="str">
            <v>HGC-Lib-2470076</v>
          </cell>
          <cell r="F6080" t="str">
            <v>155 WT-IgG</v>
          </cell>
          <cell r="G6080">
            <v>10</v>
          </cell>
          <cell r="H6080" t="str">
            <v>cut&amp;tag文库</v>
          </cell>
          <cell r="I6080" t="str">
            <v>GZQ</v>
          </cell>
          <cell r="J6080">
            <v>1.35</v>
          </cell>
          <cell r="K6080">
            <v>463</v>
          </cell>
          <cell r="L6080" t="str">
            <v>GZQ</v>
          </cell>
          <cell r="N6080">
            <v>4.4857949825552401</v>
          </cell>
        </row>
        <row r="6081">
          <cell r="E6081" t="str">
            <v>HGC-Lib-2470077</v>
          </cell>
          <cell r="F6081" t="str">
            <v>155 KO-1</v>
          </cell>
          <cell r="G6081">
            <v>10</v>
          </cell>
          <cell r="H6081" t="str">
            <v>cut&amp;tag文库</v>
          </cell>
          <cell r="I6081" t="str">
            <v>GZQ</v>
          </cell>
          <cell r="J6081">
            <v>0.442</v>
          </cell>
          <cell r="K6081">
            <v>453</v>
          </cell>
          <cell r="L6081" t="str">
            <v>GZQ</v>
          </cell>
          <cell r="M6081">
            <v>0.59599999999999997</v>
          </cell>
          <cell r="N6081">
            <v>1.50110375275938</v>
          </cell>
        </row>
        <row r="6082">
          <cell r="E6082" t="str">
            <v>HGC-Lib-2470078</v>
          </cell>
          <cell r="F6082" t="str">
            <v>155 KO-2</v>
          </cell>
          <cell r="G6082">
            <v>10</v>
          </cell>
          <cell r="H6082" t="str">
            <v>cut&amp;tag文库</v>
          </cell>
          <cell r="I6082" t="str">
            <v>GZQ</v>
          </cell>
          <cell r="J6082">
            <v>1.0900000000000001</v>
          </cell>
          <cell r="K6082">
            <v>457</v>
          </cell>
          <cell r="L6082" t="str">
            <v>GZQ</v>
          </cell>
          <cell r="N6082">
            <v>3.6694159232452499</v>
          </cell>
        </row>
        <row r="6083">
          <cell r="E6083" t="str">
            <v>HGC-Lib-2470079</v>
          </cell>
          <cell r="F6083" t="str">
            <v>155 KO-3</v>
          </cell>
          <cell r="G6083">
            <v>10</v>
          </cell>
          <cell r="H6083" t="str">
            <v>cut&amp;tag文库</v>
          </cell>
          <cell r="I6083" t="str">
            <v>GZQ</v>
          </cell>
          <cell r="J6083">
            <v>1.1399999999999999</v>
          </cell>
          <cell r="K6083">
            <v>436</v>
          </cell>
          <cell r="L6083" t="str">
            <v>GZQ</v>
          </cell>
          <cell r="N6083">
            <v>4.0225829216654896</v>
          </cell>
        </row>
        <row r="6084">
          <cell r="E6084" t="str">
            <v>HGC-Lib-2470080</v>
          </cell>
          <cell r="F6084" t="str">
            <v>155 KO-4</v>
          </cell>
          <cell r="G6084">
            <v>10</v>
          </cell>
          <cell r="H6084" t="str">
            <v>cut&amp;tag文库</v>
          </cell>
          <cell r="I6084" t="str">
            <v>GZQ</v>
          </cell>
          <cell r="J6084">
            <v>2.02</v>
          </cell>
          <cell r="K6084">
            <v>442</v>
          </cell>
          <cell r="L6084" t="str">
            <v>GZQ</v>
          </cell>
          <cell r="N6084">
            <v>7.0309780717020498</v>
          </cell>
        </row>
        <row r="6085">
          <cell r="E6085" t="str">
            <v>HGC-Lib-2470081</v>
          </cell>
          <cell r="F6085" t="str">
            <v>155 KO-IgG</v>
          </cell>
          <cell r="G6085">
            <v>10</v>
          </cell>
          <cell r="H6085" t="str">
            <v>cut&amp;tag文库</v>
          </cell>
          <cell r="I6085" t="str">
            <v>GZQ</v>
          </cell>
          <cell r="J6085">
            <v>0.22</v>
          </cell>
          <cell r="K6085">
            <v>449</v>
          </cell>
          <cell r="L6085" t="str">
            <v>GZQ</v>
          </cell>
          <cell r="M6085" t="str">
            <v>/</v>
          </cell>
          <cell r="N6085">
            <v>0.75381188966935098</v>
          </cell>
        </row>
        <row r="6086">
          <cell r="E6086" t="str">
            <v>HGC-POOL-2470082</v>
          </cell>
          <cell r="F6086" t="str">
            <v>CHH11L</v>
          </cell>
          <cell r="G6086">
            <v>150</v>
          </cell>
          <cell r="H6086" t="str">
            <v>ATAC-Seq文库</v>
          </cell>
          <cell r="I6086" t="str">
            <v>GZQ</v>
          </cell>
          <cell r="J6086">
            <v>0.39400000000000002</v>
          </cell>
          <cell r="K6086">
            <v>375</v>
          </cell>
          <cell r="L6086" t="str">
            <v>GZQ</v>
          </cell>
          <cell r="N6086">
            <v>1.61641025641026</v>
          </cell>
        </row>
        <row r="6087">
          <cell r="E6087" t="str">
            <v>HGC-Lib-2470083</v>
          </cell>
          <cell r="F6087" t="str">
            <v>0830X1</v>
          </cell>
          <cell r="G6087">
            <v>1000</v>
          </cell>
          <cell r="I6087" t="str">
            <v>GZQ</v>
          </cell>
          <cell r="J6087">
            <v>12</v>
          </cell>
          <cell r="K6087">
            <v>453</v>
          </cell>
          <cell r="L6087" t="str">
            <v>YHT</v>
          </cell>
          <cell r="N6087">
            <v>40.753948038716302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B"/>
    </sheetNames>
    <sheetDataSet>
      <sheetData sheetId="0"/>
      <sheetData sheetId="1">
        <row r="1">
          <cell r="C1" t="str">
            <v>HaploX编号</v>
          </cell>
          <cell r="D1" t="str">
            <v>样本名称</v>
          </cell>
          <cell r="E1" t="str">
            <v>Index序号</v>
          </cell>
          <cell r="F1" t="str">
            <v>i7序列</v>
          </cell>
          <cell r="G1" t="str">
            <v>i5序列</v>
          </cell>
          <cell r="H1" t="str">
            <v>文库类型</v>
          </cell>
          <cell r="I1" t="str">
            <v>数据量G</v>
          </cell>
          <cell r="J1" t="str">
            <v>预分配数据量G</v>
          </cell>
          <cell r="K1" t="str">
            <v>合同编号</v>
          </cell>
        </row>
        <row r="2">
          <cell r="C2" t="str">
            <v>HGC-Lib-2460394</v>
          </cell>
          <cell r="D2" t="str">
            <v>LFTBA240724094</v>
          </cell>
          <cell r="F2" t="str">
            <v>TTCAGCTC</v>
          </cell>
          <cell r="H2" t="str">
            <v>singleron-3'全长转录组文库</v>
          </cell>
          <cell r="I2">
            <v>70</v>
          </cell>
          <cell r="J2">
            <v>70</v>
          </cell>
          <cell r="K2" t="str">
            <v>HGC20221109005-0200</v>
          </cell>
        </row>
        <row r="3">
          <cell r="C3" t="str">
            <v>HGC-Lib-2460819</v>
          </cell>
          <cell r="D3" t="str">
            <v>LFTA240726028</v>
          </cell>
          <cell r="F3" t="str">
            <v>TCAGGAGG</v>
          </cell>
          <cell r="H3" t="str">
            <v>singleron-3'全长转录组文库</v>
          </cell>
          <cell r="I3">
            <v>120</v>
          </cell>
          <cell r="J3">
            <v>120</v>
          </cell>
          <cell r="K3" t="str">
            <v>HGC20221109005-0203</v>
          </cell>
        </row>
        <row r="4">
          <cell r="C4" t="str">
            <v>HGC-Lib-2460820</v>
          </cell>
          <cell r="D4" t="str">
            <v>LFTC240726031</v>
          </cell>
          <cell r="F4" t="str">
            <v>TGTATGCG</v>
          </cell>
          <cell r="H4" t="str">
            <v>singleron-3'全长转录组文库</v>
          </cell>
          <cell r="I4">
            <v>120</v>
          </cell>
          <cell r="J4">
            <v>120</v>
          </cell>
          <cell r="K4" t="str">
            <v>HGC20221109005-0203</v>
          </cell>
        </row>
        <row r="5">
          <cell r="C5" t="str">
            <v>HGC-Lib-2460806</v>
          </cell>
          <cell r="D5" t="str">
            <v>LA240725098</v>
          </cell>
          <cell r="F5" t="str">
            <v>GATCAGCG</v>
          </cell>
          <cell r="H5" t="str">
            <v>singleron-3'转录组文库</v>
          </cell>
          <cell r="I5">
            <v>90</v>
          </cell>
          <cell r="J5">
            <v>90</v>
          </cell>
          <cell r="K5" t="str">
            <v>HGC20221109005-0203</v>
          </cell>
        </row>
        <row r="6">
          <cell r="C6" t="str">
            <v>HGC-Lib-2460415</v>
          </cell>
          <cell r="D6" t="str">
            <v>LC240725081</v>
          </cell>
          <cell r="F6" t="str">
            <v>TTGGTATG</v>
          </cell>
          <cell r="H6" t="str">
            <v>singleron-3'转录组文库</v>
          </cell>
          <cell r="I6">
            <v>100</v>
          </cell>
          <cell r="J6">
            <v>100</v>
          </cell>
          <cell r="K6" t="str">
            <v>HGC20221109005-0200</v>
          </cell>
        </row>
        <row r="7">
          <cell r="C7" t="str">
            <v>HGC-Lib-2460416</v>
          </cell>
          <cell r="D7" t="str">
            <v>LC240725021</v>
          </cell>
          <cell r="F7" t="str">
            <v>TTCCATTG</v>
          </cell>
          <cell r="H7" t="str">
            <v>singleron-3'转录组文库</v>
          </cell>
          <cell r="I7">
            <v>100</v>
          </cell>
          <cell r="J7">
            <v>100</v>
          </cell>
          <cell r="K7" t="str">
            <v>HGC20221109005-0200</v>
          </cell>
        </row>
        <row r="8">
          <cell r="C8" t="str">
            <v>HGC-Lib-2460417</v>
          </cell>
          <cell r="D8" t="str">
            <v>LC240724085</v>
          </cell>
          <cell r="F8" t="str">
            <v>TTACTCGC</v>
          </cell>
          <cell r="H8" t="str">
            <v>singleron-3'转录组文库</v>
          </cell>
          <cell r="I8">
            <v>100</v>
          </cell>
          <cell r="J8">
            <v>100</v>
          </cell>
          <cell r="K8" t="str">
            <v>HGC20221109005-0200</v>
          </cell>
        </row>
        <row r="9">
          <cell r="C9" t="str">
            <v>HGC-Lib-2460418</v>
          </cell>
          <cell r="D9" t="str">
            <v>LA240725109</v>
          </cell>
          <cell r="F9" t="str">
            <v>TGGTTGTT</v>
          </cell>
          <cell r="H9" t="str">
            <v>singleron-3'转录组文库</v>
          </cell>
          <cell r="I9">
            <v>100</v>
          </cell>
          <cell r="J9">
            <v>100</v>
          </cell>
          <cell r="K9" t="str">
            <v>HGC20221109005-0200</v>
          </cell>
        </row>
        <row r="10">
          <cell r="C10" t="str">
            <v>HGC-Lib-2460420</v>
          </cell>
          <cell r="D10" t="str">
            <v>LC240725092</v>
          </cell>
          <cell r="F10" t="str">
            <v>TAAGCGTT</v>
          </cell>
          <cell r="H10" t="str">
            <v>singleron-3'转录组文库</v>
          </cell>
          <cell r="I10">
            <v>100</v>
          </cell>
          <cell r="J10">
            <v>100</v>
          </cell>
          <cell r="K10" t="str">
            <v>HGC20221109005-0200</v>
          </cell>
        </row>
        <row r="11">
          <cell r="C11" t="str">
            <v>HGC-Lib-2460425</v>
          </cell>
          <cell r="D11" t="str">
            <v>LA240720050</v>
          </cell>
          <cell r="F11" t="str">
            <v>TGTCTATC</v>
          </cell>
          <cell r="H11" t="str">
            <v>singleron-3'转录组文库</v>
          </cell>
          <cell r="I11">
            <v>100</v>
          </cell>
          <cell r="J11">
            <v>100</v>
          </cell>
          <cell r="K11" t="str">
            <v>HGC20221109005-0200</v>
          </cell>
        </row>
        <row r="13">
          <cell r="C13" t="str">
            <v>HaploX编号</v>
          </cell>
          <cell r="D13" t="str">
            <v>样本名称</v>
          </cell>
          <cell r="E13" t="str">
            <v>Index序号</v>
          </cell>
          <cell r="F13" t="str">
            <v>i7序列</v>
          </cell>
          <cell r="G13" t="str">
            <v>i5序列</v>
          </cell>
          <cell r="H13" t="str">
            <v>文库类型</v>
          </cell>
          <cell r="I13" t="str">
            <v>数据量G</v>
          </cell>
          <cell r="J13" t="str">
            <v>预分配数据量G</v>
          </cell>
          <cell r="K13" t="str">
            <v>合同编号</v>
          </cell>
        </row>
        <row r="14">
          <cell r="C14" t="str">
            <v>HGC-Lib-2460397</v>
          </cell>
          <cell r="D14" t="str">
            <v>LFTA240724050</v>
          </cell>
          <cell r="F14" t="str">
            <v>TCTCGGTT</v>
          </cell>
          <cell r="H14" t="str">
            <v>singleron-3'全长转录组文库</v>
          </cell>
          <cell r="I14">
            <v>120</v>
          </cell>
          <cell r="J14">
            <v>120</v>
          </cell>
          <cell r="K14" t="str">
            <v>HGC20221109005-0200</v>
          </cell>
        </row>
        <row r="15">
          <cell r="C15" t="str">
            <v>HGC-Lib-2460401</v>
          </cell>
          <cell r="D15" t="str">
            <v>LFTBA240724064</v>
          </cell>
          <cell r="F15" t="str">
            <v>TTGACTCT</v>
          </cell>
          <cell r="H15" t="str">
            <v>singleron-3'全长转录组文库</v>
          </cell>
          <cell r="I15">
            <v>100</v>
          </cell>
          <cell r="J15">
            <v>100</v>
          </cell>
          <cell r="K15" t="str">
            <v>HGC20221109005-0200</v>
          </cell>
        </row>
        <row r="16">
          <cell r="C16" t="str">
            <v>HGC-Lib-2460421</v>
          </cell>
          <cell r="D16" t="str">
            <v>LC240725070X2</v>
          </cell>
          <cell r="F16" t="str">
            <v>TTCGCACC</v>
          </cell>
          <cell r="H16" t="str">
            <v>singleron-3'转录组文库</v>
          </cell>
          <cell r="I16">
            <v>10</v>
          </cell>
          <cell r="J16">
            <v>10</v>
          </cell>
          <cell r="K16" t="str">
            <v>HGC20221109005-0200</v>
          </cell>
        </row>
        <row r="17">
          <cell r="C17" t="str">
            <v>HGC-Lib-2460422</v>
          </cell>
          <cell r="D17" t="str">
            <v>LC240725070X1</v>
          </cell>
          <cell r="F17" t="str">
            <v>TGTTCTCC</v>
          </cell>
          <cell r="H17" t="str">
            <v>singleron-3'转录组文库</v>
          </cell>
          <cell r="I17">
            <v>10</v>
          </cell>
          <cell r="J17">
            <v>10</v>
          </cell>
          <cell r="K17" t="str">
            <v>HGC20221109005-0200</v>
          </cell>
        </row>
        <row r="18">
          <cell r="C18" t="str">
            <v>HGC-Lib-2460435</v>
          </cell>
          <cell r="D18" t="str">
            <v>LC240724041</v>
          </cell>
          <cell r="F18" t="str">
            <v>TCATCCTA</v>
          </cell>
          <cell r="H18" t="str">
            <v>singleron-3'转录组文库</v>
          </cell>
          <cell r="I18">
            <v>10</v>
          </cell>
          <cell r="J18">
            <v>10</v>
          </cell>
          <cell r="K18" t="str">
            <v>HGC20221109005-0200</v>
          </cell>
        </row>
        <row r="19">
          <cell r="C19" t="str">
            <v>HGC-Lib-2460426</v>
          </cell>
          <cell r="D19" t="str">
            <v>LA240720048</v>
          </cell>
          <cell r="F19" t="str">
            <v>TAGTCTTG</v>
          </cell>
          <cell r="H19" t="str">
            <v>singleron-3'转录组文库</v>
          </cell>
          <cell r="I19">
            <v>100</v>
          </cell>
          <cell r="J19">
            <v>100</v>
          </cell>
          <cell r="K19" t="str">
            <v>HGC20221109005-0200</v>
          </cell>
        </row>
        <row r="20">
          <cell r="C20" t="str">
            <v>HGC-Lib-2460427</v>
          </cell>
          <cell r="D20" t="str">
            <v>LA240720049</v>
          </cell>
          <cell r="F20" t="str">
            <v>TTCAGCTC</v>
          </cell>
          <cell r="H20" t="str">
            <v>singleron-3'转录组文库</v>
          </cell>
          <cell r="I20">
            <v>100</v>
          </cell>
          <cell r="J20">
            <v>100</v>
          </cell>
          <cell r="K20" t="str">
            <v>HGC20221109005-0200</v>
          </cell>
        </row>
        <row r="21">
          <cell r="C21" t="str">
            <v>HGC-Lib-2460428</v>
          </cell>
          <cell r="D21" t="str">
            <v>LA240725075</v>
          </cell>
          <cell r="F21" t="str">
            <v>TATGTGGC</v>
          </cell>
          <cell r="H21" t="str">
            <v>singleron-3'转录组文库</v>
          </cell>
          <cell r="I21">
            <v>100</v>
          </cell>
          <cell r="J21">
            <v>100</v>
          </cell>
          <cell r="K21" t="str">
            <v>HGC20221109005-0200</v>
          </cell>
        </row>
        <row r="22">
          <cell r="C22" t="str">
            <v>HGC-Lib-2460433</v>
          </cell>
          <cell r="D22" t="str">
            <v>LC240724051</v>
          </cell>
          <cell r="F22" t="str">
            <v>TGTGGTTG</v>
          </cell>
          <cell r="H22" t="str">
            <v>singleron-3'转录组文库</v>
          </cell>
          <cell r="I22">
            <v>100</v>
          </cell>
          <cell r="J22">
            <v>100</v>
          </cell>
          <cell r="K22" t="str">
            <v>HGC20221109005-0200</v>
          </cell>
        </row>
        <row r="23">
          <cell r="C23" t="str">
            <v>HGC-Lib-2460804</v>
          </cell>
          <cell r="D23" t="str">
            <v>LA240725090</v>
          </cell>
          <cell r="F23" t="str">
            <v>TAGCTTGT</v>
          </cell>
          <cell r="H23" t="str">
            <v>singleron-3'转录组文库</v>
          </cell>
          <cell r="I23">
            <v>150</v>
          </cell>
          <cell r="J23">
            <v>150</v>
          </cell>
          <cell r="K23" t="str">
            <v>HGC20221109005-0203</v>
          </cell>
        </row>
        <row r="24">
          <cell r="C24" t="str">
            <v>HGC-Lib-2460815</v>
          </cell>
          <cell r="D24" t="str">
            <v>LHC240724004</v>
          </cell>
          <cell r="F24" t="str">
            <v>GATCAGCG</v>
          </cell>
          <cell r="H24" t="str">
            <v>singleron-3'转录组文库</v>
          </cell>
          <cell r="I24">
            <v>200</v>
          </cell>
          <cell r="J24">
            <v>200</v>
          </cell>
          <cell r="K24" t="str">
            <v>HGC20221109005-0203</v>
          </cell>
        </row>
        <row r="26">
          <cell r="C26" t="str">
            <v>HaploX编号</v>
          </cell>
          <cell r="D26" t="str">
            <v>样本名称</v>
          </cell>
          <cell r="E26" t="str">
            <v>Index序号</v>
          </cell>
          <cell r="F26" t="str">
            <v>i7序列</v>
          </cell>
          <cell r="G26" t="str">
            <v>i5序列</v>
          </cell>
          <cell r="H26" t="str">
            <v>文库类型</v>
          </cell>
          <cell r="I26" t="str">
            <v>数据量G</v>
          </cell>
          <cell r="J26" t="str">
            <v>预分配数据量G</v>
          </cell>
          <cell r="K26" t="str">
            <v>合同编号</v>
          </cell>
        </row>
        <row r="27">
          <cell r="C27" t="str">
            <v>HGC-Lib-2460805</v>
          </cell>
          <cell r="D27" t="str">
            <v>LA240724084</v>
          </cell>
          <cell r="F27" t="str">
            <v>TATGTGGC</v>
          </cell>
          <cell r="H27" t="str">
            <v>singleron-3'转录组文库</v>
          </cell>
          <cell r="I27">
            <v>150</v>
          </cell>
          <cell r="J27">
            <v>150</v>
          </cell>
          <cell r="K27" t="str">
            <v>HGC20221109005-0203</v>
          </cell>
        </row>
        <row r="28">
          <cell r="C28" t="str">
            <v>HGC-Lib-2460807</v>
          </cell>
          <cell r="D28" t="str">
            <v>LA240725097X2</v>
          </cell>
          <cell r="F28" t="str">
            <v>GTCTTGGC</v>
          </cell>
          <cell r="H28" t="str">
            <v>singleron-3'转录组文库</v>
          </cell>
          <cell r="I28">
            <v>90</v>
          </cell>
          <cell r="J28">
            <v>90</v>
          </cell>
          <cell r="K28" t="str">
            <v>HGC20221109005-0203</v>
          </cell>
        </row>
        <row r="29">
          <cell r="C29" t="str">
            <v>HGC-Lib-2460808</v>
          </cell>
          <cell r="D29" t="str">
            <v>LA240725053FS</v>
          </cell>
          <cell r="F29" t="str">
            <v>TCGAAGTG</v>
          </cell>
          <cell r="H29" t="str">
            <v>singleron-3'转录组文库</v>
          </cell>
          <cell r="I29">
            <v>100</v>
          </cell>
          <cell r="J29">
            <v>100</v>
          </cell>
          <cell r="K29" t="str">
            <v>HGC20221109005-0203</v>
          </cell>
        </row>
        <row r="30">
          <cell r="C30" t="str">
            <v>HGC-Lib-2460809</v>
          </cell>
          <cell r="D30" t="str">
            <v>LA240725091</v>
          </cell>
          <cell r="F30" t="str">
            <v>TCATTGAG</v>
          </cell>
          <cell r="H30" t="str">
            <v>singleron-3'转录组文库</v>
          </cell>
          <cell r="I30">
            <v>150</v>
          </cell>
          <cell r="J30">
            <v>150</v>
          </cell>
          <cell r="K30" t="str">
            <v>HGC20221109005-0203</v>
          </cell>
        </row>
        <row r="31">
          <cell r="C31" t="str">
            <v>HGC-Lib-2460814</v>
          </cell>
          <cell r="D31" t="str">
            <v>LA240726001</v>
          </cell>
          <cell r="F31" t="str">
            <v>TGGCTCAG</v>
          </cell>
          <cell r="H31" t="str">
            <v>singleron-3'转录组文库</v>
          </cell>
          <cell r="I31">
            <v>90</v>
          </cell>
          <cell r="J31">
            <v>90</v>
          </cell>
          <cell r="K31" t="str">
            <v>HGC20221109005-0203</v>
          </cell>
        </row>
        <row r="32">
          <cell r="C32" t="str">
            <v>HGC-Lib-2460937</v>
          </cell>
          <cell r="D32" t="str">
            <v>LC240719147</v>
          </cell>
          <cell r="F32" t="str">
            <v>TCCTCAAT</v>
          </cell>
          <cell r="H32" t="str">
            <v>singleron-3'转录组文库</v>
          </cell>
          <cell r="I32">
            <v>30</v>
          </cell>
          <cell r="J32">
            <v>30</v>
          </cell>
          <cell r="K32" t="str">
            <v>HGC20221109005-0204</v>
          </cell>
        </row>
        <row r="33">
          <cell r="C33" t="str">
            <v>HGC-Lib-2460938</v>
          </cell>
          <cell r="D33" t="str">
            <v>LC240719148</v>
          </cell>
          <cell r="F33" t="str">
            <v>TGTGGTTG</v>
          </cell>
          <cell r="H33" t="str">
            <v>singleron-3'转录组文库</v>
          </cell>
          <cell r="I33">
            <v>30</v>
          </cell>
          <cell r="J33">
            <v>30</v>
          </cell>
          <cell r="K33" t="str">
            <v>HGC20221109005-0204</v>
          </cell>
        </row>
        <row r="34">
          <cell r="C34" t="str">
            <v>HGC-Lib-2460974</v>
          </cell>
          <cell r="D34" t="str">
            <v>LC240719030</v>
          </cell>
          <cell r="F34" t="str">
            <v>TGCGTGAA</v>
          </cell>
          <cell r="H34" t="str">
            <v>singleron-3'转录组文库</v>
          </cell>
          <cell r="I34">
            <v>10</v>
          </cell>
          <cell r="J34">
            <v>10</v>
          </cell>
          <cell r="K34" t="str">
            <v>HGC20221109005-0204</v>
          </cell>
        </row>
        <row r="35">
          <cell r="C35" t="str">
            <v>HGC-Lib-2460910</v>
          </cell>
          <cell r="D35" t="str">
            <v>LA240725117</v>
          </cell>
          <cell r="F35" t="str">
            <v>GTACATCT</v>
          </cell>
          <cell r="H35" t="str">
            <v>singleron-3'转录组文库</v>
          </cell>
          <cell r="I35">
            <v>90</v>
          </cell>
          <cell r="J35">
            <v>90</v>
          </cell>
          <cell r="K35" t="str">
            <v>HGC20221109005-0204</v>
          </cell>
        </row>
        <row r="36">
          <cell r="C36" t="str">
            <v>HGC-Lib-2460911</v>
          </cell>
          <cell r="D36" t="str">
            <v>LA240725118</v>
          </cell>
          <cell r="F36" t="str">
            <v>GAGGTGCT</v>
          </cell>
          <cell r="H36" t="str">
            <v>singleron-3'转录组文库</v>
          </cell>
          <cell r="I36">
            <v>90</v>
          </cell>
          <cell r="J36">
            <v>90</v>
          </cell>
          <cell r="K36" t="str">
            <v>HGC20221109005-0204</v>
          </cell>
        </row>
        <row r="37">
          <cell r="C37" t="str">
            <v>HGC-Lib-2460945</v>
          </cell>
          <cell r="D37" t="str">
            <v>LFTBA240727049</v>
          </cell>
          <cell r="F37" t="str">
            <v>TCGTTAGC</v>
          </cell>
          <cell r="H37" t="str">
            <v>singleron-3'全长转录组文库</v>
          </cell>
          <cell r="I37">
            <v>70</v>
          </cell>
          <cell r="J37">
            <v>70</v>
          </cell>
          <cell r="K37" t="str">
            <v>HGC20221109005-0204</v>
          </cell>
        </row>
        <row r="38">
          <cell r="C38" t="str">
            <v>HGC-Lib-2460921</v>
          </cell>
          <cell r="D38" t="str">
            <v>LC240726051</v>
          </cell>
          <cell r="F38" t="str">
            <v>GCAATCCG</v>
          </cell>
          <cell r="H38" t="str">
            <v>singleron-3'转录组文库</v>
          </cell>
          <cell r="I38">
            <v>100</v>
          </cell>
          <cell r="J38">
            <v>100</v>
          </cell>
          <cell r="K38" t="str">
            <v>HGC20221109005-0204</v>
          </cell>
        </row>
        <row r="40">
          <cell r="C40" t="str">
            <v>HaploX编号</v>
          </cell>
          <cell r="D40" t="str">
            <v>样本名称</v>
          </cell>
          <cell r="E40" t="str">
            <v>Index序号</v>
          </cell>
          <cell r="F40" t="str">
            <v>i7序列</v>
          </cell>
          <cell r="G40" t="str">
            <v>i5序列</v>
          </cell>
          <cell r="H40" t="str">
            <v>文库类型</v>
          </cell>
          <cell r="I40" t="str">
            <v>数据量G</v>
          </cell>
          <cell r="J40" t="str">
            <v>预分配数据量G</v>
          </cell>
          <cell r="K40" t="str">
            <v>合同编号</v>
          </cell>
        </row>
        <row r="41">
          <cell r="C41" t="str">
            <v>HGC-POOL-2459681</v>
          </cell>
          <cell r="D41" t="str">
            <v>ssq_rice_20240726</v>
          </cell>
          <cell r="F41" t="str">
            <v>TAAGGCGA</v>
          </cell>
          <cell r="G41" t="str">
            <v>ATAGAGAG</v>
          </cell>
          <cell r="H41" t="str">
            <v>Chip-Seq</v>
          </cell>
          <cell r="I41">
            <v>144</v>
          </cell>
          <cell r="J41">
            <v>144</v>
          </cell>
          <cell r="K41" t="str">
            <v>HGC20240529002-0009</v>
          </cell>
        </row>
        <row r="42">
          <cell r="D42" t="str">
            <v>ssq_rice_20240726</v>
          </cell>
          <cell r="F42" t="str">
            <v>CGTACTAG</v>
          </cell>
          <cell r="G42" t="str">
            <v>ATAGAGAG</v>
          </cell>
          <cell r="H42" t="str">
            <v>Chip-Seq</v>
          </cell>
          <cell r="K42" t="str">
            <v>HGC20240529002-0009</v>
          </cell>
        </row>
        <row r="43">
          <cell r="D43" t="str">
            <v>ssq_rice_20240726</v>
          </cell>
          <cell r="F43" t="str">
            <v>AGGCAGAA</v>
          </cell>
          <cell r="G43" t="str">
            <v>ATAGAGAG</v>
          </cell>
          <cell r="H43" t="str">
            <v>Chip-Seq</v>
          </cell>
          <cell r="K43" t="str">
            <v>HGC20240529002-0009</v>
          </cell>
        </row>
        <row r="44">
          <cell r="D44" t="str">
            <v>ssq_rice_20240726</v>
          </cell>
          <cell r="F44" t="str">
            <v>TCCTGAGC</v>
          </cell>
          <cell r="G44" t="str">
            <v>ATAGAGAG</v>
          </cell>
          <cell r="H44" t="str">
            <v>Chip-Seq</v>
          </cell>
          <cell r="K44" t="str">
            <v>HGC20240529002-0009</v>
          </cell>
        </row>
        <row r="45">
          <cell r="D45" t="str">
            <v>ssq_rice_20240726</v>
          </cell>
          <cell r="F45" t="str">
            <v>GGACTCCT</v>
          </cell>
          <cell r="G45" t="str">
            <v>ATAGAGAG</v>
          </cell>
          <cell r="H45" t="str">
            <v>Chip-Seq</v>
          </cell>
          <cell r="K45" t="str">
            <v>HGC20240529002-0009</v>
          </cell>
        </row>
        <row r="46">
          <cell r="D46" t="str">
            <v>ssq_rice_20240726</v>
          </cell>
          <cell r="F46" t="str">
            <v>TAGGCATG</v>
          </cell>
          <cell r="G46" t="str">
            <v>ATAGAGAG</v>
          </cell>
          <cell r="H46" t="str">
            <v>Chip-Seq</v>
          </cell>
          <cell r="K46" t="str">
            <v>HGC20240529002-0009</v>
          </cell>
        </row>
        <row r="47">
          <cell r="D47" t="str">
            <v>ssq_rice_20240726</v>
          </cell>
          <cell r="F47" t="str">
            <v>TAAGGCGA</v>
          </cell>
          <cell r="G47" t="str">
            <v>AGAGGATA</v>
          </cell>
          <cell r="H47" t="str">
            <v>Chip-Seq</v>
          </cell>
          <cell r="K47" t="str">
            <v>HGC20240529002-0009</v>
          </cell>
        </row>
        <row r="48">
          <cell r="D48" t="str">
            <v>ssq_rice_20240726</v>
          </cell>
          <cell r="F48" t="str">
            <v>CGTACTAG</v>
          </cell>
          <cell r="G48" t="str">
            <v>AGAGGATA</v>
          </cell>
          <cell r="H48" t="str">
            <v>Chip-Seq</v>
          </cell>
          <cell r="K48" t="str">
            <v>HGC20240529002-0009</v>
          </cell>
        </row>
        <row r="49">
          <cell r="D49" t="str">
            <v>ssq_rice_20240726</v>
          </cell>
          <cell r="F49" t="str">
            <v>AGGCAGAA</v>
          </cell>
          <cell r="G49" t="str">
            <v>AGAGGATA</v>
          </cell>
          <cell r="H49" t="str">
            <v>Chip-Seq</v>
          </cell>
          <cell r="K49" t="str">
            <v>HGC20240529002-0009</v>
          </cell>
        </row>
        <row r="50">
          <cell r="D50" t="str">
            <v>ssq_rice_20240726</v>
          </cell>
          <cell r="F50" t="str">
            <v>TCCTGAGC</v>
          </cell>
          <cell r="G50" t="str">
            <v>AGAGGATA</v>
          </cell>
          <cell r="H50" t="str">
            <v>Chip-Seq</v>
          </cell>
          <cell r="K50" t="str">
            <v>HGC20240529002-0009</v>
          </cell>
        </row>
        <row r="51">
          <cell r="D51" t="str">
            <v>ssq_rice_20240726</v>
          </cell>
          <cell r="F51" t="str">
            <v>GGACTCCT</v>
          </cell>
          <cell r="G51" t="str">
            <v>AGAGGATA</v>
          </cell>
          <cell r="H51" t="str">
            <v>Chip-Seq</v>
          </cell>
          <cell r="K51" t="str">
            <v>HGC20240529002-0009</v>
          </cell>
        </row>
        <row r="52">
          <cell r="D52" t="str">
            <v>ssq_rice_20240726</v>
          </cell>
          <cell r="F52" t="str">
            <v>TAGGCATG</v>
          </cell>
          <cell r="G52" t="str">
            <v>AGAGGATA</v>
          </cell>
          <cell r="H52" t="str">
            <v>Chip-Seq</v>
          </cell>
          <cell r="K52" t="str">
            <v>HGC20240529002-0009</v>
          </cell>
        </row>
        <row r="53">
          <cell r="D53" t="str">
            <v>ssq_rice_20240726</v>
          </cell>
          <cell r="F53" t="str">
            <v>TAAGGCGA</v>
          </cell>
          <cell r="G53" t="str">
            <v>CTCCTTAC</v>
          </cell>
          <cell r="H53" t="str">
            <v>Chip-Seq</v>
          </cell>
          <cell r="K53" t="str">
            <v>HGC20240529002-0009</v>
          </cell>
        </row>
        <row r="54">
          <cell r="D54" t="str">
            <v>ssq_rice_20240726</v>
          </cell>
          <cell r="F54" t="str">
            <v>CGTACTAG</v>
          </cell>
          <cell r="G54" t="str">
            <v>CTCCTTAC</v>
          </cell>
          <cell r="H54" t="str">
            <v>Chip-Seq</v>
          </cell>
          <cell r="K54" t="str">
            <v>HGC20240529002-0009</v>
          </cell>
        </row>
        <row r="55">
          <cell r="D55" t="str">
            <v>ssq_rice_20240726</v>
          </cell>
          <cell r="F55" t="str">
            <v>AGGCAGAA</v>
          </cell>
          <cell r="G55" t="str">
            <v>CTCCTTAC</v>
          </cell>
          <cell r="H55" t="str">
            <v>Chip-Seq</v>
          </cell>
          <cell r="K55" t="str">
            <v>HGC20240529002-0009</v>
          </cell>
        </row>
        <row r="56">
          <cell r="D56" t="str">
            <v>ssq_rice_20240726</v>
          </cell>
          <cell r="F56" t="str">
            <v>TCCTGAGC</v>
          </cell>
          <cell r="G56" t="str">
            <v>CTCCTTAC</v>
          </cell>
          <cell r="H56" t="str">
            <v>Chip-Seq</v>
          </cell>
          <cell r="K56" t="str">
            <v>HGC20240529002-0009</v>
          </cell>
        </row>
        <row r="57">
          <cell r="D57" t="str">
            <v>ssq_rice_20240726</v>
          </cell>
          <cell r="F57" t="str">
            <v>GGACTCCT</v>
          </cell>
          <cell r="G57" t="str">
            <v>CTCCTTAC</v>
          </cell>
          <cell r="H57" t="str">
            <v>Chip-Seq</v>
          </cell>
          <cell r="K57" t="str">
            <v>HGC20240529002-0009</v>
          </cell>
        </row>
        <row r="58">
          <cell r="D58" t="str">
            <v>ssq_rice_20240726</v>
          </cell>
          <cell r="F58" t="str">
            <v>TAGGCATG</v>
          </cell>
          <cell r="G58" t="str">
            <v>CTCCTTAC</v>
          </cell>
          <cell r="H58" t="str">
            <v>Chip-Seq</v>
          </cell>
          <cell r="K58" t="str">
            <v>HGC20240529002-0009</v>
          </cell>
        </row>
        <row r="59">
          <cell r="D59" t="str">
            <v>ssq_rice_20240726</v>
          </cell>
          <cell r="F59" t="str">
            <v>TAAGGCGA</v>
          </cell>
          <cell r="G59" t="str">
            <v>TATGCAGT</v>
          </cell>
          <cell r="H59" t="str">
            <v>Chip-Seq</v>
          </cell>
          <cell r="K59" t="str">
            <v>HGC20240529002-0009</v>
          </cell>
        </row>
        <row r="60">
          <cell r="D60" t="str">
            <v>ssq_rice_20240726</v>
          </cell>
          <cell r="F60" t="str">
            <v>CGTACTAG</v>
          </cell>
          <cell r="G60" t="str">
            <v>TATGCAGT</v>
          </cell>
          <cell r="H60" t="str">
            <v>Chip-Seq</v>
          </cell>
          <cell r="K60" t="str">
            <v>HGC20240529002-0009</v>
          </cell>
        </row>
        <row r="61">
          <cell r="D61" t="str">
            <v>ssq_rice_20240726</v>
          </cell>
          <cell r="F61" t="str">
            <v>AGGCAGAA</v>
          </cell>
          <cell r="G61" t="str">
            <v>TATGCAGT</v>
          </cell>
          <cell r="H61" t="str">
            <v>Chip-Seq</v>
          </cell>
          <cell r="K61" t="str">
            <v>HGC20240529002-0009</v>
          </cell>
        </row>
        <row r="62">
          <cell r="D62" t="str">
            <v>ssq_rice_20240726</v>
          </cell>
          <cell r="F62" t="str">
            <v>TCCTGAGC</v>
          </cell>
          <cell r="G62" t="str">
            <v>TATGCAGT</v>
          </cell>
          <cell r="H62" t="str">
            <v>Chip-Seq</v>
          </cell>
          <cell r="K62" t="str">
            <v>HGC20240529002-0009</v>
          </cell>
        </row>
        <row r="63">
          <cell r="D63" t="str">
            <v>ssq_rice_20240726</v>
          </cell>
          <cell r="F63" t="str">
            <v>GGACTCCT</v>
          </cell>
          <cell r="G63" t="str">
            <v>TATGCAGT</v>
          </cell>
          <cell r="H63" t="str">
            <v>Chip-Seq</v>
          </cell>
          <cell r="K63" t="str">
            <v>HGC20240529002-0009</v>
          </cell>
        </row>
        <row r="64">
          <cell r="D64" t="str">
            <v>ssq_rice_20240726</v>
          </cell>
          <cell r="F64" t="str">
            <v>TAGGCATG</v>
          </cell>
          <cell r="G64" t="str">
            <v>TATGCAGT</v>
          </cell>
          <cell r="H64" t="str">
            <v>Chip-Seq</v>
          </cell>
          <cell r="K64" t="str">
            <v>HGC20240529002-0009</v>
          </cell>
        </row>
        <row r="65">
          <cell r="C65" t="str">
            <v>HGC-POOL-2459227</v>
          </cell>
          <cell r="D65" t="str">
            <v>YX-0725-KY25</v>
          </cell>
          <cell r="F65" t="str">
            <v>CCTTGATC</v>
          </cell>
          <cell r="G65" t="str">
            <v>GATGGAGT</v>
          </cell>
          <cell r="H65" t="str">
            <v>宏基因组文库</v>
          </cell>
          <cell r="I65">
            <v>6</v>
          </cell>
          <cell r="J65">
            <v>6</v>
          </cell>
          <cell r="K65" t="str">
            <v>HGC20240307006-0046</v>
          </cell>
        </row>
        <row r="66">
          <cell r="D66" t="str">
            <v>YX-0725-KY25</v>
          </cell>
          <cell r="F66" t="str">
            <v>GTCGAAGA</v>
          </cell>
          <cell r="G66" t="str">
            <v>CCACATTG</v>
          </cell>
          <cell r="H66" t="str">
            <v>宏基因组文库</v>
          </cell>
          <cell r="K66" t="str">
            <v>HGC20240307006-0046</v>
          </cell>
        </row>
        <row r="67">
          <cell r="D67" t="str">
            <v>YX-0725-KY25</v>
          </cell>
          <cell r="F67" t="str">
            <v>ACCACGAT</v>
          </cell>
          <cell r="G67" t="str">
            <v>GTCTGCAA</v>
          </cell>
          <cell r="H67" t="str">
            <v>宏基因组文库</v>
          </cell>
          <cell r="K67" t="str">
            <v>HGC20240307006-0046</v>
          </cell>
        </row>
        <row r="68">
          <cell r="C68" t="str">
            <v>HGC-Lib-2459228</v>
          </cell>
          <cell r="D68" t="str">
            <v>T815-1</v>
          </cell>
          <cell r="F68" t="str">
            <v>CGCTATGT</v>
          </cell>
          <cell r="G68" t="str">
            <v>TATGCGGA</v>
          </cell>
          <cell r="H68" t="str">
            <v>mRNA文库</v>
          </cell>
          <cell r="I68">
            <v>2</v>
          </cell>
          <cell r="J68">
            <v>2</v>
          </cell>
          <cell r="K68" t="str">
            <v>HGC20230224004-0349</v>
          </cell>
        </row>
        <row r="69">
          <cell r="C69" t="str">
            <v>HGC-Lib-2459229</v>
          </cell>
          <cell r="D69" t="str">
            <v>T815-2</v>
          </cell>
          <cell r="F69" t="str">
            <v>TTAATCAG</v>
          </cell>
          <cell r="G69" t="str">
            <v>CAGATTGG</v>
          </cell>
          <cell r="H69" t="str">
            <v>mRNA文库</v>
          </cell>
          <cell r="I69">
            <v>2</v>
          </cell>
          <cell r="J69">
            <v>2</v>
          </cell>
          <cell r="K69" t="str">
            <v>HGC20230224004-0349</v>
          </cell>
        </row>
        <row r="70">
          <cell r="C70" t="str">
            <v>HGC-Lib-2459230</v>
          </cell>
          <cell r="D70" t="str">
            <v>T815-3</v>
          </cell>
          <cell r="F70" t="str">
            <v>CTATGCGT</v>
          </cell>
          <cell r="G70" t="str">
            <v>TGATATTC</v>
          </cell>
          <cell r="H70" t="str">
            <v>mRNA文库</v>
          </cell>
          <cell r="I70">
            <v>2</v>
          </cell>
          <cell r="J70">
            <v>2</v>
          </cell>
          <cell r="K70" t="str">
            <v>HGC20230224004-0349</v>
          </cell>
        </row>
        <row r="71">
          <cell r="C71" t="str">
            <v>HGC-Lib-2459231</v>
          </cell>
          <cell r="D71" t="str">
            <v>T815-4</v>
          </cell>
          <cell r="F71" t="str">
            <v>GATATCCA</v>
          </cell>
          <cell r="G71" t="str">
            <v>GTTAATCC</v>
          </cell>
          <cell r="H71" t="str">
            <v>mRNA文库</v>
          </cell>
          <cell r="I71">
            <v>2</v>
          </cell>
          <cell r="J71">
            <v>2</v>
          </cell>
          <cell r="K71" t="str">
            <v>HGC20230224004-0349</v>
          </cell>
        </row>
        <row r="72">
          <cell r="C72" t="str">
            <v>HGC-Lib-2459232</v>
          </cell>
          <cell r="D72" t="str">
            <v>T815-5</v>
          </cell>
          <cell r="F72" t="str">
            <v>GAAGGAAG</v>
          </cell>
          <cell r="G72" t="str">
            <v>CCAGGATG</v>
          </cell>
          <cell r="H72" t="str">
            <v>mRNA文库</v>
          </cell>
          <cell r="I72">
            <v>2</v>
          </cell>
          <cell r="J72">
            <v>2</v>
          </cell>
          <cell r="K72" t="str">
            <v>HGC20230224004-0349</v>
          </cell>
        </row>
        <row r="73">
          <cell r="C73" t="str">
            <v>HGC-Lib-2459233</v>
          </cell>
          <cell r="D73" t="str">
            <v>T815-6</v>
          </cell>
          <cell r="F73" t="str">
            <v>CTAACTCG</v>
          </cell>
          <cell r="G73" t="str">
            <v>GAACCATA</v>
          </cell>
          <cell r="H73" t="str">
            <v>mRNA文库</v>
          </cell>
          <cell r="I73">
            <v>2</v>
          </cell>
          <cell r="J73">
            <v>2</v>
          </cell>
          <cell r="K73" t="str">
            <v>HGC20230224004-0349</v>
          </cell>
        </row>
        <row r="74">
          <cell r="C74" t="str">
            <v>HGC-POOL-2459316</v>
          </cell>
          <cell r="D74" t="str">
            <v>RX20240726-1</v>
          </cell>
          <cell r="F74" t="str">
            <v>ATTACTCG</v>
          </cell>
          <cell r="G74" t="str">
            <v>CTTCGCCT</v>
          </cell>
          <cell r="H74" t="str">
            <v>mRNA文库</v>
          </cell>
          <cell r="I74">
            <v>18</v>
          </cell>
          <cell r="J74">
            <v>18</v>
          </cell>
          <cell r="K74" t="str">
            <v>HGC20240317003-0020</v>
          </cell>
        </row>
        <row r="75">
          <cell r="D75" t="str">
            <v>RX20240726-1</v>
          </cell>
          <cell r="F75" t="str">
            <v>TCCGGAGA</v>
          </cell>
          <cell r="G75" t="str">
            <v>CTTCGCCT</v>
          </cell>
          <cell r="H75" t="str">
            <v>mRNA文库</v>
          </cell>
          <cell r="K75" t="str">
            <v>HGC20240317003-0020</v>
          </cell>
        </row>
        <row r="76">
          <cell r="D76" t="str">
            <v>RX20240726-1</v>
          </cell>
          <cell r="F76" t="str">
            <v>CGCTCATT</v>
          </cell>
          <cell r="G76" t="str">
            <v>CTTCGCCT</v>
          </cell>
          <cell r="H76" t="str">
            <v>mRNA文库</v>
          </cell>
          <cell r="K76" t="str">
            <v>HGC20240317003-0020</v>
          </cell>
        </row>
        <row r="77">
          <cell r="D77" t="str">
            <v>RX20240726-1</v>
          </cell>
          <cell r="F77" t="str">
            <v>GAGATTCC</v>
          </cell>
          <cell r="G77" t="str">
            <v>CTTCGCCT</v>
          </cell>
          <cell r="H77" t="str">
            <v>mRNA文库</v>
          </cell>
          <cell r="K77" t="str">
            <v>HGC20240317003-0020</v>
          </cell>
        </row>
        <row r="78">
          <cell r="C78" t="str">
            <v>HGC-POOL-2459317</v>
          </cell>
          <cell r="D78" t="str">
            <v>RX20240726-2</v>
          </cell>
          <cell r="F78" t="str">
            <v>ATTCAGAA</v>
          </cell>
          <cell r="G78" t="str">
            <v>CTTCGCCT</v>
          </cell>
          <cell r="H78" t="str">
            <v>mRNA文库</v>
          </cell>
          <cell r="I78">
            <v>26</v>
          </cell>
          <cell r="J78">
            <v>26</v>
          </cell>
          <cell r="K78" t="str">
            <v>HGC20240317003-0020</v>
          </cell>
        </row>
        <row r="79">
          <cell r="D79" t="str">
            <v>RX20240726-2</v>
          </cell>
          <cell r="F79" t="str">
            <v>GAATTCGT</v>
          </cell>
          <cell r="G79" t="str">
            <v>CTTCGCCT</v>
          </cell>
          <cell r="H79" t="str">
            <v>mRNA文库</v>
          </cell>
          <cell r="K79" t="str">
            <v>HGC20240317003-0020</v>
          </cell>
        </row>
        <row r="80">
          <cell r="D80" t="str">
            <v>RX20240726-2</v>
          </cell>
          <cell r="F80" t="str">
            <v>CTGAAGCT</v>
          </cell>
          <cell r="G80" t="str">
            <v>CTTCGCCT</v>
          </cell>
          <cell r="H80" t="str">
            <v>mRNA文库</v>
          </cell>
          <cell r="K80" t="str">
            <v>HGC20240317003-0020</v>
          </cell>
        </row>
        <row r="81">
          <cell r="D81" t="str">
            <v>RX20240726-2</v>
          </cell>
          <cell r="F81" t="str">
            <v>TAATGCGC</v>
          </cell>
          <cell r="G81" t="str">
            <v>CTTCGCCT</v>
          </cell>
          <cell r="H81" t="str">
            <v>mRNA文库</v>
          </cell>
          <cell r="K81" t="str">
            <v>HGC20240317003-0020</v>
          </cell>
        </row>
        <row r="82">
          <cell r="C82" t="str">
            <v>HGC-POOL-2459318</v>
          </cell>
          <cell r="D82" t="str">
            <v>RX20240726-3</v>
          </cell>
          <cell r="F82" t="str">
            <v>CTGAAGCT</v>
          </cell>
          <cell r="G82" t="str">
            <v>AGGATAGG</v>
          </cell>
          <cell r="H82" t="str">
            <v>mRNA文库</v>
          </cell>
          <cell r="I82">
            <v>39</v>
          </cell>
          <cell r="J82">
            <v>39</v>
          </cell>
          <cell r="K82" t="str">
            <v>HGC20240317003-0020</v>
          </cell>
        </row>
        <row r="83">
          <cell r="D83" t="str">
            <v>RX20240726-3</v>
          </cell>
          <cell r="F83" t="str">
            <v>TAATGCGC</v>
          </cell>
          <cell r="G83" t="str">
            <v>AGGATAGG</v>
          </cell>
          <cell r="H83" t="str">
            <v>mRNA文库</v>
          </cell>
          <cell r="K83" t="str">
            <v>HGC20240317003-0020</v>
          </cell>
        </row>
        <row r="84">
          <cell r="D84" t="str">
            <v>RX20240726-3</v>
          </cell>
          <cell r="F84" t="str">
            <v>CGGCTATG</v>
          </cell>
          <cell r="G84" t="str">
            <v>AGGATAGG</v>
          </cell>
          <cell r="H84" t="str">
            <v>mRNA文库</v>
          </cell>
          <cell r="K84" t="str">
            <v>HGC20240317003-0020</v>
          </cell>
        </row>
        <row r="85">
          <cell r="D85" t="str">
            <v>RX20240726-3</v>
          </cell>
          <cell r="F85" t="str">
            <v>TCCGCGAA</v>
          </cell>
          <cell r="G85" t="str">
            <v>AGGATAGG</v>
          </cell>
          <cell r="H85" t="str">
            <v>mRNA文库</v>
          </cell>
          <cell r="K85" t="str">
            <v>HGC20240317003-0020</v>
          </cell>
        </row>
        <row r="86">
          <cell r="D86" t="str">
            <v>RX20240726-3</v>
          </cell>
          <cell r="F86" t="str">
            <v>TCTCGCGC</v>
          </cell>
          <cell r="G86" t="str">
            <v>AGGATAGG</v>
          </cell>
          <cell r="H86" t="str">
            <v>mRNA文库</v>
          </cell>
          <cell r="K86" t="str">
            <v>HGC20240317003-0020</v>
          </cell>
        </row>
        <row r="87">
          <cell r="D87" t="str">
            <v>RX20240726-3</v>
          </cell>
          <cell r="F87" t="str">
            <v>AGCGATAG</v>
          </cell>
          <cell r="G87" t="str">
            <v>AGGATAGG</v>
          </cell>
          <cell r="H87" t="str">
            <v>mRNA文库</v>
          </cell>
          <cell r="K87" t="str">
            <v>HGC20240317003-0020</v>
          </cell>
        </row>
        <row r="88">
          <cell r="C88" t="str">
            <v>HGC-Lib-2459351</v>
          </cell>
          <cell r="D88" t="str">
            <v>N_B_N4708-07-10X5TCRT-ZSL-2</v>
          </cell>
          <cell r="F88" t="str">
            <v>TATCAGCCTA</v>
          </cell>
          <cell r="G88" t="str">
            <v>AGGACGAAAC</v>
          </cell>
          <cell r="H88" t="str">
            <v>TCR文库</v>
          </cell>
          <cell r="I88">
            <v>10</v>
          </cell>
          <cell r="J88">
            <v>10</v>
          </cell>
          <cell r="K88" t="str">
            <v>HGC20231127004-0081</v>
          </cell>
        </row>
        <row r="89">
          <cell r="C89" t="str">
            <v>HGC-Lib-2459352</v>
          </cell>
          <cell r="D89" t="str">
            <v>N_B_N4708-08-10X5TCRTLN-ZSL-2</v>
          </cell>
          <cell r="F89" t="str">
            <v>AGAATGGTTT</v>
          </cell>
          <cell r="G89" t="str">
            <v>TCCCACCCTC</v>
          </cell>
          <cell r="H89" t="str">
            <v>TCR文库</v>
          </cell>
          <cell r="I89">
            <v>10</v>
          </cell>
          <cell r="J89">
            <v>10</v>
          </cell>
          <cell r="K89" t="str">
            <v>HGC20231127004-0081</v>
          </cell>
        </row>
        <row r="90">
          <cell r="C90" t="str">
            <v>HGC-Lib-2459353</v>
          </cell>
          <cell r="D90" t="str">
            <v>N_B_N4708-07-10X5BCRT-ZSL-3</v>
          </cell>
          <cell r="F90" t="str">
            <v>CGCTGAAATC</v>
          </cell>
          <cell r="G90" t="str">
            <v>GCAGACACCT</v>
          </cell>
          <cell r="H90" t="str">
            <v>BCR文库</v>
          </cell>
          <cell r="I90">
            <v>10</v>
          </cell>
          <cell r="J90">
            <v>10</v>
          </cell>
          <cell r="K90" t="str">
            <v>HGC20231127004-0081</v>
          </cell>
        </row>
        <row r="91">
          <cell r="C91" t="str">
            <v>HGC-Lib-2459354</v>
          </cell>
          <cell r="D91" t="str">
            <v>N_B_N4708-08-10X5BCRTLN-ZSL-3</v>
          </cell>
          <cell r="F91" t="str">
            <v>AAGTGGAGAG</v>
          </cell>
          <cell r="G91" t="str">
            <v>GTAACAGGAA</v>
          </cell>
          <cell r="H91" t="str">
            <v>BCR文库</v>
          </cell>
          <cell r="I91">
            <v>10</v>
          </cell>
          <cell r="J91">
            <v>10</v>
          </cell>
          <cell r="K91" t="str">
            <v>HGC20231127004-0081</v>
          </cell>
        </row>
        <row r="92">
          <cell r="C92" t="str">
            <v>HGC-POOL-2459686</v>
          </cell>
          <cell r="D92" t="str">
            <v>SB95</v>
          </cell>
          <cell r="F92" t="str">
            <v>ATCCAACG</v>
          </cell>
          <cell r="G92" t="str">
            <v>AGGCTTCT</v>
          </cell>
          <cell r="H92" t="str">
            <v>10× 3'单细胞</v>
          </cell>
          <cell r="I92">
            <v>6</v>
          </cell>
          <cell r="J92">
            <v>6</v>
          </cell>
          <cell r="K92" t="str">
            <v>HGC20201130003-0093</v>
          </cell>
        </row>
        <row r="93">
          <cell r="D93" t="str">
            <v>SB95</v>
          </cell>
          <cell r="F93" t="str">
            <v>GCGGTTGA</v>
          </cell>
          <cell r="G93" t="str">
            <v>TGCACCTC</v>
          </cell>
          <cell r="H93" t="str">
            <v>10× 3'单细胞</v>
          </cell>
          <cell r="K93" t="str">
            <v>HGC20201130003-0093</v>
          </cell>
        </row>
        <row r="94">
          <cell r="C94" t="str">
            <v>HGC-POOL-2455586</v>
          </cell>
          <cell r="D94" t="str">
            <v>L240621007</v>
          </cell>
          <cell r="F94" t="str">
            <v>CGTGACATGC</v>
          </cell>
          <cell r="G94" t="str">
            <v>TTTAGACCAT</v>
          </cell>
          <cell r="H94" t="str">
            <v>10X3'转录组文库</v>
          </cell>
          <cell r="I94">
            <v>9</v>
          </cell>
          <cell r="J94">
            <v>9</v>
          </cell>
          <cell r="K94" t="str">
            <v>HGC20221109004-0304</v>
          </cell>
        </row>
        <row r="95">
          <cell r="C95" t="str">
            <v>HGC-POOL-2455587</v>
          </cell>
          <cell r="D95" t="str">
            <v>L240621008</v>
          </cell>
          <cell r="F95" t="str">
            <v>GCCCGATGGA</v>
          </cell>
          <cell r="G95" t="str">
            <v>CTAGACGATT</v>
          </cell>
          <cell r="H95" t="str">
            <v>10X3'转录组文库</v>
          </cell>
          <cell r="I95">
            <v>7</v>
          </cell>
          <cell r="J95">
            <v>7</v>
          </cell>
          <cell r="K95" t="str">
            <v>HGC20221109004-0304</v>
          </cell>
        </row>
        <row r="96">
          <cell r="C96" t="str">
            <v>HGC-2459861</v>
          </cell>
          <cell r="D96" t="str">
            <v>P-L</v>
          </cell>
          <cell r="F96" t="str">
            <v>AGAACTTAGA</v>
          </cell>
          <cell r="G96" t="str">
            <v>AAAGGACTCG</v>
          </cell>
          <cell r="H96" t="str">
            <v>10X3端转录组文库</v>
          </cell>
          <cell r="I96">
            <v>35.210999999999999</v>
          </cell>
          <cell r="J96">
            <v>35.210999999999999</v>
          </cell>
          <cell r="K96" t="str">
            <v>HGC20240620007-0001</v>
          </cell>
        </row>
        <row r="97">
          <cell r="C97" t="str">
            <v>HGC-2459862</v>
          </cell>
          <cell r="D97" t="str">
            <v>P-S</v>
          </cell>
          <cell r="F97" t="str">
            <v>TTATCTAGGG</v>
          </cell>
          <cell r="G97" t="str">
            <v>TAGAGCCTTT</v>
          </cell>
          <cell r="H97" t="str">
            <v>10X3端转录组文库</v>
          </cell>
          <cell r="I97">
            <v>30.073</v>
          </cell>
          <cell r="J97">
            <v>30.073</v>
          </cell>
          <cell r="K97" t="str">
            <v>HGC20240620007-0001</v>
          </cell>
        </row>
        <row r="98">
          <cell r="C98" t="str">
            <v>HGC-Lib-2458613</v>
          </cell>
          <cell r="D98" t="str">
            <v>CSFY-A16-0719</v>
          </cell>
          <cell r="F98" t="str">
            <v>ATCCACTG</v>
          </cell>
          <cell r="G98" t="str">
            <v>AGGTGCGT</v>
          </cell>
          <cell r="H98" t="str">
            <v>10× 3'单细胞</v>
          </cell>
          <cell r="I98">
            <v>15</v>
          </cell>
          <cell r="J98">
            <v>15</v>
          </cell>
          <cell r="K98" t="str">
            <v>HGC20231130004-0081</v>
          </cell>
        </row>
        <row r="99">
          <cell r="C99" t="str">
            <v>HGC-Lib-2460515</v>
          </cell>
          <cell r="D99" t="str">
            <v>A9-5K-XDX-0729</v>
          </cell>
          <cell r="F99" t="str">
            <v>GATCCAAA</v>
          </cell>
          <cell r="G99" t="str">
            <v>AGGTGCGT</v>
          </cell>
          <cell r="H99" t="str">
            <v>10× 3'单细胞</v>
          </cell>
          <cell r="I99">
            <v>15</v>
          </cell>
          <cell r="J99">
            <v>15</v>
          </cell>
          <cell r="K99" t="str">
            <v>HGC20231130004-0083</v>
          </cell>
        </row>
        <row r="100">
          <cell r="C100" t="str">
            <v>HGC-POOL-2457850</v>
          </cell>
          <cell r="D100" t="str">
            <v>PLN235</v>
          </cell>
          <cell r="F100" t="str">
            <v>ATGATGTG</v>
          </cell>
          <cell r="H100" t="str">
            <v>DAP-Seq文库</v>
          </cell>
          <cell r="I100">
            <v>70</v>
          </cell>
          <cell r="J100">
            <v>70</v>
          </cell>
          <cell r="K100" t="str">
            <v>HGC20240305003-0024</v>
          </cell>
        </row>
        <row r="101">
          <cell r="D101" t="str">
            <v>PLN235</v>
          </cell>
          <cell r="F101" t="str">
            <v>AATCCCGG</v>
          </cell>
          <cell r="H101" t="str">
            <v>DAP-Seq文库</v>
          </cell>
          <cell r="K101" t="str">
            <v>HGC20240305003-0024</v>
          </cell>
        </row>
        <row r="102">
          <cell r="D102" t="str">
            <v>PLN235</v>
          </cell>
          <cell r="F102" t="str">
            <v>TCTACTCT</v>
          </cell>
          <cell r="H102" t="str">
            <v>DAP-Seq文库</v>
          </cell>
          <cell r="K102" t="str">
            <v>HGC20240305003-0024</v>
          </cell>
        </row>
        <row r="103">
          <cell r="D103" t="str">
            <v>PLN235</v>
          </cell>
          <cell r="F103" t="str">
            <v>CAACAAAA</v>
          </cell>
          <cell r="H103" t="str">
            <v>DAP-Seq文库</v>
          </cell>
          <cell r="K103" t="str">
            <v>HGC20240305003-0024</v>
          </cell>
        </row>
        <row r="104">
          <cell r="D104" t="str">
            <v>PLN235</v>
          </cell>
          <cell r="F104" t="str">
            <v>AGCGCGGG</v>
          </cell>
          <cell r="H104" t="str">
            <v>ATAC-Seq文库</v>
          </cell>
          <cell r="K104" t="str">
            <v>HGC20240305003-0024</v>
          </cell>
        </row>
        <row r="105">
          <cell r="D105" t="str">
            <v>PLN235</v>
          </cell>
          <cell r="F105" t="str">
            <v>TGTCCTGG</v>
          </cell>
          <cell r="H105" t="str">
            <v>ATAC-Seq文库</v>
          </cell>
          <cell r="K105" t="str">
            <v>HGC20240305003-0024</v>
          </cell>
        </row>
        <row r="106">
          <cell r="D106" t="str">
            <v>PLN235</v>
          </cell>
          <cell r="F106" t="str">
            <v>GAACCTCA</v>
          </cell>
          <cell r="H106" t="str">
            <v>ATAC-Seq文库</v>
          </cell>
          <cell r="K106" t="str">
            <v>HGC20240305003-0024</v>
          </cell>
        </row>
        <row r="107">
          <cell r="D107" t="str">
            <v>PLN235</v>
          </cell>
          <cell r="F107" t="str">
            <v>CATAATTC</v>
          </cell>
          <cell r="H107" t="str">
            <v>ATAC-Seq文库</v>
          </cell>
          <cell r="K107" t="str">
            <v>HGC20240305003-0024</v>
          </cell>
        </row>
        <row r="108">
          <cell r="D108" t="str">
            <v>PLN235</v>
          </cell>
          <cell r="F108" t="str">
            <v>CTTGGGGG</v>
          </cell>
          <cell r="H108" t="str">
            <v>ATAC-Seq文库</v>
          </cell>
          <cell r="K108" t="str">
            <v>HGC20240305003-0024</v>
          </cell>
        </row>
        <row r="109">
          <cell r="D109" t="str">
            <v>PLN235</v>
          </cell>
          <cell r="F109" t="str">
            <v>AGCTAACC</v>
          </cell>
          <cell r="H109" t="str">
            <v>Chip-Seq</v>
          </cell>
          <cell r="K109" t="str">
            <v>HGC20240305003-0024</v>
          </cell>
        </row>
        <row r="110">
          <cell r="D110" t="str">
            <v>PLN235</v>
          </cell>
          <cell r="F110" t="str">
            <v>TGCTCGTG</v>
          </cell>
          <cell r="H110" t="str">
            <v>Chip-Seq</v>
          </cell>
          <cell r="K110" t="str">
            <v>HGC20240305003-0024</v>
          </cell>
        </row>
        <row r="111">
          <cell r="D111" t="str">
            <v>PLN235</v>
          </cell>
          <cell r="F111" t="str">
            <v>GCTCATGA</v>
          </cell>
          <cell r="H111" t="str">
            <v>Chip-Seq</v>
          </cell>
          <cell r="K111" t="str">
            <v>HGC20240305003-0024</v>
          </cell>
        </row>
        <row r="112">
          <cell r="D112" t="str">
            <v>PLN235</v>
          </cell>
          <cell r="F112" t="str">
            <v>ATCTCAGG</v>
          </cell>
          <cell r="H112" t="str">
            <v>Chip-Seq</v>
          </cell>
          <cell r="K112" t="str">
            <v>HGC20240305003-0024</v>
          </cell>
        </row>
        <row r="113">
          <cell r="D113" t="str">
            <v>PLN235</v>
          </cell>
          <cell r="F113" t="str">
            <v>ACTCGCTA</v>
          </cell>
          <cell r="H113" t="str">
            <v>Chip-Seq</v>
          </cell>
          <cell r="K113" t="str">
            <v>HGC20240305003-0024</v>
          </cell>
        </row>
        <row r="114">
          <cell r="D114" t="str">
            <v>PLN235</v>
          </cell>
          <cell r="F114" t="str">
            <v>CAATTGTG</v>
          </cell>
          <cell r="H114" t="str">
            <v>Chip-Seq</v>
          </cell>
          <cell r="K114" t="str">
            <v>HGC20240305003-0024</v>
          </cell>
        </row>
        <row r="115">
          <cell r="D115" t="str">
            <v>PLN235</v>
          </cell>
          <cell r="F115" t="str">
            <v>GGAGCTAC</v>
          </cell>
          <cell r="H115" t="str">
            <v>Chip-Seq</v>
          </cell>
          <cell r="K115" t="str">
            <v>HGC20240305003-0024</v>
          </cell>
        </row>
        <row r="116">
          <cell r="D116" t="str">
            <v>PLN235</v>
          </cell>
          <cell r="F116" t="str">
            <v>GCGTAGTA</v>
          </cell>
          <cell r="H116" t="str">
            <v>Chip-Seq</v>
          </cell>
          <cell r="K116" t="str">
            <v>HGC20240305003-0024</v>
          </cell>
        </row>
        <row r="117">
          <cell r="D117" t="str">
            <v>PLN235</v>
          </cell>
          <cell r="F117" t="str">
            <v>GATGTTGG</v>
          </cell>
          <cell r="H117" t="str">
            <v>Chip-Seq</v>
          </cell>
          <cell r="K117" t="str">
            <v>HGC20240305003-0024</v>
          </cell>
        </row>
        <row r="118">
          <cell r="D118" t="str">
            <v>PLN235</v>
          </cell>
          <cell r="F118" t="str">
            <v>CCAAGACA</v>
          </cell>
          <cell r="H118" t="str">
            <v>Chip-Seq</v>
          </cell>
          <cell r="K118" t="str">
            <v>HGC20240305003-0024</v>
          </cell>
        </row>
        <row r="119">
          <cell r="D119" t="str">
            <v>PLN235</v>
          </cell>
          <cell r="F119" t="str">
            <v>AGACGAGA</v>
          </cell>
          <cell r="H119" t="str">
            <v>Chip-Seq</v>
          </cell>
          <cell r="K119" t="str">
            <v>HGC20240305003-0024</v>
          </cell>
        </row>
        <row r="120">
          <cell r="D120" t="str">
            <v>PLN235</v>
          </cell>
          <cell r="F120" t="str">
            <v>GTCCGCGA</v>
          </cell>
          <cell r="H120" t="str">
            <v>Chip-Seq</v>
          </cell>
          <cell r="K120" t="str">
            <v>HGC20240305003-0024</v>
          </cell>
        </row>
        <row r="121">
          <cell r="D121" t="str">
            <v>PLN235</v>
          </cell>
          <cell r="F121" t="str">
            <v>ACACCGGC</v>
          </cell>
          <cell r="H121" t="str">
            <v>Chip-Seq</v>
          </cell>
          <cell r="K121" t="str">
            <v>HGC20240305003-0024</v>
          </cell>
        </row>
        <row r="122">
          <cell r="D122" t="str">
            <v>PLN235</v>
          </cell>
          <cell r="F122" t="str">
            <v>CGCGTGGC</v>
          </cell>
          <cell r="H122" t="str">
            <v>Chip-Seq</v>
          </cell>
          <cell r="K122" t="str">
            <v>HGC20240305003-0024</v>
          </cell>
        </row>
        <row r="123">
          <cell r="C123" t="str">
            <v>HGC-Lib-2458696</v>
          </cell>
          <cell r="D123" t="str">
            <v>CB-T26-1</v>
          </cell>
          <cell r="F123" t="str">
            <v>AGCGATAG</v>
          </cell>
          <cell r="G123" t="str">
            <v>TCAGAGCC</v>
          </cell>
          <cell r="H123" t="str">
            <v>PCR产物文库</v>
          </cell>
          <cell r="I123">
            <v>5</v>
          </cell>
          <cell r="J123">
            <v>5</v>
          </cell>
          <cell r="K123" t="str">
            <v>HGC20240412002-0049</v>
          </cell>
        </row>
        <row r="124">
          <cell r="C124" t="str">
            <v>HGC-Lib-2458698</v>
          </cell>
          <cell r="D124" t="str">
            <v>CB-T27</v>
          </cell>
          <cell r="F124" t="str">
            <v>TCCGCGAA</v>
          </cell>
          <cell r="G124" t="str">
            <v>GCCTCTAT</v>
          </cell>
          <cell r="H124" t="str">
            <v>PCR产物文库</v>
          </cell>
          <cell r="I124">
            <v>5</v>
          </cell>
          <cell r="J124">
            <v>5</v>
          </cell>
          <cell r="K124" t="str">
            <v>HGC20240412002-0050</v>
          </cell>
        </row>
        <row r="125">
          <cell r="C125" t="str">
            <v>HGC-Lib-2458699</v>
          </cell>
          <cell r="D125" t="str">
            <v>IVT-R1</v>
          </cell>
          <cell r="F125" t="str">
            <v>TAATGCGC</v>
          </cell>
          <cell r="G125" t="str">
            <v>GCCTCTAT</v>
          </cell>
          <cell r="H125" t="str">
            <v>PCR产物文库</v>
          </cell>
          <cell r="I125">
            <v>5</v>
          </cell>
          <cell r="J125">
            <v>5</v>
          </cell>
          <cell r="K125" t="str">
            <v>HGC20240412002-0051</v>
          </cell>
        </row>
        <row r="126">
          <cell r="C126" t="str">
            <v>HGC-Lib-2458700</v>
          </cell>
          <cell r="D126" t="str">
            <v>IVT-R2</v>
          </cell>
          <cell r="F126" t="str">
            <v>TAATGCGC</v>
          </cell>
          <cell r="G126" t="str">
            <v>TCAGAGCC</v>
          </cell>
          <cell r="H126" t="str">
            <v>PCR产物文库</v>
          </cell>
          <cell r="I126">
            <v>5</v>
          </cell>
          <cell r="J126">
            <v>5</v>
          </cell>
          <cell r="K126" t="str">
            <v>HGC20240412002-0051</v>
          </cell>
        </row>
        <row r="127">
          <cell r="C127" t="str">
            <v>HGC-Lib-2458651</v>
          </cell>
          <cell r="D127" t="str">
            <v>‘7-3</v>
          </cell>
          <cell r="F127" t="str">
            <v>TCCGGAGA</v>
          </cell>
          <cell r="G127" t="str">
            <v>AGGATAGG</v>
          </cell>
          <cell r="H127" t="str">
            <v>PCR产物文库</v>
          </cell>
          <cell r="I127">
            <v>5</v>
          </cell>
          <cell r="J127">
            <v>5</v>
          </cell>
          <cell r="K127" t="str">
            <v>HGC20240412002-0048</v>
          </cell>
        </row>
        <row r="128">
          <cell r="C128" t="str">
            <v>HGC-2448032</v>
          </cell>
          <cell r="D128" t="str">
            <v>L33-8R</v>
          </cell>
          <cell r="E128" t="str">
            <v>IDT131</v>
          </cell>
          <cell r="F128" t="str">
            <v>TCAACTGG</v>
          </cell>
          <cell r="G128" t="str">
            <v>CGATTCTG</v>
          </cell>
          <cell r="H128" t="str">
            <v>mRNA</v>
          </cell>
          <cell r="I128">
            <v>6</v>
          </cell>
          <cell r="J128">
            <v>6.5</v>
          </cell>
          <cell r="K128" t="str">
            <v>HGC20240624005-0001</v>
          </cell>
        </row>
        <row r="129">
          <cell r="C129" t="str">
            <v>HGC-2448033</v>
          </cell>
          <cell r="D129" t="str">
            <v>L3-4R</v>
          </cell>
          <cell r="E129" t="str">
            <v>IDT132</v>
          </cell>
          <cell r="F129" t="str">
            <v>CTGCACTT</v>
          </cell>
          <cell r="G129" t="str">
            <v>AAGCGTTC</v>
          </cell>
          <cell r="H129" t="str">
            <v>mRNA</v>
          </cell>
          <cell r="I129">
            <v>6</v>
          </cell>
          <cell r="J129">
            <v>6.5</v>
          </cell>
          <cell r="K129" t="str">
            <v>HGC20240624005-0001</v>
          </cell>
        </row>
        <row r="130">
          <cell r="C130" t="str">
            <v>HGC-2448034</v>
          </cell>
          <cell r="D130" t="str">
            <v>L34-1R</v>
          </cell>
          <cell r="E130" t="str">
            <v>IDT133</v>
          </cell>
          <cell r="F130" t="str">
            <v>ACACGGTT</v>
          </cell>
          <cell r="G130" t="str">
            <v>TGGTTCGA</v>
          </cell>
          <cell r="H130" t="str">
            <v>mRNA</v>
          </cell>
          <cell r="I130">
            <v>6</v>
          </cell>
          <cell r="J130">
            <v>6.5</v>
          </cell>
          <cell r="K130" t="str">
            <v>HGC20240624005-0001</v>
          </cell>
        </row>
        <row r="131">
          <cell r="C131" t="str">
            <v>HGC-2448035</v>
          </cell>
          <cell r="D131" t="str">
            <v>L34-10R</v>
          </cell>
          <cell r="E131" t="str">
            <v>IDT134</v>
          </cell>
          <cell r="F131" t="str">
            <v>AATACGCG</v>
          </cell>
          <cell r="G131" t="str">
            <v>TGCGATAG</v>
          </cell>
          <cell r="H131" t="str">
            <v>mRNA</v>
          </cell>
          <cell r="I131">
            <v>6</v>
          </cell>
          <cell r="J131">
            <v>6.5</v>
          </cell>
          <cell r="K131" t="str">
            <v>HGC20240624005-0001</v>
          </cell>
        </row>
        <row r="132">
          <cell r="C132" t="str">
            <v>HGC-2448036</v>
          </cell>
          <cell r="D132" t="str">
            <v>L34-11R</v>
          </cell>
          <cell r="E132" t="str">
            <v>IDT135</v>
          </cell>
          <cell r="F132" t="str">
            <v>TGCGAACT</v>
          </cell>
          <cell r="G132" t="str">
            <v>CAACCGTA</v>
          </cell>
          <cell r="H132" t="str">
            <v>mRNA</v>
          </cell>
          <cell r="I132">
            <v>6</v>
          </cell>
          <cell r="J132">
            <v>6.5</v>
          </cell>
          <cell r="K132" t="str">
            <v>HGC20240624005-0001</v>
          </cell>
        </row>
        <row r="133">
          <cell r="C133" t="str">
            <v>HGC-2448037</v>
          </cell>
          <cell r="D133" t="str">
            <v>L34-13R</v>
          </cell>
          <cell r="E133" t="str">
            <v>IDT136</v>
          </cell>
          <cell r="F133" t="str">
            <v>GCTGACTA</v>
          </cell>
          <cell r="G133" t="str">
            <v>GACATCTC</v>
          </cell>
          <cell r="H133" t="str">
            <v>mRNA</v>
          </cell>
          <cell r="I133">
            <v>6</v>
          </cell>
          <cell r="J133">
            <v>6.5</v>
          </cell>
          <cell r="K133" t="str">
            <v>HGC20240624005-0001</v>
          </cell>
        </row>
        <row r="134">
          <cell r="C134" t="str">
            <v>HGC-2448088</v>
          </cell>
          <cell r="D134" t="str">
            <v>L4-4R</v>
          </cell>
          <cell r="E134" t="str">
            <v>IDT137</v>
          </cell>
          <cell r="F134" t="str">
            <v>GTGGTGTT</v>
          </cell>
          <cell r="G134" t="str">
            <v>GCTGTAAG</v>
          </cell>
          <cell r="H134" t="str">
            <v>mRNA</v>
          </cell>
          <cell r="I134">
            <v>6</v>
          </cell>
          <cell r="J134">
            <v>6.5</v>
          </cell>
          <cell r="K134" t="str">
            <v>HGC20240624005-0001</v>
          </cell>
        </row>
        <row r="135">
          <cell r="C135" t="str">
            <v>HGC-2448089</v>
          </cell>
          <cell r="D135" t="str">
            <v>L45-1R</v>
          </cell>
          <cell r="E135" t="str">
            <v>IDT138</v>
          </cell>
          <cell r="F135" t="str">
            <v>GTGCTTAC</v>
          </cell>
          <cell r="G135" t="str">
            <v>TTCCTCCT</v>
          </cell>
          <cell r="H135" t="str">
            <v>mRNA</v>
          </cell>
          <cell r="I135">
            <v>6</v>
          </cell>
          <cell r="J135">
            <v>6.5</v>
          </cell>
          <cell r="K135" t="str">
            <v>HGC20240624005-0001</v>
          </cell>
        </row>
        <row r="136">
          <cell r="C136" t="str">
            <v>HGC-2448090</v>
          </cell>
          <cell r="D136" t="str">
            <v>L45-3R</v>
          </cell>
          <cell r="E136" t="str">
            <v>IDT139</v>
          </cell>
          <cell r="F136" t="str">
            <v>TCAAGGAC</v>
          </cell>
          <cell r="G136" t="str">
            <v>CATTCGTC</v>
          </cell>
          <cell r="H136" t="str">
            <v>mRNA</v>
          </cell>
          <cell r="I136">
            <v>6</v>
          </cell>
          <cell r="J136">
            <v>6.5</v>
          </cell>
          <cell r="K136" t="str">
            <v>HGC20240624005-0001</v>
          </cell>
        </row>
        <row r="137">
          <cell r="C137" t="str">
            <v>HGC-2448091</v>
          </cell>
          <cell r="D137" t="str">
            <v>L45-4R</v>
          </cell>
          <cell r="E137" t="str">
            <v>IDT140</v>
          </cell>
          <cell r="F137" t="str">
            <v>TGAACCTG</v>
          </cell>
          <cell r="G137" t="str">
            <v>ACCTCTTC</v>
          </cell>
          <cell r="H137" t="str">
            <v>mRNA</v>
          </cell>
          <cell r="I137">
            <v>6</v>
          </cell>
          <cell r="J137">
            <v>6.5</v>
          </cell>
          <cell r="K137" t="str">
            <v>HGC20240624005-0001</v>
          </cell>
        </row>
        <row r="138">
          <cell r="C138" t="str">
            <v>HGC-2448092</v>
          </cell>
          <cell r="D138" t="str">
            <v>L45-5R</v>
          </cell>
          <cell r="E138" t="str">
            <v>IDT141</v>
          </cell>
          <cell r="F138" t="str">
            <v>AGTGTTGG</v>
          </cell>
          <cell r="G138" t="str">
            <v>CATTGACG</v>
          </cell>
          <cell r="H138" t="str">
            <v>mRNA</v>
          </cell>
          <cell r="I138">
            <v>6</v>
          </cell>
          <cell r="J138">
            <v>6.5</v>
          </cell>
          <cell r="K138" t="str">
            <v>HGC20240624005-0001</v>
          </cell>
        </row>
        <row r="139">
          <cell r="C139" t="str">
            <v>HGC-2448093</v>
          </cell>
          <cell r="D139" t="str">
            <v>L45-7R</v>
          </cell>
          <cell r="E139" t="str">
            <v>IDT142</v>
          </cell>
          <cell r="F139" t="str">
            <v>GTACTCTC</v>
          </cell>
          <cell r="G139" t="str">
            <v>TCCTGGTA</v>
          </cell>
          <cell r="H139" t="str">
            <v>mRNA</v>
          </cell>
          <cell r="I139">
            <v>6</v>
          </cell>
          <cell r="J139">
            <v>6.5</v>
          </cell>
          <cell r="K139" t="str">
            <v>HGC20240624005-0001</v>
          </cell>
        </row>
        <row r="140">
          <cell r="C140" t="str">
            <v>HGC-2448094</v>
          </cell>
          <cell r="D140" t="str">
            <v>L46-11R</v>
          </cell>
          <cell r="E140" t="str">
            <v>IDT143</v>
          </cell>
          <cell r="F140" t="str">
            <v>CCGTATCT</v>
          </cell>
          <cell r="G140" t="str">
            <v>TTCGTACG</v>
          </cell>
          <cell r="H140" t="str">
            <v>mRNA</v>
          </cell>
          <cell r="I140">
            <v>6</v>
          </cell>
          <cell r="J140">
            <v>6.5</v>
          </cell>
          <cell r="K140" t="str">
            <v>HGC20240624005-0001</v>
          </cell>
        </row>
        <row r="141">
          <cell r="C141" t="str">
            <v>HGC-2448048</v>
          </cell>
          <cell r="D141" t="str">
            <v>L35-8R</v>
          </cell>
          <cell r="E141" t="str">
            <v>IDT144</v>
          </cell>
          <cell r="F141" t="str">
            <v>CGAAGAAC</v>
          </cell>
          <cell r="G141" t="str">
            <v>CCTAAGTC</v>
          </cell>
          <cell r="H141" t="str">
            <v>mRNA</v>
          </cell>
          <cell r="I141">
            <v>6</v>
          </cell>
          <cell r="J141">
            <v>6.5</v>
          </cell>
          <cell r="K141" t="str">
            <v>HGC20240624005-0001</v>
          </cell>
        </row>
        <row r="142">
          <cell r="C142" t="str">
            <v>HGC-2448046</v>
          </cell>
          <cell r="D142" t="str">
            <v>L35-3R</v>
          </cell>
          <cell r="E142" t="str">
            <v>IDT145</v>
          </cell>
          <cell r="F142" t="str">
            <v>AGCGGAAT</v>
          </cell>
          <cell r="G142" t="str">
            <v>ACTGCACT</v>
          </cell>
          <cell r="H142" t="str">
            <v>mRNA</v>
          </cell>
          <cell r="I142">
            <v>6</v>
          </cell>
          <cell r="J142">
            <v>6.5</v>
          </cell>
          <cell r="K142" t="str">
            <v>HGC20240624005-0001</v>
          </cell>
        </row>
        <row r="143">
          <cell r="C143" t="str">
            <v>HGC-2448047</v>
          </cell>
          <cell r="D143" t="str">
            <v>L35-5R</v>
          </cell>
          <cell r="E143" t="str">
            <v>IDT146</v>
          </cell>
          <cell r="F143" t="str">
            <v>GTGAGCTT</v>
          </cell>
          <cell r="G143" t="str">
            <v>CGGATCAA</v>
          </cell>
          <cell r="H143" t="str">
            <v>mRNA</v>
          </cell>
          <cell r="I143">
            <v>6</v>
          </cell>
          <cell r="J143">
            <v>6.5</v>
          </cell>
          <cell r="K143" t="str">
            <v>HGC20240624005-0001</v>
          </cell>
        </row>
        <row r="144">
          <cell r="C144" t="str">
            <v>HGC-2448049</v>
          </cell>
          <cell r="D144" t="str">
            <v>L35-9R</v>
          </cell>
          <cell r="E144" t="str">
            <v>IDT147</v>
          </cell>
          <cell r="F144" t="str">
            <v>CGTGATCA</v>
          </cell>
          <cell r="G144" t="str">
            <v>GAATGGCA</v>
          </cell>
          <cell r="H144" t="str">
            <v>mRNA</v>
          </cell>
          <cell r="I144">
            <v>6</v>
          </cell>
          <cell r="J144">
            <v>6.5</v>
          </cell>
          <cell r="K144" t="str">
            <v>HGC20240624005-0001</v>
          </cell>
        </row>
        <row r="145">
          <cell r="C145" t="str">
            <v>HGC-2448050</v>
          </cell>
          <cell r="D145" t="str">
            <v>L3-6R</v>
          </cell>
          <cell r="E145" t="str">
            <v>IDT148</v>
          </cell>
          <cell r="F145" t="str">
            <v>TCGCATTG</v>
          </cell>
          <cell r="G145" t="str">
            <v>ACAGCAAG</v>
          </cell>
          <cell r="H145" t="str">
            <v>mRNA</v>
          </cell>
          <cell r="I145">
            <v>6</v>
          </cell>
          <cell r="J145">
            <v>6.5</v>
          </cell>
          <cell r="K145" t="str">
            <v>HGC20240624005-0001</v>
          </cell>
        </row>
        <row r="146">
          <cell r="C146" t="str">
            <v>HGC-2448051</v>
          </cell>
          <cell r="D146" t="str">
            <v>L36-11R</v>
          </cell>
          <cell r="E146" t="str">
            <v>IDT149</v>
          </cell>
          <cell r="F146" t="str">
            <v>TGACGCAT</v>
          </cell>
          <cell r="G146" t="str">
            <v>TCAGTAGG</v>
          </cell>
          <cell r="H146" t="str">
            <v>mRNA</v>
          </cell>
          <cell r="I146">
            <v>6</v>
          </cell>
          <cell r="J146">
            <v>6.5</v>
          </cell>
          <cell r="K146" t="str">
            <v>HGC20240624005-0001</v>
          </cell>
        </row>
        <row r="147">
          <cell r="C147" t="str">
            <v>HGC-2448052</v>
          </cell>
          <cell r="D147" t="str">
            <v>L36-14R</v>
          </cell>
          <cell r="E147" t="str">
            <v>IDT150</v>
          </cell>
          <cell r="F147" t="str">
            <v>CCGATGTA</v>
          </cell>
          <cell r="G147" t="str">
            <v>CAACTTGG</v>
          </cell>
          <cell r="H147" t="str">
            <v>mRNA</v>
          </cell>
          <cell r="I147">
            <v>6</v>
          </cell>
          <cell r="J147">
            <v>6.5</v>
          </cell>
          <cell r="K147" t="str">
            <v>HGC20240624005-0001</v>
          </cell>
        </row>
        <row r="148">
          <cell r="C148" t="str">
            <v>HGC-2448053</v>
          </cell>
          <cell r="D148" t="str">
            <v>L36-16R</v>
          </cell>
          <cell r="E148" t="str">
            <v>IDT151</v>
          </cell>
          <cell r="F148" t="str">
            <v>TTCGCAGT</v>
          </cell>
          <cell r="G148" t="str">
            <v>TCCGATCA</v>
          </cell>
          <cell r="H148" t="str">
            <v>mRNA</v>
          </cell>
          <cell r="I148">
            <v>6</v>
          </cell>
          <cell r="J148">
            <v>6.5</v>
          </cell>
          <cell r="K148" t="str">
            <v>HGC20240624005-0001</v>
          </cell>
        </row>
        <row r="149">
          <cell r="C149" t="str">
            <v>HGC-2448060</v>
          </cell>
          <cell r="D149" t="str">
            <v>L37-2R</v>
          </cell>
          <cell r="E149" t="str">
            <v>IDT158</v>
          </cell>
          <cell r="F149" t="str">
            <v>CTGAAGCT</v>
          </cell>
          <cell r="G149" t="str">
            <v>ACTCTGAG</v>
          </cell>
          <cell r="H149" t="str">
            <v>mRNA</v>
          </cell>
          <cell r="I149">
            <v>6</v>
          </cell>
          <cell r="J149">
            <v>6.5</v>
          </cell>
          <cell r="K149" t="str">
            <v>HGC20240624005-0001</v>
          </cell>
        </row>
        <row r="150">
          <cell r="C150" t="str">
            <v>HGC-2448061</v>
          </cell>
          <cell r="D150" t="str">
            <v>L37-5R</v>
          </cell>
          <cell r="E150" t="str">
            <v>IDT159</v>
          </cell>
          <cell r="F150" t="str">
            <v>TAACGAGG</v>
          </cell>
          <cell r="G150" t="str">
            <v>TAGTCTCG</v>
          </cell>
          <cell r="H150" t="str">
            <v>mRNA</v>
          </cell>
          <cell r="I150">
            <v>6</v>
          </cell>
          <cell r="J150">
            <v>6.5</v>
          </cell>
          <cell r="K150" t="str">
            <v>HGC20240624005-0001</v>
          </cell>
        </row>
        <row r="151">
          <cell r="C151" t="str">
            <v>HGC-2448062</v>
          </cell>
          <cell r="D151" t="str">
            <v>L37-6R</v>
          </cell>
          <cell r="E151" t="str">
            <v>IDT160</v>
          </cell>
          <cell r="F151" t="str">
            <v>TCGTCTCA</v>
          </cell>
          <cell r="G151" t="str">
            <v>AACGCACA</v>
          </cell>
          <cell r="H151" t="str">
            <v>mRNA</v>
          </cell>
          <cell r="I151">
            <v>6</v>
          </cell>
          <cell r="J151">
            <v>6.5</v>
          </cell>
          <cell r="K151" t="str">
            <v>HGC20240624005-0001</v>
          </cell>
        </row>
        <row r="152">
          <cell r="C152" t="str">
            <v>HGC-2448095</v>
          </cell>
          <cell r="D152" t="str">
            <v>L46-12R</v>
          </cell>
          <cell r="E152" t="str">
            <v>IDT290</v>
          </cell>
          <cell r="F152" t="str">
            <v>CTAGGTGA</v>
          </cell>
          <cell r="G152" t="str">
            <v>CTATCCAC</v>
          </cell>
          <cell r="H152" t="str">
            <v>mRNA</v>
          </cell>
          <cell r="I152">
            <v>6</v>
          </cell>
          <cell r="J152">
            <v>6.5</v>
          </cell>
          <cell r="K152" t="str">
            <v>HGC20240624005-0001</v>
          </cell>
        </row>
        <row r="153">
          <cell r="C153" t="str">
            <v>HGC-2448096</v>
          </cell>
          <cell r="D153" t="str">
            <v>L46-3R</v>
          </cell>
          <cell r="E153" t="str">
            <v>IDT291</v>
          </cell>
          <cell r="F153" t="str">
            <v>TCCGTATG</v>
          </cell>
          <cell r="G153" t="str">
            <v>TGGATGGT</v>
          </cell>
          <cell r="H153" t="str">
            <v>mRNA</v>
          </cell>
          <cell r="I153">
            <v>6</v>
          </cell>
          <cell r="J153">
            <v>6.5</v>
          </cell>
          <cell r="K153" t="str">
            <v>HGC20240624005-0001</v>
          </cell>
        </row>
        <row r="154">
          <cell r="C154" t="str">
            <v>HGC-2448097</v>
          </cell>
          <cell r="D154" t="str">
            <v>L46-6R</v>
          </cell>
          <cell r="E154" t="str">
            <v>IDT292</v>
          </cell>
          <cell r="F154" t="str">
            <v>ACGATGAC</v>
          </cell>
          <cell r="G154" t="str">
            <v>CAACCTCT</v>
          </cell>
          <cell r="H154" t="str">
            <v>mRNA</v>
          </cell>
          <cell r="I154">
            <v>6</v>
          </cell>
          <cell r="J154">
            <v>6.5</v>
          </cell>
          <cell r="K154" t="str">
            <v>HGC20240624005-0001</v>
          </cell>
        </row>
        <row r="155">
          <cell r="C155" t="str">
            <v>HGC-2448098</v>
          </cell>
          <cell r="D155" t="str">
            <v>L46-7R</v>
          </cell>
          <cell r="E155" t="str">
            <v>IDT293</v>
          </cell>
          <cell r="F155" t="str">
            <v>GTCGGTAA</v>
          </cell>
          <cell r="G155" t="str">
            <v>GTTGGCAT</v>
          </cell>
          <cell r="H155" t="str">
            <v>mRNA</v>
          </cell>
          <cell r="I155">
            <v>6</v>
          </cell>
          <cell r="J155">
            <v>6.5</v>
          </cell>
          <cell r="K155" t="str">
            <v>HGC20240624005-0001</v>
          </cell>
        </row>
        <row r="156">
          <cell r="C156" t="str">
            <v>HGC-2448099</v>
          </cell>
          <cell r="D156" t="str">
            <v>L46-8R</v>
          </cell>
          <cell r="E156" t="str">
            <v>IDT294</v>
          </cell>
          <cell r="F156" t="str">
            <v>TCGAAGGT</v>
          </cell>
          <cell r="G156" t="str">
            <v>GCCTTAAC</v>
          </cell>
          <cell r="H156" t="str">
            <v>mRNA</v>
          </cell>
          <cell r="I156">
            <v>6</v>
          </cell>
          <cell r="J156">
            <v>6.5</v>
          </cell>
          <cell r="K156" t="str">
            <v>HGC20240624005-0001</v>
          </cell>
        </row>
        <row r="157">
          <cell r="C157" t="str">
            <v>HGC-2448100</v>
          </cell>
          <cell r="D157" t="str">
            <v>L47-10R</v>
          </cell>
          <cell r="E157" t="str">
            <v>IDT295</v>
          </cell>
          <cell r="F157" t="str">
            <v>AGAAGCGT</v>
          </cell>
          <cell r="G157" t="str">
            <v>AGTCAGGT</v>
          </cell>
          <cell r="H157" t="str">
            <v>mRNA</v>
          </cell>
          <cell r="I157">
            <v>6</v>
          </cell>
          <cell r="J157">
            <v>6.5</v>
          </cell>
          <cell r="K157" t="str">
            <v>HGC20240624005-0001</v>
          </cell>
        </row>
        <row r="158">
          <cell r="C158" t="str">
            <v>HGC-2448101</v>
          </cell>
          <cell r="D158" t="str">
            <v>L47-11R</v>
          </cell>
          <cell r="E158" t="str">
            <v>IDT296</v>
          </cell>
          <cell r="F158" t="str">
            <v>CTCTACTC</v>
          </cell>
          <cell r="G158" t="str">
            <v>TAAGTGGC</v>
          </cell>
          <cell r="H158" t="str">
            <v>mRNA</v>
          </cell>
          <cell r="I158">
            <v>6</v>
          </cell>
          <cell r="J158">
            <v>6.5</v>
          </cell>
          <cell r="K158" t="str">
            <v>HGC20240624005-0001</v>
          </cell>
        </row>
        <row r="159">
          <cell r="C159" t="str">
            <v>HGC-2448102</v>
          </cell>
          <cell r="D159" t="str">
            <v>L47-15R</v>
          </cell>
          <cell r="E159" t="str">
            <v>IDT297</v>
          </cell>
          <cell r="F159" t="str">
            <v>CTAGGCAT</v>
          </cell>
          <cell r="G159" t="str">
            <v>ACAGAGGT</v>
          </cell>
          <cell r="H159" t="str">
            <v>mRNA</v>
          </cell>
          <cell r="I159">
            <v>6</v>
          </cell>
          <cell r="J159">
            <v>6.5</v>
          </cell>
          <cell r="K159" t="str">
            <v>HGC20240624005-0001</v>
          </cell>
        </row>
        <row r="160">
          <cell r="C160" t="str">
            <v>HGC-2448103</v>
          </cell>
          <cell r="D160" t="str">
            <v>L47-17R</v>
          </cell>
          <cell r="E160" t="str">
            <v>IDT298</v>
          </cell>
          <cell r="F160" t="str">
            <v>TGGAGTTG</v>
          </cell>
          <cell r="G160" t="str">
            <v>CATGGATC</v>
          </cell>
          <cell r="H160" t="str">
            <v>mRNA</v>
          </cell>
          <cell r="I160">
            <v>6</v>
          </cell>
          <cell r="J160">
            <v>6.5</v>
          </cell>
          <cell r="K160" t="str">
            <v>HGC20240624005-0001</v>
          </cell>
        </row>
        <row r="161">
          <cell r="C161" t="str">
            <v>HGC-2448104</v>
          </cell>
          <cell r="D161" t="str">
            <v>L47-3R</v>
          </cell>
          <cell r="E161" t="str">
            <v>IDT299</v>
          </cell>
          <cell r="F161" t="str">
            <v>GAGGACTT</v>
          </cell>
          <cell r="G161" t="str">
            <v>GTTAAGCG</v>
          </cell>
          <cell r="H161" t="str">
            <v>mRNA</v>
          </cell>
          <cell r="I161">
            <v>6</v>
          </cell>
          <cell r="J161">
            <v>6.5</v>
          </cell>
          <cell r="K161" t="str">
            <v>HGC20240624005-0001</v>
          </cell>
        </row>
        <row r="162">
          <cell r="C162" t="str">
            <v>HGC-2448105</v>
          </cell>
          <cell r="D162" t="str">
            <v>L47-4R</v>
          </cell>
          <cell r="E162" t="str">
            <v>IDT300</v>
          </cell>
          <cell r="F162" t="str">
            <v>CAATCGAC</v>
          </cell>
          <cell r="G162" t="str">
            <v>AGCAGACA</v>
          </cell>
          <cell r="H162" t="str">
            <v>mRNA</v>
          </cell>
          <cell r="I162">
            <v>6</v>
          </cell>
          <cell r="J162">
            <v>6.5</v>
          </cell>
          <cell r="K162" t="str">
            <v>HGC20240624005-0001</v>
          </cell>
        </row>
        <row r="163">
          <cell r="C163" t="str">
            <v>HGC-2448106</v>
          </cell>
          <cell r="D163" t="str">
            <v>L47-9R</v>
          </cell>
          <cell r="E163" t="str">
            <v>IDT301</v>
          </cell>
          <cell r="F163" t="str">
            <v>TCTAACGC</v>
          </cell>
          <cell r="G163" t="str">
            <v>CGCCTTAT</v>
          </cell>
          <cell r="H163" t="str">
            <v>mRNA</v>
          </cell>
          <cell r="I163">
            <v>6</v>
          </cell>
          <cell r="J163">
            <v>6.5</v>
          </cell>
          <cell r="K163" t="str">
            <v>HGC20240624005-0001</v>
          </cell>
        </row>
        <row r="164">
          <cell r="C164" t="str">
            <v>HGC-2448107</v>
          </cell>
          <cell r="D164" t="str">
            <v>L5-1R</v>
          </cell>
          <cell r="E164" t="str">
            <v>IDT302</v>
          </cell>
          <cell r="F164" t="str">
            <v>TCTCGCAA</v>
          </cell>
          <cell r="G164" t="str">
            <v>ACAAGACG</v>
          </cell>
          <cell r="H164" t="str">
            <v>mRNA</v>
          </cell>
          <cell r="I164">
            <v>6</v>
          </cell>
          <cell r="J164">
            <v>6.5</v>
          </cell>
          <cell r="K164" t="str">
            <v>HGC20240624005-0001</v>
          </cell>
        </row>
        <row r="165">
          <cell r="C165" t="str">
            <v>HGC-2448108</v>
          </cell>
          <cell r="D165" t="str">
            <v>L5-10R</v>
          </cell>
          <cell r="E165" t="str">
            <v>IDT303</v>
          </cell>
          <cell r="F165" t="str">
            <v>ATCGGTGT</v>
          </cell>
          <cell r="G165" t="str">
            <v>ACATGGAG</v>
          </cell>
          <cell r="H165" t="str">
            <v>mRNA</v>
          </cell>
          <cell r="I165">
            <v>6</v>
          </cell>
          <cell r="J165">
            <v>6.5</v>
          </cell>
          <cell r="K165" t="str">
            <v>HGC20240624005-0001</v>
          </cell>
        </row>
        <row r="166">
          <cell r="C166" t="str">
            <v>HGC-2448109</v>
          </cell>
          <cell r="D166" t="str">
            <v>L5-11R</v>
          </cell>
          <cell r="E166" t="str">
            <v>IDT304</v>
          </cell>
          <cell r="F166" t="str">
            <v>GAGATACG</v>
          </cell>
          <cell r="G166" t="str">
            <v>CTCGAACA</v>
          </cell>
          <cell r="H166" t="str">
            <v>mRNA</v>
          </cell>
          <cell r="I166">
            <v>6</v>
          </cell>
          <cell r="J166">
            <v>6.5</v>
          </cell>
          <cell r="K166" t="str">
            <v>HGC20240624005-0001</v>
          </cell>
        </row>
        <row r="167">
          <cell r="C167" t="str">
            <v>HGC-2448110</v>
          </cell>
          <cell r="D167" t="str">
            <v>L5-12R</v>
          </cell>
          <cell r="E167" t="str">
            <v>IDT305</v>
          </cell>
          <cell r="F167" t="str">
            <v>GTCTCCTT</v>
          </cell>
          <cell r="G167" t="str">
            <v>TGCTTGCT</v>
          </cell>
          <cell r="H167" t="str">
            <v>mRNA</v>
          </cell>
          <cell r="I167">
            <v>6</v>
          </cell>
          <cell r="J167">
            <v>6.5</v>
          </cell>
          <cell r="K167" t="str">
            <v>HGC20240624005-0001</v>
          </cell>
        </row>
        <row r="168">
          <cell r="C168" t="str">
            <v>HGC-2448111</v>
          </cell>
          <cell r="D168" t="str">
            <v>L5-3R</v>
          </cell>
          <cell r="E168" t="str">
            <v>IDT306</v>
          </cell>
          <cell r="F168" t="str">
            <v>AGTCGACA</v>
          </cell>
          <cell r="G168" t="str">
            <v>CGAATACG</v>
          </cell>
          <cell r="H168" t="str">
            <v>mRNA</v>
          </cell>
          <cell r="I168">
            <v>6</v>
          </cell>
          <cell r="J168">
            <v>6.5</v>
          </cell>
          <cell r="K168" t="str">
            <v>HGC20240624005-0001</v>
          </cell>
        </row>
        <row r="169">
          <cell r="C169" t="str">
            <v>HGC-2448112</v>
          </cell>
          <cell r="D169" t="str">
            <v>L5-7R</v>
          </cell>
          <cell r="E169" t="str">
            <v>IDT307</v>
          </cell>
          <cell r="F169" t="str">
            <v>CGGATTGA</v>
          </cell>
          <cell r="G169" t="str">
            <v>ACGTCGTT</v>
          </cell>
          <cell r="H169" t="str">
            <v>mRNA</v>
          </cell>
          <cell r="I169">
            <v>6</v>
          </cell>
          <cell r="J169">
            <v>6.5</v>
          </cell>
          <cell r="K169" t="str">
            <v>HGC20240624005-0001</v>
          </cell>
        </row>
        <row r="170">
          <cell r="C170" t="str">
            <v>HGC-2448113</v>
          </cell>
          <cell r="D170" t="str">
            <v>L5-8R</v>
          </cell>
          <cell r="E170" t="str">
            <v>IDT308</v>
          </cell>
          <cell r="F170" t="str">
            <v>CACAAGTC</v>
          </cell>
          <cell r="G170" t="str">
            <v>ATCGCAAC</v>
          </cell>
          <cell r="H170" t="str">
            <v>mRNA</v>
          </cell>
          <cell r="I170">
            <v>6</v>
          </cell>
          <cell r="J170">
            <v>6.5</v>
          </cell>
          <cell r="K170" t="str">
            <v>HGC20240624005-0001</v>
          </cell>
        </row>
        <row r="171">
          <cell r="C171" t="str">
            <v>HGC-2448114</v>
          </cell>
          <cell r="D171" t="str">
            <v>L5-9R</v>
          </cell>
          <cell r="E171" t="str">
            <v>IDT309</v>
          </cell>
          <cell r="F171" t="str">
            <v>TACATCGG</v>
          </cell>
          <cell r="G171" t="str">
            <v>TCCACGTT</v>
          </cell>
          <cell r="H171" t="str">
            <v>mRNA</v>
          </cell>
          <cell r="I171">
            <v>6</v>
          </cell>
          <cell r="J171">
            <v>6.5</v>
          </cell>
          <cell r="K171" t="str">
            <v>HGC20240624005-0001</v>
          </cell>
        </row>
        <row r="172">
          <cell r="C172" t="str">
            <v>HGC-2448122</v>
          </cell>
          <cell r="D172" t="str">
            <v>L19-1L</v>
          </cell>
          <cell r="E172" t="str">
            <v>IDT318</v>
          </cell>
          <cell r="F172" t="str">
            <v>AGGTTCGA</v>
          </cell>
          <cell r="G172" t="str">
            <v>AAGCGACT</v>
          </cell>
          <cell r="H172" t="str">
            <v>mRNA</v>
          </cell>
          <cell r="I172">
            <v>6</v>
          </cell>
          <cell r="J172">
            <v>6.5</v>
          </cell>
          <cell r="K172" t="str">
            <v>HGC20240624005-0001</v>
          </cell>
        </row>
        <row r="173">
          <cell r="C173" t="str">
            <v>HGC-2448123</v>
          </cell>
          <cell r="D173" t="str">
            <v>L19-17L</v>
          </cell>
          <cell r="E173" t="str">
            <v>IDT319</v>
          </cell>
          <cell r="F173" t="str">
            <v>GACTATGC</v>
          </cell>
          <cell r="G173" t="str">
            <v>ACTCAACG</v>
          </cell>
          <cell r="H173" t="str">
            <v>mRNA</v>
          </cell>
          <cell r="I173">
            <v>6</v>
          </cell>
          <cell r="J173">
            <v>6.5</v>
          </cell>
          <cell r="K173" t="str">
            <v>HGC20240624005-0001</v>
          </cell>
        </row>
        <row r="174">
          <cell r="C174" t="str">
            <v>HGC-2448125</v>
          </cell>
          <cell r="D174" t="str">
            <v>L19-6L</v>
          </cell>
          <cell r="E174" t="str">
            <v>IDT321</v>
          </cell>
          <cell r="F174" t="str">
            <v>TGTGCGTT</v>
          </cell>
          <cell r="G174" t="str">
            <v>TGAGACGA</v>
          </cell>
          <cell r="H174" t="str">
            <v>mRNA</v>
          </cell>
          <cell r="I174">
            <v>6</v>
          </cell>
          <cell r="J174">
            <v>6.5</v>
          </cell>
          <cell r="K174" t="str">
            <v>HGC20240624005-0001</v>
          </cell>
        </row>
        <row r="175">
          <cell r="C175" t="str">
            <v>HGC-2448126</v>
          </cell>
          <cell r="D175" t="str">
            <v>L20-12L</v>
          </cell>
          <cell r="E175" t="str">
            <v>IDT322</v>
          </cell>
          <cell r="F175" t="str">
            <v>CGAGACTA</v>
          </cell>
          <cell r="G175" t="str">
            <v>CCTCGTTA</v>
          </cell>
          <cell r="H175" t="str">
            <v>mRNA</v>
          </cell>
          <cell r="I175">
            <v>6</v>
          </cell>
          <cell r="J175">
            <v>6.5</v>
          </cell>
          <cell r="K175" t="str">
            <v>HGC20240624005-0001</v>
          </cell>
        </row>
        <row r="176">
          <cell r="C176" t="str">
            <v>HGC-2448127</v>
          </cell>
          <cell r="D176" t="str">
            <v>L20-19L</v>
          </cell>
          <cell r="E176" t="str">
            <v>IDT323</v>
          </cell>
          <cell r="F176" t="str">
            <v>CTCAGAGT</v>
          </cell>
          <cell r="G176" t="str">
            <v>AGCTTCAG</v>
          </cell>
          <cell r="H176" t="str">
            <v>mRNA</v>
          </cell>
          <cell r="I176">
            <v>6</v>
          </cell>
          <cell r="J176">
            <v>6.5</v>
          </cell>
          <cell r="K176" t="str">
            <v>HGC20240624005-0001</v>
          </cell>
        </row>
        <row r="177">
          <cell r="C177" t="str">
            <v>HGC-2448128</v>
          </cell>
          <cell r="D177" t="str">
            <v>L20-4L</v>
          </cell>
          <cell r="E177" t="str">
            <v>IDT324</v>
          </cell>
          <cell r="F177" t="str">
            <v>GCCATAAC</v>
          </cell>
          <cell r="G177" t="str">
            <v>CACGCAAT</v>
          </cell>
          <cell r="H177" t="str">
            <v>mRNA</v>
          </cell>
          <cell r="I177">
            <v>6</v>
          </cell>
          <cell r="J177">
            <v>6.5</v>
          </cell>
          <cell r="K177" t="str">
            <v>HGC20240624005-0001</v>
          </cell>
        </row>
        <row r="178">
          <cell r="C178" t="str">
            <v>HGC-2448129</v>
          </cell>
          <cell r="D178" t="str">
            <v>L20-7L</v>
          </cell>
          <cell r="E178" t="str">
            <v>IDT325</v>
          </cell>
          <cell r="F178" t="str">
            <v>TTACCGAG</v>
          </cell>
          <cell r="G178" t="str">
            <v>AGTCTTGG</v>
          </cell>
          <cell r="H178" t="str">
            <v>mRNA</v>
          </cell>
          <cell r="I178">
            <v>6</v>
          </cell>
          <cell r="J178">
            <v>6.5</v>
          </cell>
          <cell r="K178" t="str">
            <v>HGC20240624005-0001</v>
          </cell>
        </row>
        <row r="179">
          <cell r="C179" t="str">
            <v>HGC-2448130</v>
          </cell>
          <cell r="D179" t="str">
            <v>L2-1L</v>
          </cell>
          <cell r="E179" t="str">
            <v>IDT326</v>
          </cell>
          <cell r="F179" t="str">
            <v>GCTCTGTA</v>
          </cell>
          <cell r="G179" t="str">
            <v>CTTACAGC</v>
          </cell>
          <cell r="H179" t="str">
            <v>mRNA</v>
          </cell>
          <cell r="I179">
            <v>6</v>
          </cell>
          <cell r="J179">
            <v>6.5</v>
          </cell>
          <cell r="K179" t="str">
            <v>HGC20240624005-0001</v>
          </cell>
        </row>
        <row r="180">
          <cell r="C180" t="str">
            <v>HGC-2448131</v>
          </cell>
          <cell r="D180" t="str">
            <v>L2-10L</v>
          </cell>
          <cell r="E180" t="str">
            <v>IDT327</v>
          </cell>
          <cell r="F180" t="str">
            <v>CGTTATGC</v>
          </cell>
          <cell r="G180" t="str">
            <v>AACCACTC</v>
          </cell>
          <cell r="H180" t="str">
            <v>mRNA</v>
          </cell>
          <cell r="I180">
            <v>6</v>
          </cell>
          <cell r="J180">
            <v>6.5</v>
          </cell>
          <cell r="K180" t="str">
            <v>HGC20240624005-0001</v>
          </cell>
        </row>
        <row r="181">
          <cell r="C181" t="str">
            <v>HGC-2448132</v>
          </cell>
          <cell r="D181" t="str">
            <v>L21-11L</v>
          </cell>
          <cell r="E181" t="str">
            <v>IDT328</v>
          </cell>
          <cell r="F181" t="str">
            <v>GTCTGATC</v>
          </cell>
          <cell r="G181" t="str">
            <v>CTCAAGCT</v>
          </cell>
          <cell r="H181" t="str">
            <v>mRNA</v>
          </cell>
          <cell r="I181">
            <v>6</v>
          </cell>
          <cell r="J181">
            <v>6.5</v>
          </cell>
          <cell r="K181" t="str">
            <v>HGC20240624005-0001</v>
          </cell>
        </row>
        <row r="182">
          <cell r="C182" t="str">
            <v>HGC-2448133</v>
          </cell>
          <cell r="D182" t="str">
            <v>L21-16L</v>
          </cell>
          <cell r="E182" t="str">
            <v>IDT329</v>
          </cell>
          <cell r="F182" t="str">
            <v>TAGTTGCG</v>
          </cell>
          <cell r="G182" t="str">
            <v>TCTGTCGT</v>
          </cell>
          <cell r="H182" t="str">
            <v>mRNA</v>
          </cell>
          <cell r="I182">
            <v>6</v>
          </cell>
          <cell r="J182">
            <v>6.5</v>
          </cell>
          <cell r="K182" t="str">
            <v>HGC20240624005-0001</v>
          </cell>
        </row>
        <row r="183">
          <cell r="C183" t="str">
            <v>HGC-2448134</v>
          </cell>
          <cell r="D183" t="str">
            <v>L21-20L</v>
          </cell>
          <cell r="E183" t="str">
            <v>IDT330</v>
          </cell>
          <cell r="F183" t="str">
            <v>TGATCGGA</v>
          </cell>
          <cell r="G183" t="str">
            <v>ACTGCGAA</v>
          </cell>
          <cell r="H183" t="str">
            <v>mRNA</v>
          </cell>
          <cell r="I183">
            <v>6</v>
          </cell>
          <cell r="J183">
            <v>6.5</v>
          </cell>
          <cell r="K183" t="str">
            <v>HGC20240624005-0001</v>
          </cell>
        </row>
        <row r="184">
          <cell r="C184" t="str">
            <v>HGC-2448135</v>
          </cell>
          <cell r="D184" t="str">
            <v>L21-5L</v>
          </cell>
          <cell r="E184" t="str">
            <v>IDT331</v>
          </cell>
          <cell r="F184" t="str">
            <v>CCAAGTTG</v>
          </cell>
          <cell r="G184" t="str">
            <v>TACATCGG</v>
          </cell>
          <cell r="H184" t="str">
            <v>mRNA</v>
          </cell>
          <cell r="I184">
            <v>6</v>
          </cell>
          <cell r="J184">
            <v>6.5</v>
          </cell>
          <cell r="K184" t="str">
            <v>HGC20240624005-0001</v>
          </cell>
        </row>
        <row r="185">
          <cell r="C185" t="str">
            <v>HGC-2448139</v>
          </cell>
          <cell r="D185" t="str">
            <v>L22-9L</v>
          </cell>
          <cell r="E185" t="str">
            <v>IDT335</v>
          </cell>
          <cell r="F185" t="str">
            <v>TTGATCCG</v>
          </cell>
          <cell r="G185" t="str">
            <v>AAGCTCAC</v>
          </cell>
          <cell r="H185" t="str">
            <v>mRNA</v>
          </cell>
          <cell r="I185">
            <v>6</v>
          </cell>
          <cell r="J185">
            <v>6.5</v>
          </cell>
          <cell r="K185" t="str">
            <v>HGC20240624005-0001</v>
          </cell>
        </row>
        <row r="186">
          <cell r="C186" t="str">
            <v>HGC-2448140</v>
          </cell>
          <cell r="D186" t="str">
            <v>L2-4L</v>
          </cell>
          <cell r="E186" t="str">
            <v>IDT336</v>
          </cell>
          <cell r="F186" t="str">
            <v>AGTGCAGT</v>
          </cell>
          <cell r="G186" t="str">
            <v>ATTCCGCT</v>
          </cell>
          <cell r="H186" t="str">
            <v>mRNA</v>
          </cell>
          <cell r="I186">
            <v>6</v>
          </cell>
          <cell r="J186">
            <v>6.5</v>
          </cell>
          <cell r="K186" t="str">
            <v>HGC20240624005-0001</v>
          </cell>
        </row>
        <row r="187">
          <cell r="C187" t="str">
            <v>HGC-2448142</v>
          </cell>
          <cell r="D187" t="str">
            <v>L25-12L</v>
          </cell>
          <cell r="E187" t="str">
            <v>IDT338</v>
          </cell>
          <cell r="F187" t="str">
            <v>CGTACGAA</v>
          </cell>
          <cell r="G187" t="str">
            <v>AGATACGG</v>
          </cell>
          <cell r="H187" t="str">
            <v>mRNA</v>
          </cell>
          <cell r="I187">
            <v>6</v>
          </cell>
          <cell r="J187">
            <v>6.5</v>
          </cell>
          <cell r="K187" t="str">
            <v>HGC20240624005-0001</v>
          </cell>
        </row>
        <row r="188">
          <cell r="C188" t="str">
            <v>HGC-2448143</v>
          </cell>
          <cell r="D188" t="str">
            <v>L25-2L</v>
          </cell>
          <cell r="E188" t="str">
            <v>IDT339</v>
          </cell>
          <cell r="F188" t="str">
            <v>TACCAGGA</v>
          </cell>
          <cell r="G188" t="str">
            <v>GAGAGTAC</v>
          </cell>
          <cell r="H188" t="str">
            <v>mRNA</v>
          </cell>
          <cell r="I188">
            <v>6</v>
          </cell>
          <cell r="J188">
            <v>6.5</v>
          </cell>
          <cell r="K188" t="str">
            <v>HGC20240624005-0001</v>
          </cell>
        </row>
        <row r="189">
          <cell r="C189" t="str">
            <v>HGC-2450986</v>
          </cell>
          <cell r="D189" t="str">
            <v>T32-C</v>
          </cell>
          <cell r="E189" t="str">
            <v>IDT310</v>
          </cell>
          <cell r="F189" t="str">
            <v>AGCTCCTA</v>
          </cell>
          <cell r="G189" t="str">
            <v>CAACACAG</v>
          </cell>
          <cell r="H189" t="str">
            <v>mRNA</v>
          </cell>
          <cell r="I189">
            <v>4.8920000000000003</v>
          </cell>
          <cell r="J189">
            <v>4.8920000000000003</v>
          </cell>
          <cell r="K189" t="str">
            <v>HGC20240305004-0021</v>
          </cell>
        </row>
        <row r="190">
          <cell r="C190" t="str">
            <v>HGC-2450987</v>
          </cell>
          <cell r="D190" t="str">
            <v>T32D1000</v>
          </cell>
          <cell r="E190" t="str">
            <v>IDT311</v>
          </cell>
          <cell r="F190" t="str">
            <v>ACTCGTTG</v>
          </cell>
          <cell r="G190" t="str">
            <v>GCGTATCA</v>
          </cell>
          <cell r="H190" t="str">
            <v>mRNA</v>
          </cell>
          <cell r="I190">
            <v>4.2279999999999998</v>
          </cell>
          <cell r="J190">
            <v>4.2279999999999998</v>
          </cell>
          <cell r="K190" t="str">
            <v>HGC20240305004-0021</v>
          </cell>
        </row>
        <row r="191">
          <cell r="C191" t="str">
            <v>HGC-2450988</v>
          </cell>
          <cell r="D191" t="str">
            <v>WRO-C</v>
          </cell>
          <cell r="E191" t="str">
            <v>IDT312</v>
          </cell>
          <cell r="F191" t="str">
            <v>CTGACACA</v>
          </cell>
          <cell r="G191" t="str">
            <v>AGAAGGAC</v>
          </cell>
          <cell r="H191" t="str">
            <v>mRNA</v>
          </cell>
          <cell r="I191">
            <v>4.8499999999999996</v>
          </cell>
          <cell r="J191">
            <v>4.8499999999999996</v>
          </cell>
          <cell r="K191" t="str">
            <v>HGC20240305004-0021</v>
          </cell>
        </row>
        <row r="192">
          <cell r="C192" t="str">
            <v>HGC-2450989</v>
          </cell>
          <cell r="D192" t="str">
            <v>WRO-D100</v>
          </cell>
          <cell r="E192" t="str">
            <v>IDT313</v>
          </cell>
          <cell r="F192" t="str">
            <v>CAACCTAG</v>
          </cell>
          <cell r="G192" t="str">
            <v>AGGTCTGT</v>
          </cell>
          <cell r="H192" t="str">
            <v>mRNA</v>
          </cell>
          <cell r="I192">
            <v>4.891</v>
          </cell>
          <cell r="J192">
            <v>4.891</v>
          </cell>
          <cell r="K192" t="str">
            <v>HGC20240305004-0021</v>
          </cell>
        </row>
        <row r="193">
          <cell r="C193" t="str">
            <v>HGC-2450990</v>
          </cell>
          <cell r="D193" t="str">
            <v>T32-Vector</v>
          </cell>
          <cell r="E193" t="str">
            <v>IDT314</v>
          </cell>
          <cell r="F193" t="str">
            <v>AAGGACAC</v>
          </cell>
          <cell r="G193" t="str">
            <v>CCACAACA</v>
          </cell>
          <cell r="H193" t="str">
            <v>mRNA</v>
          </cell>
          <cell r="I193">
            <v>5.0199999999999996</v>
          </cell>
          <cell r="J193">
            <v>5.0199999999999996</v>
          </cell>
          <cell r="K193" t="str">
            <v>HGC20240305004-0021</v>
          </cell>
        </row>
        <row r="194">
          <cell r="C194" t="str">
            <v>HGC-2450991</v>
          </cell>
          <cell r="D194" t="str">
            <v>T32-AR</v>
          </cell>
          <cell r="E194" t="str">
            <v>IDT315</v>
          </cell>
          <cell r="F194" t="str">
            <v>TGCAGGTA</v>
          </cell>
          <cell r="G194" t="str">
            <v>TCACGATG</v>
          </cell>
          <cell r="H194" t="str">
            <v>mRNA</v>
          </cell>
          <cell r="I194">
            <v>4.8040000000000003</v>
          </cell>
          <cell r="J194">
            <v>4.8040000000000003</v>
          </cell>
          <cell r="K194" t="str">
            <v>HGC20240305004-0021</v>
          </cell>
        </row>
        <row r="195">
          <cell r="C195" t="str">
            <v>HGC-2450992</v>
          </cell>
          <cell r="D195" t="str">
            <v>T47D</v>
          </cell>
          <cell r="E195" t="str">
            <v>IDT316</v>
          </cell>
          <cell r="F195" t="str">
            <v>ACCTAAGG</v>
          </cell>
          <cell r="G195" t="str">
            <v>ATCTCCTG</v>
          </cell>
          <cell r="H195" t="str">
            <v>mRNA</v>
          </cell>
          <cell r="I195">
            <v>5.0590000000000002</v>
          </cell>
          <cell r="J195">
            <v>5.0590000000000002</v>
          </cell>
          <cell r="K195" t="str">
            <v>HGC20240305004-0021</v>
          </cell>
        </row>
        <row r="196">
          <cell r="C196" t="str">
            <v>HGC-2450993</v>
          </cell>
          <cell r="D196" t="str">
            <v>T47D-crisp</v>
          </cell>
          <cell r="E196" t="str">
            <v>IDT317</v>
          </cell>
          <cell r="F196" t="str">
            <v>AGTCTGTG</v>
          </cell>
          <cell r="G196" t="str">
            <v>CCTACCTA</v>
          </cell>
          <cell r="H196" t="str">
            <v>mRNA</v>
          </cell>
          <cell r="I196">
            <v>4.9980000000000002</v>
          </cell>
          <cell r="J196">
            <v>4.9980000000000002</v>
          </cell>
          <cell r="K196" t="str">
            <v>HGC20240305004-0021</v>
          </cell>
        </row>
        <row r="197">
          <cell r="C197" t="str">
            <v>HGC-2453395</v>
          </cell>
          <cell r="D197" t="str">
            <v>b1</v>
          </cell>
          <cell r="E197" t="str">
            <v>IDT369</v>
          </cell>
          <cell r="F197" t="str">
            <v>AGGCTTCT</v>
          </cell>
          <cell r="G197" t="str">
            <v>GAGCTCTA</v>
          </cell>
          <cell r="H197" t="str">
            <v>mRNA</v>
          </cell>
          <cell r="I197">
            <v>3.3130000000000002</v>
          </cell>
          <cell r="J197">
            <v>3.3130000000000002</v>
          </cell>
          <cell r="K197" t="str">
            <v>HGC20240305004-0025</v>
          </cell>
        </row>
        <row r="198">
          <cell r="C198" t="str">
            <v>HGC-2453396</v>
          </cell>
          <cell r="D198" t="str">
            <v>b2</v>
          </cell>
          <cell r="E198" t="str">
            <v>IDT370</v>
          </cell>
          <cell r="F198" t="str">
            <v>GAATCGTG</v>
          </cell>
          <cell r="G198" t="str">
            <v>TTCACGGA</v>
          </cell>
          <cell r="H198" t="str">
            <v>mRNA</v>
          </cell>
          <cell r="I198">
            <v>2.944</v>
          </cell>
          <cell r="J198">
            <v>2.944</v>
          </cell>
          <cell r="K198" t="str">
            <v>HGC20240305004-0025</v>
          </cell>
        </row>
        <row r="199">
          <cell r="C199" t="str">
            <v>HGC-2453397</v>
          </cell>
          <cell r="D199" t="str">
            <v>b3</v>
          </cell>
          <cell r="E199" t="str">
            <v>IDT371</v>
          </cell>
          <cell r="F199" t="str">
            <v>ACCAGCTT</v>
          </cell>
          <cell r="G199" t="str">
            <v>GTATCGAG</v>
          </cell>
          <cell r="H199" t="str">
            <v>mRNA</v>
          </cell>
          <cell r="I199">
            <v>2.7149999999999999</v>
          </cell>
          <cell r="J199">
            <v>2.7149999999999999</v>
          </cell>
          <cell r="K199" t="str">
            <v>HGC20240305004-0025</v>
          </cell>
        </row>
        <row r="200">
          <cell r="C200" t="str">
            <v>HGC-2453398</v>
          </cell>
          <cell r="D200" t="str">
            <v>L1</v>
          </cell>
          <cell r="E200" t="str">
            <v>IDT372</v>
          </cell>
          <cell r="F200" t="str">
            <v>CTCATTGC</v>
          </cell>
          <cell r="G200" t="str">
            <v>CAGGTAAG</v>
          </cell>
          <cell r="H200" t="str">
            <v>mRNA</v>
          </cell>
          <cell r="I200">
            <v>2.7949999999999999</v>
          </cell>
          <cell r="J200">
            <v>2.7949999999999999</v>
          </cell>
          <cell r="K200" t="str">
            <v>HGC20240305004-0025</v>
          </cell>
        </row>
        <row r="201">
          <cell r="C201" t="str">
            <v>HGC-2453399</v>
          </cell>
          <cell r="D201" t="str">
            <v>L2</v>
          </cell>
          <cell r="E201" t="str">
            <v>IDT373</v>
          </cell>
          <cell r="F201" t="str">
            <v>CGATAGAG</v>
          </cell>
          <cell r="G201" t="str">
            <v>TTCGCCAT</v>
          </cell>
          <cell r="H201" t="str">
            <v>mRNA</v>
          </cell>
          <cell r="I201">
            <v>2.12</v>
          </cell>
          <cell r="J201">
            <v>2.12</v>
          </cell>
          <cell r="K201" t="str">
            <v>HGC20240305004-0025</v>
          </cell>
        </row>
        <row r="202">
          <cell r="C202" t="str">
            <v>HGC-2453400</v>
          </cell>
          <cell r="D202" t="str">
            <v>L3</v>
          </cell>
          <cell r="E202" t="str">
            <v>IDT374</v>
          </cell>
          <cell r="F202" t="str">
            <v>TGGAGAGT</v>
          </cell>
          <cell r="G202" t="str">
            <v>AGGTAGGA</v>
          </cell>
          <cell r="H202" t="str">
            <v>mRNA</v>
          </cell>
          <cell r="I202">
            <v>3.0129999999999999</v>
          </cell>
          <cell r="J202">
            <v>3.0129999999999999</v>
          </cell>
          <cell r="K202" t="str">
            <v>HGC20240305004-0025</v>
          </cell>
        </row>
        <row r="203">
          <cell r="C203" t="str">
            <v>HGC-2453401</v>
          </cell>
          <cell r="D203" t="str">
            <v>93-1</v>
          </cell>
          <cell r="E203" t="str">
            <v>IDT375</v>
          </cell>
          <cell r="F203" t="str">
            <v>GTATGCTG</v>
          </cell>
          <cell r="G203" t="str">
            <v>AACTGAGG</v>
          </cell>
          <cell r="H203" t="str">
            <v>mRNA</v>
          </cell>
          <cell r="I203">
            <v>2.7879999999999998</v>
          </cell>
          <cell r="J203">
            <v>2.7879999999999998</v>
          </cell>
          <cell r="K203" t="str">
            <v>HGC20240305004-0025</v>
          </cell>
        </row>
        <row r="204">
          <cell r="C204" t="str">
            <v>HGC-2453402</v>
          </cell>
          <cell r="D204" t="str">
            <v>93-2</v>
          </cell>
          <cell r="E204" t="str">
            <v>IDT376</v>
          </cell>
          <cell r="F204" t="str">
            <v>CTGGAGTA</v>
          </cell>
          <cell r="G204" t="str">
            <v>CCAAGTAG</v>
          </cell>
          <cell r="H204" t="str">
            <v>mRNA</v>
          </cell>
          <cell r="I204">
            <v>3.9529999999999998</v>
          </cell>
          <cell r="J204">
            <v>3.9529999999999998</v>
          </cell>
          <cell r="K204" t="str">
            <v>HGC20240305004-0025</v>
          </cell>
        </row>
        <row r="205">
          <cell r="C205" t="str">
            <v>HGC-2453403</v>
          </cell>
          <cell r="D205" t="str">
            <v>93-3</v>
          </cell>
          <cell r="E205" t="str">
            <v>IDT377</v>
          </cell>
          <cell r="F205" t="str">
            <v>AATGCCTC</v>
          </cell>
          <cell r="G205" t="str">
            <v>TGCTGTGA</v>
          </cell>
          <cell r="H205" t="str">
            <v>mRNA</v>
          </cell>
          <cell r="I205">
            <v>1.7569999999999999</v>
          </cell>
          <cell r="J205">
            <v>1.7569999999999999</v>
          </cell>
          <cell r="K205" t="str">
            <v>HGC20240305004-0025</v>
          </cell>
        </row>
        <row r="206">
          <cell r="C206" t="str">
            <v>HGC-2455793</v>
          </cell>
          <cell r="D206" t="str">
            <v>123</v>
          </cell>
          <cell r="E206" t="str">
            <v>IDT364</v>
          </cell>
          <cell r="F206" t="str">
            <v>TAAGTGGC</v>
          </cell>
          <cell r="G206" t="str">
            <v>ATCCGTTG</v>
          </cell>
          <cell r="H206" t="str">
            <v>mRNA</v>
          </cell>
          <cell r="I206">
            <v>2.89</v>
          </cell>
          <cell r="J206">
            <v>2.89</v>
          </cell>
          <cell r="K206" t="str">
            <v>HGC20240305004-0024</v>
          </cell>
        </row>
        <row r="207">
          <cell r="C207" t="str">
            <v>HGC-2455794</v>
          </cell>
          <cell r="D207" t="str">
            <v>184</v>
          </cell>
          <cell r="E207" t="str">
            <v>IDT365</v>
          </cell>
          <cell r="F207" t="str">
            <v>TGTGAAGC</v>
          </cell>
          <cell r="G207" t="str">
            <v>TCTAGGAG</v>
          </cell>
          <cell r="H207" t="str">
            <v>mRNA</v>
          </cell>
          <cell r="I207">
            <v>2.7269999999999999</v>
          </cell>
          <cell r="J207">
            <v>2.7269999999999999</v>
          </cell>
          <cell r="K207" t="str">
            <v>HGC20240305004-0024</v>
          </cell>
        </row>
        <row r="208">
          <cell r="C208" t="str">
            <v>HGC-2455795</v>
          </cell>
          <cell r="D208" t="str">
            <v>ZC</v>
          </cell>
          <cell r="E208" t="str">
            <v>IDT366</v>
          </cell>
          <cell r="F208" t="str">
            <v>CATTCGGT</v>
          </cell>
          <cell r="G208" t="str">
            <v>AATTCCGG</v>
          </cell>
          <cell r="H208" t="str">
            <v>mRNA</v>
          </cell>
          <cell r="I208">
            <v>2.387</v>
          </cell>
          <cell r="J208">
            <v>2.387</v>
          </cell>
          <cell r="K208" t="str">
            <v>HGC20240305004-0024</v>
          </cell>
        </row>
        <row r="209">
          <cell r="C209" t="str">
            <v>HGC-2455796</v>
          </cell>
          <cell r="D209" t="str">
            <v>ZC1</v>
          </cell>
          <cell r="E209" t="str">
            <v>IDT367</v>
          </cell>
          <cell r="F209" t="str">
            <v>TTGGTGAG</v>
          </cell>
          <cell r="G209" t="str">
            <v>CACGTCTA</v>
          </cell>
          <cell r="H209" t="str">
            <v>mRNA</v>
          </cell>
          <cell r="I209">
            <v>2.63</v>
          </cell>
          <cell r="J209">
            <v>2.63</v>
          </cell>
          <cell r="K209" t="str">
            <v>HGC20240305004-0024</v>
          </cell>
        </row>
        <row r="210">
          <cell r="C210" t="str">
            <v>HGC-2455797</v>
          </cell>
          <cell r="D210" t="str">
            <v>134</v>
          </cell>
          <cell r="E210" t="str">
            <v>IDT368</v>
          </cell>
          <cell r="F210" t="str">
            <v>CAGTTCTG</v>
          </cell>
          <cell r="G210" t="str">
            <v>GTCAGTCA</v>
          </cell>
          <cell r="H210" t="str">
            <v>mRNA</v>
          </cell>
          <cell r="I210">
            <v>2.1669999999999998</v>
          </cell>
          <cell r="J210">
            <v>2.1669999999999998</v>
          </cell>
          <cell r="K210" t="str">
            <v>HGC20240305004-0024</v>
          </cell>
        </row>
        <row r="211">
          <cell r="C211" t="str">
            <v>HGC-Lib-2455883</v>
          </cell>
          <cell r="D211" t="str">
            <v>GDM20240711-1</v>
          </cell>
          <cell r="F211" t="str">
            <v>ATCTGGGG</v>
          </cell>
          <cell r="G211" t="str">
            <v>ATAGAGAG</v>
          </cell>
          <cell r="H211" t="str">
            <v>全基因组文库</v>
          </cell>
          <cell r="I211">
            <v>22</v>
          </cell>
          <cell r="J211">
            <v>22</v>
          </cell>
          <cell r="K211" t="str">
            <v>HGC20230511002-0078</v>
          </cell>
        </row>
        <row r="212">
          <cell r="C212" t="str">
            <v>HGC-Lib-2452678</v>
          </cell>
          <cell r="D212" t="str">
            <v>NPM8-1</v>
          </cell>
          <cell r="F212" t="str">
            <v>GAGATTCC</v>
          </cell>
          <cell r="G212" t="str">
            <v>AGGCTATA</v>
          </cell>
          <cell r="H212" t="str">
            <v>mRNA文库</v>
          </cell>
          <cell r="I212">
            <v>1</v>
          </cell>
          <cell r="J212">
            <v>1</v>
          </cell>
          <cell r="K212" t="str">
            <v>HGC20240702005-0004</v>
          </cell>
        </row>
        <row r="213">
          <cell r="C213" t="str">
            <v>HGC-Lib-2452676</v>
          </cell>
          <cell r="D213" t="str">
            <v>NPM4-2</v>
          </cell>
          <cell r="F213" t="str">
            <v>TCCGGAGA</v>
          </cell>
          <cell r="G213" t="str">
            <v>AGGCTATA</v>
          </cell>
          <cell r="H213" t="str">
            <v>mRNA文库</v>
          </cell>
          <cell r="I213">
            <v>1</v>
          </cell>
          <cell r="J213">
            <v>1</v>
          </cell>
          <cell r="K213" t="str">
            <v>HGC20240702005-0004</v>
          </cell>
        </row>
        <row r="214">
          <cell r="C214" t="str">
            <v>HGC-Lib-2453306</v>
          </cell>
          <cell r="D214" t="str">
            <v>CON</v>
          </cell>
          <cell r="F214" t="str">
            <v>ACTGATCG</v>
          </cell>
          <cell r="G214" t="str">
            <v>ATAGCCTT</v>
          </cell>
          <cell r="H214" t="str">
            <v>全基因组文库</v>
          </cell>
          <cell r="I214">
            <v>2</v>
          </cell>
          <cell r="J214">
            <v>2</v>
          </cell>
          <cell r="K214" t="str">
            <v>HGC20221008004-0062</v>
          </cell>
        </row>
        <row r="215">
          <cell r="C215" t="str">
            <v>HGC-Lib-2453307</v>
          </cell>
          <cell r="D215" t="str">
            <v>1TF</v>
          </cell>
          <cell r="F215" t="str">
            <v>TAGCTGCA</v>
          </cell>
          <cell r="G215" t="str">
            <v>TAAGGCTC</v>
          </cell>
          <cell r="H215" t="str">
            <v>全基因组文库</v>
          </cell>
          <cell r="I215">
            <v>2</v>
          </cell>
          <cell r="J215">
            <v>2</v>
          </cell>
          <cell r="K215" t="str">
            <v>HGC20221008004-0062</v>
          </cell>
        </row>
        <row r="216">
          <cell r="C216" t="str">
            <v>HGC-Lib-2453308</v>
          </cell>
          <cell r="D216" t="str">
            <v>2TF</v>
          </cell>
          <cell r="F216" t="str">
            <v>GACGTCGA</v>
          </cell>
          <cell r="G216" t="str">
            <v>TCGCATAA</v>
          </cell>
          <cell r="H216" t="str">
            <v>全基因组文库</v>
          </cell>
          <cell r="I216">
            <v>2</v>
          </cell>
          <cell r="J216">
            <v>2</v>
          </cell>
          <cell r="K216" t="str">
            <v>HGC20221008004-0062</v>
          </cell>
        </row>
        <row r="217">
          <cell r="C217" t="str">
            <v>HGC-Lib-2458706</v>
          </cell>
          <cell r="D217" t="str">
            <v>NGS20240724-2</v>
          </cell>
          <cell r="F217" t="str">
            <v>TAACTTGGTC</v>
          </cell>
          <cell r="G217" t="str">
            <v>GATTCACGAC</v>
          </cell>
          <cell r="H217" t="str">
            <v>多重PCR产物文库</v>
          </cell>
          <cell r="I217">
            <v>1</v>
          </cell>
          <cell r="J217">
            <v>1</v>
          </cell>
          <cell r="K217" t="str">
            <v>HGC20231114014-0109</v>
          </cell>
        </row>
        <row r="220">
          <cell r="C220" t="str">
            <v>HaploX编号</v>
          </cell>
          <cell r="D220" t="str">
            <v>样本名称</v>
          </cell>
          <cell r="E220" t="str">
            <v>Index序号</v>
          </cell>
          <cell r="F220" t="str">
            <v>i7序列</v>
          </cell>
          <cell r="G220" t="str">
            <v>i5序列</v>
          </cell>
          <cell r="H220" t="str">
            <v>文库类型</v>
          </cell>
          <cell r="I220" t="str">
            <v>数据量G</v>
          </cell>
          <cell r="J220" t="str">
            <v>预分配数据量G</v>
          </cell>
          <cell r="K220" t="str">
            <v>合同编号</v>
          </cell>
        </row>
        <row r="221">
          <cell r="C221" t="str">
            <v>HGC-POOL-2457759</v>
          </cell>
          <cell r="D221" t="str">
            <v>ABA-36h</v>
          </cell>
          <cell r="F221" t="str">
            <v>GGACTCCT</v>
          </cell>
          <cell r="G221" t="str">
            <v>ATAGAGAG</v>
          </cell>
          <cell r="H221" t="str">
            <v>mRNA文库</v>
          </cell>
          <cell r="I221">
            <v>45</v>
          </cell>
          <cell r="J221">
            <v>45</v>
          </cell>
          <cell r="K221" t="str">
            <v>HGC20240410002-0036</v>
          </cell>
        </row>
        <row r="222">
          <cell r="D222" t="str">
            <v>ABA-36h</v>
          </cell>
          <cell r="F222" t="str">
            <v>CGTACTAG</v>
          </cell>
          <cell r="G222" t="str">
            <v>ATAGAGAG</v>
          </cell>
          <cell r="H222" t="str">
            <v>mRNA文库</v>
          </cell>
          <cell r="K222" t="str">
            <v>HGC20240410002-0036</v>
          </cell>
        </row>
        <row r="223">
          <cell r="D223" t="str">
            <v>ABA-36h</v>
          </cell>
          <cell r="F223" t="str">
            <v>AGGCAGAA</v>
          </cell>
          <cell r="G223" t="str">
            <v>ATAGAGAG</v>
          </cell>
          <cell r="H223" t="str">
            <v>mRNA文库</v>
          </cell>
          <cell r="K223" t="str">
            <v>HGC20240410002-0036</v>
          </cell>
        </row>
        <row r="224">
          <cell r="D224" t="str">
            <v>ABA-36h</v>
          </cell>
          <cell r="F224" t="str">
            <v>GGACTCCT</v>
          </cell>
          <cell r="G224" t="str">
            <v>AGAGGATA</v>
          </cell>
          <cell r="H224" t="str">
            <v>mRNA文库</v>
          </cell>
          <cell r="K224" t="str">
            <v>HGC20240410002-0036</v>
          </cell>
        </row>
        <row r="225">
          <cell r="D225" t="str">
            <v>ABA-36h</v>
          </cell>
          <cell r="F225" t="str">
            <v>CGTACTAG</v>
          </cell>
          <cell r="G225" t="str">
            <v>AGAGGATA</v>
          </cell>
          <cell r="H225" t="str">
            <v>mRNA文库</v>
          </cell>
          <cell r="K225" t="str">
            <v>HGC20240410002-0036</v>
          </cell>
        </row>
        <row r="226">
          <cell r="D226" t="str">
            <v>ABA-36h</v>
          </cell>
          <cell r="F226" t="str">
            <v>AGGCAGAA</v>
          </cell>
          <cell r="G226" t="str">
            <v>AGAGGATA</v>
          </cell>
          <cell r="H226" t="str">
            <v>mRNA文库</v>
          </cell>
          <cell r="K226" t="str">
            <v>HGC20240410002-0036</v>
          </cell>
        </row>
        <row r="227">
          <cell r="D227" t="str">
            <v>ABA-36h</v>
          </cell>
          <cell r="F227" t="str">
            <v>GGACTCCT</v>
          </cell>
          <cell r="G227" t="str">
            <v>CTCCTTAC</v>
          </cell>
          <cell r="H227" t="str">
            <v>mRNA文库</v>
          </cell>
          <cell r="K227" t="str">
            <v>HGC20240410002-0036</v>
          </cell>
        </row>
        <row r="228">
          <cell r="D228" t="str">
            <v>ABA-36h</v>
          </cell>
          <cell r="F228" t="str">
            <v>CGTACTAG</v>
          </cell>
          <cell r="G228" t="str">
            <v>CTCCTTAC</v>
          </cell>
          <cell r="H228" t="str">
            <v>mRNA文库</v>
          </cell>
          <cell r="K228" t="str">
            <v>HGC20240410002-0036</v>
          </cell>
        </row>
        <row r="229">
          <cell r="D229" t="str">
            <v>ABA-36h</v>
          </cell>
          <cell r="F229" t="str">
            <v>AGGCAGAA</v>
          </cell>
          <cell r="G229" t="str">
            <v>CTCCTTAC</v>
          </cell>
          <cell r="H229" t="str">
            <v>mRNA文库</v>
          </cell>
          <cell r="K229" t="str">
            <v>HGC20240410002-0036</v>
          </cell>
        </row>
        <row r="230">
          <cell r="D230" t="str">
            <v>ABA-36h</v>
          </cell>
          <cell r="F230" t="str">
            <v>GGACTCCT</v>
          </cell>
          <cell r="G230" t="str">
            <v>TATGCAGT</v>
          </cell>
          <cell r="H230" t="str">
            <v>mRNA文库</v>
          </cell>
          <cell r="K230" t="str">
            <v>HGC20240410002-0036</v>
          </cell>
        </row>
        <row r="231">
          <cell r="D231" t="str">
            <v>ABA-36h</v>
          </cell>
          <cell r="F231" t="str">
            <v>CGTACTAG</v>
          </cell>
          <cell r="G231" t="str">
            <v>TATGCAGT</v>
          </cell>
          <cell r="H231" t="str">
            <v>mRNA文库</v>
          </cell>
          <cell r="K231" t="str">
            <v>HGC20240410002-0036</v>
          </cell>
        </row>
        <row r="232">
          <cell r="D232" t="str">
            <v>ABA-36h</v>
          </cell>
          <cell r="F232" t="str">
            <v>AGGCAGAA</v>
          </cell>
          <cell r="G232" t="str">
            <v>TATGCAGT</v>
          </cell>
          <cell r="H232" t="str">
            <v>mRNA文库</v>
          </cell>
          <cell r="K232" t="str">
            <v>HGC20240410002-0036</v>
          </cell>
        </row>
        <row r="233">
          <cell r="D233" t="str">
            <v>ABA-36h</v>
          </cell>
          <cell r="F233" t="str">
            <v>GGACTCCT</v>
          </cell>
          <cell r="G233" t="str">
            <v>AGGCTTAG</v>
          </cell>
          <cell r="H233" t="str">
            <v>mRNA文库</v>
          </cell>
          <cell r="K233" t="str">
            <v>HGC20240410002-0036</v>
          </cell>
        </row>
        <row r="234">
          <cell r="D234" t="str">
            <v>ABA-36h</v>
          </cell>
          <cell r="F234" t="str">
            <v>CGTACTAG</v>
          </cell>
          <cell r="G234" t="str">
            <v>AGGCTTAG</v>
          </cell>
          <cell r="H234" t="str">
            <v>mRNA文库</v>
          </cell>
          <cell r="K234" t="str">
            <v>HGC20240410002-0036</v>
          </cell>
        </row>
        <row r="235">
          <cell r="D235" t="str">
            <v>ABA-36h</v>
          </cell>
          <cell r="F235" t="str">
            <v>AGGCAGAA</v>
          </cell>
          <cell r="G235" t="str">
            <v>AGGCTTAG</v>
          </cell>
          <cell r="H235" t="str">
            <v>mRNA文库</v>
          </cell>
          <cell r="K235" t="str">
            <v>HGC20240410002-0036</v>
          </cell>
        </row>
        <row r="236">
          <cell r="C236" t="str">
            <v>HGC-2455798</v>
          </cell>
          <cell r="D236" t="str">
            <v>196</v>
          </cell>
          <cell r="E236" t="str">
            <v>IDT369</v>
          </cell>
          <cell r="F236" t="str">
            <v>AGGCTTCT</v>
          </cell>
          <cell r="G236" t="str">
            <v>GAGCTCTA</v>
          </cell>
          <cell r="H236" t="str">
            <v>mRNA</v>
          </cell>
          <cell r="I236">
            <v>1.8460000000000001</v>
          </cell>
          <cell r="J236">
            <v>1.8460000000000001</v>
          </cell>
          <cell r="K236" t="str">
            <v>HGC20240305004-0024</v>
          </cell>
        </row>
        <row r="237">
          <cell r="C237" t="str">
            <v>HGC-2447312-1</v>
          </cell>
          <cell r="D237" t="str">
            <v>P0</v>
          </cell>
          <cell r="E237" t="str">
            <v>IDT065</v>
          </cell>
          <cell r="F237" t="str">
            <v>CGCTCTAT</v>
          </cell>
          <cell r="G237" t="str">
            <v>TTGCAACG</v>
          </cell>
          <cell r="H237" t="str">
            <v>WGS</v>
          </cell>
          <cell r="I237">
            <v>1</v>
          </cell>
          <cell r="J237">
            <v>1</v>
          </cell>
          <cell r="K237" t="str">
            <v>HGC20230605001-0018</v>
          </cell>
        </row>
        <row r="238">
          <cell r="C238" t="str">
            <v>HGC-2447313-1</v>
          </cell>
          <cell r="D238" t="str">
            <v>PN</v>
          </cell>
          <cell r="E238" t="str">
            <v>IDT066</v>
          </cell>
          <cell r="F238" t="str">
            <v>TATCGGTC</v>
          </cell>
          <cell r="G238" t="str">
            <v>TACCGGAT</v>
          </cell>
          <cell r="H238" t="str">
            <v>WGS</v>
          </cell>
          <cell r="I238">
            <v>1</v>
          </cell>
          <cell r="J238">
            <v>1</v>
          </cell>
          <cell r="K238" t="str">
            <v>HGC20230605001-0018</v>
          </cell>
        </row>
        <row r="239">
          <cell r="C239" t="str">
            <v>HGC-2447315-1</v>
          </cell>
          <cell r="D239" t="str">
            <v>Phigh</v>
          </cell>
          <cell r="E239" t="str">
            <v>IDT068</v>
          </cell>
          <cell r="F239" t="str">
            <v>ACGTTCAG</v>
          </cell>
          <cell r="G239" t="str">
            <v>AGTTGTGC</v>
          </cell>
          <cell r="H239" t="str">
            <v>WGS</v>
          </cell>
          <cell r="I239">
            <v>1</v>
          </cell>
          <cell r="J239">
            <v>1</v>
          </cell>
          <cell r="K239" t="str">
            <v>HGC20230605001-0018</v>
          </cell>
        </row>
        <row r="240">
          <cell r="C240" t="str">
            <v>HGC-2453353</v>
          </cell>
          <cell r="D240" t="str">
            <v>FFPE-WGS-3m-one</v>
          </cell>
          <cell r="F240" t="str">
            <v>GTCAGTTG</v>
          </cell>
          <cell r="G240" t="str">
            <v>CGATTGGA</v>
          </cell>
          <cell r="H240" t="str">
            <v>WGS</v>
          </cell>
          <cell r="I240">
            <v>50</v>
          </cell>
          <cell r="J240">
            <v>50</v>
          </cell>
          <cell r="K240" t="str">
            <v>HGC20240509008-0004</v>
          </cell>
        </row>
        <row r="241">
          <cell r="C241" t="str">
            <v>HGC-2453354</v>
          </cell>
          <cell r="D241" t="str">
            <v>Fresh-WGS-two</v>
          </cell>
          <cell r="F241" t="str">
            <v>GTAGAGCA</v>
          </cell>
          <cell r="G241" t="str">
            <v>TATGACCG</v>
          </cell>
          <cell r="H241" t="str">
            <v>WGS</v>
          </cell>
          <cell r="I241">
            <v>70</v>
          </cell>
          <cell r="J241">
            <v>70</v>
          </cell>
          <cell r="K241" t="str">
            <v>HGC20240509008-0004</v>
          </cell>
        </row>
        <row r="242">
          <cell r="C242" t="str">
            <v>HGC-2453355</v>
          </cell>
          <cell r="D242" t="str">
            <v>FFPE-WGS-3w-two</v>
          </cell>
          <cell r="F242" t="str">
            <v>ACGTGATG</v>
          </cell>
          <cell r="G242" t="str">
            <v>GATAGCCA</v>
          </cell>
          <cell r="H242" t="str">
            <v>WGS</v>
          </cell>
          <cell r="I242">
            <v>15</v>
          </cell>
          <cell r="J242">
            <v>15</v>
          </cell>
          <cell r="K242" t="str">
            <v>HGC20240509008-0004</v>
          </cell>
        </row>
        <row r="243">
          <cell r="C243" t="str">
            <v>HGC-2453356</v>
          </cell>
          <cell r="D243" t="str">
            <v>Fresh-WGS-three</v>
          </cell>
          <cell r="F243" t="str">
            <v>TAAGTGGC</v>
          </cell>
          <cell r="G243" t="str">
            <v>ATCCGTTG</v>
          </cell>
          <cell r="H243" t="str">
            <v>WGS</v>
          </cell>
          <cell r="I243">
            <v>31</v>
          </cell>
          <cell r="J243">
            <v>31</v>
          </cell>
          <cell r="K243" t="str">
            <v>HGC20240509008-0004</v>
          </cell>
        </row>
        <row r="244">
          <cell r="C244" t="str">
            <v>HGC-2453357</v>
          </cell>
          <cell r="D244" t="str">
            <v>FFPE-WGS-3w-three</v>
          </cell>
          <cell r="F244" t="str">
            <v>TGTGAAGC</v>
          </cell>
          <cell r="G244" t="str">
            <v>TCTAGGAG</v>
          </cell>
          <cell r="H244" t="str">
            <v>WGS</v>
          </cell>
          <cell r="I244">
            <v>25</v>
          </cell>
          <cell r="J244">
            <v>25</v>
          </cell>
          <cell r="K244" t="str">
            <v>HGC20240509008-0004</v>
          </cell>
        </row>
        <row r="245">
          <cell r="C245" t="str">
            <v>HGC-2453358</v>
          </cell>
          <cell r="D245" t="str">
            <v>Blood-WGS-two</v>
          </cell>
          <cell r="F245" t="str">
            <v>CATTCGGT</v>
          </cell>
          <cell r="G245" t="str">
            <v>AATTCCGG</v>
          </cell>
          <cell r="H245" t="str">
            <v>WGS</v>
          </cell>
          <cell r="I245">
            <v>33</v>
          </cell>
          <cell r="J245">
            <v>33</v>
          </cell>
          <cell r="K245" t="str">
            <v>HGC20240509008-0005</v>
          </cell>
        </row>
        <row r="246">
          <cell r="C246" t="str">
            <v>HGC-2453359</v>
          </cell>
          <cell r="D246" t="str">
            <v>Blood-WGS-three</v>
          </cell>
          <cell r="F246" t="str">
            <v>TTGGTGAG</v>
          </cell>
          <cell r="G246" t="str">
            <v>CACGTCTA</v>
          </cell>
          <cell r="H246" t="str">
            <v>WGS</v>
          </cell>
          <cell r="I246">
            <v>37</v>
          </cell>
          <cell r="J246">
            <v>37</v>
          </cell>
          <cell r="K246" t="str">
            <v>HGC20240509008-0005</v>
          </cell>
        </row>
        <row r="247">
          <cell r="C247" t="str">
            <v>HGC-Lib-2455697</v>
          </cell>
          <cell r="D247" t="str">
            <v>AKI</v>
          </cell>
          <cell r="F247" t="str">
            <v>CGAGGCTG</v>
          </cell>
          <cell r="G247" t="str">
            <v>CTCCTTAC</v>
          </cell>
          <cell r="H247" t="str">
            <v>mRNA文库</v>
          </cell>
          <cell r="I247">
            <v>1.5</v>
          </cell>
          <cell r="J247">
            <v>1.5</v>
          </cell>
          <cell r="K247" t="str">
            <v>HGC20240702005-0011</v>
          </cell>
        </row>
        <row r="248">
          <cell r="C248" t="str">
            <v>HGC-Lib-2455702</v>
          </cell>
          <cell r="D248" t="str">
            <v>YM-V1</v>
          </cell>
          <cell r="F248" t="str">
            <v>GAGATTCC</v>
          </cell>
          <cell r="G248" t="str">
            <v>AGGCTATA</v>
          </cell>
          <cell r="H248" t="str">
            <v>mRNA文库</v>
          </cell>
          <cell r="I248">
            <v>2.5</v>
          </cell>
          <cell r="J248">
            <v>2.5</v>
          </cell>
          <cell r="K248" t="str">
            <v>HGC20240702005-0011</v>
          </cell>
        </row>
        <row r="249">
          <cell r="C249" t="str">
            <v>HGC-Lib-2455703</v>
          </cell>
          <cell r="D249" t="str">
            <v>YM-V2</v>
          </cell>
          <cell r="F249" t="str">
            <v>ATTCAGAA</v>
          </cell>
          <cell r="G249" t="str">
            <v>AGGCTATA</v>
          </cell>
          <cell r="H249" t="str">
            <v>mRNA文库</v>
          </cell>
          <cell r="I249">
            <v>1</v>
          </cell>
          <cell r="J249">
            <v>1</v>
          </cell>
          <cell r="K249" t="str">
            <v>HGC20240702005-0011</v>
          </cell>
        </row>
        <row r="250">
          <cell r="C250" t="str">
            <v>HGC-Lib-2455705</v>
          </cell>
          <cell r="D250" t="str">
            <v>YL-V1</v>
          </cell>
          <cell r="F250" t="str">
            <v>TAATGCGC</v>
          </cell>
          <cell r="G250" t="str">
            <v>AGGCTATA</v>
          </cell>
          <cell r="H250" t="str">
            <v>mRNA文库</v>
          </cell>
          <cell r="I250">
            <v>1</v>
          </cell>
          <cell r="J250">
            <v>1</v>
          </cell>
          <cell r="K250" t="str">
            <v>HGC20240702005-0011</v>
          </cell>
        </row>
        <row r="251">
          <cell r="C251" t="str">
            <v>HGC-Lib-2455710</v>
          </cell>
          <cell r="D251" t="str">
            <v>V3</v>
          </cell>
          <cell r="F251" t="str">
            <v>GAGATTCC</v>
          </cell>
          <cell r="G251" t="str">
            <v>GCCTCTAT</v>
          </cell>
          <cell r="H251" t="str">
            <v>mRNA文库</v>
          </cell>
          <cell r="I251">
            <v>1</v>
          </cell>
          <cell r="J251">
            <v>1</v>
          </cell>
          <cell r="K251" t="str">
            <v>HGC20240702005-0011</v>
          </cell>
        </row>
        <row r="252">
          <cell r="C252" t="str">
            <v>HGC-Lib-2455713</v>
          </cell>
          <cell r="D252" t="str">
            <v>CELL3</v>
          </cell>
          <cell r="F252" t="str">
            <v>TAATGCGC</v>
          </cell>
          <cell r="G252" t="str">
            <v>GCCTCTAT</v>
          </cell>
          <cell r="H252" t="str">
            <v>mRNA文库</v>
          </cell>
          <cell r="I252">
            <v>0.5</v>
          </cell>
          <cell r="J252">
            <v>0.5</v>
          </cell>
          <cell r="K252" t="str">
            <v>HGC20240702005-0011</v>
          </cell>
        </row>
        <row r="253">
          <cell r="C253" t="str">
            <v>HGC-Lib-2455714</v>
          </cell>
          <cell r="D253" t="str">
            <v>Y1</v>
          </cell>
          <cell r="F253" t="str">
            <v>CGGCTATG</v>
          </cell>
          <cell r="G253" t="str">
            <v>GCCTCTAT</v>
          </cell>
          <cell r="H253" t="str">
            <v>mRNA文库</v>
          </cell>
          <cell r="I253">
            <v>0.5</v>
          </cell>
          <cell r="J253">
            <v>0.5</v>
          </cell>
          <cell r="K253" t="str">
            <v>HGC20240702005-0011</v>
          </cell>
        </row>
        <row r="254">
          <cell r="C254" t="str">
            <v>HGC-Lib-2455715</v>
          </cell>
          <cell r="D254" t="str">
            <v>Y2</v>
          </cell>
          <cell r="F254" t="str">
            <v>ATTACTCG</v>
          </cell>
          <cell r="G254" t="str">
            <v>AGGATAGG</v>
          </cell>
          <cell r="H254" t="str">
            <v>mRNA文库</v>
          </cell>
          <cell r="I254">
            <v>1</v>
          </cell>
          <cell r="J254">
            <v>1</v>
          </cell>
          <cell r="K254" t="str">
            <v>HGC20240702005-0011</v>
          </cell>
        </row>
        <row r="255">
          <cell r="C255" t="str">
            <v>HGC-Lib-2455716</v>
          </cell>
          <cell r="D255" t="str">
            <v>Y3</v>
          </cell>
          <cell r="F255" t="str">
            <v>TCCGGAGA</v>
          </cell>
          <cell r="G255" t="str">
            <v>AGGATAGG</v>
          </cell>
          <cell r="H255" t="str">
            <v>mRNA文库</v>
          </cell>
          <cell r="I255">
            <v>1</v>
          </cell>
          <cell r="J255">
            <v>1</v>
          </cell>
          <cell r="K255" t="str">
            <v>HGC20240702005-0011</v>
          </cell>
        </row>
        <row r="256">
          <cell r="C256" t="str">
            <v>HGC-Lib-2455699</v>
          </cell>
          <cell r="D256" t="str">
            <v>YH-V1</v>
          </cell>
          <cell r="F256" t="str">
            <v>ATTACTCG</v>
          </cell>
          <cell r="G256" t="str">
            <v>AGGCTATA</v>
          </cell>
          <cell r="H256" t="str">
            <v>mRNA文库</v>
          </cell>
          <cell r="I256">
            <v>1.5</v>
          </cell>
          <cell r="J256">
            <v>1.5</v>
          </cell>
          <cell r="K256" t="str">
            <v>HGC20240702005-0011</v>
          </cell>
        </row>
        <row r="257">
          <cell r="C257" t="str">
            <v>HGC-Lib-2455701</v>
          </cell>
          <cell r="D257" t="str">
            <v>YH-V3</v>
          </cell>
          <cell r="F257" t="str">
            <v>CGCTCATT</v>
          </cell>
          <cell r="G257" t="str">
            <v>AGGCTATA</v>
          </cell>
          <cell r="H257" t="str">
            <v>mRNA文库</v>
          </cell>
          <cell r="I257">
            <v>1</v>
          </cell>
          <cell r="J257">
            <v>1</v>
          </cell>
          <cell r="K257" t="str">
            <v>HGC20240702005-0011</v>
          </cell>
        </row>
        <row r="258">
          <cell r="C258" t="str">
            <v>HGC-Lib-2455707</v>
          </cell>
          <cell r="D258" t="str">
            <v>YL-V3</v>
          </cell>
          <cell r="F258" t="str">
            <v>ATTACTCG</v>
          </cell>
          <cell r="G258" t="str">
            <v>GCCTCTAT</v>
          </cell>
          <cell r="H258" t="str">
            <v>mRNA文库</v>
          </cell>
          <cell r="I258">
            <v>1</v>
          </cell>
          <cell r="J258">
            <v>1</v>
          </cell>
          <cell r="K258" t="str">
            <v>HGC20240702005-0011</v>
          </cell>
        </row>
        <row r="259">
          <cell r="C259" t="str">
            <v>HGC-Lib-2455708</v>
          </cell>
          <cell r="D259" t="str">
            <v>V1</v>
          </cell>
          <cell r="F259" t="str">
            <v>TCCGGAGA</v>
          </cell>
          <cell r="G259" t="str">
            <v>GCCTCTAT</v>
          </cell>
          <cell r="H259" t="str">
            <v>mRNA文库</v>
          </cell>
          <cell r="I259">
            <v>1.5</v>
          </cell>
          <cell r="J259">
            <v>1.5</v>
          </cell>
          <cell r="K259" t="str">
            <v>HGC20240702005-0011</v>
          </cell>
        </row>
        <row r="260">
          <cell r="C260" t="str">
            <v>HGC-Lib-2455700</v>
          </cell>
          <cell r="D260" t="str">
            <v>YH-V2</v>
          </cell>
          <cell r="F260" t="str">
            <v>TCCGGAGA</v>
          </cell>
          <cell r="G260" t="str">
            <v>AGGCTATA</v>
          </cell>
          <cell r="H260" t="str">
            <v>mRNA文库</v>
          </cell>
          <cell r="I260">
            <v>1</v>
          </cell>
          <cell r="J260">
            <v>1</v>
          </cell>
          <cell r="K260" t="str">
            <v>HGC20240702005-0011</v>
          </cell>
        </row>
        <row r="261">
          <cell r="C261" t="str">
            <v>HGC-Lib-2455709</v>
          </cell>
          <cell r="D261" t="str">
            <v>V2</v>
          </cell>
          <cell r="F261" t="str">
            <v>CGCTCATT</v>
          </cell>
          <cell r="G261" t="str">
            <v>GCCTCTAT</v>
          </cell>
          <cell r="H261" t="str">
            <v>mRNA文库</v>
          </cell>
          <cell r="I261">
            <v>1</v>
          </cell>
          <cell r="J261">
            <v>1</v>
          </cell>
          <cell r="K261" t="str">
            <v>HGC20240702005-0011</v>
          </cell>
        </row>
        <row r="262">
          <cell r="C262" t="str">
            <v>HGC-Lib-2457324</v>
          </cell>
          <cell r="D262" t="str">
            <v>T810-6</v>
          </cell>
          <cell r="F262" t="str">
            <v>CCAGTTAG</v>
          </cell>
          <cell r="G262" t="str">
            <v>ATGACAGG</v>
          </cell>
          <cell r="H262" t="str">
            <v>mRNA文库</v>
          </cell>
          <cell r="I262">
            <v>1</v>
          </cell>
          <cell r="J262">
            <v>1</v>
          </cell>
          <cell r="K262" t="str">
            <v>HGC20230224004-0343</v>
          </cell>
        </row>
        <row r="263">
          <cell r="C263" t="str">
            <v>HGC-Lib-2457094</v>
          </cell>
          <cell r="D263" t="str">
            <v>B9-iHBMSC</v>
          </cell>
          <cell r="F263" t="str">
            <v>TCCGCGAA</v>
          </cell>
          <cell r="G263" t="str">
            <v>GTCAGTAC</v>
          </cell>
          <cell r="H263" t="str">
            <v>mRNA文库</v>
          </cell>
          <cell r="I263">
            <v>1.5</v>
          </cell>
          <cell r="J263">
            <v>1.5</v>
          </cell>
          <cell r="K263" t="str">
            <v>HGC20240702005-0015</v>
          </cell>
        </row>
        <row r="264">
          <cell r="C264" t="str">
            <v>HGC-Lib-2457095</v>
          </cell>
          <cell r="D264" t="str">
            <v>RFP-iHBMSC</v>
          </cell>
          <cell r="F264" t="str">
            <v>TCTCGCGC</v>
          </cell>
          <cell r="G264" t="str">
            <v>GTCAGTAC</v>
          </cell>
          <cell r="H264" t="str">
            <v>mRNA文库</v>
          </cell>
          <cell r="I264">
            <v>3</v>
          </cell>
          <cell r="J264">
            <v>3</v>
          </cell>
          <cell r="K264" t="str">
            <v>HGC20240702005-0015</v>
          </cell>
        </row>
        <row r="265">
          <cell r="C265" t="str">
            <v>HGC-Lib-2457096</v>
          </cell>
          <cell r="D265" t="str">
            <v>YH-V2</v>
          </cell>
          <cell r="F265" t="str">
            <v>AGCGATAG</v>
          </cell>
          <cell r="G265" t="str">
            <v>GTCAGTAC</v>
          </cell>
          <cell r="H265" t="str">
            <v>mRNA文库</v>
          </cell>
          <cell r="I265">
            <v>2</v>
          </cell>
          <cell r="J265">
            <v>2</v>
          </cell>
          <cell r="K265" t="str">
            <v>HGC20240702005-0015</v>
          </cell>
        </row>
        <row r="266">
          <cell r="C266" t="str">
            <v>HGC-Lib-2459348</v>
          </cell>
          <cell r="D266" t="str">
            <v>N_B_N4711-1P-10X5BCRPI30-3</v>
          </cell>
          <cell r="F266" t="str">
            <v>TTATCTAGGG</v>
          </cell>
          <cell r="G266" t="str">
            <v>TAGAGCCTTT</v>
          </cell>
          <cell r="H266" t="str">
            <v>BCR文库</v>
          </cell>
          <cell r="I266">
            <v>10</v>
          </cell>
          <cell r="J266">
            <v>10</v>
          </cell>
          <cell r="K266" t="str">
            <v>HGC20231127004-0081</v>
          </cell>
        </row>
        <row r="267">
          <cell r="C267" t="str">
            <v>HGC-Lib-2458697</v>
          </cell>
          <cell r="D267" t="str">
            <v>CB-T26-2</v>
          </cell>
          <cell r="F267" t="str">
            <v>TCTCGCGC</v>
          </cell>
          <cell r="G267" t="str">
            <v>AGGATAGG</v>
          </cell>
          <cell r="H267" t="str">
            <v>PCR产物文库</v>
          </cell>
          <cell r="I267">
            <v>5</v>
          </cell>
          <cell r="J267">
            <v>5</v>
          </cell>
          <cell r="K267" t="str">
            <v>HGC20240412002-0049</v>
          </cell>
        </row>
        <row r="268">
          <cell r="C268" t="str">
            <v>HGC-Lib-2459240</v>
          </cell>
          <cell r="D268" t="str">
            <v>cmt3b-1</v>
          </cell>
          <cell r="F268" t="str">
            <v>TCCTGAGC</v>
          </cell>
          <cell r="G268" t="str">
            <v>TCTACTCT</v>
          </cell>
          <cell r="H268" t="str">
            <v>RNA-seq文库</v>
          </cell>
          <cell r="I268">
            <v>6</v>
          </cell>
          <cell r="J268">
            <v>6</v>
          </cell>
          <cell r="K268" t="str">
            <v>HGC20240626001-0007</v>
          </cell>
        </row>
        <row r="269">
          <cell r="C269" t="str">
            <v>HGC-Lib-2459242</v>
          </cell>
          <cell r="D269" t="str">
            <v>cmt3b-3</v>
          </cell>
          <cell r="F269" t="str">
            <v>TAGGCATG</v>
          </cell>
          <cell r="G269" t="str">
            <v>TATGCAGT</v>
          </cell>
          <cell r="H269" t="str">
            <v>RNA-seq文库</v>
          </cell>
          <cell r="I269">
            <v>6</v>
          </cell>
          <cell r="J269">
            <v>6</v>
          </cell>
          <cell r="K269" t="str">
            <v>HGC20240626001-0007</v>
          </cell>
        </row>
        <row r="270">
          <cell r="C270" t="str">
            <v>HGC-Lib-2459243</v>
          </cell>
          <cell r="D270" t="str">
            <v>pollen-1</v>
          </cell>
          <cell r="F270" t="str">
            <v>CTCTCTAC</v>
          </cell>
          <cell r="G270" t="str">
            <v>TACTCCTT</v>
          </cell>
          <cell r="H270" t="str">
            <v>RNA-seq文库</v>
          </cell>
          <cell r="I270">
            <v>10</v>
          </cell>
          <cell r="J270">
            <v>10</v>
          </cell>
          <cell r="K270" t="str">
            <v>HGC20240626001-0007</v>
          </cell>
        </row>
        <row r="271">
          <cell r="C271" t="str">
            <v>HGC-Lib-2459245</v>
          </cell>
          <cell r="D271" t="str">
            <v>pollen-3</v>
          </cell>
          <cell r="F271" t="str">
            <v>GCTACGCT</v>
          </cell>
          <cell r="G271" t="str">
            <v>GCGATCTA</v>
          </cell>
          <cell r="H271" t="str">
            <v>RNA-seq文库</v>
          </cell>
          <cell r="I271">
            <v>6</v>
          </cell>
          <cell r="J271">
            <v>6</v>
          </cell>
          <cell r="K271" t="str">
            <v>HGC20240626001-0007</v>
          </cell>
        </row>
        <row r="272">
          <cell r="C272" t="str">
            <v>HGC-Lib-2459234</v>
          </cell>
          <cell r="D272" t="str">
            <v>T846-1</v>
          </cell>
          <cell r="F272" t="str">
            <v>ACAGTTGA</v>
          </cell>
          <cell r="G272" t="str">
            <v>ATCGGAGC</v>
          </cell>
          <cell r="H272" t="str">
            <v>Chip-Seq</v>
          </cell>
          <cell r="I272">
            <v>6</v>
          </cell>
          <cell r="J272">
            <v>6</v>
          </cell>
          <cell r="K272" t="str">
            <v>HGC20230224004-0349</v>
          </cell>
        </row>
        <row r="273">
          <cell r="C273" t="str">
            <v>HGC-Lib-2459235</v>
          </cell>
          <cell r="D273" t="str">
            <v>T846-2</v>
          </cell>
          <cell r="F273" t="str">
            <v>TTGTCTAT</v>
          </cell>
          <cell r="G273" t="str">
            <v>GATTCAAG</v>
          </cell>
          <cell r="H273" t="str">
            <v>Chip-Seq</v>
          </cell>
          <cell r="I273">
            <v>6</v>
          </cell>
          <cell r="J273">
            <v>6</v>
          </cell>
          <cell r="K273" t="str">
            <v>HGC20230224004-0349</v>
          </cell>
        </row>
        <row r="274">
          <cell r="C274" t="str">
            <v>HGC-Lib-2459236</v>
          </cell>
          <cell r="D274" t="str">
            <v>T846-3</v>
          </cell>
          <cell r="F274" t="str">
            <v>CGCTATGT</v>
          </cell>
          <cell r="G274" t="str">
            <v>TATGCGGA</v>
          </cell>
          <cell r="H274" t="str">
            <v>Chip-Seq</v>
          </cell>
          <cell r="I274">
            <v>6</v>
          </cell>
          <cell r="J274">
            <v>6</v>
          </cell>
          <cell r="K274" t="str">
            <v>HGC20230224004-0349</v>
          </cell>
        </row>
        <row r="275">
          <cell r="C275" t="str">
            <v>HGC-Lib-2459237</v>
          </cell>
          <cell r="D275" t="str">
            <v>T846-4</v>
          </cell>
          <cell r="F275" t="str">
            <v>TTAATCAG</v>
          </cell>
          <cell r="G275" t="str">
            <v>CAGATTGG</v>
          </cell>
          <cell r="H275" t="str">
            <v>Chip-Seq</v>
          </cell>
          <cell r="I275">
            <v>6</v>
          </cell>
          <cell r="J275">
            <v>6</v>
          </cell>
          <cell r="K275" t="str">
            <v>HGC20230224004-0349</v>
          </cell>
        </row>
        <row r="276">
          <cell r="C276" t="str">
            <v>HGC-Lib-2458319</v>
          </cell>
          <cell r="D276" t="str">
            <v>hitomcll357</v>
          </cell>
          <cell r="F276" t="str">
            <v>TCTCACGG</v>
          </cell>
          <cell r="H276" t="str">
            <v>PCR片段文库</v>
          </cell>
          <cell r="I276">
            <v>2</v>
          </cell>
          <cell r="J276">
            <v>2</v>
          </cell>
          <cell r="K276" t="str">
            <v>HGC20230727003-0163</v>
          </cell>
        </row>
        <row r="277">
          <cell r="C277" t="str">
            <v>HGC-Lib-2458320</v>
          </cell>
          <cell r="D277" t="str">
            <v>hitomcll358</v>
          </cell>
          <cell r="F277" t="str">
            <v>TCAGGAGG</v>
          </cell>
          <cell r="H277" t="str">
            <v>PCR片段文库</v>
          </cell>
          <cell r="I277">
            <v>2</v>
          </cell>
          <cell r="J277">
            <v>2</v>
          </cell>
          <cell r="K277" t="str">
            <v>HGC20230727003-0163</v>
          </cell>
        </row>
        <row r="278">
          <cell r="C278" t="str">
            <v>HGC-Lib-2458321</v>
          </cell>
          <cell r="D278" t="str">
            <v>hitomcll359</v>
          </cell>
          <cell r="F278" t="str">
            <v>GATCAGCG</v>
          </cell>
          <cell r="H278" t="str">
            <v>PCR片段文库</v>
          </cell>
          <cell r="I278">
            <v>2</v>
          </cell>
          <cell r="J278">
            <v>2</v>
          </cell>
          <cell r="K278" t="str">
            <v>HGC20230727003-0163</v>
          </cell>
        </row>
        <row r="279">
          <cell r="C279" t="str">
            <v>HGC-Lib-2458322</v>
          </cell>
          <cell r="D279" t="str">
            <v>hitomcll360</v>
          </cell>
          <cell r="F279" t="str">
            <v>TAGCTTGT</v>
          </cell>
          <cell r="H279" t="str">
            <v>PCR片段文库</v>
          </cell>
          <cell r="I279">
            <v>2</v>
          </cell>
          <cell r="J279">
            <v>2</v>
          </cell>
          <cell r="K279" t="str">
            <v>HGC20230727003-0163</v>
          </cell>
        </row>
        <row r="280">
          <cell r="C280" t="str">
            <v>HGC-Lib-2458323</v>
          </cell>
          <cell r="D280" t="str">
            <v>hitomcll361</v>
          </cell>
          <cell r="F280" t="str">
            <v>GGCTACAG</v>
          </cell>
          <cell r="H280" t="str">
            <v>PCR片段文库</v>
          </cell>
          <cell r="I280">
            <v>2</v>
          </cell>
          <cell r="J280">
            <v>2</v>
          </cell>
          <cell r="K280" t="str">
            <v>HGC20230727003-0163</v>
          </cell>
        </row>
        <row r="281">
          <cell r="C281" t="str">
            <v>HGC-Lib-2458324</v>
          </cell>
          <cell r="D281" t="str">
            <v>hitomcll362</v>
          </cell>
          <cell r="F281" t="str">
            <v>CTTGTACT</v>
          </cell>
          <cell r="H281" t="str">
            <v>PCR片段文库</v>
          </cell>
          <cell r="I281">
            <v>2</v>
          </cell>
          <cell r="J281">
            <v>2</v>
          </cell>
          <cell r="K281" t="str">
            <v>HGC20230727003-0163</v>
          </cell>
        </row>
        <row r="282">
          <cell r="C282" t="str">
            <v>HGC-Lib-2458325</v>
          </cell>
          <cell r="D282" t="str">
            <v>hitomcll363</v>
          </cell>
          <cell r="F282" t="str">
            <v>TGGTTGTT</v>
          </cell>
          <cell r="H282" t="str">
            <v>PCR片段文库</v>
          </cell>
          <cell r="I282">
            <v>2</v>
          </cell>
          <cell r="J282">
            <v>2</v>
          </cell>
          <cell r="K282" t="str">
            <v>HGC20230727003-0163</v>
          </cell>
        </row>
        <row r="283">
          <cell r="C283" t="str">
            <v>HGC-Lib-2458326</v>
          </cell>
          <cell r="D283" t="str">
            <v>hitomcll364</v>
          </cell>
          <cell r="F283" t="str">
            <v>TCTCGGTT</v>
          </cell>
          <cell r="H283" t="str">
            <v>PCR片段文库</v>
          </cell>
          <cell r="I283">
            <v>2</v>
          </cell>
          <cell r="J283">
            <v>2</v>
          </cell>
          <cell r="K283" t="str">
            <v>HGC20230727003-0163</v>
          </cell>
        </row>
        <row r="284">
          <cell r="C284" t="str">
            <v>HGC-Lib-2458327</v>
          </cell>
          <cell r="D284" t="str">
            <v>hitomcll366</v>
          </cell>
          <cell r="F284" t="str">
            <v>TCCGTCTT</v>
          </cell>
          <cell r="H284" t="str">
            <v>PCR片段文库</v>
          </cell>
          <cell r="I284">
            <v>2</v>
          </cell>
          <cell r="J284">
            <v>2</v>
          </cell>
          <cell r="K284" t="str">
            <v>HGC20230727003-0163</v>
          </cell>
        </row>
        <row r="285">
          <cell r="C285" t="str">
            <v>HGC-Lib-2458328</v>
          </cell>
          <cell r="D285" t="str">
            <v>hitomcll367</v>
          </cell>
          <cell r="F285" t="str">
            <v>TGTACCTT</v>
          </cell>
          <cell r="H285" t="str">
            <v>PCR片段文库</v>
          </cell>
          <cell r="I285">
            <v>2</v>
          </cell>
          <cell r="J285">
            <v>2</v>
          </cell>
          <cell r="K285" t="str">
            <v>HGC20230727003-0163</v>
          </cell>
        </row>
        <row r="286">
          <cell r="C286" t="str">
            <v>HGC-Lib-2458329</v>
          </cell>
          <cell r="D286" t="str">
            <v>hitomcll368</v>
          </cell>
          <cell r="F286" t="str">
            <v>TTCTGTGT</v>
          </cell>
          <cell r="H286" t="str">
            <v>PCR片段文库</v>
          </cell>
          <cell r="I286">
            <v>2</v>
          </cell>
          <cell r="J286">
            <v>2</v>
          </cell>
          <cell r="K286" t="str">
            <v>HGC20230727003-0163</v>
          </cell>
        </row>
        <row r="287">
          <cell r="C287" t="str">
            <v>HGC-Lib-2458330</v>
          </cell>
          <cell r="D287" t="str">
            <v>hitomcll369</v>
          </cell>
          <cell r="F287" t="str">
            <v>TCTGCTGT</v>
          </cell>
          <cell r="H287" t="str">
            <v>PCR片段文库</v>
          </cell>
          <cell r="I287">
            <v>2</v>
          </cell>
          <cell r="J287">
            <v>2</v>
          </cell>
          <cell r="K287" t="str">
            <v>HGC20230727003-0163</v>
          </cell>
        </row>
        <row r="288">
          <cell r="C288" t="str">
            <v>HGC-Lib-2458331</v>
          </cell>
          <cell r="D288" t="str">
            <v>hitomcll370</v>
          </cell>
          <cell r="F288" t="str">
            <v>TTGGAGGT</v>
          </cell>
          <cell r="H288" t="str">
            <v>PCR片段文库</v>
          </cell>
          <cell r="I288">
            <v>2</v>
          </cell>
          <cell r="J288">
            <v>2</v>
          </cell>
          <cell r="K288" t="str">
            <v>HGC20230727003-0163</v>
          </cell>
        </row>
        <row r="289">
          <cell r="C289" t="str">
            <v>HGC-POOL-2458144</v>
          </cell>
          <cell r="D289" t="str">
            <v>FB-3</v>
          </cell>
          <cell r="F289" t="str">
            <v>AACAACCA</v>
          </cell>
          <cell r="H289" t="str">
            <v>宏基因组文库</v>
          </cell>
          <cell r="I289">
            <v>30</v>
          </cell>
          <cell r="J289">
            <v>30</v>
          </cell>
          <cell r="K289" t="str">
            <v>HGC20231027002-0027</v>
          </cell>
        </row>
        <row r="290">
          <cell r="D290" t="str">
            <v>FB-3</v>
          </cell>
          <cell r="F290" t="str">
            <v>CATCAAGT</v>
          </cell>
          <cell r="H290" t="str">
            <v>宏基因组文库</v>
          </cell>
          <cell r="K290" t="str">
            <v>HGC20231027002-0027</v>
          </cell>
        </row>
        <row r="291">
          <cell r="D291" t="str">
            <v>FB-3</v>
          </cell>
          <cell r="F291" t="str">
            <v>CGCTGATC</v>
          </cell>
          <cell r="H291" t="str">
            <v>宏基因组文库</v>
          </cell>
          <cell r="K291" t="str">
            <v>HGC20231027002-0027</v>
          </cell>
        </row>
        <row r="292">
          <cell r="D292" t="str">
            <v>FB-3</v>
          </cell>
          <cell r="F292" t="str">
            <v>ACAAGCTA</v>
          </cell>
          <cell r="H292" t="str">
            <v>宏基因组文库</v>
          </cell>
          <cell r="K292" t="str">
            <v>HGC20231027002-0027</v>
          </cell>
        </row>
        <row r="293">
          <cell r="C293" t="str">
            <v>HGC-Lib-2458121</v>
          </cell>
          <cell r="D293" t="str">
            <v>IIA</v>
          </cell>
          <cell r="F293" t="str">
            <v>TGGTAACG</v>
          </cell>
          <cell r="H293" t="str">
            <v>PCR产物文库</v>
          </cell>
          <cell r="I293">
            <v>2</v>
          </cell>
          <cell r="J293">
            <v>2</v>
          </cell>
          <cell r="K293" t="str">
            <v>HGC20240520008-0006</v>
          </cell>
        </row>
        <row r="294">
          <cell r="C294" t="str">
            <v>HGC-Lib-2458122</v>
          </cell>
          <cell r="D294" t="str">
            <v>lu</v>
          </cell>
          <cell r="F294" t="str">
            <v>CATCAGAC</v>
          </cell>
          <cell r="H294" t="str">
            <v>PCR产物文库</v>
          </cell>
          <cell r="I294">
            <v>2</v>
          </cell>
          <cell r="J294">
            <v>2</v>
          </cell>
          <cell r="K294" t="str">
            <v>HGC20240520008-0006</v>
          </cell>
        </row>
        <row r="295">
          <cell r="C295" t="str">
            <v>HGC-Lib-2458123</v>
          </cell>
          <cell r="D295" t="str">
            <v>li</v>
          </cell>
          <cell r="F295" t="str">
            <v>GTGCGTAA</v>
          </cell>
          <cell r="H295" t="str">
            <v>PCR产物文库</v>
          </cell>
          <cell r="I295">
            <v>2</v>
          </cell>
          <cell r="J295">
            <v>2</v>
          </cell>
          <cell r="K295" t="str">
            <v>HGC20240520008-0006</v>
          </cell>
        </row>
        <row r="296">
          <cell r="C296" t="str">
            <v>HGC-Lib-2458124</v>
          </cell>
          <cell r="D296" t="str">
            <v>MFP</v>
          </cell>
          <cell r="F296" t="str">
            <v>CTATTCAA</v>
          </cell>
          <cell r="H296" t="str">
            <v>PCR产物文库</v>
          </cell>
          <cell r="I296">
            <v>2</v>
          </cell>
          <cell r="J296">
            <v>2</v>
          </cell>
          <cell r="K296" t="str">
            <v>HGC20240520008-0006</v>
          </cell>
        </row>
        <row r="297">
          <cell r="C297" t="str">
            <v>HGC-lib-2458102</v>
          </cell>
          <cell r="D297" t="str">
            <v>clk-1190</v>
          </cell>
          <cell r="F297" t="str">
            <v>TAAGGCGA</v>
          </cell>
          <cell r="G297" t="str">
            <v>GCGATCTA</v>
          </cell>
          <cell r="H297" t="str">
            <v>mRNA文库</v>
          </cell>
          <cell r="I297">
            <v>3</v>
          </cell>
          <cell r="J297">
            <v>3</v>
          </cell>
          <cell r="K297" t="str">
            <v>HGC20240529005-0009</v>
          </cell>
        </row>
        <row r="298">
          <cell r="C298" t="str">
            <v>HGC-Lib-2460167</v>
          </cell>
          <cell r="D298" t="str">
            <v>lave-2790</v>
          </cell>
          <cell r="F298" t="str">
            <v>TCCTGAGC</v>
          </cell>
          <cell r="G298" t="str">
            <v>GCGATCTA</v>
          </cell>
          <cell r="H298" t="str">
            <v>mRNA文库</v>
          </cell>
          <cell r="I298">
            <v>3</v>
          </cell>
          <cell r="J298">
            <v>3</v>
          </cell>
          <cell r="K298" t="str">
            <v>HGC20240529005-0010</v>
          </cell>
        </row>
        <row r="299">
          <cell r="C299" t="str">
            <v>HGC-Lib-2457893</v>
          </cell>
          <cell r="D299" t="str">
            <v>H10055</v>
          </cell>
          <cell r="F299" t="str">
            <v>ATTCAGAA</v>
          </cell>
          <cell r="G299" t="str">
            <v>CTTCGCCT</v>
          </cell>
          <cell r="H299" t="str">
            <v>全基因组文库</v>
          </cell>
          <cell r="I299">
            <v>120</v>
          </cell>
          <cell r="J299">
            <v>120</v>
          </cell>
          <cell r="K299" t="str">
            <v>HGC20240430001-0001</v>
          </cell>
        </row>
        <row r="300">
          <cell r="C300" t="str">
            <v>HGC-Lib-2458423</v>
          </cell>
          <cell r="D300" t="str">
            <v>25 ribo-seq lib</v>
          </cell>
          <cell r="F300" t="str">
            <v>TTAGGC</v>
          </cell>
          <cell r="G300" t="str">
            <v>GTGGCC</v>
          </cell>
          <cell r="H300" t="str">
            <v>small RNA文库</v>
          </cell>
          <cell r="I300">
            <v>5</v>
          </cell>
          <cell r="J300">
            <v>5</v>
          </cell>
          <cell r="K300" t="str">
            <v>HGC20240604003-0006</v>
          </cell>
        </row>
        <row r="301">
          <cell r="C301" t="str">
            <v>HGC-Lib-2458424</v>
          </cell>
          <cell r="D301" t="str">
            <v>26 ribo-seq lib</v>
          </cell>
          <cell r="F301" t="str">
            <v>TGACCA</v>
          </cell>
          <cell r="G301" t="str">
            <v>GTGGCC</v>
          </cell>
          <cell r="H301" t="str">
            <v>small RNA文库</v>
          </cell>
          <cell r="I301">
            <v>5</v>
          </cell>
          <cell r="J301">
            <v>5</v>
          </cell>
          <cell r="K301" t="str">
            <v>HGC20240604003-0006</v>
          </cell>
        </row>
        <row r="302">
          <cell r="C302" t="str">
            <v>HGC-Lib-2458425</v>
          </cell>
          <cell r="D302" t="str">
            <v>27 ribo-seq lib</v>
          </cell>
          <cell r="F302" t="str">
            <v>TTAGGC</v>
          </cell>
          <cell r="G302" t="str">
            <v>GTTTCG</v>
          </cell>
          <cell r="H302" t="str">
            <v>small RNA文库</v>
          </cell>
          <cell r="I302">
            <v>5</v>
          </cell>
          <cell r="J302">
            <v>5</v>
          </cell>
          <cell r="K302" t="str">
            <v>HGC20240604003-0006</v>
          </cell>
        </row>
        <row r="303">
          <cell r="C303" t="str">
            <v>HGC-Lib-2458426</v>
          </cell>
          <cell r="D303" t="str">
            <v>28 ribo-seq lib</v>
          </cell>
          <cell r="F303" t="str">
            <v>TGACCA</v>
          </cell>
          <cell r="G303" t="str">
            <v>GTTTCG</v>
          </cell>
          <cell r="H303" t="str">
            <v>small RNA文库</v>
          </cell>
          <cell r="I303">
            <v>5</v>
          </cell>
          <cell r="J303">
            <v>5</v>
          </cell>
          <cell r="K303" t="str">
            <v>HGC20240604003-0006</v>
          </cell>
        </row>
        <row r="304">
          <cell r="C304" t="str">
            <v>HGC-POOL-2460344</v>
          </cell>
          <cell r="D304" t="str">
            <v>A240729-1</v>
          </cell>
          <cell r="F304" t="str">
            <v>CGAAAC</v>
          </cell>
          <cell r="G304" t="str">
            <v>CGAAAC</v>
          </cell>
          <cell r="H304" t="str">
            <v>PCR产物文库</v>
          </cell>
          <cell r="I304">
            <v>8</v>
          </cell>
          <cell r="J304">
            <v>8</v>
          </cell>
          <cell r="K304" t="str">
            <v>HGC20231212003-0068</v>
          </cell>
        </row>
        <row r="305">
          <cell r="D305" t="str">
            <v>A240729-1</v>
          </cell>
          <cell r="F305" t="str">
            <v>CGAAAC</v>
          </cell>
          <cell r="G305" t="str">
            <v>CGTACG</v>
          </cell>
          <cell r="H305" t="str">
            <v>PCR产物文库</v>
          </cell>
          <cell r="K305" t="str">
            <v>HGC20231212003-0068</v>
          </cell>
        </row>
        <row r="306">
          <cell r="D306" t="str">
            <v>A240729-1</v>
          </cell>
          <cell r="F306" t="str">
            <v>CGAAAC</v>
          </cell>
          <cell r="G306" t="str">
            <v>CCACTC</v>
          </cell>
          <cell r="H306" t="str">
            <v>PCR产物文库</v>
          </cell>
          <cell r="K306" t="str">
            <v>HGC20231212003-0068</v>
          </cell>
        </row>
        <row r="307">
          <cell r="D307" t="str">
            <v>A240729-1</v>
          </cell>
          <cell r="F307" t="str">
            <v>CGAAAC</v>
          </cell>
          <cell r="G307" t="str">
            <v>GCTACC</v>
          </cell>
          <cell r="H307" t="str">
            <v>PCR产物文库</v>
          </cell>
          <cell r="K307" t="str">
            <v>HGC20231212003-0068</v>
          </cell>
        </row>
        <row r="308">
          <cell r="D308" t="str">
            <v>A240729-1</v>
          </cell>
          <cell r="F308" t="str">
            <v>CGAAAC</v>
          </cell>
          <cell r="G308" t="str">
            <v>ATCAGT</v>
          </cell>
          <cell r="H308" t="str">
            <v>PCR产物文库</v>
          </cell>
          <cell r="K308" t="str">
            <v>HGC20231212003-0068</v>
          </cell>
        </row>
        <row r="309">
          <cell r="D309" t="str">
            <v>A240729-1</v>
          </cell>
          <cell r="F309" t="str">
            <v>CGAAAC</v>
          </cell>
          <cell r="G309" t="str">
            <v>GCTCAT</v>
          </cell>
          <cell r="H309" t="str">
            <v>PCR产物文库</v>
          </cell>
          <cell r="K309" t="str">
            <v>HGC20231212003-0068</v>
          </cell>
        </row>
        <row r="310">
          <cell r="D310" t="str">
            <v>A240729-1</v>
          </cell>
          <cell r="F310" t="str">
            <v>CGTACG</v>
          </cell>
          <cell r="G310" t="str">
            <v>CGAAAC</v>
          </cell>
          <cell r="H310" t="str">
            <v>PCR产物文库</v>
          </cell>
          <cell r="K310" t="str">
            <v>HGC20231212003-0068</v>
          </cell>
        </row>
        <row r="311">
          <cell r="D311" t="str">
            <v>A240729-1</v>
          </cell>
          <cell r="F311" t="str">
            <v>CGTACG</v>
          </cell>
          <cell r="G311" t="str">
            <v>CGTACG</v>
          </cell>
          <cell r="H311" t="str">
            <v>PCR产物文库</v>
          </cell>
          <cell r="K311" t="str">
            <v>HGC20231212003-0068</v>
          </cell>
        </row>
        <row r="312">
          <cell r="D312" t="str">
            <v>A240729-1</v>
          </cell>
          <cell r="F312" t="str">
            <v>CGTACG</v>
          </cell>
          <cell r="G312" t="str">
            <v>CCACTC</v>
          </cell>
          <cell r="H312" t="str">
            <v>PCR产物文库</v>
          </cell>
          <cell r="K312" t="str">
            <v>HGC20231212003-0068</v>
          </cell>
        </row>
        <row r="313">
          <cell r="C313" t="str">
            <v>HGC-POOL-2460345</v>
          </cell>
          <cell r="D313" t="str">
            <v>A240729-2</v>
          </cell>
          <cell r="F313" t="str">
            <v>ACATCG</v>
          </cell>
          <cell r="G313" t="str">
            <v>TCAAGT</v>
          </cell>
          <cell r="H313" t="str">
            <v>PCR产物文库</v>
          </cell>
          <cell r="I313">
            <v>8</v>
          </cell>
          <cell r="J313">
            <v>8</v>
          </cell>
          <cell r="K313" t="str">
            <v>HGC20231212003-0068</v>
          </cell>
        </row>
        <row r="314">
          <cell r="D314" t="str">
            <v>A240729-2</v>
          </cell>
          <cell r="F314" t="str">
            <v>GCCTAA</v>
          </cell>
          <cell r="G314" t="str">
            <v>TCAAGT</v>
          </cell>
          <cell r="H314" t="str">
            <v>PCR产物文库</v>
          </cell>
          <cell r="K314" t="str">
            <v>HGC20231212003-0068</v>
          </cell>
        </row>
        <row r="315">
          <cell r="C315" t="str">
            <v>HGC-Lib-2458705</v>
          </cell>
          <cell r="D315" t="str">
            <v>NGS20240724-1</v>
          </cell>
          <cell r="F315" t="str">
            <v>TAACTTGGTC</v>
          </cell>
          <cell r="G315" t="str">
            <v>GATTCACGAC</v>
          </cell>
          <cell r="H315" t="str">
            <v>多重PCR产物文库</v>
          </cell>
          <cell r="I315">
            <v>1</v>
          </cell>
          <cell r="J315">
            <v>1</v>
          </cell>
          <cell r="K315" t="str">
            <v>HGC20231114014-0109</v>
          </cell>
        </row>
        <row r="316">
          <cell r="C316" t="str">
            <v>HGC-2448117</v>
          </cell>
          <cell r="D316" t="str">
            <v>L1-15L</v>
          </cell>
          <cell r="E316" t="str">
            <v>IDT311</v>
          </cell>
          <cell r="F316" t="str">
            <v>ACTCGTTG</v>
          </cell>
          <cell r="G316" t="str">
            <v>GCGTATCA</v>
          </cell>
          <cell r="H316" t="str">
            <v>mRNA</v>
          </cell>
          <cell r="I316">
            <v>6</v>
          </cell>
          <cell r="J316">
            <v>6.5</v>
          </cell>
          <cell r="K316" t="str">
            <v>HGC20240624005-0001</v>
          </cell>
        </row>
        <row r="317">
          <cell r="C317" t="str">
            <v>HGC-2452174</v>
          </cell>
          <cell r="D317" t="str">
            <v>L1-15L</v>
          </cell>
          <cell r="E317" t="str">
            <v>IDT312</v>
          </cell>
          <cell r="F317" t="str">
            <v>CTGACACA</v>
          </cell>
          <cell r="G317" t="str">
            <v>AGAAGGAC</v>
          </cell>
          <cell r="H317" t="str">
            <v>mRNA</v>
          </cell>
          <cell r="I317">
            <v>6</v>
          </cell>
          <cell r="J317">
            <v>6.5</v>
          </cell>
          <cell r="K317" t="str">
            <v>HGC20240624005-0001</v>
          </cell>
        </row>
        <row r="318">
          <cell r="C318" t="str">
            <v>HGC-2452175</v>
          </cell>
          <cell r="D318" t="str">
            <v>L1-15L</v>
          </cell>
          <cell r="E318" t="str">
            <v>IDT313</v>
          </cell>
          <cell r="F318" t="str">
            <v>CAACCTAG</v>
          </cell>
          <cell r="G318" t="str">
            <v>AGGTCTGT</v>
          </cell>
          <cell r="H318" t="str">
            <v>mRNA</v>
          </cell>
          <cell r="I318">
            <v>6</v>
          </cell>
          <cell r="J318">
            <v>6.5</v>
          </cell>
          <cell r="K318" t="str">
            <v>HGC20240624005-0001</v>
          </cell>
        </row>
        <row r="319">
          <cell r="C319" t="str">
            <v>HGC-2448119</v>
          </cell>
          <cell r="D319" t="str">
            <v>L1-4L</v>
          </cell>
          <cell r="E319" t="str">
            <v>IDT315</v>
          </cell>
          <cell r="F319" t="str">
            <v>TGCAGGTA</v>
          </cell>
          <cell r="G319" t="str">
            <v>TCACGATG</v>
          </cell>
          <cell r="H319" t="str">
            <v>mRNA</v>
          </cell>
          <cell r="I319">
            <v>6</v>
          </cell>
          <cell r="J319">
            <v>6.5</v>
          </cell>
          <cell r="K319" t="str">
            <v>HGC20240624005-0001</v>
          </cell>
        </row>
        <row r="320">
          <cell r="C320" t="str">
            <v>HGC-2448120</v>
          </cell>
          <cell r="D320" t="str">
            <v>L17-12L</v>
          </cell>
          <cell r="E320" t="str">
            <v>IDT316</v>
          </cell>
          <cell r="F320" t="str">
            <v>ACCTAAGG</v>
          </cell>
          <cell r="G320" t="str">
            <v>ATCTCCTG</v>
          </cell>
          <cell r="H320" t="str">
            <v>mRNA</v>
          </cell>
          <cell r="I320">
            <v>6</v>
          </cell>
          <cell r="J320">
            <v>6.5</v>
          </cell>
          <cell r="K320" t="str">
            <v>HGC20240624005-0001</v>
          </cell>
        </row>
        <row r="321">
          <cell r="C321" t="str">
            <v>HGC-2448121</v>
          </cell>
          <cell r="D321" t="str">
            <v>L1-8L</v>
          </cell>
          <cell r="E321" t="str">
            <v>IDT317</v>
          </cell>
          <cell r="F321" t="str">
            <v>AGTCTGTG</v>
          </cell>
          <cell r="G321" t="str">
            <v>CCTACCTA</v>
          </cell>
          <cell r="H321" t="str">
            <v>mRNA</v>
          </cell>
          <cell r="I321">
            <v>6</v>
          </cell>
          <cell r="J321">
            <v>6.5</v>
          </cell>
          <cell r="K321" t="str">
            <v>HGC20240624005-0001</v>
          </cell>
        </row>
        <row r="322">
          <cell r="C322" t="str">
            <v>HGC-2448144</v>
          </cell>
          <cell r="D322" t="str">
            <v>L25-9L</v>
          </cell>
          <cell r="E322" t="str">
            <v>IDT340</v>
          </cell>
          <cell r="F322" t="str">
            <v>CGTCAATG</v>
          </cell>
          <cell r="G322" t="str">
            <v>CCAACACT</v>
          </cell>
          <cell r="H322" t="str">
            <v>mRNA</v>
          </cell>
          <cell r="I322">
            <v>6</v>
          </cell>
          <cell r="J322">
            <v>6.5</v>
          </cell>
          <cell r="K322" t="str">
            <v>HGC20240624005-0001</v>
          </cell>
        </row>
        <row r="323">
          <cell r="C323" t="str">
            <v>HGC-2448145</v>
          </cell>
          <cell r="D323" t="str">
            <v>L26-10L</v>
          </cell>
          <cell r="E323" t="str">
            <v>IDT341</v>
          </cell>
          <cell r="F323" t="str">
            <v>GAAGAGGT</v>
          </cell>
          <cell r="G323" t="str">
            <v>CAGGTTCA</v>
          </cell>
          <cell r="H323" t="str">
            <v>mRNA</v>
          </cell>
          <cell r="I323">
            <v>6</v>
          </cell>
          <cell r="J323">
            <v>6.5</v>
          </cell>
          <cell r="K323" t="str">
            <v>HGC20240624005-0001</v>
          </cell>
        </row>
        <row r="324">
          <cell r="C324" t="str">
            <v>HGC-2448146</v>
          </cell>
          <cell r="D324" t="str">
            <v>L26-11L</v>
          </cell>
          <cell r="E324" t="str">
            <v>IDT342</v>
          </cell>
          <cell r="F324" t="str">
            <v>GACGAATG</v>
          </cell>
          <cell r="G324" t="str">
            <v>GTCCTTGA</v>
          </cell>
          <cell r="H324" t="str">
            <v>mRNA</v>
          </cell>
          <cell r="I324">
            <v>6</v>
          </cell>
          <cell r="J324">
            <v>6.5</v>
          </cell>
          <cell r="K324" t="str">
            <v>HGC20240624005-0001</v>
          </cell>
        </row>
        <row r="325">
          <cell r="C325" t="str">
            <v>HGC-2448147</v>
          </cell>
          <cell r="D325" t="str">
            <v>L26-9L</v>
          </cell>
          <cell r="E325" t="str">
            <v>IDT343</v>
          </cell>
          <cell r="F325" t="str">
            <v>AGGAGGAA</v>
          </cell>
          <cell r="G325" t="str">
            <v>GTAAGCAC</v>
          </cell>
          <cell r="H325" t="str">
            <v>mRNA</v>
          </cell>
          <cell r="I325">
            <v>6</v>
          </cell>
          <cell r="J325">
            <v>6.5</v>
          </cell>
          <cell r="K325" t="str">
            <v>HGC20240624005-0001</v>
          </cell>
        </row>
        <row r="326">
          <cell r="C326" t="str">
            <v>HGC-2448148</v>
          </cell>
          <cell r="D326" t="str">
            <v>L27-13L</v>
          </cell>
          <cell r="E326" t="str">
            <v>IDT344</v>
          </cell>
          <cell r="F326" t="str">
            <v>CTTACAGC</v>
          </cell>
          <cell r="G326" t="str">
            <v>AACACCAC</v>
          </cell>
          <cell r="H326" t="str">
            <v>mRNA</v>
          </cell>
          <cell r="I326">
            <v>6</v>
          </cell>
          <cell r="J326">
            <v>6.5</v>
          </cell>
          <cell r="K326" t="str">
            <v>HGC20240624005-0001</v>
          </cell>
        </row>
        <row r="327">
          <cell r="C327" t="str">
            <v>HGC-2448149</v>
          </cell>
          <cell r="D327" t="str">
            <v>L27-15L</v>
          </cell>
          <cell r="E327" t="str">
            <v>IDT345</v>
          </cell>
          <cell r="F327" t="str">
            <v>GAGATGTC</v>
          </cell>
          <cell r="G327" t="str">
            <v>TAGTCAGC</v>
          </cell>
          <cell r="H327" t="str">
            <v>mRNA</v>
          </cell>
          <cell r="I327">
            <v>6</v>
          </cell>
          <cell r="J327">
            <v>6.5</v>
          </cell>
          <cell r="K327" t="str">
            <v>HGC20240624005-0001</v>
          </cell>
        </row>
        <row r="328">
          <cell r="C328" t="str">
            <v>HGC-2448150</v>
          </cell>
          <cell r="D328" t="str">
            <v>L27-16L</v>
          </cell>
          <cell r="E328" t="str">
            <v>IDT346</v>
          </cell>
          <cell r="F328" t="str">
            <v>TACGGTTG</v>
          </cell>
          <cell r="G328" t="str">
            <v>AGTTCGCA</v>
          </cell>
          <cell r="H328" t="str">
            <v>mRNA</v>
          </cell>
          <cell r="I328">
            <v>6</v>
          </cell>
          <cell r="J328">
            <v>6.5</v>
          </cell>
          <cell r="K328" t="str">
            <v>HGC20240624005-0001</v>
          </cell>
        </row>
        <row r="329">
          <cell r="C329" t="str">
            <v>HGC-2448151</v>
          </cell>
          <cell r="D329" t="str">
            <v>L27-20L</v>
          </cell>
          <cell r="E329" t="str">
            <v>IDT347</v>
          </cell>
          <cell r="F329" t="str">
            <v>CTATCGCA</v>
          </cell>
          <cell r="G329" t="str">
            <v>CGCGTATT</v>
          </cell>
          <cell r="H329" t="str">
            <v>mRNA</v>
          </cell>
          <cell r="I329">
            <v>6</v>
          </cell>
          <cell r="J329">
            <v>6.5</v>
          </cell>
          <cell r="K329" t="str">
            <v>HGC20240624005-0001</v>
          </cell>
        </row>
        <row r="330">
          <cell r="C330" t="str">
            <v>HGC-2448152</v>
          </cell>
          <cell r="D330" t="str">
            <v>L28-1L</v>
          </cell>
          <cell r="E330" t="str">
            <v>IDT348</v>
          </cell>
          <cell r="F330" t="str">
            <v>TCGAACCA</v>
          </cell>
          <cell r="G330" t="str">
            <v>AACCGTGT</v>
          </cell>
          <cell r="H330" t="str">
            <v>mRNA</v>
          </cell>
          <cell r="I330">
            <v>6</v>
          </cell>
          <cell r="J330">
            <v>6.5</v>
          </cell>
          <cell r="K330" t="str">
            <v>HGC20240624005-0001</v>
          </cell>
        </row>
        <row r="331">
          <cell r="C331" t="str">
            <v>HGC-2448153</v>
          </cell>
          <cell r="D331" t="str">
            <v>L28-10L</v>
          </cell>
          <cell r="E331" t="str">
            <v>IDT349</v>
          </cell>
          <cell r="F331" t="str">
            <v>GAACGCTT</v>
          </cell>
          <cell r="G331" t="str">
            <v>AAGTGCAG</v>
          </cell>
          <cell r="H331" t="str">
            <v>mRNA</v>
          </cell>
          <cell r="I331">
            <v>6</v>
          </cell>
          <cell r="J331">
            <v>6.5</v>
          </cell>
          <cell r="K331" t="str">
            <v>HGC20240624005-0001</v>
          </cell>
        </row>
        <row r="332">
          <cell r="C332" t="str">
            <v>HGC-2448154</v>
          </cell>
          <cell r="D332" t="str">
            <v>L28-15L</v>
          </cell>
          <cell r="E332" t="str">
            <v>IDT350</v>
          </cell>
          <cell r="F332" t="str">
            <v>CAGAATCG</v>
          </cell>
          <cell r="G332" t="str">
            <v>CCAGTTGA</v>
          </cell>
          <cell r="H332" t="str">
            <v>mRNA</v>
          </cell>
          <cell r="I332">
            <v>6</v>
          </cell>
          <cell r="J332">
            <v>6.5</v>
          </cell>
          <cell r="K332" t="str">
            <v>HGC20240624005-0001</v>
          </cell>
        </row>
        <row r="333">
          <cell r="C333" t="str">
            <v>HGC-2448155</v>
          </cell>
          <cell r="D333" t="str">
            <v>L28-5L</v>
          </cell>
          <cell r="E333" t="str">
            <v>IDT351</v>
          </cell>
          <cell r="F333" t="str">
            <v>ATGGTTGC</v>
          </cell>
          <cell r="G333" t="str">
            <v>AGCCAACT</v>
          </cell>
          <cell r="H333" t="str">
            <v>mRNA</v>
          </cell>
          <cell r="I333">
            <v>6</v>
          </cell>
          <cell r="J333">
            <v>6.5</v>
          </cell>
          <cell r="K333" t="str">
            <v>HGC20240624005-0001</v>
          </cell>
        </row>
        <row r="334">
          <cell r="C334" t="str">
            <v>HGC-2448156</v>
          </cell>
          <cell r="D334" t="str">
            <v>L2-9L</v>
          </cell>
          <cell r="E334" t="str">
            <v>IDT352</v>
          </cell>
          <cell r="F334" t="str">
            <v>GCTGGATT</v>
          </cell>
          <cell r="G334" t="str">
            <v>CTAACCTG</v>
          </cell>
          <cell r="H334" t="str">
            <v>mRNA</v>
          </cell>
          <cell r="I334">
            <v>6</v>
          </cell>
          <cell r="J334">
            <v>6.5</v>
          </cell>
          <cell r="K334" t="str">
            <v>HGC20240624005-0001</v>
          </cell>
        </row>
        <row r="335">
          <cell r="C335" t="str">
            <v>HGC-2448157</v>
          </cell>
          <cell r="D335" t="str">
            <v>L29-1L</v>
          </cell>
          <cell r="E335" t="str">
            <v>IDT353</v>
          </cell>
          <cell r="F335" t="str">
            <v>GATGCACT</v>
          </cell>
          <cell r="G335" t="str">
            <v>ACTGGTGT</v>
          </cell>
          <cell r="H335" t="str">
            <v>mRNA</v>
          </cell>
          <cell r="I335">
            <v>6</v>
          </cell>
          <cell r="J335">
            <v>6.5</v>
          </cell>
          <cell r="K335" t="str">
            <v>HGC20240624005-0001</v>
          </cell>
        </row>
        <row r="336">
          <cell r="C336" t="str">
            <v>HGC-2448158</v>
          </cell>
          <cell r="D336" t="str">
            <v>L29-14L</v>
          </cell>
          <cell r="E336" t="str">
            <v>IDT354</v>
          </cell>
          <cell r="F336" t="str">
            <v>ACCAATGC</v>
          </cell>
          <cell r="G336" t="str">
            <v>GTGATCCA</v>
          </cell>
          <cell r="H336" t="str">
            <v>mRNA</v>
          </cell>
          <cell r="I336">
            <v>6</v>
          </cell>
          <cell r="J336">
            <v>6.5</v>
          </cell>
          <cell r="K336" t="str">
            <v>HGC20240624005-0001</v>
          </cell>
        </row>
        <row r="337">
          <cell r="C337" t="str">
            <v>HGC-2448159</v>
          </cell>
          <cell r="D337" t="str">
            <v>L29-4L</v>
          </cell>
          <cell r="E337" t="str">
            <v>IDT355</v>
          </cell>
          <cell r="F337" t="str">
            <v>GTCCTAAG</v>
          </cell>
          <cell r="G337" t="str">
            <v>CGAAGTCA</v>
          </cell>
          <cell r="H337" t="str">
            <v>mRNA</v>
          </cell>
          <cell r="I337">
            <v>6</v>
          </cell>
          <cell r="J337">
            <v>6.5</v>
          </cell>
          <cell r="K337" t="str">
            <v>HGC20240624005-0001</v>
          </cell>
        </row>
        <row r="338">
          <cell r="C338" t="str">
            <v>HGC-2448160</v>
          </cell>
          <cell r="D338" t="str">
            <v>L29-6L</v>
          </cell>
          <cell r="E338" t="str">
            <v>IDT356</v>
          </cell>
          <cell r="F338" t="str">
            <v>CCGACTAT</v>
          </cell>
          <cell r="G338" t="str">
            <v>TCAGACAC</v>
          </cell>
          <cell r="H338" t="str">
            <v>mRNA</v>
          </cell>
          <cell r="I338">
            <v>6</v>
          </cell>
          <cell r="J338">
            <v>6.5</v>
          </cell>
          <cell r="K338" t="str">
            <v>HGC20240624005-0001</v>
          </cell>
        </row>
        <row r="339">
          <cell r="C339" t="str">
            <v>HGC-2448161</v>
          </cell>
          <cell r="D339" t="str">
            <v>L29-7L</v>
          </cell>
          <cell r="E339" t="str">
            <v>IDT357</v>
          </cell>
          <cell r="F339" t="str">
            <v>TTGGTCTC</v>
          </cell>
          <cell r="G339" t="str">
            <v>CCGTAACT</v>
          </cell>
          <cell r="H339" t="str">
            <v>mRNA</v>
          </cell>
          <cell r="I339">
            <v>6</v>
          </cell>
          <cell r="J339">
            <v>6.5</v>
          </cell>
          <cell r="K339" t="str">
            <v>HGC20240624005-0001</v>
          </cell>
        </row>
        <row r="340">
          <cell r="C340" t="str">
            <v>HGC-2448162</v>
          </cell>
          <cell r="D340" t="str">
            <v>L29-9L</v>
          </cell>
          <cell r="E340" t="str">
            <v>IDT358</v>
          </cell>
          <cell r="F340" t="str">
            <v>GCCTTGTT</v>
          </cell>
          <cell r="G340" t="str">
            <v>AGCGAGAT</v>
          </cell>
          <cell r="H340" t="str">
            <v>mRNA</v>
          </cell>
          <cell r="I340">
            <v>6</v>
          </cell>
          <cell r="J340">
            <v>6.5</v>
          </cell>
          <cell r="K340" t="str">
            <v>HGC20240624005-0001</v>
          </cell>
        </row>
        <row r="341">
          <cell r="C341" t="str">
            <v>HGC-2448164</v>
          </cell>
          <cell r="D341" t="str">
            <v>L30-15L</v>
          </cell>
          <cell r="E341" t="str">
            <v>IDT360</v>
          </cell>
          <cell r="F341" t="str">
            <v>ATTCGAGG</v>
          </cell>
          <cell r="G341" t="str">
            <v>ACAAGCTC</v>
          </cell>
          <cell r="H341" t="str">
            <v>mRNA</v>
          </cell>
          <cell r="I341">
            <v>6</v>
          </cell>
          <cell r="J341">
            <v>6.5</v>
          </cell>
          <cell r="K341" t="str">
            <v>HGC20240624005-0001</v>
          </cell>
        </row>
        <row r="342">
          <cell r="C342" t="str">
            <v>HGC-2448174</v>
          </cell>
          <cell r="D342" t="str">
            <v>L32-3L</v>
          </cell>
          <cell r="E342" t="str">
            <v>IDT370</v>
          </cell>
          <cell r="F342" t="str">
            <v>GAATCGTG</v>
          </cell>
          <cell r="G342" t="str">
            <v>TTCACGGA</v>
          </cell>
          <cell r="H342" t="str">
            <v>mRNA</v>
          </cell>
          <cell r="I342">
            <v>6</v>
          </cell>
          <cell r="J342">
            <v>6.5</v>
          </cell>
          <cell r="K342" t="str">
            <v>HGC20240624005-0001</v>
          </cell>
        </row>
        <row r="343">
          <cell r="C343" t="str">
            <v>HGC-2448175</v>
          </cell>
          <cell r="D343" t="str">
            <v>L32-8L</v>
          </cell>
          <cell r="E343" t="str">
            <v>IDT371</v>
          </cell>
          <cell r="F343" t="str">
            <v>ACCAGCTT</v>
          </cell>
          <cell r="G343" t="str">
            <v>GTATCGAG</v>
          </cell>
          <cell r="H343" t="str">
            <v>mRNA</v>
          </cell>
          <cell r="I343">
            <v>6</v>
          </cell>
          <cell r="J343">
            <v>6.5</v>
          </cell>
          <cell r="K343" t="str">
            <v>HGC20240624005-0001</v>
          </cell>
        </row>
        <row r="344">
          <cell r="C344" t="str">
            <v>HGC-2448176</v>
          </cell>
          <cell r="D344" t="str">
            <v>L33-11L</v>
          </cell>
          <cell r="E344" t="str">
            <v>IDT372</v>
          </cell>
          <cell r="F344" t="str">
            <v>CTCATTGC</v>
          </cell>
          <cell r="G344" t="str">
            <v>CAGGTAAG</v>
          </cell>
          <cell r="H344" t="str">
            <v>mRNA</v>
          </cell>
          <cell r="I344">
            <v>6</v>
          </cell>
          <cell r="J344">
            <v>6.5</v>
          </cell>
          <cell r="K344" t="str">
            <v>HGC20240624005-0001</v>
          </cell>
        </row>
        <row r="345">
          <cell r="C345" t="str">
            <v>HGC-2448177</v>
          </cell>
          <cell r="D345" t="str">
            <v>L33-19L</v>
          </cell>
          <cell r="E345" t="str">
            <v>IDT373</v>
          </cell>
          <cell r="F345" t="str">
            <v>CGATAGAG</v>
          </cell>
          <cell r="G345" t="str">
            <v>TTCGCCAT</v>
          </cell>
          <cell r="H345" t="str">
            <v>mRNA</v>
          </cell>
          <cell r="I345">
            <v>6</v>
          </cell>
          <cell r="J345">
            <v>6.5</v>
          </cell>
          <cell r="K345" t="str">
            <v>HGC20240624005-0001</v>
          </cell>
        </row>
        <row r="346">
          <cell r="C346" t="str">
            <v>HGC-2448178</v>
          </cell>
          <cell r="D346" t="str">
            <v>L33-20L</v>
          </cell>
          <cell r="E346" t="str">
            <v>IDT374</v>
          </cell>
          <cell r="F346" t="str">
            <v>TGGAGAGT</v>
          </cell>
          <cell r="G346" t="str">
            <v>AGGTAGGA</v>
          </cell>
          <cell r="H346" t="str">
            <v>mRNA</v>
          </cell>
          <cell r="I346">
            <v>6</v>
          </cell>
          <cell r="J346">
            <v>6.5</v>
          </cell>
          <cell r="K346" t="str">
            <v>HGC20240624005-0001</v>
          </cell>
        </row>
        <row r="347">
          <cell r="C347" t="str">
            <v>HGC-2448179</v>
          </cell>
          <cell r="D347" t="str">
            <v>L33-3L</v>
          </cell>
          <cell r="E347" t="str">
            <v>IDT375</v>
          </cell>
          <cell r="F347" t="str">
            <v>GTATGCTG</v>
          </cell>
          <cell r="G347" t="str">
            <v>AACTGAGG</v>
          </cell>
          <cell r="H347" t="str">
            <v>mRNA</v>
          </cell>
          <cell r="I347">
            <v>6</v>
          </cell>
          <cell r="J347">
            <v>6.5</v>
          </cell>
          <cell r="K347" t="str">
            <v>HGC20240624005-0001</v>
          </cell>
        </row>
        <row r="348">
          <cell r="C348" t="str">
            <v>HGC-2448180</v>
          </cell>
          <cell r="D348" t="str">
            <v>L3-4L</v>
          </cell>
          <cell r="E348" t="str">
            <v>IDT376</v>
          </cell>
          <cell r="F348" t="str">
            <v>CTGGAGTA</v>
          </cell>
          <cell r="G348" t="str">
            <v>CCAAGTAG</v>
          </cell>
          <cell r="H348" t="str">
            <v>mRNA</v>
          </cell>
          <cell r="I348">
            <v>6</v>
          </cell>
          <cell r="J348">
            <v>6.5</v>
          </cell>
          <cell r="K348" t="str">
            <v>HGC20240624005-0001</v>
          </cell>
        </row>
        <row r="349">
          <cell r="C349" t="str">
            <v>HGC-2448181</v>
          </cell>
          <cell r="D349" t="str">
            <v>L34-10L</v>
          </cell>
          <cell r="E349" t="str">
            <v>IDT377</v>
          </cell>
          <cell r="F349" t="str">
            <v>AATGCCTC</v>
          </cell>
          <cell r="G349" t="str">
            <v>TGCTGTGA</v>
          </cell>
          <cell r="H349" t="str">
            <v>mRNA</v>
          </cell>
          <cell r="I349">
            <v>6</v>
          </cell>
          <cell r="J349">
            <v>6.5</v>
          </cell>
          <cell r="K349" t="str">
            <v>HGC20240624005-0001</v>
          </cell>
        </row>
        <row r="350">
          <cell r="C350" t="str">
            <v>HGC-2448182</v>
          </cell>
          <cell r="D350" t="str">
            <v>L34-11L</v>
          </cell>
          <cell r="E350" t="str">
            <v>IDT378</v>
          </cell>
          <cell r="F350" t="str">
            <v>TGAGGTGT</v>
          </cell>
          <cell r="G350" t="str">
            <v>ACAACGTG</v>
          </cell>
          <cell r="H350" t="str">
            <v>mRNA</v>
          </cell>
          <cell r="I350">
            <v>6</v>
          </cell>
          <cell r="J350">
            <v>6.5</v>
          </cell>
          <cell r="K350" t="str">
            <v>HGC20240624005-0001</v>
          </cell>
        </row>
        <row r="351">
          <cell r="C351" t="str">
            <v>HGC-2448183</v>
          </cell>
          <cell r="D351" t="str">
            <v>L34-15L</v>
          </cell>
          <cell r="E351" t="str">
            <v>IDT379</v>
          </cell>
          <cell r="F351" t="str">
            <v>ACATTGCG</v>
          </cell>
          <cell r="G351" t="str">
            <v>CTCGACTT</v>
          </cell>
          <cell r="H351" t="str">
            <v>mRNA</v>
          </cell>
          <cell r="I351">
            <v>6</v>
          </cell>
          <cell r="J351">
            <v>6.5</v>
          </cell>
          <cell r="K351" t="str">
            <v>HGC20240624005-0001</v>
          </cell>
        </row>
        <row r="352">
          <cell r="C352" t="str">
            <v>HGC-2448184</v>
          </cell>
          <cell r="D352" t="str">
            <v>L34-9L</v>
          </cell>
          <cell r="E352" t="str">
            <v>IDT380</v>
          </cell>
          <cell r="F352" t="str">
            <v>TCTCTAGG</v>
          </cell>
          <cell r="G352" t="str">
            <v>ACGGTACA</v>
          </cell>
          <cell r="H352" t="str">
            <v>mRNA</v>
          </cell>
          <cell r="I352">
            <v>6</v>
          </cell>
          <cell r="J352">
            <v>6.5</v>
          </cell>
          <cell r="K352" t="str">
            <v>HGC20240624005-0001</v>
          </cell>
        </row>
        <row r="353">
          <cell r="C353" t="str">
            <v>HGC-2448185</v>
          </cell>
          <cell r="D353" t="str">
            <v>L3-5L</v>
          </cell>
          <cell r="E353" t="str">
            <v>IDT381</v>
          </cell>
          <cell r="F353" t="str">
            <v>CGCTAGTA</v>
          </cell>
          <cell r="G353" t="str">
            <v>CTGATGAG</v>
          </cell>
          <cell r="H353" t="str">
            <v>mRNA</v>
          </cell>
          <cell r="I353">
            <v>6</v>
          </cell>
          <cell r="J353">
            <v>6.5</v>
          </cell>
          <cell r="K353" t="str">
            <v>HGC20240624005-0001</v>
          </cell>
        </row>
        <row r="354">
          <cell r="C354" t="str">
            <v>HGC-2448186</v>
          </cell>
          <cell r="D354" t="str">
            <v>L36-14L</v>
          </cell>
          <cell r="E354" t="str">
            <v>IDT382</v>
          </cell>
          <cell r="F354" t="str">
            <v>AATGGACG</v>
          </cell>
          <cell r="G354" t="str">
            <v>GTGAGACT</v>
          </cell>
          <cell r="H354" t="str">
            <v>mRNA</v>
          </cell>
          <cell r="I354">
            <v>6</v>
          </cell>
          <cell r="J354">
            <v>6.5</v>
          </cell>
          <cell r="K354" t="str">
            <v>HGC20240624005-0001</v>
          </cell>
        </row>
        <row r="355">
          <cell r="C355" t="str">
            <v>HGC-2448187</v>
          </cell>
          <cell r="D355" t="str">
            <v>L36-20L</v>
          </cell>
          <cell r="E355" t="str">
            <v>IDT383</v>
          </cell>
          <cell r="F355" t="str">
            <v>GATAGCGA</v>
          </cell>
          <cell r="G355" t="str">
            <v>CATCCAAG</v>
          </cell>
          <cell r="H355" t="str">
            <v>mRNA</v>
          </cell>
          <cell r="I355">
            <v>6</v>
          </cell>
          <cell r="J355">
            <v>6.5</v>
          </cell>
          <cell r="K355" t="str">
            <v>HGC20240624005-0001</v>
          </cell>
        </row>
        <row r="356">
          <cell r="C356" t="str">
            <v>HGC-2448188</v>
          </cell>
          <cell r="D356" t="str">
            <v>L36-6L</v>
          </cell>
          <cell r="E356" t="str">
            <v>IDT384</v>
          </cell>
          <cell r="F356" t="str">
            <v>CGACCATT</v>
          </cell>
          <cell r="G356" t="str">
            <v>TGATAGGC</v>
          </cell>
          <cell r="H356" t="str">
            <v>mRNA</v>
          </cell>
          <cell r="I356">
            <v>6</v>
          </cell>
          <cell r="J356">
            <v>6.5</v>
          </cell>
          <cell r="K356" t="str">
            <v>HGC20240624005-0001</v>
          </cell>
        </row>
        <row r="357">
          <cell r="C357" t="str">
            <v>HGC-2448116</v>
          </cell>
          <cell r="D357" t="str">
            <v>L1-14L</v>
          </cell>
          <cell r="E357" t="str">
            <v>IDT289</v>
          </cell>
          <cell r="F357" t="str">
            <v>CATTGCCT</v>
          </cell>
          <cell r="G357" t="str">
            <v>GATCTCAG</v>
          </cell>
          <cell r="H357" t="str">
            <v>mRNA</v>
          </cell>
          <cell r="I357">
            <v>6</v>
          </cell>
          <cell r="J357">
            <v>6.5</v>
          </cell>
          <cell r="K357" t="str">
            <v>HGC20240624005-0001</v>
          </cell>
        </row>
        <row r="358">
          <cell r="C358" t="str">
            <v>HGC-2448118</v>
          </cell>
          <cell r="D358" t="str">
            <v>L1-2L</v>
          </cell>
          <cell r="E358" t="str">
            <v>IDT290</v>
          </cell>
          <cell r="F358" t="str">
            <v>CTAGGTGA</v>
          </cell>
          <cell r="G358" t="str">
            <v>CTATCCAC</v>
          </cell>
          <cell r="H358" t="str">
            <v>mRNA</v>
          </cell>
          <cell r="I358">
            <v>6</v>
          </cell>
          <cell r="J358">
            <v>6.5</v>
          </cell>
          <cell r="K358" t="str">
            <v>HGC20240624005-0001</v>
          </cell>
        </row>
        <row r="359">
          <cell r="C359" t="str">
            <v>HGC-2448124</v>
          </cell>
          <cell r="D359" t="str">
            <v>L19-18L</v>
          </cell>
          <cell r="E359" t="str">
            <v>IDT291</v>
          </cell>
          <cell r="F359" t="str">
            <v>TCCGTATG</v>
          </cell>
          <cell r="G359" t="str">
            <v>TGGATGGT</v>
          </cell>
          <cell r="H359" t="str">
            <v>mRNA</v>
          </cell>
          <cell r="I359">
            <v>6</v>
          </cell>
          <cell r="J359">
            <v>6.5</v>
          </cell>
          <cell r="K359" t="str">
            <v>HGC20240624005-0001</v>
          </cell>
        </row>
        <row r="360">
          <cell r="C360" t="str">
            <v>HGC-2448136</v>
          </cell>
          <cell r="D360" t="str">
            <v>L22-1L</v>
          </cell>
          <cell r="E360" t="str">
            <v>IDT292</v>
          </cell>
          <cell r="F360" t="str">
            <v>ACGATGAC</v>
          </cell>
          <cell r="G360" t="str">
            <v>CAACCTCT</v>
          </cell>
          <cell r="H360" t="str">
            <v>mRNA</v>
          </cell>
          <cell r="I360">
            <v>6</v>
          </cell>
          <cell r="J360">
            <v>6.5</v>
          </cell>
          <cell r="K360" t="str">
            <v>HGC20240624005-0001</v>
          </cell>
        </row>
        <row r="361">
          <cell r="C361" t="str">
            <v>HGC-2448137</v>
          </cell>
          <cell r="D361" t="str">
            <v>L22-2L</v>
          </cell>
          <cell r="E361" t="str">
            <v>IDT293</v>
          </cell>
          <cell r="F361" t="str">
            <v>GTCGGTAA</v>
          </cell>
          <cell r="G361" t="str">
            <v>GTTGGCAT</v>
          </cell>
          <cell r="H361" t="str">
            <v>mRNA</v>
          </cell>
          <cell r="I361">
            <v>6</v>
          </cell>
          <cell r="J361">
            <v>6.5</v>
          </cell>
          <cell r="K361" t="str">
            <v>HGC20240624005-0001</v>
          </cell>
        </row>
        <row r="362">
          <cell r="C362" t="str">
            <v>HGC-2448138</v>
          </cell>
          <cell r="D362" t="str">
            <v>L22-4L</v>
          </cell>
          <cell r="E362" t="str">
            <v>IDT294</v>
          </cell>
          <cell r="F362" t="str">
            <v>TCGAAGGT</v>
          </cell>
          <cell r="G362" t="str">
            <v>GCCTTAAC</v>
          </cell>
          <cell r="H362" t="str">
            <v>mRNA</v>
          </cell>
          <cell r="I362">
            <v>6</v>
          </cell>
          <cell r="J362">
            <v>6.5</v>
          </cell>
          <cell r="K362" t="str">
            <v>HGC20240624005-0001</v>
          </cell>
        </row>
        <row r="363">
          <cell r="C363" t="str">
            <v>HGC-2448141</v>
          </cell>
          <cell r="D363" t="str">
            <v>L25-1L</v>
          </cell>
          <cell r="E363" t="str">
            <v>IDT295</v>
          </cell>
          <cell r="F363" t="str">
            <v>AGAAGCGT</v>
          </cell>
          <cell r="G363" t="str">
            <v>AGTCAGGT</v>
          </cell>
          <cell r="H363" t="str">
            <v>mRNA</v>
          </cell>
          <cell r="I363">
            <v>6</v>
          </cell>
          <cell r="J363">
            <v>6.5</v>
          </cell>
          <cell r="K363" t="str">
            <v>HGC20240624005-0001</v>
          </cell>
        </row>
        <row r="364">
          <cell r="C364" t="str">
            <v>HGC-2448163</v>
          </cell>
          <cell r="D364" t="str">
            <v>L30-14L</v>
          </cell>
          <cell r="E364" t="str">
            <v>IDT296</v>
          </cell>
          <cell r="F364" t="str">
            <v>CTCTACTC</v>
          </cell>
          <cell r="G364" t="str">
            <v>TAAGTGGC</v>
          </cell>
          <cell r="H364" t="str">
            <v>mRNA</v>
          </cell>
          <cell r="I364">
            <v>6</v>
          </cell>
          <cell r="J364">
            <v>6.5</v>
          </cell>
          <cell r="K364" t="str">
            <v>HGC20240624005-0001</v>
          </cell>
        </row>
        <row r="365">
          <cell r="C365" t="str">
            <v>HGC-2448189</v>
          </cell>
          <cell r="D365" t="str">
            <v>L36-7L</v>
          </cell>
          <cell r="E365" t="str">
            <v>IDT297</v>
          </cell>
          <cell r="F365" t="str">
            <v>CTAGGCAT</v>
          </cell>
          <cell r="G365" t="str">
            <v>ACAGAGGT</v>
          </cell>
          <cell r="H365" t="str">
            <v>mRNA</v>
          </cell>
          <cell r="I365">
            <v>6</v>
          </cell>
          <cell r="J365">
            <v>6.5</v>
          </cell>
          <cell r="K365" t="str">
            <v>HGC20240624005-0001</v>
          </cell>
        </row>
        <row r="366">
          <cell r="C366" t="str">
            <v>HGC-2448190</v>
          </cell>
          <cell r="D366" t="str">
            <v>L38-1L</v>
          </cell>
          <cell r="E366" t="str">
            <v>IDT298</v>
          </cell>
          <cell r="F366" t="str">
            <v>TGGAGTTG</v>
          </cell>
          <cell r="G366" t="str">
            <v>CATGGATC</v>
          </cell>
          <cell r="H366" t="str">
            <v>mRNA</v>
          </cell>
          <cell r="I366">
            <v>6</v>
          </cell>
          <cell r="J366">
            <v>6.5</v>
          </cell>
          <cell r="K366" t="str">
            <v>HGC20240624005-0001</v>
          </cell>
        </row>
        <row r="367">
          <cell r="C367" t="str">
            <v>HGC-2448191</v>
          </cell>
          <cell r="D367" t="str">
            <v>L38-3L</v>
          </cell>
          <cell r="E367" t="str">
            <v>IDT299</v>
          </cell>
          <cell r="F367" t="str">
            <v>GAGGACTT</v>
          </cell>
          <cell r="G367" t="str">
            <v>GTTAAGCG</v>
          </cell>
          <cell r="H367" t="str">
            <v>mRNA</v>
          </cell>
          <cell r="I367">
            <v>6</v>
          </cell>
          <cell r="J367">
            <v>6.5</v>
          </cell>
          <cell r="K367" t="str">
            <v>HGC20240624005-0001</v>
          </cell>
        </row>
        <row r="368">
          <cell r="C368" t="str">
            <v>HGC-2448192</v>
          </cell>
          <cell r="D368" t="str">
            <v>L38-5L</v>
          </cell>
          <cell r="E368" t="str">
            <v>IDT300</v>
          </cell>
          <cell r="F368" t="str">
            <v>CAATCGAC</v>
          </cell>
          <cell r="G368" t="str">
            <v>AGCAGACA</v>
          </cell>
          <cell r="H368" t="str">
            <v>mRNA</v>
          </cell>
          <cell r="I368">
            <v>6</v>
          </cell>
          <cell r="J368">
            <v>6.5</v>
          </cell>
          <cell r="K368" t="str">
            <v>HGC20240624005-0001</v>
          </cell>
        </row>
        <row r="369">
          <cell r="C369" t="str">
            <v>HGC-2448193</v>
          </cell>
          <cell r="D369" t="str">
            <v>L38-6L</v>
          </cell>
          <cell r="E369" t="str">
            <v>IDT301</v>
          </cell>
          <cell r="F369" t="str">
            <v>TCTAACGC</v>
          </cell>
          <cell r="G369" t="str">
            <v>CGCCTTAT</v>
          </cell>
          <cell r="H369" t="str">
            <v>mRNA</v>
          </cell>
          <cell r="I369">
            <v>6</v>
          </cell>
          <cell r="J369">
            <v>6.5</v>
          </cell>
          <cell r="K369" t="str">
            <v>HGC20240624005-0001</v>
          </cell>
        </row>
        <row r="370">
          <cell r="C370" t="str">
            <v>HGC-2448194</v>
          </cell>
          <cell r="D370" t="str">
            <v>L3-9L</v>
          </cell>
          <cell r="E370" t="str">
            <v>IDT302</v>
          </cell>
          <cell r="F370" t="str">
            <v>TCTCGCAA</v>
          </cell>
          <cell r="G370" t="str">
            <v>ACAAGACG</v>
          </cell>
          <cell r="H370" t="str">
            <v>mRNA</v>
          </cell>
          <cell r="I370">
            <v>6</v>
          </cell>
          <cell r="J370">
            <v>6.5</v>
          </cell>
          <cell r="K370" t="str">
            <v>HGC20240624005-0001</v>
          </cell>
        </row>
        <row r="371">
          <cell r="C371" t="str">
            <v>HGC-2448195</v>
          </cell>
          <cell r="D371" t="str">
            <v>L40-1L</v>
          </cell>
          <cell r="E371" t="str">
            <v>IDT303</v>
          </cell>
          <cell r="F371" t="str">
            <v>ATCGGTGT</v>
          </cell>
          <cell r="G371" t="str">
            <v>ACATGGAG</v>
          </cell>
          <cell r="H371" t="str">
            <v>mRNA</v>
          </cell>
          <cell r="I371">
            <v>6</v>
          </cell>
          <cell r="J371">
            <v>6.5</v>
          </cell>
          <cell r="K371" t="str">
            <v>HGC20240624005-0001</v>
          </cell>
        </row>
        <row r="372">
          <cell r="C372" t="str">
            <v>HGC-2448196</v>
          </cell>
          <cell r="D372" t="str">
            <v>L40-10L</v>
          </cell>
          <cell r="E372" t="str">
            <v>IDT304</v>
          </cell>
          <cell r="F372" t="str">
            <v>GAGATACG</v>
          </cell>
          <cell r="G372" t="str">
            <v>CTCGAACA</v>
          </cell>
          <cell r="H372" t="str">
            <v>mRNA</v>
          </cell>
          <cell r="I372">
            <v>6</v>
          </cell>
          <cell r="J372">
            <v>6.5</v>
          </cell>
          <cell r="K372" t="str">
            <v>HGC20240624005-0001</v>
          </cell>
        </row>
        <row r="375">
          <cell r="C375" t="str">
            <v>HaploX编号</v>
          </cell>
          <cell r="D375" t="str">
            <v>样本名称</v>
          </cell>
          <cell r="E375" t="str">
            <v>Index序号</v>
          </cell>
          <cell r="F375" t="str">
            <v>i7序列</v>
          </cell>
          <cell r="G375" t="str">
            <v>i5序列</v>
          </cell>
          <cell r="H375" t="str">
            <v>文库类型</v>
          </cell>
          <cell r="I375" t="str">
            <v>数据量G</v>
          </cell>
          <cell r="J375" t="str">
            <v>预分配数据量G</v>
          </cell>
          <cell r="K375" t="str">
            <v>合同编号</v>
          </cell>
        </row>
        <row r="376">
          <cell r="C376" t="str">
            <v>HGC-Lib-2451726</v>
          </cell>
          <cell r="D376" t="str">
            <v>LW20A042202</v>
          </cell>
          <cell r="F376" t="str">
            <v>CTTACCTG</v>
          </cell>
          <cell r="G376" t="str">
            <v>GCAATGAG</v>
          </cell>
          <cell r="H376" t="str">
            <v>甲基化文库</v>
          </cell>
          <cell r="I376">
            <v>18</v>
          </cell>
          <cell r="J376">
            <v>18</v>
          </cell>
          <cell r="K376" t="str">
            <v>HGC20220926004-0033</v>
          </cell>
        </row>
        <row r="377">
          <cell r="C377" t="str">
            <v>HGC-Lib-2451727</v>
          </cell>
          <cell r="D377" t="str">
            <v>LW20A042501</v>
          </cell>
          <cell r="F377" t="str">
            <v>CTCGATAC</v>
          </cell>
          <cell r="G377" t="str">
            <v>AAGCTGGT</v>
          </cell>
          <cell r="H377" t="str">
            <v>甲基化文库</v>
          </cell>
          <cell r="I377">
            <v>100</v>
          </cell>
          <cell r="J377">
            <v>100</v>
          </cell>
          <cell r="K377" t="str">
            <v>HGC20220926004-0033</v>
          </cell>
        </row>
        <row r="378">
          <cell r="C378" t="str">
            <v>HGC-Lib-2451728</v>
          </cell>
          <cell r="D378" t="str">
            <v>LW20A042529</v>
          </cell>
          <cell r="F378" t="str">
            <v>TCCGTGAA</v>
          </cell>
          <cell r="G378" t="str">
            <v>CACGATTC</v>
          </cell>
          <cell r="H378" t="str">
            <v>甲基化文库</v>
          </cell>
          <cell r="I378">
            <v>100</v>
          </cell>
          <cell r="J378">
            <v>100</v>
          </cell>
          <cell r="K378" t="str">
            <v>HGC20220926004-0033</v>
          </cell>
        </row>
        <row r="379">
          <cell r="C379" t="str">
            <v>HGC-Lib-2457664</v>
          </cell>
          <cell r="D379" t="str">
            <v>WK0721-1</v>
          </cell>
          <cell r="F379" t="str">
            <v>CTCAATGA</v>
          </cell>
          <cell r="H379" t="str">
            <v>WES/panel捕获文库</v>
          </cell>
          <cell r="I379">
            <v>13</v>
          </cell>
          <cell r="J379">
            <v>13</v>
          </cell>
          <cell r="K379" t="str">
            <v>HGC20200907004-0620</v>
          </cell>
        </row>
        <row r="380">
          <cell r="D380" t="str">
            <v>WK0721-1</v>
          </cell>
          <cell r="F380" t="str">
            <v>AATGTTGC</v>
          </cell>
          <cell r="H380" t="str">
            <v>WES/panel捕获文库</v>
          </cell>
          <cell r="K380" t="str">
            <v>HGC20200907004-0620</v>
          </cell>
        </row>
        <row r="381">
          <cell r="D381" t="str">
            <v>WK0721-1</v>
          </cell>
          <cell r="F381" t="str">
            <v>CAAGGAGC</v>
          </cell>
          <cell r="H381" t="str">
            <v>WES/panel捕获文库</v>
          </cell>
          <cell r="K381" t="str">
            <v>HGC20200907004-0620</v>
          </cell>
        </row>
        <row r="382">
          <cell r="D382" t="str">
            <v>WK0721-1</v>
          </cell>
          <cell r="F382" t="str">
            <v>CCTCCTGA</v>
          </cell>
          <cell r="H382" t="str">
            <v>WES/panel捕获文库</v>
          </cell>
          <cell r="K382" t="str">
            <v>HGC20200907004-0620</v>
          </cell>
        </row>
        <row r="383">
          <cell r="C383" t="str">
            <v>HGC-lib-2458100</v>
          </cell>
          <cell r="D383" t="str">
            <v>N703-pH7.4-550pg-0722</v>
          </cell>
          <cell r="F383" t="str">
            <v>AGGCAGAA</v>
          </cell>
          <cell r="H383" t="str">
            <v>mRNA文库</v>
          </cell>
          <cell r="I383">
            <v>19</v>
          </cell>
          <cell r="J383">
            <v>19</v>
          </cell>
          <cell r="K383" t="str">
            <v>HGC20231121004-0056</v>
          </cell>
        </row>
        <row r="384">
          <cell r="C384" t="str">
            <v>HGC-lib-2458101</v>
          </cell>
          <cell r="D384" t="str">
            <v>N705-pH7.4-500pg-0722</v>
          </cell>
          <cell r="F384" t="str">
            <v>GGACTCCT</v>
          </cell>
          <cell r="H384" t="str">
            <v>mRNA文库</v>
          </cell>
          <cell r="I384">
            <v>9</v>
          </cell>
          <cell r="J384">
            <v>9</v>
          </cell>
          <cell r="K384" t="str">
            <v>HGC20231121004-0056</v>
          </cell>
        </row>
        <row r="385">
          <cell r="C385" t="str">
            <v>HGC-POOL-2452774</v>
          </cell>
          <cell r="D385" t="str">
            <v>ca-CD45-GEX</v>
          </cell>
          <cell r="F385" t="str">
            <v>ATGGAGGGAG</v>
          </cell>
          <cell r="G385" t="str">
            <v>AATGGGTTAT</v>
          </cell>
          <cell r="H385" t="str">
            <v>10× 3'单细胞</v>
          </cell>
          <cell r="I385">
            <v>32</v>
          </cell>
          <cell r="J385">
            <v>32</v>
          </cell>
          <cell r="K385" t="str">
            <v>HGC20230911006-0004</v>
          </cell>
        </row>
        <row r="386">
          <cell r="C386" t="str">
            <v>HGC-Lib-2459360</v>
          </cell>
          <cell r="D386" t="str">
            <v>FW2024-225-15-yangjianliu0724</v>
          </cell>
          <cell r="F386" t="str">
            <v>GAGACGCACG</v>
          </cell>
          <cell r="G386" t="str">
            <v>ATGTTCATAG</v>
          </cell>
          <cell r="H386" t="str">
            <v>10× 3'单细胞</v>
          </cell>
          <cell r="I386">
            <v>35</v>
          </cell>
          <cell r="J386">
            <v>35</v>
          </cell>
          <cell r="K386" t="str">
            <v>HGC20231228007-0042</v>
          </cell>
        </row>
        <row r="387">
          <cell r="C387" t="str">
            <v>HGC-Lib-2454768</v>
          </cell>
          <cell r="D387" t="str">
            <v>me3-sh3-input</v>
          </cell>
          <cell r="F387" t="str">
            <v>AAGAGGCA</v>
          </cell>
          <cell r="G387" t="str">
            <v>GCGATCTA</v>
          </cell>
          <cell r="H387" t="str">
            <v>mRNA文库</v>
          </cell>
          <cell r="I387">
            <v>6</v>
          </cell>
          <cell r="J387">
            <v>6</v>
          </cell>
          <cell r="K387" t="str">
            <v>HGC20240702005-0008</v>
          </cell>
        </row>
        <row r="388">
          <cell r="C388" t="str">
            <v>HGC-Lib-2457852</v>
          </cell>
          <cell r="D388" t="str">
            <v>IRAZ-Me-H3</v>
          </cell>
          <cell r="F388" t="str">
            <v>TAAGGCGA</v>
          </cell>
          <cell r="G388" t="str">
            <v>GCGATCTA</v>
          </cell>
          <cell r="H388" t="str">
            <v>CUT&amp;Tag文库</v>
          </cell>
          <cell r="I388">
            <v>6</v>
          </cell>
          <cell r="J388">
            <v>6</v>
          </cell>
          <cell r="K388" t="str">
            <v>HGC20240626001-0005</v>
          </cell>
        </row>
        <row r="389">
          <cell r="C389" t="str">
            <v>HGC-Lib-2457853</v>
          </cell>
          <cell r="D389" t="str">
            <v>IRAZ-Me-H3K9me2-1</v>
          </cell>
          <cell r="F389" t="str">
            <v>CGTACTAG</v>
          </cell>
          <cell r="G389" t="str">
            <v>ATAGAGAG</v>
          </cell>
          <cell r="H389" t="str">
            <v>CUT&amp;Tag文库</v>
          </cell>
          <cell r="I389">
            <v>10</v>
          </cell>
          <cell r="J389">
            <v>10</v>
          </cell>
          <cell r="K389" t="str">
            <v>HGC20240626001-0005</v>
          </cell>
        </row>
        <row r="390">
          <cell r="C390" t="str">
            <v>HGC-Lib-2457855</v>
          </cell>
          <cell r="D390" t="str">
            <v>IRAZ-Me-S9.6-1</v>
          </cell>
          <cell r="F390" t="str">
            <v>TCCTGAGC</v>
          </cell>
          <cell r="G390" t="str">
            <v>TCTACTCT</v>
          </cell>
          <cell r="H390" t="str">
            <v>CUT&amp;Tag文库</v>
          </cell>
          <cell r="I390">
            <v>10</v>
          </cell>
          <cell r="J390">
            <v>10</v>
          </cell>
          <cell r="K390" t="str">
            <v>HGC20240626001-0005</v>
          </cell>
        </row>
        <row r="391">
          <cell r="C391" t="str">
            <v>HGC-Lib-2457857</v>
          </cell>
          <cell r="D391" t="str">
            <v>sp-ZH11-H3K36me3-2</v>
          </cell>
          <cell r="F391" t="str">
            <v>TAGGCATG</v>
          </cell>
          <cell r="G391" t="str">
            <v>TATGCAGT</v>
          </cell>
          <cell r="H391" t="str">
            <v>CUT&amp;Tag文库</v>
          </cell>
          <cell r="I391">
            <v>10</v>
          </cell>
          <cell r="J391">
            <v>10</v>
          </cell>
          <cell r="K391" t="str">
            <v>HGC20240626001-0005</v>
          </cell>
        </row>
        <row r="392">
          <cell r="C392" t="str">
            <v>HGC-Lib-2457858</v>
          </cell>
          <cell r="D392" t="str">
            <v>Azu-Me-H3</v>
          </cell>
          <cell r="F392" t="str">
            <v>CTCTCTAC</v>
          </cell>
          <cell r="G392" t="str">
            <v>TACTCCTT</v>
          </cell>
          <cell r="H392" t="str">
            <v>CUT&amp;Tag文库</v>
          </cell>
          <cell r="I392">
            <v>6</v>
          </cell>
          <cell r="J392">
            <v>6</v>
          </cell>
          <cell r="K392" t="str">
            <v>HGC20240626001-0005</v>
          </cell>
        </row>
        <row r="393">
          <cell r="C393" t="str">
            <v>HGC-Lib-2457859</v>
          </cell>
          <cell r="D393" t="str">
            <v>IR64-Me-H3</v>
          </cell>
          <cell r="F393" t="str">
            <v>CAGAGAGG</v>
          </cell>
          <cell r="G393" t="str">
            <v>AGGCTTAG</v>
          </cell>
          <cell r="H393" t="str">
            <v>CUT&amp;Tag文库</v>
          </cell>
          <cell r="I393">
            <v>6</v>
          </cell>
          <cell r="J393">
            <v>6</v>
          </cell>
          <cell r="K393" t="str">
            <v>HGC20240626001-0005</v>
          </cell>
        </row>
        <row r="394">
          <cell r="C394" t="str">
            <v>HGC-Lib-2457860</v>
          </cell>
          <cell r="D394" t="str">
            <v>E-ZHZS</v>
          </cell>
          <cell r="F394" t="str">
            <v>CGAGGCTG</v>
          </cell>
          <cell r="G394" t="str">
            <v>CTCCTTAC</v>
          </cell>
          <cell r="H394" t="str">
            <v>CUT&amp;Tag文库</v>
          </cell>
          <cell r="I394">
            <v>6</v>
          </cell>
          <cell r="J394">
            <v>6</v>
          </cell>
          <cell r="K394" t="str">
            <v>HGC20240430007-0010</v>
          </cell>
        </row>
        <row r="395">
          <cell r="C395" t="str">
            <v>HGC-Lib-2457861</v>
          </cell>
          <cell r="D395" t="str">
            <v>E-ZSZH</v>
          </cell>
          <cell r="F395" t="str">
            <v>GCTACGCT</v>
          </cell>
          <cell r="G395" t="str">
            <v>AGGCTTAG</v>
          </cell>
          <cell r="H395" t="str">
            <v>CUT&amp;Tag文库</v>
          </cell>
          <cell r="I395">
            <v>6</v>
          </cell>
          <cell r="J395">
            <v>6</v>
          </cell>
          <cell r="K395" t="str">
            <v>HGC20240430007-0010</v>
          </cell>
        </row>
        <row r="396">
          <cell r="C396" t="str">
            <v>HGC-2402316X</v>
          </cell>
          <cell r="D396">
            <v>11050108</v>
          </cell>
          <cell r="E396" t="str">
            <v>IDT345</v>
          </cell>
          <cell r="F396" t="str">
            <v>GAGATGTC</v>
          </cell>
          <cell r="G396" t="str">
            <v>TAGTCAGC</v>
          </cell>
          <cell r="H396" t="str">
            <v>小海码</v>
          </cell>
          <cell r="I396">
            <v>8</v>
          </cell>
          <cell r="J396">
            <v>8</v>
          </cell>
        </row>
        <row r="397">
          <cell r="C397" t="str">
            <v>HGC-2402317X</v>
          </cell>
          <cell r="D397">
            <v>60449400</v>
          </cell>
          <cell r="E397" t="str">
            <v>IDT346</v>
          </cell>
          <cell r="F397" t="str">
            <v>TACGGTTG</v>
          </cell>
          <cell r="G397" t="str">
            <v>AGTTCGCA</v>
          </cell>
          <cell r="H397" t="str">
            <v>小海码</v>
          </cell>
          <cell r="I397">
            <v>8</v>
          </cell>
          <cell r="J397">
            <v>8</v>
          </cell>
        </row>
        <row r="398">
          <cell r="C398" t="str">
            <v>HGC-2402172X</v>
          </cell>
          <cell r="D398">
            <v>13793800</v>
          </cell>
          <cell r="E398" t="str">
            <v>IDT291</v>
          </cell>
          <cell r="F398" t="str">
            <v>TCCGTATG</v>
          </cell>
          <cell r="G398" t="str">
            <v>TGGATGGT</v>
          </cell>
          <cell r="H398" t="str">
            <v>小海码</v>
          </cell>
          <cell r="I398">
            <v>1.6</v>
          </cell>
          <cell r="J398">
            <v>2</v>
          </cell>
        </row>
        <row r="399">
          <cell r="C399" t="str">
            <v>HGC-2402179X</v>
          </cell>
          <cell r="D399">
            <v>13383012</v>
          </cell>
          <cell r="E399" t="str">
            <v>IDT298</v>
          </cell>
          <cell r="F399" t="str">
            <v>TGGAGTTG</v>
          </cell>
          <cell r="G399" t="str">
            <v>CATGGATC</v>
          </cell>
          <cell r="H399" t="str">
            <v>小海码</v>
          </cell>
          <cell r="I399">
            <v>1.6</v>
          </cell>
          <cell r="J399">
            <v>2</v>
          </cell>
        </row>
        <row r="400">
          <cell r="C400" t="str">
            <v>HGC-2402332X</v>
          </cell>
          <cell r="D400" t="str">
            <v>60588267NN</v>
          </cell>
          <cell r="E400" t="str">
            <v>IDT361</v>
          </cell>
          <cell r="F400" t="str">
            <v>GTCAGTTG</v>
          </cell>
          <cell r="G400" t="str">
            <v>CGATTGGA</v>
          </cell>
          <cell r="H400" t="str">
            <v>小海码</v>
          </cell>
          <cell r="I400">
            <v>1.6</v>
          </cell>
          <cell r="J400">
            <v>2</v>
          </cell>
        </row>
        <row r="401">
          <cell r="C401" t="str">
            <v>HGC-2402210X</v>
          </cell>
          <cell r="D401">
            <v>16416695</v>
          </cell>
          <cell r="E401" t="str">
            <v>IDT329</v>
          </cell>
          <cell r="F401" t="str">
            <v>TAGTTGCG</v>
          </cell>
          <cell r="G401" t="str">
            <v>TCTGTCGT</v>
          </cell>
          <cell r="H401" t="str">
            <v>小海码</v>
          </cell>
          <cell r="I401">
            <v>1.6</v>
          </cell>
          <cell r="J401">
            <v>2</v>
          </cell>
        </row>
        <row r="402">
          <cell r="C402" t="str">
            <v>HGC-2402170X</v>
          </cell>
          <cell r="D402">
            <v>14705762</v>
          </cell>
          <cell r="E402" t="str">
            <v>IDT289</v>
          </cell>
          <cell r="F402" t="str">
            <v>CATTGCCT</v>
          </cell>
          <cell r="G402" t="str">
            <v>GATCTCAG</v>
          </cell>
          <cell r="H402" t="str">
            <v>小海码</v>
          </cell>
          <cell r="I402">
            <v>1.6</v>
          </cell>
          <cell r="J402">
            <v>2</v>
          </cell>
        </row>
        <row r="403">
          <cell r="C403" t="str">
            <v>HGC-2402171X</v>
          </cell>
          <cell r="D403">
            <v>64417318</v>
          </cell>
          <cell r="E403" t="str">
            <v>IDT290</v>
          </cell>
          <cell r="F403" t="str">
            <v>CTAGGTGA</v>
          </cell>
          <cell r="G403" t="str">
            <v>CTATCCAC</v>
          </cell>
          <cell r="H403" t="str">
            <v>小海码</v>
          </cell>
          <cell r="I403">
            <v>1.6</v>
          </cell>
          <cell r="J403">
            <v>2</v>
          </cell>
        </row>
        <row r="404">
          <cell r="C404" t="str">
            <v>HGC-2402215X</v>
          </cell>
          <cell r="D404">
            <v>19516861</v>
          </cell>
          <cell r="E404" t="str">
            <v>IDT334</v>
          </cell>
          <cell r="F404" t="str">
            <v>TGCCATTC</v>
          </cell>
          <cell r="G404" t="str">
            <v>TGATCACG</v>
          </cell>
          <cell r="H404" t="str">
            <v>小海码</v>
          </cell>
          <cell r="I404">
            <v>1.6</v>
          </cell>
          <cell r="J404">
            <v>2</v>
          </cell>
        </row>
        <row r="405">
          <cell r="C405" t="str">
            <v>HGC-2402208X</v>
          </cell>
          <cell r="D405">
            <v>17953011</v>
          </cell>
          <cell r="E405" t="str">
            <v>IDT327</v>
          </cell>
          <cell r="F405" t="str">
            <v>CGTTATGC</v>
          </cell>
          <cell r="G405" t="str">
            <v>AACCACTC</v>
          </cell>
          <cell r="H405" t="str">
            <v>小海码</v>
          </cell>
          <cell r="I405">
            <v>1.6</v>
          </cell>
          <cell r="J405">
            <v>2</v>
          </cell>
        </row>
        <row r="406">
          <cell r="C406" t="str">
            <v>HGC-2402216X</v>
          </cell>
          <cell r="D406">
            <v>10320600</v>
          </cell>
          <cell r="E406" t="str">
            <v>IDT335</v>
          </cell>
          <cell r="F406" t="str">
            <v>TTGATCCG</v>
          </cell>
          <cell r="G406" t="str">
            <v>AAGCTCAC</v>
          </cell>
          <cell r="H406" t="str">
            <v>小海码</v>
          </cell>
          <cell r="I406">
            <v>1.6</v>
          </cell>
          <cell r="J406">
            <v>2</v>
          </cell>
        </row>
        <row r="407">
          <cell r="C407" t="str">
            <v>HGC-2402308X</v>
          </cell>
          <cell r="D407" t="str">
            <v>60667962HG</v>
          </cell>
          <cell r="E407" t="str">
            <v>IDT337</v>
          </cell>
          <cell r="F407" t="str">
            <v>GACTTAGG</v>
          </cell>
          <cell r="G407" t="str">
            <v>GTTCTTCG</v>
          </cell>
          <cell r="H407" t="str">
            <v>小海码</v>
          </cell>
          <cell r="I407">
            <v>1.6</v>
          </cell>
          <cell r="J407">
            <v>2</v>
          </cell>
        </row>
        <row r="408">
          <cell r="C408" t="str">
            <v>HGC-2402194X</v>
          </cell>
          <cell r="D408">
            <v>16466274</v>
          </cell>
          <cell r="E408" t="str">
            <v>IDT313</v>
          </cell>
          <cell r="F408" t="str">
            <v>CAACCTAG</v>
          </cell>
          <cell r="G408" t="str">
            <v>AGGTCTGT</v>
          </cell>
          <cell r="H408" t="str">
            <v>小海码</v>
          </cell>
          <cell r="I408">
            <v>1.6</v>
          </cell>
          <cell r="J408">
            <v>2</v>
          </cell>
        </row>
        <row r="409">
          <cell r="C409" t="str">
            <v>HGC-2402201X</v>
          </cell>
          <cell r="D409">
            <v>19695691</v>
          </cell>
          <cell r="E409" t="str">
            <v>IDT320</v>
          </cell>
          <cell r="F409" t="str">
            <v>TTCAGGAG</v>
          </cell>
          <cell r="G409" t="str">
            <v>CACAGGAA</v>
          </cell>
          <cell r="H409" t="str">
            <v>小海码</v>
          </cell>
          <cell r="I409">
            <v>1.6</v>
          </cell>
          <cell r="J409">
            <v>2</v>
          </cell>
        </row>
        <row r="410">
          <cell r="C410" t="str">
            <v>HGC-2402182X</v>
          </cell>
          <cell r="D410">
            <v>14234912</v>
          </cell>
          <cell r="E410" t="str">
            <v>IDT301</v>
          </cell>
          <cell r="F410" t="str">
            <v>TCTAACGC</v>
          </cell>
          <cell r="G410" t="str">
            <v>CGCCTTAT</v>
          </cell>
          <cell r="H410" t="str">
            <v>小海码</v>
          </cell>
          <cell r="I410">
            <v>1.6</v>
          </cell>
          <cell r="J410">
            <v>2</v>
          </cell>
        </row>
        <row r="411">
          <cell r="C411" t="str">
            <v>HGC-2402190X</v>
          </cell>
          <cell r="D411">
            <v>15143908</v>
          </cell>
          <cell r="E411" t="str">
            <v>IDT309</v>
          </cell>
          <cell r="F411" t="str">
            <v>TACATCGG</v>
          </cell>
          <cell r="G411" t="str">
            <v>TCCACGTT</v>
          </cell>
          <cell r="H411" t="str">
            <v>小海码</v>
          </cell>
          <cell r="I411">
            <v>1.6</v>
          </cell>
          <cell r="J411">
            <v>2</v>
          </cell>
        </row>
        <row r="412">
          <cell r="C412" t="str">
            <v>HGC-2402310X</v>
          </cell>
          <cell r="D412" t="str">
            <v>60663957PQ</v>
          </cell>
          <cell r="E412" t="str">
            <v>IDT339</v>
          </cell>
          <cell r="F412" t="str">
            <v>TACCAGGA</v>
          </cell>
          <cell r="G412" t="str">
            <v>GAGAGTAC</v>
          </cell>
          <cell r="H412" t="str">
            <v>小海码</v>
          </cell>
          <cell r="I412">
            <v>1.6</v>
          </cell>
          <cell r="J412">
            <v>2</v>
          </cell>
        </row>
        <row r="413">
          <cell r="C413" t="str">
            <v>HGC-2402314X</v>
          </cell>
          <cell r="D413" t="str">
            <v>60660280SL</v>
          </cell>
          <cell r="E413" t="str">
            <v>IDT343</v>
          </cell>
          <cell r="F413" t="str">
            <v>AGGAGGAA</v>
          </cell>
          <cell r="G413" t="str">
            <v>GTAAGCAC</v>
          </cell>
          <cell r="H413" t="str">
            <v>小海码</v>
          </cell>
          <cell r="I413">
            <v>1.6</v>
          </cell>
          <cell r="J413">
            <v>2</v>
          </cell>
        </row>
        <row r="414">
          <cell r="C414" t="str">
            <v>HGC-2402181X</v>
          </cell>
          <cell r="D414">
            <v>10644818</v>
          </cell>
          <cell r="E414" t="str">
            <v>IDT300</v>
          </cell>
          <cell r="F414" t="str">
            <v>CAATCGAC</v>
          </cell>
          <cell r="G414" t="str">
            <v>AGCAGACA</v>
          </cell>
          <cell r="H414" t="str">
            <v>小海码</v>
          </cell>
          <cell r="I414">
            <v>1.6</v>
          </cell>
          <cell r="J414">
            <v>2</v>
          </cell>
        </row>
        <row r="415">
          <cell r="C415" t="str">
            <v>HGC-2402259X</v>
          </cell>
          <cell r="D415" t="str">
            <v>60587417QS</v>
          </cell>
          <cell r="E415" t="str">
            <v>IDT336</v>
          </cell>
          <cell r="F415" t="str">
            <v>AGTGCAGT</v>
          </cell>
          <cell r="G415" t="str">
            <v>ATTCCGCT</v>
          </cell>
          <cell r="H415" t="str">
            <v>小海码</v>
          </cell>
          <cell r="I415">
            <v>1.6</v>
          </cell>
          <cell r="J415">
            <v>2</v>
          </cell>
        </row>
        <row r="416">
          <cell r="C416" t="str">
            <v>HGC-2402206X</v>
          </cell>
          <cell r="D416">
            <v>13990177</v>
          </cell>
          <cell r="E416" t="str">
            <v>IDT325</v>
          </cell>
          <cell r="F416" t="str">
            <v>TTACCGAG</v>
          </cell>
          <cell r="G416" t="str">
            <v>AGTCTTGG</v>
          </cell>
          <cell r="H416" t="str">
            <v>小海码</v>
          </cell>
          <cell r="I416">
            <v>1.6</v>
          </cell>
          <cell r="J416">
            <v>2</v>
          </cell>
        </row>
        <row r="417">
          <cell r="C417" t="str">
            <v>HGC-2402185X</v>
          </cell>
          <cell r="D417">
            <v>19877373</v>
          </cell>
          <cell r="E417" t="str">
            <v>IDT304</v>
          </cell>
          <cell r="F417" t="str">
            <v>GAGATACG</v>
          </cell>
          <cell r="G417" t="str">
            <v>CTCGAACA</v>
          </cell>
          <cell r="H417" t="str">
            <v>小海码</v>
          </cell>
          <cell r="I417">
            <v>1.6</v>
          </cell>
          <cell r="J417">
            <v>2</v>
          </cell>
        </row>
        <row r="418">
          <cell r="C418" t="str">
            <v>HGC-2402205X</v>
          </cell>
          <cell r="D418">
            <v>13562666</v>
          </cell>
          <cell r="E418" t="str">
            <v>IDT324</v>
          </cell>
          <cell r="F418" t="str">
            <v>GCCATAAC</v>
          </cell>
          <cell r="G418" t="str">
            <v>CACGCAAT</v>
          </cell>
          <cell r="H418" t="str">
            <v>小海码</v>
          </cell>
          <cell r="I418">
            <v>1.6</v>
          </cell>
          <cell r="J418">
            <v>2</v>
          </cell>
        </row>
        <row r="419">
          <cell r="C419" t="str">
            <v>HGC-2402334X</v>
          </cell>
          <cell r="D419">
            <v>67800087</v>
          </cell>
          <cell r="E419" t="str">
            <v>IDT363</v>
          </cell>
          <cell r="F419" t="str">
            <v>ACGTGATG</v>
          </cell>
          <cell r="G419" t="str">
            <v>GATAGCCA</v>
          </cell>
          <cell r="H419" t="str">
            <v>小海码</v>
          </cell>
          <cell r="I419">
            <v>1.6</v>
          </cell>
          <cell r="J419">
            <v>2</v>
          </cell>
        </row>
        <row r="420">
          <cell r="C420" t="str">
            <v>HGC-2402188X</v>
          </cell>
          <cell r="D420">
            <v>17939032</v>
          </cell>
          <cell r="E420" t="str">
            <v>IDT307</v>
          </cell>
          <cell r="F420" t="str">
            <v>CGGATTGA</v>
          </cell>
          <cell r="G420" t="str">
            <v>ACGTCGTT</v>
          </cell>
          <cell r="H420" t="str">
            <v>小海码</v>
          </cell>
          <cell r="I420">
            <v>1.6</v>
          </cell>
          <cell r="J420">
            <v>2</v>
          </cell>
        </row>
        <row r="421">
          <cell r="C421" t="str">
            <v>HGC-2402178X</v>
          </cell>
          <cell r="D421">
            <v>16489657</v>
          </cell>
          <cell r="E421" t="str">
            <v>IDT297</v>
          </cell>
          <cell r="F421" t="str">
            <v>CTAGGCAT</v>
          </cell>
          <cell r="G421" t="str">
            <v>ACAGAGGT</v>
          </cell>
          <cell r="H421" t="str">
            <v>小海码</v>
          </cell>
          <cell r="I421">
            <v>1.6</v>
          </cell>
          <cell r="J421">
            <v>2</v>
          </cell>
        </row>
        <row r="422">
          <cell r="C422" t="str">
            <v>HGC-2402187X</v>
          </cell>
          <cell r="D422">
            <v>13495686</v>
          </cell>
          <cell r="E422" t="str">
            <v>IDT306</v>
          </cell>
          <cell r="F422" t="str">
            <v>AGTCGACA</v>
          </cell>
          <cell r="G422" t="str">
            <v>CGAATACG</v>
          </cell>
          <cell r="H422" t="str">
            <v>小海码</v>
          </cell>
          <cell r="I422">
            <v>1.6</v>
          </cell>
          <cell r="J422">
            <v>2</v>
          </cell>
        </row>
        <row r="423">
          <cell r="C423" t="str">
            <v>HGC-2402176X</v>
          </cell>
          <cell r="D423">
            <v>18566678</v>
          </cell>
          <cell r="E423" t="str">
            <v>IDT295</v>
          </cell>
          <cell r="F423" t="str">
            <v>AGAAGCGT</v>
          </cell>
          <cell r="G423" t="str">
            <v>AGTCAGGT</v>
          </cell>
          <cell r="H423" t="str">
            <v>小海码</v>
          </cell>
          <cell r="I423">
            <v>1.6</v>
          </cell>
          <cell r="J423">
            <v>2</v>
          </cell>
        </row>
        <row r="424">
          <cell r="C424" t="str">
            <v>HGC-2402197X</v>
          </cell>
          <cell r="D424">
            <v>19142861</v>
          </cell>
          <cell r="E424" t="str">
            <v>IDT316</v>
          </cell>
          <cell r="F424" t="str">
            <v>ACCTAAGG</v>
          </cell>
          <cell r="G424" t="str">
            <v>ATCTCCTG</v>
          </cell>
          <cell r="H424" t="str">
            <v>小海码</v>
          </cell>
          <cell r="I424">
            <v>1.6</v>
          </cell>
          <cell r="J424">
            <v>2</v>
          </cell>
        </row>
        <row r="425">
          <cell r="C425" t="str">
            <v>HGC-2402214X</v>
          </cell>
          <cell r="D425">
            <v>19515870</v>
          </cell>
          <cell r="E425" t="str">
            <v>IDT333</v>
          </cell>
          <cell r="F425" t="str">
            <v>CTTGCTGT</v>
          </cell>
          <cell r="G425" t="str">
            <v>CAATGCGA</v>
          </cell>
          <cell r="H425" t="str">
            <v>小海码</v>
          </cell>
          <cell r="I425">
            <v>1.6</v>
          </cell>
          <cell r="J425">
            <v>2</v>
          </cell>
        </row>
        <row r="426">
          <cell r="C426" t="str">
            <v>HGC-2402177X</v>
          </cell>
          <cell r="D426">
            <v>61755970</v>
          </cell>
          <cell r="E426" t="str">
            <v>IDT296</v>
          </cell>
          <cell r="F426" t="str">
            <v>CTCTACTC</v>
          </cell>
          <cell r="G426" t="str">
            <v>TAAGTGGC</v>
          </cell>
          <cell r="H426" t="str">
            <v>小海码</v>
          </cell>
          <cell r="I426">
            <v>1.6</v>
          </cell>
          <cell r="J426">
            <v>2</v>
          </cell>
        </row>
        <row r="427">
          <cell r="C427" t="str">
            <v>HGC-2402311X</v>
          </cell>
          <cell r="D427" t="str">
            <v>60677059XL</v>
          </cell>
          <cell r="E427" t="str">
            <v>IDT340</v>
          </cell>
          <cell r="F427" t="str">
            <v>CGTCAATG</v>
          </cell>
          <cell r="G427" t="str">
            <v>CCAACACT</v>
          </cell>
          <cell r="H427" t="str">
            <v>小海码</v>
          </cell>
          <cell r="I427">
            <v>1.6</v>
          </cell>
          <cell r="J427">
            <v>2</v>
          </cell>
        </row>
        <row r="428">
          <cell r="C428" t="str">
            <v>HGC-2402191X</v>
          </cell>
          <cell r="D428">
            <v>11428110</v>
          </cell>
          <cell r="E428" t="str">
            <v>IDT310</v>
          </cell>
          <cell r="F428" t="str">
            <v>AGCTCCTA</v>
          </cell>
          <cell r="G428" t="str">
            <v>CAACACAG</v>
          </cell>
          <cell r="H428" t="str">
            <v>小海码</v>
          </cell>
          <cell r="I428">
            <v>1.6</v>
          </cell>
          <cell r="J428">
            <v>2</v>
          </cell>
        </row>
        <row r="429">
          <cell r="C429" t="str">
            <v>HGC-2402174X</v>
          </cell>
          <cell r="D429">
            <v>10105389</v>
          </cell>
          <cell r="E429" t="str">
            <v>IDT293</v>
          </cell>
          <cell r="F429" t="str">
            <v>GTCGGTAA</v>
          </cell>
          <cell r="G429" t="str">
            <v>GTTGGCAT</v>
          </cell>
          <cell r="H429" t="str">
            <v>小海码</v>
          </cell>
          <cell r="I429">
            <v>1.6</v>
          </cell>
          <cell r="J429">
            <v>2</v>
          </cell>
        </row>
        <row r="430">
          <cell r="C430" t="str">
            <v>HGC-2402313X</v>
          </cell>
          <cell r="D430" t="str">
            <v>60659130BA</v>
          </cell>
          <cell r="E430" t="str">
            <v>IDT342</v>
          </cell>
          <cell r="F430" t="str">
            <v>GACGAATG</v>
          </cell>
          <cell r="G430" t="str">
            <v>GTCCTTGA</v>
          </cell>
          <cell r="H430" t="str">
            <v>小海码</v>
          </cell>
          <cell r="I430">
            <v>1.6</v>
          </cell>
          <cell r="J430">
            <v>2</v>
          </cell>
        </row>
        <row r="431">
          <cell r="C431" t="str">
            <v>HGC-2402189X</v>
          </cell>
          <cell r="D431">
            <v>14594945</v>
          </cell>
          <cell r="E431" t="str">
            <v>IDT308</v>
          </cell>
          <cell r="F431" t="str">
            <v>CACAAGTC</v>
          </cell>
          <cell r="G431" t="str">
            <v>ATCGCAAC</v>
          </cell>
          <cell r="H431" t="str">
            <v>小海码</v>
          </cell>
          <cell r="I431">
            <v>1.6</v>
          </cell>
          <cell r="J431">
            <v>2</v>
          </cell>
        </row>
        <row r="432">
          <cell r="C432" t="str">
            <v>HGC-2402192X</v>
          </cell>
          <cell r="D432">
            <v>16958467</v>
          </cell>
          <cell r="E432" t="str">
            <v>IDT311</v>
          </cell>
          <cell r="F432" t="str">
            <v>ACTCGTTG</v>
          </cell>
          <cell r="G432" t="str">
            <v>GCGTATCA</v>
          </cell>
          <cell r="H432" t="str">
            <v>小海码</v>
          </cell>
          <cell r="I432">
            <v>1.6</v>
          </cell>
          <cell r="J432">
            <v>2</v>
          </cell>
        </row>
        <row r="433">
          <cell r="C433" t="str">
            <v>HGC-2402202X</v>
          </cell>
          <cell r="D433">
            <v>18817474</v>
          </cell>
          <cell r="E433" t="str">
            <v>IDT321</v>
          </cell>
          <cell r="F433" t="str">
            <v>TGTGCGTT</v>
          </cell>
          <cell r="G433" t="str">
            <v>TGAGACGA</v>
          </cell>
          <cell r="H433" t="str">
            <v>小海码</v>
          </cell>
          <cell r="I433">
            <v>1.6</v>
          </cell>
          <cell r="J433">
            <v>2</v>
          </cell>
        </row>
        <row r="434">
          <cell r="C434" t="str">
            <v>HGC-2402198X</v>
          </cell>
          <cell r="D434">
            <v>14152053</v>
          </cell>
          <cell r="E434" t="str">
            <v>IDT317</v>
          </cell>
          <cell r="F434" t="str">
            <v>AGTCTGTG</v>
          </cell>
          <cell r="G434" t="str">
            <v>CCTACCTA</v>
          </cell>
          <cell r="H434" t="str">
            <v>小海码</v>
          </cell>
          <cell r="I434">
            <v>1.6</v>
          </cell>
          <cell r="J434">
            <v>2</v>
          </cell>
        </row>
        <row r="435">
          <cell r="C435" t="str">
            <v>HGC-2402175X</v>
          </cell>
          <cell r="D435">
            <v>12394083</v>
          </cell>
          <cell r="E435" t="str">
            <v>IDT294</v>
          </cell>
          <cell r="F435" t="str">
            <v>TCGAAGGT</v>
          </cell>
          <cell r="G435" t="str">
            <v>GCCTTAAC</v>
          </cell>
          <cell r="H435" t="str">
            <v>小海码</v>
          </cell>
          <cell r="I435">
            <v>1.6</v>
          </cell>
          <cell r="J435">
            <v>2</v>
          </cell>
        </row>
        <row r="436">
          <cell r="C436" t="str">
            <v>HGC-2402209X</v>
          </cell>
          <cell r="D436">
            <v>19109633</v>
          </cell>
          <cell r="E436" t="str">
            <v>IDT328</v>
          </cell>
          <cell r="F436" t="str">
            <v>GTCTGATC</v>
          </cell>
          <cell r="G436" t="str">
            <v>CTCAAGCT</v>
          </cell>
          <cell r="H436" t="str">
            <v>小海码</v>
          </cell>
          <cell r="I436">
            <v>1.6</v>
          </cell>
          <cell r="J436">
            <v>2</v>
          </cell>
        </row>
        <row r="437">
          <cell r="C437" t="str">
            <v>HGC-2402173X</v>
          </cell>
          <cell r="D437">
            <v>13563680</v>
          </cell>
          <cell r="E437" t="str">
            <v>IDT292</v>
          </cell>
          <cell r="F437" t="str">
            <v>ACGATGAC</v>
          </cell>
          <cell r="G437" t="str">
            <v>CAACCTCT</v>
          </cell>
          <cell r="H437" t="str">
            <v>小海码</v>
          </cell>
          <cell r="I437">
            <v>1.6</v>
          </cell>
          <cell r="J437">
            <v>2</v>
          </cell>
        </row>
        <row r="438">
          <cell r="C438" t="str">
            <v>HGC-2402204X</v>
          </cell>
          <cell r="D438">
            <v>14357482</v>
          </cell>
          <cell r="E438" t="str">
            <v>IDT323</v>
          </cell>
          <cell r="F438" t="str">
            <v>CTCAGAGT</v>
          </cell>
          <cell r="G438" t="str">
            <v>AGCTTCAG</v>
          </cell>
          <cell r="H438" t="str">
            <v>小海码</v>
          </cell>
          <cell r="I438">
            <v>1.6</v>
          </cell>
          <cell r="J438">
            <v>2</v>
          </cell>
        </row>
        <row r="439">
          <cell r="C439" t="str">
            <v>HGC-2402309X</v>
          </cell>
          <cell r="D439" t="str">
            <v>60659163VA</v>
          </cell>
          <cell r="E439" t="str">
            <v>IDT338</v>
          </cell>
          <cell r="F439" t="str">
            <v>CGTACGAA</v>
          </cell>
          <cell r="G439" t="str">
            <v>AGATACGG</v>
          </cell>
          <cell r="H439" t="str">
            <v>小海码</v>
          </cell>
          <cell r="I439">
            <v>1.6</v>
          </cell>
          <cell r="J439">
            <v>2</v>
          </cell>
        </row>
        <row r="440">
          <cell r="C440" t="str">
            <v>HGC-2402211X</v>
          </cell>
          <cell r="D440">
            <v>17204245</v>
          </cell>
          <cell r="E440" t="str">
            <v>IDT330</v>
          </cell>
          <cell r="F440" t="str">
            <v>TGATCGGA</v>
          </cell>
          <cell r="G440" t="str">
            <v>ACTGCGAA</v>
          </cell>
          <cell r="H440" t="str">
            <v>小海码</v>
          </cell>
          <cell r="I440">
            <v>1.6</v>
          </cell>
          <cell r="J440">
            <v>2</v>
          </cell>
        </row>
        <row r="441">
          <cell r="C441" t="str">
            <v>HGC-2402196X</v>
          </cell>
          <cell r="D441">
            <v>17961500</v>
          </cell>
          <cell r="E441" t="str">
            <v>IDT315</v>
          </cell>
          <cell r="F441" t="str">
            <v>TGCAGGTA</v>
          </cell>
          <cell r="G441" t="str">
            <v>TCACGATG</v>
          </cell>
          <cell r="H441" t="str">
            <v>小海码</v>
          </cell>
          <cell r="I441">
            <v>1.6</v>
          </cell>
          <cell r="J441">
            <v>2</v>
          </cell>
        </row>
        <row r="442">
          <cell r="C442" t="str">
            <v>HGC-2402184X</v>
          </cell>
          <cell r="D442">
            <v>17967452</v>
          </cell>
          <cell r="E442" t="str">
            <v>IDT303</v>
          </cell>
          <cell r="F442" t="str">
            <v>ATCGGTGT</v>
          </cell>
          <cell r="G442" t="str">
            <v>ACATGGAG</v>
          </cell>
          <cell r="H442" t="str">
            <v>小海码</v>
          </cell>
          <cell r="I442">
            <v>1.6</v>
          </cell>
          <cell r="J442">
            <v>2</v>
          </cell>
        </row>
        <row r="443">
          <cell r="C443" t="str">
            <v>HGC-2402193X</v>
          </cell>
          <cell r="D443">
            <v>15888076</v>
          </cell>
          <cell r="E443" t="str">
            <v>IDT312</v>
          </cell>
          <cell r="F443" t="str">
            <v>CTGACACA</v>
          </cell>
          <cell r="G443" t="str">
            <v>AGAAGGAC</v>
          </cell>
          <cell r="H443" t="str">
            <v>小海码</v>
          </cell>
          <cell r="I443">
            <v>1.6</v>
          </cell>
          <cell r="J443">
            <v>2</v>
          </cell>
        </row>
        <row r="444">
          <cell r="C444" t="str">
            <v>HGC-2402199X</v>
          </cell>
          <cell r="D444">
            <v>19386655</v>
          </cell>
          <cell r="E444" t="str">
            <v>IDT318</v>
          </cell>
          <cell r="F444" t="str">
            <v>AGGTTCGA</v>
          </cell>
          <cell r="G444" t="str">
            <v>AAGCGACT</v>
          </cell>
          <cell r="H444" t="str">
            <v>小海码</v>
          </cell>
          <cell r="I444">
            <v>1.6</v>
          </cell>
          <cell r="J444">
            <v>2</v>
          </cell>
        </row>
        <row r="445">
          <cell r="C445" t="str">
            <v>HGC-2402315X</v>
          </cell>
          <cell r="D445" t="str">
            <v>60636958YB</v>
          </cell>
          <cell r="E445" t="str">
            <v>IDT344</v>
          </cell>
          <cell r="F445" t="str">
            <v>CTTACAGC</v>
          </cell>
          <cell r="G445" t="str">
            <v>AACACCAC</v>
          </cell>
          <cell r="H445" t="str">
            <v>小海码</v>
          </cell>
          <cell r="I445">
            <v>1.6</v>
          </cell>
          <cell r="J445">
            <v>2</v>
          </cell>
        </row>
        <row r="446">
          <cell r="C446" t="str">
            <v>HGC-2402323X</v>
          </cell>
          <cell r="D446" t="str">
            <v>60584956WZ</v>
          </cell>
          <cell r="E446" t="str">
            <v>IDT352</v>
          </cell>
          <cell r="F446" t="str">
            <v>GCTGGATT</v>
          </cell>
          <cell r="G446" t="str">
            <v>CTAACCTG</v>
          </cell>
          <cell r="H446" t="str">
            <v>小海码</v>
          </cell>
          <cell r="I446">
            <v>1.6</v>
          </cell>
          <cell r="J446">
            <v>2</v>
          </cell>
        </row>
        <row r="447">
          <cell r="C447" t="str">
            <v>HGC-2402212X</v>
          </cell>
          <cell r="D447">
            <v>13486345</v>
          </cell>
          <cell r="E447" t="str">
            <v>IDT331</v>
          </cell>
          <cell r="F447" t="str">
            <v>CCAAGTTG</v>
          </cell>
          <cell r="G447" t="str">
            <v>TACATCGG</v>
          </cell>
          <cell r="H447" t="str">
            <v>小海码</v>
          </cell>
          <cell r="I447">
            <v>1.6</v>
          </cell>
          <cell r="J447">
            <v>2</v>
          </cell>
        </row>
        <row r="448">
          <cell r="C448" t="str">
            <v>HGC-2402183X</v>
          </cell>
          <cell r="D448">
            <v>12128339</v>
          </cell>
          <cell r="E448" t="str">
            <v>IDT302</v>
          </cell>
          <cell r="F448" t="str">
            <v>TCTCGCAA</v>
          </cell>
          <cell r="G448" t="str">
            <v>ACAAGACG</v>
          </cell>
          <cell r="H448" t="str">
            <v>小海码</v>
          </cell>
          <cell r="I448">
            <v>1.6</v>
          </cell>
          <cell r="J448">
            <v>2</v>
          </cell>
        </row>
        <row r="449">
          <cell r="C449" t="str">
            <v>HGC-2402186X</v>
          </cell>
          <cell r="D449">
            <v>13194636</v>
          </cell>
          <cell r="E449" t="str">
            <v>IDT305</v>
          </cell>
          <cell r="F449" t="str">
            <v>GTCTCCTT</v>
          </cell>
          <cell r="G449" t="str">
            <v>TGCTTGCT</v>
          </cell>
          <cell r="H449" t="str">
            <v>小海码</v>
          </cell>
          <cell r="I449">
            <v>1.6</v>
          </cell>
          <cell r="J449">
            <v>2</v>
          </cell>
        </row>
        <row r="450">
          <cell r="C450" t="str">
            <v>HGC-2402200X</v>
          </cell>
          <cell r="D450">
            <v>17564240</v>
          </cell>
          <cell r="E450" t="str">
            <v>IDT319</v>
          </cell>
          <cell r="F450" t="str">
            <v>GACTATGC</v>
          </cell>
          <cell r="G450" t="str">
            <v>ACTCAACG</v>
          </cell>
          <cell r="H450" t="str">
            <v>小海码</v>
          </cell>
          <cell r="I450">
            <v>1.6</v>
          </cell>
          <cell r="J450">
            <v>2</v>
          </cell>
        </row>
        <row r="451">
          <cell r="C451" t="str">
            <v>HGC-2402213X</v>
          </cell>
          <cell r="D451">
            <v>15570310</v>
          </cell>
          <cell r="E451" t="str">
            <v>IDT332</v>
          </cell>
          <cell r="F451" t="str">
            <v>CCTACTGA</v>
          </cell>
          <cell r="G451" t="str">
            <v>ATGCGTCA</v>
          </cell>
          <cell r="H451" t="str">
            <v>小海码</v>
          </cell>
          <cell r="I451">
            <v>1.6</v>
          </cell>
          <cell r="J451">
            <v>2</v>
          </cell>
        </row>
        <row r="452">
          <cell r="C452" t="str">
            <v>HGC-2402203X</v>
          </cell>
          <cell r="D452">
            <v>15100502</v>
          </cell>
          <cell r="E452" t="str">
            <v>IDT322</v>
          </cell>
          <cell r="F452" t="str">
            <v>CGAGACTA</v>
          </cell>
          <cell r="G452" t="str">
            <v>CCTCGTTA</v>
          </cell>
          <cell r="H452" t="str">
            <v>小海码</v>
          </cell>
          <cell r="I452">
            <v>1.6</v>
          </cell>
          <cell r="J452">
            <v>2</v>
          </cell>
        </row>
        <row r="453">
          <cell r="C453" t="str">
            <v>HGC-2402325X</v>
          </cell>
          <cell r="D453" t="str">
            <v>60585305PS</v>
          </cell>
          <cell r="E453" t="str">
            <v>IDT354</v>
          </cell>
          <cell r="F453" t="str">
            <v>ACCAATGC</v>
          </cell>
          <cell r="G453" t="str">
            <v>GTGATCCA</v>
          </cell>
          <cell r="H453" t="str">
            <v>小海码</v>
          </cell>
          <cell r="I453">
            <v>1.6</v>
          </cell>
          <cell r="J453">
            <v>2</v>
          </cell>
        </row>
        <row r="454">
          <cell r="C454" t="str">
            <v>HGC-2402327X</v>
          </cell>
          <cell r="D454" t="str">
            <v>60579491NC</v>
          </cell>
          <cell r="E454" t="str">
            <v>IDT356</v>
          </cell>
          <cell r="F454" t="str">
            <v>CCGACTAT</v>
          </cell>
          <cell r="G454" t="str">
            <v>TCAGACAC</v>
          </cell>
          <cell r="H454" t="str">
            <v>小海码</v>
          </cell>
          <cell r="I454">
            <v>1.6</v>
          </cell>
          <cell r="J454">
            <v>2</v>
          </cell>
        </row>
        <row r="455">
          <cell r="C455" t="str">
            <v>HGC-2402195X</v>
          </cell>
          <cell r="D455">
            <v>14311763</v>
          </cell>
          <cell r="E455" t="str">
            <v>IDT314</v>
          </cell>
          <cell r="F455" t="str">
            <v>AAGGACAC</v>
          </cell>
          <cell r="G455" t="str">
            <v>CCACAACA</v>
          </cell>
          <cell r="H455" t="str">
            <v>小海码</v>
          </cell>
          <cell r="I455">
            <v>1.6</v>
          </cell>
          <cell r="J455">
            <v>2</v>
          </cell>
        </row>
        <row r="456">
          <cell r="C456" t="str">
            <v>HGC-2402207X</v>
          </cell>
          <cell r="D456">
            <v>14766261</v>
          </cell>
          <cell r="E456" t="str">
            <v>IDT326</v>
          </cell>
          <cell r="F456" t="str">
            <v>GCTCTGTA</v>
          </cell>
          <cell r="G456" t="str">
            <v>CTTACAGC</v>
          </cell>
          <cell r="H456" t="str">
            <v>小海码</v>
          </cell>
          <cell r="I456">
            <v>1.6</v>
          </cell>
          <cell r="J456">
            <v>2</v>
          </cell>
        </row>
        <row r="457">
          <cell r="C457" t="str">
            <v>HGC-2402333X</v>
          </cell>
          <cell r="D457">
            <v>13663348</v>
          </cell>
          <cell r="E457" t="str">
            <v>IDT362</v>
          </cell>
          <cell r="F457" t="str">
            <v>GTAGAGCA</v>
          </cell>
          <cell r="G457" t="str">
            <v>TATGACCG</v>
          </cell>
          <cell r="H457" t="str">
            <v>小海码</v>
          </cell>
          <cell r="I457">
            <v>1.6</v>
          </cell>
          <cell r="J457">
            <v>2</v>
          </cell>
        </row>
        <row r="458">
          <cell r="C458" t="str">
            <v>HGC-2402319X</v>
          </cell>
          <cell r="D458" t="str">
            <v>60590569MB</v>
          </cell>
          <cell r="E458" t="str">
            <v>IDT348</v>
          </cell>
          <cell r="F458" t="str">
            <v>TCGAACCA</v>
          </cell>
          <cell r="G458" t="str">
            <v>AACCGTGT</v>
          </cell>
          <cell r="H458" t="str">
            <v>小海码</v>
          </cell>
          <cell r="I458">
            <v>1.6</v>
          </cell>
          <cell r="J458">
            <v>2</v>
          </cell>
        </row>
        <row r="459">
          <cell r="C459" t="str">
            <v>HGC-2402331X</v>
          </cell>
          <cell r="D459" t="str">
            <v>60578709TY</v>
          </cell>
          <cell r="E459" t="str">
            <v>IDT360</v>
          </cell>
          <cell r="F459" t="str">
            <v>ATTCGAGG</v>
          </cell>
          <cell r="G459" t="str">
            <v>ACAAGCTC</v>
          </cell>
          <cell r="H459" t="str">
            <v>小海码</v>
          </cell>
          <cell r="I459">
            <v>1.6</v>
          </cell>
          <cell r="J459">
            <v>2</v>
          </cell>
        </row>
        <row r="460">
          <cell r="C460" t="str">
            <v>HGC-2402328X</v>
          </cell>
          <cell r="D460" t="str">
            <v>60584585AH</v>
          </cell>
          <cell r="E460" t="str">
            <v>IDT357</v>
          </cell>
          <cell r="F460" t="str">
            <v>TTGGTCTC</v>
          </cell>
          <cell r="G460" t="str">
            <v>CCGTAACT</v>
          </cell>
          <cell r="H460" t="str">
            <v>小海码</v>
          </cell>
          <cell r="I460">
            <v>1.6</v>
          </cell>
          <cell r="J460">
            <v>2</v>
          </cell>
        </row>
        <row r="461">
          <cell r="C461" t="str">
            <v>HGC-2402318X</v>
          </cell>
          <cell r="D461">
            <v>65205113</v>
          </cell>
          <cell r="E461" t="str">
            <v>IDT347</v>
          </cell>
          <cell r="F461" t="str">
            <v>CTATCGCA</v>
          </cell>
          <cell r="G461" t="str">
            <v>CGCGTATT</v>
          </cell>
          <cell r="H461" t="str">
            <v>小海码</v>
          </cell>
          <cell r="I461">
            <v>1.6</v>
          </cell>
          <cell r="J461">
            <v>2</v>
          </cell>
        </row>
        <row r="462">
          <cell r="C462" t="str">
            <v>HGC-2402330X</v>
          </cell>
          <cell r="D462" t="str">
            <v>60597620NH</v>
          </cell>
          <cell r="E462" t="str">
            <v>IDT359</v>
          </cell>
          <cell r="F462" t="str">
            <v>GATACTGG</v>
          </cell>
          <cell r="G462" t="str">
            <v>GAACCTTC</v>
          </cell>
          <cell r="H462" t="str">
            <v>小海码</v>
          </cell>
          <cell r="I462">
            <v>1.6</v>
          </cell>
          <cell r="J462">
            <v>2</v>
          </cell>
        </row>
        <row r="463">
          <cell r="C463" t="str">
            <v>HGC-2402322X</v>
          </cell>
          <cell r="D463" t="str">
            <v>60579284BS</v>
          </cell>
          <cell r="E463" t="str">
            <v>IDT351</v>
          </cell>
          <cell r="F463" t="str">
            <v>ATGGTTGC</v>
          </cell>
          <cell r="G463" t="str">
            <v>AGCCAACT</v>
          </cell>
          <cell r="H463" t="str">
            <v>小海码</v>
          </cell>
          <cell r="I463">
            <v>1.6</v>
          </cell>
          <cell r="J463">
            <v>2</v>
          </cell>
        </row>
        <row r="464">
          <cell r="C464" t="str">
            <v>HGC-2402180X</v>
          </cell>
          <cell r="D464">
            <v>14143640</v>
          </cell>
          <cell r="E464" t="str">
            <v>IDT299</v>
          </cell>
          <cell r="F464" t="str">
            <v>GAGGACTT</v>
          </cell>
          <cell r="G464" t="str">
            <v>GTTAAGCG</v>
          </cell>
          <cell r="H464" t="str">
            <v>小海码</v>
          </cell>
          <cell r="I464">
            <v>1.6</v>
          </cell>
          <cell r="J464">
            <v>2</v>
          </cell>
        </row>
        <row r="465">
          <cell r="C465" t="str">
            <v>HGC-2402329X</v>
          </cell>
          <cell r="D465" t="str">
            <v>60583179ZG</v>
          </cell>
          <cell r="E465" t="str">
            <v>IDT358</v>
          </cell>
          <cell r="F465" t="str">
            <v>GCCTTGTT</v>
          </cell>
          <cell r="G465" t="str">
            <v>AGCGAGAT</v>
          </cell>
          <cell r="H465" t="str">
            <v>小海码</v>
          </cell>
          <cell r="I465">
            <v>1.6</v>
          </cell>
          <cell r="J465">
            <v>2</v>
          </cell>
        </row>
        <row r="466">
          <cell r="C466" t="str">
            <v>HGC-2402336X</v>
          </cell>
          <cell r="D466">
            <v>63566970</v>
          </cell>
          <cell r="E466" t="str">
            <v>IDT365</v>
          </cell>
          <cell r="F466" t="str">
            <v>TGTGAAGC</v>
          </cell>
          <cell r="G466" t="str">
            <v>TCTAGGAG</v>
          </cell>
          <cell r="H466" t="str">
            <v>小海码</v>
          </cell>
          <cell r="I466">
            <v>1.6</v>
          </cell>
          <cell r="J466">
            <v>2</v>
          </cell>
        </row>
        <row r="467">
          <cell r="C467" t="str">
            <v>HGC-2402321X</v>
          </cell>
          <cell r="D467" t="str">
            <v>60592970RQ</v>
          </cell>
          <cell r="E467" t="str">
            <v>IDT350</v>
          </cell>
          <cell r="F467" t="str">
            <v>CAGAATCG</v>
          </cell>
          <cell r="G467" t="str">
            <v>CCAGTTGA</v>
          </cell>
          <cell r="H467" t="str">
            <v>小海码</v>
          </cell>
          <cell r="I467">
            <v>1.6</v>
          </cell>
          <cell r="J467">
            <v>2</v>
          </cell>
        </row>
        <row r="468">
          <cell r="C468" t="str">
            <v>HGC-2402312X</v>
          </cell>
          <cell r="D468" t="str">
            <v>60636123XM</v>
          </cell>
          <cell r="E468" t="str">
            <v>IDT341</v>
          </cell>
          <cell r="F468" t="str">
            <v>GAAGAGGT</v>
          </cell>
          <cell r="G468" t="str">
            <v>CAGGTTCA</v>
          </cell>
          <cell r="H468" t="str">
            <v>小海码</v>
          </cell>
          <cell r="I468">
            <v>1.6</v>
          </cell>
          <cell r="J468">
            <v>2</v>
          </cell>
        </row>
        <row r="469">
          <cell r="C469" t="str">
            <v>HGC-2402324X</v>
          </cell>
          <cell r="D469" t="str">
            <v>60591657XT</v>
          </cell>
          <cell r="E469" t="str">
            <v>IDT353</v>
          </cell>
          <cell r="F469" t="str">
            <v>GATGCACT</v>
          </cell>
          <cell r="G469" t="str">
            <v>ACTGGTGT</v>
          </cell>
          <cell r="H469" t="str">
            <v>小海码</v>
          </cell>
          <cell r="I469">
            <v>1.6</v>
          </cell>
          <cell r="J469">
            <v>2</v>
          </cell>
        </row>
        <row r="470">
          <cell r="C470" t="str">
            <v>HGC-2402320X</v>
          </cell>
          <cell r="D470" t="str">
            <v>60598536YD</v>
          </cell>
          <cell r="E470" t="str">
            <v>IDT349</v>
          </cell>
          <cell r="F470" t="str">
            <v>GAACGCTT</v>
          </cell>
          <cell r="G470" t="str">
            <v>AAGTGCAG</v>
          </cell>
          <cell r="H470" t="str">
            <v>小海码</v>
          </cell>
          <cell r="I470">
            <v>1.6</v>
          </cell>
          <cell r="J470">
            <v>2</v>
          </cell>
        </row>
        <row r="471">
          <cell r="C471" t="str">
            <v>HGC-2402326X</v>
          </cell>
          <cell r="D471" t="str">
            <v>60595389SX</v>
          </cell>
          <cell r="E471" t="str">
            <v>IDT355</v>
          </cell>
          <cell r="F471" t="str">
            <v>GTCCTAAG</v>
          </cell>
          <cell r="G471" t="str">
            <v>CGAAGTCA</v>
          </cell>
          <cell r="H471" t="str">
            <v>小海码</v>
          </cell>
          <cell r="I471">
            <v>1.6</v>
          </cell>
          <cell r="J471">
            <v>2</v>
          </cell>
        </row>
        <row r="472">
          <cell r="C472" t="str">
            <v>HGC-2402335X</v>
          </cell>
          <cell r="D472">
            <v>61562318</v>
          </cell>
          <cell r="E472" t="str">
            <v>IDT364</v>
          </cell>
          <cell r="F472" t="str">
            <v>TAAGTGGC</v>
          </cell>
          <cell r="G472" t="str">
            <v>ATCCGTTG</v>
          </cell>
          <cell r="H472" t="str">
            <v>小海码</v>
          </cell>
          <cell r="I472">
            <v>1.6</v>
          </cell>
          <cell r="J472">
            <v>2</v>
          </cell>
        </row>
        <row r="473">
          <cell r="C473" t="str">
            <v>HGC-2457688</v>
          </cell>
          <cell r="D473" t="str">
            <v>24SM044</v>
          </cell>
          <cell r="E473" t="str">
            <v>IDT105</v>
          </cell>
          <cell r="F473" t="str">
            <v>CTACTTGG</v>
          </cell>
          <cell r="G473" t="str">
            <v>TACTCCAG</v>
          </cell>
          <cell r="H473" t="str">
            <v>WGS</v>
          </cell>
          <cell r="I473">
            <v>1</v>
          </cell>
          <cell r="J473">
            <v>1</v>
          </cell>
          <cell r="K473" t="str">
            <v>HGC20231228006-0042</v>
          </cell>
        </row>
        <row r="474">
          <cell r="C474" t="str">
            <v>HGC-2457692</v>
          </cell>
          <cell r="D474" t="str">
            <v>24SM048</v>
          </cell>
          <cell r="E474" t="str">
            <v>IDT106</v>
          </cell>
          <cell r="F474" t="str">
            <v>CCTCAGTT</v>
          </cell>
          <cell r="G474" t="str">
            <v>CAGCATAC</v>
          </cell>
          <cell r="H474" t="str">
            <v>WGS</v>
          </cell>
          <cell r="I474">
            <v>1</v>
          </cell>
          <cell r="J474">
            <v>1</v>
          </cell>
          <cell r="K474" t="str">
            <v>HGC20231228006-0042</v>
          </cell>
        </row>
        <row r="475">
          <cell r="C475" t="str">
            <v>HGC-2457696</v>
          </cell>
          <cell r="D475" t="str">
            <v>24SM052</v>
          </cell>
          <cell r="E475" t="str">
            <v>IDT107</v>
          </cell>
          <cell r="F475" t="str">
            <v>TCCTACCT</v>
          </cell>
          <cell r="G475" t="str">
            <v>ACTCTCCA</v>
          </cell>
          <cell r="H475" t="str">
            <v>WGS</v>
          </cell>
          <cell r="I475">
            <v>1</v>
          </cell>
          <cell r="J475">
            <v>1</v>
          </cell>
          <cell r="K475" t="str">
            <v>HGC20231228006-0042</v>
          </cell>
        </row>
        <row r="476">
          <cell r="C476" t="str">
            <v>HGC-2457697</v>
          </cell>
          <cell r="D476" t="str">
            <v>24SM053</v>
          </cell>
          <cell r="E476" t="str">
            <v>IDT108</v>
          </cell>
          <cell r="F476" t="str">
            <v>ATGGCGAA</v>
          </cell>
          <cell r="G476" t="str">
            <v>CTCTATCG</v>
          </cell>
          <cell r="H476" t="str">
            <v>WGS</v>
          </cell>
          <cell r="I476">
            <v>1</v>
          </cell>
          <cell r="J476">
            <v>1</v>
          </cell>
          <cell r="K476" t="str">
            <v>HGC20231228006-0042</v>
          </cell>
        </row>
        <row r="477">
          <cell r="C477" t="str">
            <v>HGC-2457709</v>
          </cell>
          <cell r="D477" t="str">
            <v>24SM065</v>
          </cell>
          <cell r="E477" t="str">
            <v>IDT112</v>
          </cell>
          <cell r="F477" t="str">
            <v>TAGAGCTC</v>
          </cell>
          <cell r="G477" t="str">
            <v>AGAAGCCT</v>
          </cell>
          <cell r="H477" t="str">
            <v>WGS</v>
          </cell>
          <cell r="I477">
            <v>1</v>
          </cell>
          <cell r="J477">
            <v>1</v>
          </cell>
          <cell r="K477" t="str">
            <v>HGC20231228006-0042</v>
          </cell>
        </row>
        <row r="478">
          <cell r="C478" t="str">
            <v>HGC-2457689</v>
          </cell>
          <cell r="D478" t="str">
            <v>24SM045</v>
          </cell>
          <cell r="E478" t="str">
            <v>IDT113</v>
          </cell>
          <cell r="F478" t="str">
            <v>TGACTGAC</v>
          </cell>
          <cell r="G478" t="str">
            <v>CAGAACTG</v>
          </cell>
          <cell r="H478" t="str">
            <v>WGS</v>
          </cell>
          <cell r="I478">
            <v>1</v>
          </cell>
          <cell r="J478">
            <v>1</v>
          </cell>
          <cell r="K478" t="str">
            <v>HGC20231228006-0042</v>
          </cell>
        </row>
        <row r="479">
          <cell r="C479" t="str">
            <v>HGC-2457691</v>
          </cell>
          <cell r="D479" t="str">
            <v>24SM047</v>
          </cell>
          <cell r="E479" t="str">
            <v>IDT114</v>
          </cell>
          <cell r="F479" t="str">
            <v>TAGACGTG</v>
          </cell>
          <cell r="G479" t="str">
            <v>CTCACCAA</v>
          </cell>
          <cell r="H479" t="str">
            <v>WGS</v>
          </cell>
          <cell r="I479">
            <v>1</v>
          </cell>
          <cell r="J479">
            <v>1</v>
          </cell>
          <cell r="K479" t="str">
            <v>HGC20231228006-0042</v>
          </cell>
        </row>
        <row r="480">
          <cell r="C480" t="str">
            <v>HGC-2457694</v>
          </cell>
          <cell r="D480" t="str">
            <v>24SM050</v>
          </cell>
          <cell r="E480" t="str">
            <v>IDT115</v>
          </cell>
          <cell r="F480" t="str">
            <v>CCGGAATT</v>
          </cell>
          <cell r="G480" t="str">
            <v>ACCGAATG</v>
          </cell>
          <cell r="H480" t="str">
            <v>WGS</v>
          </cell>
          <cell r="I480">
            <v>1</v>
          </cell>
          <cell r="J480">
            <v>1</v>
          </cell>
          <cell r="K480" t="str">
            <v>HGC20231228006-0042</v>
          </cell>
        </row>
        <row r="481">
          <cell r="C481" t="str">
            <v>HGC-2457695</v>
          </cell>
          <cell r="D481" t="str">
            <v>24SM051</v>
          </cell>
          <cell r="E481" t="str">
            <v>IDT116</v>
          </cell>
          <cell r="F481" t="str">
            <v>CTCCTAGA</v>
          </cell>
          <cell r="G481" t="str">
            <v>GCTTCACA</v>
          </cell>
          <cell r="H481" t="str">
            <v>WGS</v>
          </cell>
          <cell r="I481">
            <v>1</v>
          </cell>
          <cell r="J481">
            <v>1</v>
          </cell>
          <cell r="K481" t="str">
            <v>HGC20231228006-0042</v>
          </cell>
        </row>
        <row r="482">
          <cell r="C482" t="str">
            <v>HGC-2457698</v>
          </cell>
          <cell r="D482" t="str">
            <v>24SM054</v>
          </cell>
          <cell r="E482" t="str">
            <v>IDT117</v>
          </cell>
          <cell r="F482" t="str">
            <v>CAACGGAT</v>
          </cell>
          <cell r="G482" t="str">
            <v>GCCACTTA</v>
          </cell>
          <cell r="H482" t="str">
            <v>WGS</v>
          </cell>
          <cell r="I482">
            <v>1</v>
          </cell>
          <cell r="J482">
            <v>1</v>
          </cell>
          <cell r="K482" t="str">
            <v>HGC20231228006-0042</v>
          </cell>
        </row>
        <row r="483">
          <cell r="C483" t="str">
            <v>HGC-2457699</v>
          </cell>
          <cell r="D483" t="str">
            <v>24SM055</v>
          </cell>
          <cell r="E483" t="str">
            <v>IDT118</v>
          </cell>
          <cell r="F483" t="str">
            <v>TGGCTATC</v>
          </cell>
          <cell r="G483" t="str">
            <v>CATCACGT</v>
          </cell>
          <cell r="H483" t="str">
            <v>WGS</v>
          </cell>
          <cell r="I483">
            <v>1</v>
          </cell>
          <cell r="J483">
            <v>1</v>
          </cell>
          <cell r="K483" t="str">
            <v>HGC20231228006-0042</v>
          </cell>
        </row>
        <row r="484">
          <cell r="C484" t="str">
            <v>HGC-2457701</v>
          </cell>
          <cell r="D484" t="str">
            <v>24SM057</v>
          </cell>
          <cell r="E484" t="str">
            <v>IDT119</v>
          </cell>
          <cell r="F484" t="str">
            <v>CGGTCATA</v>
          </cell>
          <cell r="G484" t="str">
            <v>TGCTCTAC</v>
          </cell>
          <cell r="H484" t="str">
            <v>WGS</v>
          </cell>
          <cell r="I484">
            <v>1</v>
          </cell>
          <cell r="J484">
            <v>1</v>
          </cell>
          <cell r="K484" t="str">
            <v>HGC20231228006-0042</v>
          </cell>
        </row>
        <row r="485">
          <cell r="C485" t="str">
            <v>HGC-2457702</v>
          </cell>
          <cell r="D485" t="str">
            <v>24SM058</v>
          </cell>
          <cell r="E485" t="str">
            <v>IDT120</v>
          </cell>
          <cell r="F485" t="str">
            <v>TCCAATCG</v>
          </cell>
          <cell r="G485" t="str">
            <v>CAACTGAC</v>
          </cell>
          <cell r="H485" t="str">
            <v>WGS</v>
          </cell>
          <cell r="I485">
            <v>1</v>
          </cell>
          <cell r="J485">
            <v>1</v>
          </cell>
          <cell r="K485" t="str">
            <v>HGC20231228006-0042</v>
          </cell>
        </row>
        <row r="486">
          <cell r="C486" t="str">
            <v>HGC-2457707</v>
          </cell>
          <cell r="D486" t="str">
            <v>24SM063</v>
          </cell>
          <cell r="E486" t="str">
            <v>IDT121</v>
          </cell>
          <cell r="F486" t="str">
            <v>GAGCTTGT</v>
          </cell>
          <cell r="G486" t="str">
            <v>CCTCGAAT</v>
          </cell>
          <cell r="H486" t="str">
            <v>WGS</v>
          </cell>
          <cell r="I486">
            <v>1</v>
          </cell>
          <cell r="J486">
            <v>1</v>
          </cell>
          <cell r="K486" t="str">
            <v>HGC20231228006-0042</v>
          </cell>
        </row>
        <row r="487">
          <cell r="C487" t="str">
            <v>HGC-2457708</v>
          </cell>
          <cell r="D487" t="str">
            <v>24SM064</v>
          </cell>
          <cell r="E487" t="str">
            <v>IDT122</v>
          </cell>
          <cell r="F487" t="str">
            <v>GAAGGTTC</v>
          </cell>
          <cell r="G487" t="str">
            <v>CCAGTATC</v>
          </cell>
          <cell r="H487" t="str">
            <v>WGS</v>
          </cell>
          <cell r="I487">
            <v>1</v>
          </cell>
          <cell r="J487">
            <v>1</v>
          </cell>
          <cell r="K487" t="str">
            <v>HGC20231228006-0042</v>
          </cell>
        </row>
        <row r="488">
          <cell r="C488" t="str">
            <v>HGC-2457710</v>
          </cell>
          <cell r="D488" t="str">
            <v>24SM066</v>
          </cell>
          <cell r="E488" t="str">
            <v>IDT123</v>
          </cell>
          <cell r="F488" t="str">
            <v>ATCTCGCT</v>
          </cell>
          <cell r="G488" t="str">
            <v>AACAAGGC</v>
          </cell>
          <cell r="H488" t="str">
            <v>WGS</v>
          </cell>
          <cell r="I488">
            <v>1</v>
          </cell>
          <cell r="J488">
            <v>1</v>
          </cell>
          <cell r="K488" t="str">
            <v>HGC20231228006-0042</v>
          </cell>
        </row>
        <row r="489">
          <cell r="C489" t="str">
            <v>HGC-2457712</v>
          </cell>
          <cell r="D489" t="str">
            <v>24SM068</v>
          </cell>
          <cell r="E489" t="str">
            <v>IDT124</v>
          </cell>
          <cell r="F489" t="str">
            <v>AGTTACGG</v>
          </cell>
          <cell r="G489" t="str">
            <v>GAGACCAA</v>
          </cell>
          <cell r="H489" t="str">
            <v>WGS</v>
          </cell>
          <cell r="I489">
            <v>1</v>
          </cell>
          <cell r="J489">
            <v>1</v>
          </cell>
          <cell r="K489" t="str">
            <v>HGC20231228006-0042</v>
          </cell>
        </row>
        <row r="490">
          <cell r="C490" t="str">
            <v>HGC-2457713</v>
          </cell>
          <cell r="D490" t="str">
            <v>24SM069</v>
          </cell>
          <cell r="E490" t="str">
            <v>IDT125</v>
          </cell>
          <cell r="F490" t="str">
            <v>GTGTCTGA</v>
          </cell>
          <cell r="G490" t="str">
            <v>ATAGTCGG</v>
          </cell>
          <cell r="H490" t="str">
            <v>WGS</v>
          </cell>
          <cell r="I490">
            <v>1</v>
          </cell>
          <cell r="J490">
            <v>1</v>
          </cell>
          <cell r="K490" t="str">
            <v>HGC20231228006-0042</v>
          </cell>
        </row>
        <row r="491">
          <cell r="C491" t="str">
            <v>HGC-2457714</v>
          </cell>
          <cell r="D491" t="str">
            <v>24SM070</v>
          </cell>
          <cell r="E491" t="str">
            <v>IDT126</v>
          </cell>
          <cell r="F491" t="str">
            <v>TGACTTCG</v>
          </cell>
          <cell r="G491" t="str">
            <v>CTTAGGAC</v>
          </cell>
          <cell r="H491" t="str">
            <v>WGS</v>
          </cell>
          <cell r="I491">
            <v>1</v>
          </cell>
          <cell r="J491">
            <v>1</v>
          </cell>
          <cell r="K491" t="str">
            <v>HGC20231228006-0042</v>
          </cell>
        </row>
        <row r="492">
          <cell r="C492" t="str">
            <v>HGC-2457690</v>
          </cell>
          <cell r="D492" t="str">
            <v>24SM046</v>
          </cell>
          <cell r="E492" t="str">
            <v>IDT127</v>
          </cell>
          <cell r="F492" t="str">
            <v>TGGATCAC</v>
          </cell>
          <cell r="G492" t="str">
            <v>GCATTGGT</v>
          </cell>
          <cell r="H492" t="str">
            <v>WGS</v>
          </cell>
          <cell r="I492">
            <v>1</v>
          </cell>
          <cell r="J492">
            <v>1</v>
          </cell>
          <cell r="K492" t="str">
            <v>HGC20231228006-0042</v>
          </cell>
        </row>
        <row r="493">
          <cell r="C493" t="str">
            <v>HGC-2457711</v>
          </cell>
          <cell r="D493" t="str">
            <v>24SM067</v>
          </cell>
          <cell r="E493" t="str">
            <v>IDT128</v>
          </cell>
          <cell r="F493" t="str">
            <v>ACACCAGT</v>
          </cell>
          <cell r="G493" t="str">
            <v>AGTGCATC</v>
          </cell>
          <cell r="H493" t="str">
            <v>WGS</v>
          </cell>
          <cell r="I493">
            <v>1</v>
          </cell>
          <cell r="J493">
            <v>1</v>
          </cell>
          <cell r="K493" t="str">
            <v>HGC20231228006-0042</v>
          </cell>
        </row>
        <row r="494">
          <cell r="C494" t="str">
            <v>HGC-2457693</v>
          </cell>
          <cell r="D494" t="str">
            <v>24SM049</v>
          </cell>
          <cell r="E494" t="str">
            <v>IDT129</v>
          </cell>
          <cell r="F494" t="str">
            <v>CAGGTTAG</v>
          </cell>
          <cell r="G494" t="str">
            <v>AATCCAGC</v>
          </cell>
          <cell r="H494" t="str">
            <v>WGS</v>
          </cell>
          <cell r="I494">
            <v>1</v>
          </cell>
          <cell r="J494">
            <v>1</v>
          </cell>
          <cell r="K494" t="str">
            <v>HGC20231228006-0042</v>
          </cell>
        </row>
        <row r="495">
          <cell r="C495" t="str">
            <v>HGC-2457703</v>
          </cell>
          <cell r="D495" t="str">
            <v>24SM059</v>
          </cell>
          <cell r="E495" t="str">
            <v>IDT130</v>
          </cell>
          <cell r="F495" t="str">
            <v>AGTTGGCT</v>
          </cell>
          <cell r="G495" t="str">
            <v>GCAACCAT</v>
          </cell>
          <cell r="H495" t="str">
            <v>WGS</v>
          </cell>
          <cell r="I495">
            <v>1</v>
          </cell>
          <cell r="J495">
            <v>1</v>
          </cell>
          <cell r="K495" t="str">
            <v>HGC20231228006-0042</v>
          </cell>
        </row>
        <row r="496">
          <cell r="C496" t="str">
            <v>HGC-2457704</v>
          </cell>
          <cell r="D496" t="str">
            <v>24SM060</v>
          </cell>
          <cell r="E496" t="str">
            <v>IDT132</v>
          </cell>
          <cell r="F496" t="str">
            <v>CTGCACTT</v>
          </cell>
          <cell r="G496" t="str">
            <v>AAGCGTTC</v>
          </cell>
          <cell r="H496" t="str">
            <v>WGS</v>
          </cell>
          <cell r="I496">
            <v>1</v>
          </cell>
          <cell r="J496">
            <v>1</v>
          </cell>
          <cell r="K496" t="str">
            <v>HGC20231228006-0042</v>
          </cell>
        </row>
        <row r="497">
          <cell r="C497" t="str">
            <v>HGC-2457725</v>
          </cell>
          <cell r="D497" t="str">
            <v>19GZ11818_D1</v>
          </cell>
          <cell r="E497" t="str">
            <v>IDT134</v>
          </cell>
          <cell r="F497" t="str">
            <v>AATACGCG</v>
          </cell>
          <cell r="G497" t="str">
            <v>TGCGATAG</v>
          </cell>
          <cell r="H497" t="str">
            <v>PCR产物建库</v>
          </cell>
          <cell r="I497">
            <v>1</v>
          </cell>
          <cell r="J497">
            <v>1</v>
          </cell>
          <cell r="K497" t="str">
            <v>HGC20231228006-0043</v>
          </cell>
        </row>
        <row r="498">
          <cell r="C498" t="str">
            <v>HGC-2457726</v>
          </cell>
          <cell r="D498" t="str">
            <v>19GZ14464_D1</v>
          </cell>
          <cell r="E498" t="str">
            <v>IDT135</v>
          </cell>
          <cell r="F498" t="str">
            <v>TGCGAACT</v>
          </cell>
          <cell r="G498" t="str">
            <v>CAACCGTA</v>
          </cell>
          <cell r="H498" t="str">
            <v>PCR产物建库</v>
          </cell>
          <cell r="I498">
            <v>1</v>
          </cell>
          <cell r="J498">
            <v>1</v>
          </cell>
          <cell r="K498" t="str">
            <v>HGC20231228006-0043</v>
          </cell>
        </row>
        <row r="499">
          <cell r="C499" t="str">
            <v>HGC-2457727</v>
          </cell>
          <cell r="D499" t="str">
            <v>19GZ14169_D1</v>
          </cell>
          <cell r="E499" t="str">
            <v>IDT136</v>
          </cell>
          <cell r="F499" t="str">
            <v>GCTGACTA</v>
          </cell>
          <cell r="G499" t="str">
            <v>GACATCTC</v>
          </cell>
          <cell r="H499" t="str">
            <v>PCR产物建库</v>
          </cell>
          <cell r="I499">
            <v>1</v>
          </cell>
          <cell r="J499">
            <v>1</v>
          </cell>
          <cell r="K499" t="str">
            <v>HGC20231228006-0043</v>
          </cell>
        </row>
        <row r="500">
          <cell r="C500" t="str">
            <v>HGC-2457728</v>
          </cell>
          <cell r="D500" t="str">
            <v>19GZ14763_D1</v>
          </cell>
          <cell r="E500" t="str">
            <v>IDT137</v>
          </cell>
          <cell r="F500" t="str">
            <v>GTGGTGTT</v>
          </cell>
          <cell r="G500" t="str">
            <v>GCTGTAAG</v>
          </cell>
          <cell r="H500" t="str">
            <v>PCR产物建库</v>
          </cell>
          <cell r="I500">
            <v>1</v>
          </cell>
          <cell r="J500">
            <v>1</v>
          </cell>
          <cell r="K500" t="str">
            <v>HGC20231228006-0043</v>
          </cell>
        </row>
        <row r="501">
          <cell r="C501" t="str">
            <v>HGC-2457729</v>
          </cell>
          <cell r="D501" t="str">
            <v>19GZ15074_D1</v>
          </cell>
          <cell r="E501" t="str">
            <v>IDT138</v>
          </cell>
          <cell r="F501" t="str">
            <v>GTGCTTAC</v>
          </cell>
          <cell r="G501" t="str">
            <v>TTCCTCCT</v>
          </cell>
          <cell r="H501" t="str">
            <v>PCR产物建库</v>
          </cell>
          <cell r="I501">
            <v>1</v>
          </cell>
          <cell r="J501">
            <v>1</v>
          </cell>
          <cell r="K501" t="str">
            <v>HGC20231228006-0043</v>
          </cell>
        </row>
        <row r="502">
          <cell r="C502" t="str">
            <v>HGC-2457730</v>
          </cell>
          <cell r="D502" t="str">
            <v>19GZ17446_D1</v>
          </cell>
          <cell r="E502" t="str">
            <v>IDT139</v>
          </cell>
          <cell r="F502" t="str">
            <v>TCAAGGAC</v>
          </cell>
          <cell r="G502" t="str">
            <v>CATTCGTC</v>
          </cell>
          <cell r="H502" t="str">
            <v>PCR产物建库</v>
          </cell>
          <cell r="I502">
            <v>1</v>
          </cell>
          <cell r="J502">
            <v>1</v>
          </cell>
          <cell r="K502" t="str">
            <v>HGC20231228006-0043</v>
          </cell>
        </row>
        <row r="503">
          <cell r="C503" t="str">
            <v>HGC-2457733</v>
          </cell>
          <cell r="D503" t="str">
            <v>19GZ17544_D1</v>
          </cell>
          <cell r="E503" t="str">
            <v>IDT140</v>
          </cell>
          <cell r="F503" t="str">
            <v>TGAACCTG</v>
          </cell>
          <cell r="G503" t="str">
            <v>ACCTCTTC</v>
          </cell>
          <cell r="H503" t="str">
            <v>PCR产物建库</v>
          </cell>
          <cell r="I503">
            <v>1</v>
          </cell>
          <cell r="J503">
            <v>1</v>
          </cell>
          <cell r="K503" t="str">
            <v>HGC20231228006-0043</v>
          </cell>
        </row>
        <row r="504">
          <cell r="C504" t="str">
            <v>HGC-2457734</v>
          </cell>
          <cell r="D504" t="str">
            <v>19GZ18358_D1</v>
          </cell>
          <cell r="E504" t="str">
            <v>IDT141</v>
          </cell>
          <cell r="F504" t="str">
            <v>AGTGTTGG</v>
          </cell>
          <cell r="G504" t="str">
            <v>CATTGACG</v>
          </cell>
          <cell r="H504" t="str">
            <v>PCR产物建库</v>
          </cell>
          <cell r="I504">
            <v>1</v>
          </cell>
          <cell r="J504">
            <v>1</v>
          </cell>
          <cell r="K504" t="str">
            <v>HGC20231228006-0043</v>
          </cell>
        </row>
        <row r="505">
          <cell r="C505" t="str">
            <v>HGC-2457736</v>
          </cell>
          <cell r="D505" t="str">
            <v>19GZ23044_D1</v>
          </cell>
          <cell r="E505" t="str">
            <v>IDT142</v>
          </cell>
          <cell r="F505" t="str">
            <v>GTACTCTC</v>
          </cell>
          <cell r="G505" t="str">
            <v>TCCTGGTA</v>
          </cell>
          <cell r="H505" t="str">
            <v>PCR产物建库</v>
          </cell>
          <cell r="I505">
            <v>1</v>
          </cell>
          <cell r="J505">
            <v>1</v>
          </cell>
          <cell r="K505" t="str">
            <v>HGC20231228006-0043</v>
          </cell>
        </row>
        <row r="506">
          <cell r="C506" t="str">
            <v>HGC-2457737</v>
          </cell>
          <cell r="D506" t="str">
            <v>19GZ23042_D1</v>
          </cell>
          <cell r="E506" t="str">
            <v>IDT143</v>
          </cell>
          <cell r="F506" t="str">
            <v>CCGTATCT</v>
          </cell>
          <cell r="G506" t="str">
            <v>TTCGTACG</v>
          </cell>
          <cell r="H506" t="str">
            <v>PCR产物建库</v>
          </cell>
          <cell r="I506">
            <v>1</v>
          </cell>
          <cell r="J506">
            <v>1</v>
          </cell>
          <cell r="K506" t="str">
            <v>HGC20231228006-0043</v>
          </cell>
        </row>
        <row r="507">
          <cell r="C507" t="str">
            <v>HGC-2457738</v>
          </cell>
          <cell r="D507" t="str">
            <v>19GZ27139_D1</v>
          </cell>
          <cell r="E507" t="str">
            <v>IDT144</v>
          </cell>
          <cell r="F507" t="str">
            <v>CGAAGAAC</v>
          </cell>
          <cell r="G507" t="str">
            <v>CCTAAGTC</v>
          </cell>
          <cell r="H507" t="str">
            <v>PCR产物建库</v>
          </cell>
          <cell r="I507">
            <v>1</v>
          </cell>
          <cell r="J507">
            <v>1</v>
          </cell>
          <cell r="K507" t="str">
            <v>HGC20231228006-0043</v>
          </cell>
        </row>
        <row r="508">
          <cell r="C508" t="str">
            <v>HGC-2457739</v>
          </cell>
          <cell r="D508" t="str">
            <v>19GZ16197_D1</v>
          </cell>
          <cell r="E508" t="str">
            <v>IDT145</v>
          </cell>
          <cell r="F508" t="str">
            <v>AGCGGAAT</v>
          </cell>
          <cell r="G508" t="str">
            <v>ACTGCACT</v>
          </cell>
          <cell r="H508" t="str">
            <v>PCR产物建库</v>
          </cell>
          <cell r="I508">
            <v>1</v>
          </cell>
          <cell r="J508">
            <v>1</v>
          </cell>
          <cell r="K508" t="str">
            <v>HGC20231228006-0043</v>
          </cell>
        </row>
        <row r="509">
          <cell r="C509" t="str">
            <v>HGC-2457741</v>
          </cell>
          <cell r="D509" t="str">
            <v>17GZ24401_D2</v>
          </cell>
          <cell r="E509" t="str">
            <v>IDT146</v>
          </cell>
          <cell r="F509" t="str">
            <v>GTGAGCTT</v>
          </cell>
          <cell r="G509" t="str">
            <v>CGGATCAA</v>
          </cell>
          <cell r="H509" t="str">
            <v>PCR产物建库</v>
          </cell>
          <cell r="I509">
            <v>1</v>
          </cell>
          <cell r="J509">
            <v>1</v>
          </cell>
          <cell r="K509" t="str">
            <v>HGC20231228006-0043</v>
          </cell>
        </row>
        <row r="510">
          <cell r="C510" t="str">
            <v>HGC-2457742</v>
          </cell>
          <cell r="D510" t="str">
            <v>18GZ23318_D2</v>
          </cell>
          <cell r="E510" t="str">
            <v>IDT147</v>
          </cell>
          <cell r="F510" t="str">
            <v>CGTGATCA</v>
          </cell>
          <cell r="G510" t="str">
            <v>GAATGGCA</v>
          </cell>
          <cell r="H510" t="str">
            <v>PCR产物建库</v>
          </cell>
          <cell r="I510">
            <v>1</v>
          </cell>
          <cell r="J510">
            <v>1</v>
          </cell>
          <cell r="K510" t="str">
            <v>HGC20231228006-0043</v>
          </cell>
        </row>
        <row r="511">
          <cell r="C511" t="str">
            <v>HGC-2457744</v>
          </cell>
          <cell r="D511" t="str">
            <v>18GZ25882_D2</v>
          </cell>
          <cell r="E511" t="str">
            <v>IDT148</v>
          </cell>
          <cell r="F511" t="str">
            <v>TCGCATTG</v>
          </cell>
          <cell r="G511" t="str">
            <v>ACAGCAAG</v>
          </cell>
          <cell r="H511" t="str">
            <v>PCR产物建库</v>
          </cell>
          <cell r="I511">
            <v>1</v>
          </cell>
          <cell r="J511">
            <v>1</v>
          </cell>
          <cell r="K511" t="str">
            <v>HGC20231228006-0043</v>
          </cell>
        </row>
        <row r="512">
          <cell r="C512" t="str">
            <v>HGC-2457746</v>
          </cell>
          <cell r="D512" t="str">
            <v>19GZ51228_D2</v>
          </cell>
          <cell r="E512" t="str">
            <v>IDT149</v>
          </cell>
          <cell r="F512" t="str">
            <v>TGACGCAT</v>
          </cell>
          <cell r="G512" t="str">
            <v>TCAGTAGG</v>
          </cell>
          <cell r="H512" t="str">
            <v>PCR产物建库</v>
          </cell>
          <cell r="I512">
            <v>1</v>
          </cell>
          <cell r="J512">
            <v>1</v>
          </cell>
          <cell r="K512" t="str">
            <v>HGC20231228006-0043</v>
          </cell>
        </row>
        <row r="513">
          <cell r="C513" t="str">
            <v>HGC-2457747</v>
          </cell>
          <cell r="D513" t="str">
            <v>23GZ20966_D2</v>
          </cell>
          <cell r="E513" t="str">
            <v>IDT150</v>
          </cell>
          <cell r="F513" t="str">
            <v>CCGATGTA</v>
          </cell>
          <cell r="G513" t="str">
            <v>CAACTTGG</v>
          </cell>
          <cell r="H513" t="str">
            <v>PCR产物建库</v>
          </cell>
          <cell r="I513">
            <v>1</v>
          </cell>
          <cell r="J513">
            <v>1</v>
          </cell>
          <cell r="K513" t="str">
            <v>HGC20231228006-0043</v>
          </cell>
        </row>
        <row r="514">
          <cell r="C514" t="str">
            <v>HGC-2457493</v>
          </cell>
          <cell r="D514" t="str">
            <v>MLS-3</v>
          </cell>
          <cell r="E514" t="str">
            <v>IDT151</v>
          </cell>
          <cell r="F514" t="str">
            <v>TTCGCAGT</v>
          </cell>
          <cell r="G514" t="str">
            <v>TCCGATCA</v>
          </cell>
          <cell r="H514" t="str">
            <v>WGS</v>
          </cell>
          <cell r="I514">
            <v>6</v>
          </cell>
          <cell r="J514">
            <v>6</v>
          </cell>
          <cell r="K514" t="str">
            <v>HGC20230605004-0026</v>
          </cell>
        </row>
        <row r="515">
          <cell r="C515" t="str">
            <v>HGC-2457494</v>
          </cell>
          <cell r="D515" t="str">
            <v>SD-10</v>
          </cell>
          <cell r="E515" t="str">
            <v>IDT152</v>
          </cell>
          <cell r="F515" t="str">
            <v>ACGACAGA</v>
          </cell>
          <cell r="G515" t="str">
            <v>CGCAACTA</v>
          </cell>
          <cell r="H515" t="str">
            <v>WGS</v>
          </cell>
          <cell r="I515">
            <v>6</v>
          </cell>
          <cell r="J515">
            <v>6</v>
          </cell>
          <cell r="K515" t="str">
            <v>HGC20230605004-0026</v>
          </cell>
        </row>
        <row r="516">
          <cell r="C516" t="str">
            <v>HGC-2457496</v>
          </cell>
          <cell r="D516" t="str">
            <v>SD-8</v>
          </cell>
          <cell r="E516" t="str">
            <v>IDT153</v>
          </cell>
          <cell r="F516" t="str">
            <v>AGCTTGAG</v>
          </cell>
          <cell r="G516" t="str">
            <v>GATCAGAC</v>
          </cell>
          <cell r="H516" t="str">
            <v>WGS</v>
          </cell>
          <cell r="I516">
            <v>6</v>
          </cell>
          <cell r="J516">
            <v>6</v>
          </cell>
          <cell r="K516" t="str">
            <v>HGC20230605004-0026</v>
          </cell>
        </row>
        <row r="517">
          <cell r="C517" t="str">
            <v>HGC-2457497</v>
          </cell>
          <cell r="D517" t="str">
            <v>SD-9</v>
          </cell>
          <cell r="E517" t="str">
            <v>IDT154</v>
          </cell>
          <cell r="F517" t="str">
            <v>GAGTGGTT</v>
          </cell>
          <cell r="G517" t="str">
            <v>GCATAACG</v>
          </cell>
          <cell r="H517" t="str">
            <v>WGS</v>
          </cell>
          <cell r="I517">
            <v>6</v>
          </cell>
          <cell r="J517">
            <v>6</v>
          </cell>
          <cell r="K517" t="str">
            <v>HGC20230605004-0026</v>
          </cell>
        </row>
        <row r="518">
          <cell r="C518" t="str">
            <v>HGC-2457498</v>
          </cell>
          <cell r="D518" t="str">
            <v>SD-12</v>
          </cell>
          <cell r="E518" t="str">
            <v>IDT155</v>
          </cell>
          <cell r="F518" t="str">
            <v>GCTGTAAG</v>
          </cell>
          <cell r="G518" t="str">
            <v>TACAGAGC</v>
          </cell>
          <cell r="H518" t="str">
            <v>WGS</v>
          </cell>
          <cell r="I518">
            <v>6</v>
          </cell>
          <cell r="J518">
            <v>6</v>
          </cell>
          <cell r="K518" t="str">
            <v>HGC20230605004-0026</v>
          </cell>
        </row>
        <row r="519">
          <cell r="C519" t="str">
            <v>HGC-2457499</v>
          </cell>
          <cell r="D519" t="str">
            <v>BL-1</v>
          </cell>
          <cell r="E519" t="str">
            <v>IDT156</v>
          </cell>
          <cell r="F519" t="str">
            <v>CCAAGACT</v>
          </cell>
          <cell r="G519" t="str">
            <v>CTCGGTAA</v>
          </cell>
          <cell r="H519" t="str">
            <v>WGS</v>
          </cell>
          <cell r="I519">
            <v>6</v>
          </cell>
          <cell r="J519">
            <v>6</v>
          </cell>
          <cell r="K519" t="str">
            <v>HGC20230605004-0026</v>
          </cell>
        </row>
        <row r="520">
          <cell r="C520" t="str">
            <v>HGC-Lib-2458289</v>
          </cell>
          <cell r="D520" t="str">
            <v>N-5-DNA</v>
          </cell>
          <cell r="F520" t="str">
            <v>GACGATCT</v>
          </cell>
          <cell r="G520" t="str">
            <v>TCGTGCAT</v>
          </cell>
          <cell r="H520" t="str">
            <v>宏基因组文库</v>
          </cell>
          <cell r="I520">
            <v>10</v>
          </cell>
          <cell r="J520">
            <v>10</v>
          </cell>
          <cell r="K520" t="str">
            <v>HGC20240316002-0022</v>
          </cell>
        </row>
        <row r="521">
          <cell r="C521" t="str">
            <v>HGC-Lib-2458290</v>
          </cell>
          <cell r="D521" t="str">
            <v>N-8-DNA</v>
          </cell>
          <cell r="F521" t="str">
            <v>AACTGAGC</v>
          </cell>
          <cell r="G521" t="str">
            <v>CAATCAGG</v>
          </cell>
          <cell r="H521" t="str">
            <v>宏基因组文库</v>
          </cell>
          <cell r="I521">
            <v>10</v>
          </cell>
          <cell r="J521">
            <v>10</v>
          </cell>
          <cell r="K521" t="str">
            <v>HGC20240316002-0022</v>
          </cell>
        </row>
        <row r="522">
          <cell r="C522" t="str">
            <v>HGC-Lib-2458291</v>
          </cell>
          <cell r="D522" t="str">
            <v>N-7-DNA</v>
          </cell>
          <cell r="F522" t="str">
            <v>CTTAGGAC</v>
          </cell>
          <cell r="G522" t="str">
            <v>ACTCCTAC</v>
          </cell>
          <cell r="H522" t="str">
            <v>宏基因组文库</v>
          </cell>
          <cell r="I522">
            <v>10</v>
          </cell>
          <cell r="J522">
            <v>10</v>
          </cell>
          <cell r="K522" t="str">
            <v>HGC20240316002-0022</v>
          </cell>
        </row>
        <row r="523">
          <cell r="C523" t="str">
            <v>HGC-Lib-2458292</v>
          </cell>
          <cell r="D523" t="str">
            <v>Blood-6-DNA</v>
          </cell>
          <cell r="F523" t="str">
            <v>GTGCCATA</v>
          </cell>
          <cell r="G523" t="str">
            <v>CTCCTAGT</v>
          </cell>
          <cell r="H523" t="str">
            <v>宏基因组文库</v>
          </cell>
          <cell r="I523">
            <v>10</v>
          </cell>
          <cell r="J523">
            <v>10</v>
          </cell>
          <cell r="K523" t="str">
            <v>HGC20240316002-0022</v>
          </cell>
        </row>
        <row r="524">
          <cell r="C524" t="str">
            <v>HGC-Lib-2458293</v>
          </cell>
          <cell r="D524" t="str">
            <v>Blood-9-DNA</v>
          </cell>
          <cell r="F524" t="str">
            <v>GAATCCGA</v>
          </cell>
          <cell r="G524" t="str">
            <v>AGCTAGTG</v>
          </cell>
          <cell r="H524" t="str">
            <v>宏基因组文库</v>
          </cell>
          <cell r="I524">
            <v>10</v>
          </cell>
          <cell r="J524">
            <v>10</v>
          </cell>
          <cell r="K524" t="str">
            <v>HGC20240316002-0022</v>
          </cell>
        </row>
        <row r="525">
          <cell r="C525" t="str">
            <v>HGC-Lib-2458294</v>
          </cell>
          <cell r="D525" t="str">
            <v>Blood-4-DNA</v>
          </cell>
          <cell r="F525" t="str">
            <v>TCGCTGTT</v>
          </cell>
          <cell r="G525" t="str">
            <v>CAAGTCGT</v>
          </cell>
          <cell r="H525" t="str">
            <v>宏基因组文库</v>
          </cell>
          <cell r="I525">
            <v>10</v>
          </cell>
          <cell r="J525">
            <v>10</v>
          </cell>
          <cell r="K525" t="str">
            <v>HGC20240316002-0022</v>
          </cell>
        </row>
        <row r="526">
          <cell r="C526" t="str">
            <v>HGC-Lib-2458295</v>
          </cell>
          <cell r="D526" t="str">
            <v>NS-6-DNA</v>
          </cell>
          <cell r="F526" t="str">
            <v>TTCGTTGG</v>
          </cell>
          <cell r="G526" t="str">
            <v>TACACACG</v>
          </cell>
          <cell r="H526" t="str">
            <v>宏基因组文库</v>
          </cell>
          <cell r="I526">
            <v>10</v>
          </cell>
          <cell r="J526">
            <v>10</v>
          </cell>
          <cell r="K526" t="str">
            <v>HGC20240316002-0022</v>
          </cell>
        </row>
        <row r="527">
          <cell r="C527" t="str">
            <v>HGC-Lib-2458296</v>
          </cell>
          <cell r="D527" t="str">
            <v>NS-7-DNA</v>
          </cell>
          <cell r="F527" t="str">
            <v>AAGCACTG</v>
          </cell>
          <cell r="G527" t="str">
            <v>AGGTCAAC</v>
          </cell>
          <cell r="H527" t="str">
            <v>宏基因组文库</v>
          </cell>
          <cell r="I527">
            <v>10</v>
          </cell>
          <cell r="J527">
            <v>10</v>
          </cell>
          <cell r="K527" t="str">
            <v>HGC20240316002-0022</v>
          </cell>
        </row>
        <row r="528">
          <cell r="C528" t="str">
            <v>HGC-Lib-2458297</v>
          </cell>
          <cell r="D528" t="str">
            <v>NS-8-DNA</v>
          </cell>
          <cell r="F528" t="str">
            <v>CCTTGATC</v>
          </cell>
          <cell r="G528" t="str">
            <v>GATGGAGT</v>
          </cell>
          <cell r="H528" t="str">
            <v>宏基因组文库</v>
          </cell>
          <cell r="I528">
            <v>10</v>
          </cell>
          <cell r="J528">
            <v>10</v>
          </cell>
          <cell r="K528" t="str">
            <v>HGC20240316002-0022</v>
          </cell>
        </row>
        <row r="529">
          <cell r="C529" t="str">
            <v>HGC-Lib-2458298</v>
          </cell>
          <cell r="D529" t="str">
            <v>AS-2-DNA</v>
          </cell>
          <cell r="F529" t="str">
            <v>GTCGAAGA</v>
          </cell>
          <cell r="G529" t="str">
            <v>CCACATTG</v>
          </cell>
          <cell r="H529" t="str">
            <v>宏基因组文库</v>
          </cell>
          <cell r="I529">
            <v>10</v>
          </cell>
          <cell r="J529">
            <v>10</v>
          </cell>
          <cell r="K529" t="str">
            <v>HGC20240316002-0022</v>
          </cell>
        </row>
        <row r="530">
          <cell r="C530" t="str">
            <v>HGC-Lib-2458299</v>
          </cell>
          <cell r="D530" t="str">
            <v>AS-5-DNA</v>
          </cell>
          <cell r="F530" t="str">
            <v>ACCACGAT</v>
          </cell>
          <cell r="G530" t="str">
            <v>GTCTGCAA</v>
          </cell>
          <cell r="H530" t="str">
            <v>宏基因组文库</v>
          </cell>
          <cell r="I530">
            <v>10</v>
          </cell>
          <cell r="J530">
            <v>10</v>
          </cell>
          <cell r="K530" t="str">
            <v>HGC20240316002-0022</v>
          </cell>
        </row>
        <row r="531">
          <cell r="C531" t="str">
            <v>HGC-Lib-2458300</v>
          </cell>
          <cell r="D531" t="str">
            <v>AS-6-DNA</v>
          </cell>
          <cell r="F531" t="str">
            <v>GATTACCG</v>
          </cell>
          <cell r="G531" t="str">
            <v>TTGGACTG</v>
          </cell>
          <cell r="H531" t="str">
            <v>宏基因组文库</v>
          </cell>
          <cell r="I531">
            <v>10</v>
          </cell>
          <cell r="J531">
            <v>10</v>
          </cell>
          <cell r="K531" t="str">
            <v>HGC20240316002-0022</v>
          </cell>
        </row>
        <row r="532">
          <cell r="C532" t="str">
            <v>HGC-Lib-2458301</v>
          </cell>
          <cell r="D532" t="str">
            <v>N-5-RNA</v>
          </cell>
          <cell r="F532" t="str">
            <v>CGCTCTAT</v>
          </cell>
          <cell r="G532" t="str">
            <v>TTGCAACG</v>
          </cell>
          <cell r="H532" t="str">
            <v>宏基因组文库</v>
          </cell>
          <cell r="I532">
            <v>10</v>
          </cell>
          <cell r="J532">
            <v>10</v>
          </cell>
          <cell r="K532" t="str">
            <v>HGC20240316002-0022</v>
          </cell>
        </row>
        <row r="533">
          <cell r="C533" t="str">
            <v>HGC-Lib-2458302</v>
          </cell>
          <cell r="D533" t="str">
            <v>N-8-RNA</v>
          </cell>
          <cell r="F533" t="str">
            <v>TATCGGTC</v>
          </cell>
          <cell r="G533" t="str">
            <v>TACCGGAT</v>
          </cell>
          <cell r="H533" t="str">
            <v>宏基因组文库</v>
          </cell>
          <cell r="I533">
            <v>10</v>
          </cell>
          <cell r="J533">
            <v>10</v>
          </cell>
          <cell r="K533" t="str">
            <v>HGC20240316002-0022</v>
          </cell>
        </row>
        <row r="534">
          <cell r="C534" t="str">
            <v>HGC-Lib-2458303</v>
          </cell>
          <cell r="D534" t="str">
            <v>Blood-9-RNA</v>
          </cell>
          <cell r="F534" t="str">
            <v>AACGTCTG</v>
          </cell>
          <cell r="G534" t="str">
            <v>AATGACGC</v>
          </cell>
          <cell r="H534" t="str">
            <v>宏基因组文库</v>
          </cell>
          <cell r="I534">
            <v>10</v>
          </cell>
          <cell r="J534">
            <v>10</v>
          </cell>
          <cell r="K534" t="str">
            <v>HGC20240316002-0022</v>
          </cell>
        </row>
        <row r="535">
          <cell r="C535" t="str">
            <v>HGC-Lib-2458304</v>
          </cell>
          <cell r="D535" t="str">
            <v>Blood-4-RNA</v>
          </cell>
          <cell r="F535" t="str">
            <v>ACGTTCAG</v>
          </cell>
          <cell r="G535" t="str">
            <v>AGTTGTGC</v>
          </cell>
          <cell r="H535" t="str">
            <v>宏基因组文库</v>
          </cell>
          <cell r="I535">
            <v>10</v>
          </cell>
          <cell r="J535">
            <v>10</v>
          </cell>
          <cell r="K535" t="str">
            <v>HGC20240316002-0022</v>
          </cell>
        </row>
        <row r="536">
          <cell r="C536" t="str">
            <v>HGC-Lib-2458305</v>
          </cell>
          <cell r="D536" t="str">
            <v>NS-6-RNA</v>
          </cell>
          <cell r="F536" t="str">
            <v>CAGTCCAA</v>
          </cell>
          <cell r="G536" t="str">
            <v>CGGTAATC</v>
          </cell>
          <cell r="H536" t="str">
            <v>宏基因组文库</v>
          </cell>
          <cell r="I536">
            <v>10</v>
          </cell>
          <cell r="J536">
            <v>10</v>
          </cell>
          <cell r="K536" t="str">
            <v>HGC20240316002-0022</v>
          </cell>
        </row>
        <row r="537">
          <cell r="C537" t="str">
            <v>HGC-Lib-2458306</v>
          </cell>
          <cell r="D537" t="str">
            <v>NS-8-RNA</v>
          </cell>
          <cell r="F537" t="str">
            <v>TTGCAGAC</v>
          </cell>
          <cell r="G537" t="str">
            <v>ATCGTGGT</v>
          </cell>
          <cell r="H537" t="str">
            <v>宏基因组文库</v>
          </cell>
          <cell r="I537">
            <v>10</v>
          </cell>
          <cell r="J537">
            <v>10</v>
          </cell>
          <cell r="K537" t="str">
            <v>HGC20240316002-0022</v>
          </cell>
        </row>
        <row r="538">
          <cell r="C538" t="str">
            <v>HGC-Lib-2458307</v>
          </cell>
          <cell r="D538" t="str">
            <v>AS-5-RNA</v>
          </cell>
          <cell r="F538" t="str">
            <v>CAATGTGG</v>
          </cell>
          <cell r="G538" t="str">
            <v>TCTTCGAC</v>
          </cell>
          <cell r="H538" t="str">
            <v>宏基因组文库</v>
          </cell>
          <cell r="I538">
            <v>10</v>
          </cell>
          <cell r="J538">
            <v>10</v>
          </cell>
          <cell r="K538" t="str">
            <v>HGC20240316002-0022</v>
          </cell>
        </row>
        <row r="539">
          <cell r="C539" t="str">
            <v>HGC-Lib-2458308</v>
          </cell>
          <cell r="D539" t="str">
            <v>AS-6-RNA</v>
          </cell>
          <cell r="F539" t="str">
            <v>ACTCCATC</v>
          </cell>
          <cell r="G539" t="str">
            <v>GATCAAGG</v>
          </cell>
          <cell r="H539" t="str">
            <v>宏基因组文库</v>
          </cell>
          <cell r="I539">
            <v>10</v>
          </cell>
          <cell r="J539">
            <v>10</v>
          </cell>
          <cell r="K539" t="str">
            <v>HGC20240316002-0022</v>
          </cell>
        </row>
        <row r="540">
          <cell r="C540" t="str">
            <v>HGC-Lib-2458727</v>
          </cell>
          <cell r="D540" t="str">
            <v>UtoC-6-2R</v>
          </cell>
          <cell r="F540" t="str">
            <v>CTGTAGCC</v>
          </cell>
          <cell r="H540" t="str">
            <v>PCR片段文库</v>
          </cell>
          <cell r="I540">
            <v>2</v>
          </cell>
          <cell r="J540">
            <v>2</v>
          </cell>
          <cell r="K540" t="str">
            <v>HGC20230727003-0165</v>
          </cell>
        </row>
        <row r="541">
          <cell r="C541" t="str">
            <v>HGC-Lib-2458728</v>
          </cell>
          <cell r="D541" t="str">
            <v>AAV6-lib-sub</v>
          </cell>
          <cell r="F541" t="str">
            <v>TAGCTTGT</v>
          </cell>
          <cell r="H541" t="str">
            <v>PCR产物文库</v>
          </cell>
          <cell r="I541">
            <v>5</v>
          </cell>
          <cell r="J541">
            <v>5</v>
          </cell>
          <cell r="K541" t="str">
            <v>HGC20230727003-0166</v>
          </cell>
        </row>
        <row r="542">
          <cell r="C542" t="str">
            <v>HGC-Lib-2458729</v>
          </cell>
          <cell r="D542" t="str">
            <v>AAV6-lib-sub-ins3</v>
          </cell>
          <cell r="F542" t="str">
            <v>GGCTACAG</v>
          </cell>
          <cell r="H542" t="str">
            <v>PCR产物文库</v>
          </cell>
          <cell r="I542">
            <v>2</v>
          </cell>
          <cell r="J542">
            <v>2</v>
          </cell>
          <cell r="K542" t="str">
            <v>HGC20230727003-0166</v>
          </cell>
        </row>
        <row r="543">
          <cell r="C543" t="str">
            <v>HGC-Lib-2458730</v>
          </cell>
          <cell r="D543" t="str">
            <v>YL24-7-24-R15</v>
          </cell>
          <cell r="F543" t="str">
            <v>TTGACTCT</v>
          </cell>
          <cell r="H543" t="str">
            <v>PCR产物文库</v>
          </cell>
          <cell r="I543">
            <v>2</v>
          </cell>
          <cell r="J543">
            <v>2</v>
          </cell>
          <cell r="K543" t="str">
            <v>HGC20230727003-0166</v>
          </cell>
        </row>
        <row r="544">
          <cell r="C544" t="str">
            <v>HGC-Lib-2457786</v>
          </cell>
          <cell r="D544" t="str">
            <v>LMPP6</v>
          </cell>
          <cell r="F544" t="str">
            <v>GTAGAGGA</v>
          </cell>
          <cell r="G544" t="str">
            <v>ATAGAGAG</v>
          </cell>
          <cell r="H544" t="str">
            <v>mRNA文库</v>
          </cell>
          <cell r="I544">
            <v>6</v>
          </cell>
          <cell r="J544">
            <v>6</v>
          </cell>
          <cell r="K544" t="str">
            <v>HGC20240702005-0017</v>
          </cell>
        </row>
        <row r="545">
          <cell r="C545" t="str">
            <v>HGC-Lib-2457787</v>
          </cell>
          <cell r="D545" t="str">
            <v>LMPP11</v>
          </cell>
          <cell r="F545" t="str">
            <v>GTAGAGGA</v>
          </cell>
          <cell r="G545" t="str">
            <v>AGAGGATA</v>
          </cell>
          <cell r="H545" t="str">
            <v>mRNA文库</v>
          </cell>
          <cell r="I545">
            <v>6</v>
          </cell>
          <cell r="J545">
            <v>6</v>
          </cell>
          <cell r="K545" t="str">
            <v>HGC20240702005-0017</v>
          </cell>
        </row>
        <row r="546">
          <cell r="C546" t="str">
            <v>HGC-Lib-2457788</v>
          </cell>
          <cell r="D546" t="str">
            <v>LMPP13</v>
          </cell>
          <cell r="F546" t="str">
            <v>GTAGAGGA</v>
          </cell>
          <cell r="G546" t="str">
            <v>TCTACTCT</v>
          </cell>
          <cell r="H546" t="str">
            <v>mRNA文库</v>
          </cell>
          <cell r="I546">
            <v>6</v>
          </cell>
          <cell r="J546">
            <v>6</v>
          </cell>
          <cell r="K546" t="str">
            <v>HGC20240702005-0017</v>
          </cell>
        </row>
        <row r="547">
          <cell r="C547" t="str">
            <v>HGC-Lib-2457789</v>
          </cell>
          <cell r="D547" t="str">
            <v>CLP1</v>
          </cell>
          <cell r="F547" t="str">
            <v>GTAGAGGA</v>
          </cell>
          <cell r="G547" t="str">
            <v>CTCCTTAC</v>
          </cell>
          <cell r="H547" t="str">
            <v>mRNA文库</v>
          </cell>
          <cell r="I547">
            <v>6</v>
          </cell>
          <cell r="J547">
            <v>6</v>
          </cell>
          <cell r="K547" t="str">
            <v>HGC20240702005-0017</v>
          </cell>
        </row>
        <row r="548">
          <cell r="C548" t="str">
            <v>HGC-Lib-2457790</v>
          </cell>
          <cell r="D548" t="str">
            <v>CLP5</v>
          </cell>
          <cell r="F548" t="str">
            <v>GTAGAGGA</v>
          </cell>
          <cell r="G548" t="str">
            <v>TATGCAGT</v>
          </cell>
          <cell r="H548" t="str">
            <v>mRNA文库</v>
          </cell>
          <cell r="I548">
            <v>6</v>
          </cell>
          <cell r="J548">
            <v>6</v>
          </cell>
          <cell r="K548" t="str">
            <v>HGC20240702005-0017</v>
          </cell>
        </row>
        <row r="549">
          <cell r="C549" t="str">
            <v>HGC-Lib-2457791</v>
          </cell>
          <cell r="D549" t="str">
            <v>CLP6</v>
          </cell>
          <cell r="F549" t="str">
            <v>GTAGAGGA</v>
          </cell>
          <cell r="G549" t="str">
            <v>TACTCCTT</v>
          </cell>
          <cell r="H549" t="str">
            <v>mRNA文库</v>
          </cell>
          <cell r="I549">
            <v>6</v>
          </cell>
          <cell r="J549">
            <v>6</v>
          </cell>
          <cell r="K549" t="str">
            <v>HGC20240702005-0017</v>
          </cell>
        </row>
        <row r="550">
          <cell r="C550" t="str">
            <v>HGC-Lib-2457792</v>
          </cell>
          <cell r="D550" t="str">
            <v>CLP11</v>
          </cell>
          <cell r="F550" t="str">
            <v>GTAGAGGA</v>
          </cell>
          <cell r="G550" t="str">
            <v>AGGCTTAG</v>
          </cell>
          <cell r="H550" t="str">
            <v>mRNA文库</v>
          </cell>
          <cell r="I550">
            <v>6</v>
          </cell>
          <cell r="J550">
            <v>6</v>
          </cell>
          <cell r="K550" t="str">
            <v>HGC20240702005-0017</v>
          </cell>
        </row>
        <row r="551">
          <cell r="C551" t="str">
            <v>HGC-Lib-2458679</v>
          </cell>
          <cell r="D551" t="str">
            <v>CLIP1_HEK11_20K_rep1</v>
          </cell>
          <cell r="F551" t="str">
            <v>CGAGTAAT</v>
          </cell>
          <cell r="G551" t="str">
            <v>GCCTCTAT</v>
          </cell>
          <cell r="H551" t="str">
            <v>RIP-seq文库</v>
          </cell>
          <cell r="I551">
            <v>40</v>
          </cell>
          <cell r="J551">
            <v>40</v>
          </cell>
          <cell r="K551" t="str">
            <v>HGC20240717003-0002</v>
          </cell>
        </row>
        <row r="552">
          <cell r="C552" t="str">
            <v>HGC-Lib-2458247</v>
          </cell>
          <cell r="D552" t="str">
            <v>CON1</v>
          </cell>
          <cell r="F552" t="str">
            <v>CGAGTAAT</v>
          </cell>
          <cell r="G552" t="str">
            <v>AGGCTATA</v>
          </cell>
          <cell r="H552" t="str">
            <v>ATAC-Seq文库</v>
          </cell>
          <cell r="I552">
            <v>6</v>
          </cell>
          <cell r="J552">
            <v>6</v>
          </cell>
          <cell r="K552" t="str">
            <v>HGC20231225011-0037</v>
          </cell>
        </row>
        <row r="553">
          <cell r="C553" t="str">
            <v>HGC-Lib-2458249</v>
          </cell>
          <cell r="D553" t="str">
            <v>SH1</v>
          </cell>
          <cell r="F553" t="str">
            <v>TCCGGAGA</v>
          </cell>
          <cell r="G553" t="str">
            <v>AGGCTATA</v>
          </cell>
          <cell r="H553" t="str">
            <v>ATAC-Seq文库</v>
          </cell>
          <cell r="I553">
            <v>6</v>
          </cell>
          <cell r="J553">
            <v>6</v>
          </cell>
          <cell r="K553" t="str">
            <v>HGC20231225011-0037</v>
          </cell>
        </row>
        <row r="554">
          <cell r="C554" t="str">
            <v>HGC-Lib-2458250</v>
          </cell>
          <cell r="D554" t="str">
            <v>SH2</v>
          </cell>
          <cell r="F554" t="str">
            <v>TCCGGAGA</v>
          </cell>
          <cell r="G554" t="str">
            <v>GCCTCTAT</v>
          </cell>
          <cell r="H554" t="str">
            <v>ATAC-Seq文库</v>
          </cell>
          <cell r="I554">
            <v>6</v>
          </cell>
          <cell r="J554">
            <v>6</v>
          </cell>
          <cell r="K554" t="str">
            <v>HGC20231225011-0037</v>
          </cell>
        </row>
        <row r="555">
          <cell r="C555" t="str">
            <v>HGC-Lib-2458238</v>
          </cell>
          <cell r="D555" t="str">
            <v>C</v>
          </cell>
          <cell r="F555" t="str">
            <v>GAGATTCC</v>
          </cell>
          <cell r="G555" t="str">
            <v>AGGCTATA</v>
          </cell>
          <cell r="H555" t="str">
            <v>全基因组文库</v>
          </cell>
          <cell r="I555">
            <v>6</v>
          </cell>
          <cell r="J555">
            <v>6</v>
          </cell>
          <cell r="K555" t="str">
            <v>HGC20231225011-0038</v>
          </cell>
        </row>
        <row r="556">
          <cell r="C556" t="str">
            <v>HGC-Lib-2459129</v>
          </cell>
          <cell r="D556" t="str">
            <v>F22-1</v>
          </cell>
          <cell r="F556" t="str">
            <v>GGAGCTAC</v>
          </cell>
          <cell r="G556" t="str">
            <v>ATAGCCTT</v>
          </cell>
          <cell r="H556" t="str">
            <v>cut&amp;tag文库</v>
          </cell>
          <cell r="I556">
            <v>10</v>
          </cell>
          <cell r="J556">
            <v>10</v>
          </cell>
          <cell r="K556" t="str">
            <v>HGC20240515004-0018</v>
          </cell>
        </row>
        <row r="557">
          <cell r="C557" t="str">
            <v>HGC-Lib-2459131</v>
          </cell>
          <cell r="D557" t="str">
            <v>F31-1</v>
          </cell>
          <cell r="F557" t="str">
            <v>GCGTAGTA</v>
          </cell>
          <cell r="G557" t="str">
            <v>TAAGGCTC</v>
          </cell>
          <cell r="H557" t="str">
            <v>cut&amp;tag文库</v>
          </cell>
          <cell r="I557">
            <v>10</v>
          </cell>
          <cell r="J557">
            <v>10</v>
          </cell>
          <cell r="K557" t="str">
            <v>HGC20240515004-0018</v>
          </cell>
        </row>
        <row r="559">
          <cell r="C559" t="str">
            <v>HaploX编号</v>
          </cell>
          <cell r="D559" t="str">
            <v>样本名称</v>
          </cell>
          <cell r="E559" t="str">
            <v>Index序号</v>
          </cell>
          <cell r="F559" t="str">
            <v>i7序列</v>
          </cell>
          <cell r="G559" t="str">
            <v>i5序列</v>
          </cell>
          <cell r="H559" t="str">
            <v>文库类型</v>
          </cell>
          <cell r="I559" t="str">
            <v>数据量G</v>
          </cell>
          <cell r="J559" t="str">
            <v>预分配数据量G</v>
          </cell>
          <cell r="K559" t="str">
            <v>合同编号</v>
          </cell>
        </row>
        <row r="560">
          <cell r="C560" t="str">
            <v>HGC-POOL-2458877</v>
          </cell>
          <cell r="D560" t="str">
            <v>NPM1-K27-CUT-tag</v>
          </cell>
          <cell r="F560" t="str">
            <v>TAAGGCGA</v>
          </cell>
          <cell r="G560" t="str">
            <v>AGAGGATA</v>
          </cell>
          <cell r="H560" t="str">
            <v>cut&amp;tag文库</v>
          </cell>
          <cell r="I560">
            <v>24</v>
          </cell>
          <cell r="J560">
            <v>24</v>
          </cell>
          <cell r="K560" t="str">
            <v>HGC20240410002-0037</v>
          </cell>
        </row>
        <row r="561">
          <cell r="D561" t="str">
            <v>NPM1-K27-CUT-tag</v>
          </cell>
          <cell r="F561" t="str">
            <v>CGTACTAG</v>
          </cell>
          <cell r="G561" t="str">
            <v>AGAGGATA</v>
          </cell>
          <cell r="H561" t="str">
            <v>cut&amp;tag文库</v>
          </cell>
          <cell r="K561" t="str">
            <v>HGC20240410002-0037</v>
          </cell>
        </row>
        <row r="562">
          <cell r="D562" t="str">
            <v>NPM1-K27-CUT-tag</v>
          </cell>
          <cell r="F562" t="str">
            <v>AGGCAGAA</v>
          </cell>
          <cell r="G562" t="str">
            <v>AGAGGATA</v>
          </cell>
          <cell r="H562" t="str">
            <v>cut&amp;tag文库</v>
          </cell>
          <cell r="K562" t="str">
            <v>HGC20240410002-0037</v>
          </cell>
        </row>
        <row r="563">
          <cell r="D563" t="str">
            <v>NPM1-K27-CUT-tag</v>
          </cell>
          <cell r="F563" t="str">
            <v>TAAGGCGA</v>
          </cell>
          <cell r="G563" t="str">
            <v>CTCCTTAC</v>
          </cell>
          <cell r="H563" t="str">
            <v>cut&amp;tag文库</v>
          </cell>
          <cell r="K563" t="str">
            <v>HGC20240410002-0037</v>
          </cell>
        </row>
        <row r="564">
          <cell r="D564" t="str">
            <v>NPM1-K27-CUT-tag</v>
          </cell>
          <cell r="F564" t="str">
            <v>CGTACTAG</v>
          </cell>
          <cell r="G564" t="str">
            <v>CTCCTTAC</v>
          </cell>
          <cell r="H564" t="str">
            <v>cut&amp;tag文库</v>
          </cell>
          <cell r="K564" t="str">
            <v>HGC20240410002-0037</v>
          </cell>
        </row>
        <row r="565">
          <cell r="D565" t="str">
            <v>NPM1-K27-CUT-tag</v>
          </cell>
          <cell r="F565" t="str">
            <v>AGGCAGAA</v>
          </cell>
          <cell r="G565" t="str">
            <v>CTCCTTAC</v>
          </cell>
          <cell r="H565" t="str">
            <v>cut&amp;tag文库</v>
          </cell>
          <cell r="K565" t="str">
            <v>HGC20240410002-0037</v>
          </cell>
        </row>
        <row r="566">
          <cell r="C566" t="str">
            <v>HGC-POOL-2455885</v>
          </cell>
          <cell r="D566" t="str">
            <v>CY</v>
          </cell>
          <cell r="F566" t="str">
            <v>TCCTGAGC</v>
          </cell>
          <cell r="G566" t="str">
            <v>TCTACTCT</v>
          </cell>
          <cell r="H566" t="str">
            <v>mRNA文库</v>
          </cell>
          <cell r="I566">
            <v>15</v>
          </cell>
          <cell r="J566">
            <v>15</v>
          </cell>
          <cell r="K566" t="str">
            <v>HGC20230324002-0069</v>
          </cell>
        </row>
        <row r="567">
          <cell r="D567" t="str">
            <v>CY</v>
          </cell>
          <cell r="F567" t="str">
            <v>TCCTGAGC</v>
          </cell>
          <cell r="G567" t="str">
            <v>CTCCTTAC</v>
          </cell>
          <cell r="H567" t="str">
            <v>mRNA文库</v>
          </cell>
          <cell r="K567" t="str">
            <v>HGC20230324002-0069</v>
          </cell>
        </row>
        <row r="568">
          <cell r="D568" t="str">
            <v>CY</v>
          </cell>
          <cell r="F568" t="str">
            <v>TCCTGAGC</v>
          </cell>
          <cell r="G568" t="str">
            <v>TATGCAGT</v>
          </cell>
          <cell r="H568" t="str">
            <v>mRNA文库</v>
          </cell>
          <cell r="K568" t="str">
            <v>HGC20230324002-0069</v>
          </cell>
        </row>
        <row r="569">
          <cell r="D569" t="str">
            <v>CY</v>
          </cell>
          <cell r="F569" t="str">
            <v>GGACTCCT</v>
          </cell>
          <cell r="G569" t="str">
            <v>TCTACTCT</v>
          </cell>
          <cell r="H569" t="str">
            <v>mRNA文库</v>
          </cell>
          <cell r="K569" t="str">
            <v>HGC20230324002-0069</v>
          </cell>
        </row>
        <row r="570">
          <cell r="D570" t="str">
            <v>CY</v>
          </cell>
          <cell r="F570" t="str">
            <v>GGACTCCT</v>
          </cell>
          <cell r="G570" t="str">
            <v>CTCCTTAC</v>
          </cell>
          <cell r="H570" t="str">
            <v>mRNA文库</v>
          </cell>
          <cell r="K570" t="str">
            <v>HGC20230324002-0069</v>
          </cell>
        </row>
        <row r="571">
          <cell r="D571" t="str">
            <v>CY</v>
          </cell>
          <cell r="F571" t="str">
            <v>GGACTCCT</v>
          </cell>
          <cell r="G571" t="str">
            <v>TATGCAGT</v>
          </cell>
          <cell r="H571" t="str">
            <v>mRNA文库</v>
          </cell>
          <cell r="K571" t="str">
            <v>HGC20230324002-0069</v>
          </cell>
        </row>
        <row r="572">
          <cell r="C572" t="str">
            <v>HGC-Lib-2456801</v>
          </cell>
          <cell r="D572" t="str">
            <v>T831+T837pooling3</v>
          </cell>
          <cell r="F572" t="str">
            <v>GTCGGTAA</v>
          </cell>
          <cell r="H572" t="str">
            <v>small RNA文库</v>
          </cell>
          <cell r="I572">
            <v>3</v>
          </cell>
          <cell r="J572">
            <v>3</v>
          </cell>
          <cell r="K572" t="str">
            <v>HGC20230224004-0337</v>
          </cell>
        </row>
        <row r="573">
          <cell r="D573" t="str">
            <v>T831+T837pooling3</v>
          </cell>
          <cell r="F573" t="str">
            <v>AGGTCACT</v>
          </cell>
          <cell r="H573" t="str">
            <v>small RNA文库</v>
          </cell>
          <cell r="K573" t="str">
            <v>HGC20230224004-0337</v>
          </cell>
        </row>
        <row r="574">
          <cell r="D574" t="str">
            <v>T831+T837pooling3</v>
          </cell>
          <cell r="F574" t="str">
            <v>CATGAGGA</v>
          </cell>
          <cell r="H574" t="str">
            <v>small RNA文库</v>
          </cell>
          <cell r="K574" t="str">
            <v>HGC20230224004-0337</v>
          </cell>
        </row>
        <row r="575">
          <cell r="C575" t="str">
            <v>HGC-Lib-2447498</v>
          </cell>
          <cell r="D575" t="str">
            <v>PP002</v>
          </cell>
          <cell r="F575" t="str">
            <v>CTACGCAC</v>
          </cell>
          <cell r="H575" t="str">
            <v>甲基化文库</v>
          </cell>
          <cell r="I575">
            <v>5</v>
          </cell>
          <cell r="J575">
            <v>5</v>
          </cell>
          <cell r="K575" t="str">
            <v>HGC20240312001-0016</v>
          </cell>
        </row>
        <row r="576">
          <cell r="C576" t="str">
            <v>HGC-Lib-2447501</v>
          </cell>
          <cell r="D576" t="str">
            <v>PP005</v>
          </cell>
          <cell r="F576" t="str">
            <v>GTTCGACA</v>
          </cell>
          <cell r="H576" t="str">
            <v>甲基化文库</v>
          </cell>
          <cell r="I576">
            <v>2</v>
          </cell>
          <cell r="J576">
            <v>2</v>
          </cell>
          <cell r="K576" t="str">
            <v>HGC20240312001-0016</v>
          </cell>
        </row>
        <row r="577">
          <cell r="C577" t="str">
            <v>HGC-Lib-2447502</v>
          </cell>
          <cell r="D577" t="str">
            <v>PP006</v>
          </cell>
          <cell r="F577" t="str">
            <v>ATGAGGAA</v>
          </cell>
          <cell r="H577" t="str">
            <v>甲基化文库</v>
          </cell>
          <cell r="I577">
            <v>3</v>
          </cell>
          <cell r="J577">
            <v>3</v>
          </cell>
          <cell r="K577" t="str">
            <v>HGC20240312001-0016</v>
          </cell>
        </row>
        <row r="578">
          <cell r="C578" t="str">
            <v>HGC-Lib-2447505</v>
          </cell>
          <cell r="D578" t="str">
            <v>PP009</v>
          </cell>
          <cell r="F578" t="str">
            <v>TATCCAGA</v>
          </cell>
          <cell r="H578" t="str">
            <v>甲基化文库</v>
          </cell>
          <cell r="I578">
            <v>1</v>
          </cell>
          <cell r="J578">
            <v>1</v>
          </cell>
          <cell r="K578" t="str">
            <v>HGC20240312001-0016</v>
          </cell>
        </row>
        <row r="579">
          <cell r="C579" t="str">
            <v>HGC-2452403</v>
          </cell>
          <cell r="D579" t="str">
            <v>C002</v>
          </cell>
          <cell r="E579" t="str">
            <v>IDT382</v>
          </cell>
          <cell r="F579" t="str">
            <v>AATGGACG</v>
          </cell>
          <cell r="G579" t="str">
            <v>GTGAGACT</v>
          </cell>
          <cell r="H579" t="str">
            <v>mRNA</v>
          </cell>
          <cell r="I579">
            <v>1</v>
          </cell>
          <cell r="J579">
            <v>1</v>
          </cell>
          <cell r="K579" t="str">
            <v>HGC20240628003-0001</v>
          </cell>
        </row>
        <row r="580">
          <cell r="C580" t="str">
            <v>HGC-POOL-2457760</v>
          </cell>
          <cell r="D580" t="str">
            <v>LQT_cut_tag_240719</v>
          </cell>
          <cell r="F580" t="str">
            <v>AGGCAGAA</v>
          </cell>
          <cell r="G580" t="str">
            <v>GCGATCTA</v>
          </cell>
          <cell r="H580" t="str">
            <v>cut&amp;tag文库</v>
          </cell>
          <cell r="I580">
            <v>40</v>
          </cell>
          <cell r="J580">
            <v>40</v>
          </cell>
          <cell r="K580" t="str">
            <v>HGC20240605002-0002</v>
          </cell>
        </row>
        <row r="581">
          <cell r="D581" t="str">
            <v>LQT_cut_tag_240719</v>
          </cell>
          <cell r="F581" t="str">
            <v>TAAGGCGA</v>
          </cell>
          <cell r="G581" t="str">
            <v>GCGATCTA</v>
          </cell>
          <cell r="H581" t="str">
            <v>cut&amp;tag文库</v>
          </cell>
          <cell r="K581" t="str">
            <v>HGC20240605002-0002</v>
          </cell>
        </row>
        <row r="582">
          <cell r="D582" t="str">
            <v>LQT_cut_tag_240719</v>
          </cell>
          <cell r="F582" t="str">
            <v>AGGCAGAA</v>
          </cell>
          <cell r="G582" t="str">
            <v>ATAGAGAG</v>
          </cell>
          <cell r="H582" t="str">
            <v>cut&amp;tag文库</v>
          </cell>
          <cell r="K582" t="str">
            <v>HGC20240605002-0002</v>
          </cell>
        </row>
        <row r="583">
          <cell r="D583" t="str">
            <v>LQT_cut_tag_240719</v>
          </cell>
          <cell r="F583" t="str">
            <v>GGACTCCT</v>
          </cell>
          <cell r="G583" t="str">
            <v>AGAGGATA</v>
          </cell>
          <cell r="H583" t="str">
            <v>cut&amp;tag文库</v>
          </cell>
          <cell r="K583" t="str">
            <v>HGC20240605002-0002</v>
          </cell>
        </row>
        <row r="584">
          <cell r="C584" t="str">
            <v>HGC-POOL-2458129</v>
          </cell>
          <cell r="D584" t="str">
            <v>MethyCap 11</v>
          </cell>
          <cell r="F584" t="str">
            <v>TCTAGGAG</v>
          </cell>
          <cell r="G584" t="str">
            <v>AGGTCACT</v>
          </cell>
          <cell r="H584" t="str">
            <v>甲基化文库</v>
          </cell>
          <cell r="I584">
            <v>300</v>
          </cell>
          <cell r="J584">
            <v>300</v>
          </cell>
          <cell r="K584" t="str">
            <v>HGC20240222001-0009</v>
          </cell>
        </row>
        <row r="585">
          <cell r="D585" t="str">
            <v>MethyCap 11</v>
          </cell>
          <cell r="F585" t="str">
            <v>TGCGTAAC</v>
          </cell>
          <cell r="G585" t="str">
            <v>GATAGGCT</v>
          </cell>
          <cell r="H585" t="str">
            <v>甲基化文库</v>
          </cell>
          <cell r="K585" t="str">
            <v>HGC20240222001-0009</v>
          </cell>
        </row>
        <row r="586">
          <cell r="D586" t="str">
            <v>MethyCap 11</v>
          </cell>
          <cell r="F586" t="str">
            <v>CTTGCTAG</v>
          </cell>
          <cell r="G586" t="str">
            <v>GGAGATGA</v>
          </cell>
          <cell r="H586" t="str">
            <v>甲基化文库</v>
          </cell>
          <cell r="K586" t="str">
            <v>HGC20240222001-0009</v>
          </cell>
        </row>
        <row r="587">
          <cell r="D587" t="str">
            <v>MethyCap 11</v>
          </cell>
          <cell r="F587" t="str">
            <v>AGCGAGAT</v>
          </cell>
          <cell r="G587" t="str">
            <v>GATACTGG</v>
          </cell>
          <cell r="H587" t="str">
            <v>甲基化文库</v>
          </cell>
          <cell r="K587" t="str">
            <v>HGC20240222001-0009</v>
          </cell>
        </row>
        <row r="588">
          <cell r="D588" t="str">
            <v>MethyCap 11</v>
          </cell>
          <cell r="F588" t="str">
            <v>TATGGCAC</v>
          </cell>
          <cell r="G588" t="str">
            <v>TCTCGCAA</v>
          </cell>
          <cell r="H588" t="str">
            <v>甲基化文库</v>
          </cell>
          <cell r="K588" t="str">
            <v>HGC20240222001-0009</v>
          </cell>
        </row>
        <row r="589">
          <cell r="D589" t="str">
            <v>MethyCap 11</v>
          </cell>
          <cell r="F589" t="str">
            <v>GAATCACC</v>
          </cell>
          <cell r="G589" t="str">
            <v>CTTCGTTC</v>
          </cell>
          <cell r="H589" t="str">
            <v>甲基化文库</v>
          </cell>
          <cell r="K589" t="str">
            <v>HGC20240222001-0009</v>
          </cell>
        </row>
        <row r="590">
          <cell r="D590" t="str">
            <v>MethyCap 11</v>
          </cell>
          <cell r="F590" t="str">
            <v>GTAAGGTG</v>
          </cell>
          <cell r="G590" t="str">
            <v>GCAATTCG</v>
          </cell>
          <cell r="H590" t="str">
            <v>甲基化文库</v>
          </cell>
          <cell r="K590" t="str">
            <v>HGC20240222001-0009</v>
          </cell>
        </row>
        <row r="591">
          <cell r="D591" t="str">
            <v>MethyCap 11</v>
          </cell>
          <cell r="F591" t="str">
            <v>CGAGAGAA</v>
          </cell>
          <cell r="G591" t="str">
            <v>TCTCTTCC</v>
          </cell>
          <cell r="H591" t="str">
            <v>甲基化文库</v>
          </cell>
          <cell r="K591" t="str">
            <v>HGC20240222001-0009</v>
          </cell>
        </row>
        <row r="592">
          <cell r="D592" t="str">
            <v>MethyCap 11</v>
          </cell>
          <cell r="F592" t="str">
            <v>CAGTGCTT</v>
          </cell>
          <cell r="G592" t="str">
            <v>ACCTGGAA</v>
          </cell>
          <cell r="H592" t="str">
            <v>甲基化文库</v>
          </cell>
          <cell r="K592" t="str">
            <v>HGC20240222001-0009</v>
          </cell>
        </row>
        <row r="593">
          <cell r="D593" t="str">
            <v>MethyCap 11</v>
          </cell>
          <cell r="F593" t="str">
            <v>TCCATTGC</v>
          </cell>
          <cell r="G593" t="str">
            <v>AGACCGTA</v>
          </cell>
          <cell r="H593" t="str">
            <v>甲基化文库</v>
          </cell>
          <cell r="K593" t="str">
            <v>HGC20240222001-0009</v>
          </cell>
        </row>
        <row r="594">
          <cell r="C594" t="str">
            <v>HGC-2459247</v>
          </cell>
          <cell r="D594" t="str">
            <v>范中信</v>
          </cell>
          <cell r="E594" t="str">
            <v>IDT361</v>
          </cell>
          <cell r="F594" t="str">
            <v>GTCAGTTG</v>
          </cell>
          <cell r="G594" t="str">
            <v>CGATTGGA</v>
          </cell>
          <cell r="H594" t="str">
            <v>LncRNA</v>
          </cell>
          <cell r="I594">
            <v>12</v>
          </cell>
          <cell r="J594">
            <v>13</v>
          </cell>
          <cell r="K594" t="str">
            <v>HGC20240726001-0001</v>
          </cell>
        </row>
        <row r="595">
          <cell r="C595" t="str">
            <v>HGC-2459248</v>
          </cell>
          <cell r="D595" t="str">
            <v>吴翠仪</v>
          </cell>
          <cell r="E595" t="str">
            <v>IDT362</v>
          </cell>
          <cell r="F595" t="str">
            <v>GTAGAGCA</v>
          </cell>
          <cell r="G595" t="str">
            <v>TATGACCG</v>
          </cell>
          <cell r="H595" t="str">
            <v>LncRNA</v>
          </cell>
          <cell r="I595">
            <v>12</v>
          </cell>
          <cell r="J595">
            <v>13</v>
          </cell>
          <cell r="K595" t="str">
            <v>HGC20240726001-0001</v>
          </cell>
        </row>
        <row r="596">
          <cell r="C596" t="str">
            <v>HGC-2459249</v>
          </cell>
          <cell r="D596" t="str">
            <v>朱红时</v>
          </cell>
          <cell r="E596" t="str">
            <v>IDT363</v>
          </cell>
          <cell r="F596" t="str">
            <v>ACGTGATG</v>
          </cell>
          <cell r="G596" t="str">
            <v>GATAGCCA</v>
          </cell>
          <cell r="H596" t="str">
            <v>LncRNA</v>
          </cell>
          <cell r="I596">
            <v>12</v>
          </cell>
          <cell r="J596">
            <v>13</v>
          </cell>
          <cell r="K596" t="str">
            <v>HGC20240726001-0001</v>
          </cell>
        </row>
        <row r="597">
          <cell r="C597" t="str">
            <v>HGC-2459250</v>
          </cell>
          <cell r="D597" t="str">
            <v>梁金水</v>
          </cell>
          <cell r="E597" t="str">
            <v>IDT364</v>
          </cell>
          <cell r="F597" t="str">
            <v>TAAGTGGC</v>
          </cell>
          <cell r="G597" t="str">
            <v>ATCCGTTG</v>
          </cell>
          <cell r="H597" t="str">
            <v>LncRNA</v>
          </cell>
          <cell r="I597">
            <v>12</v>
          </cell>
          <cell r="J597">
            <v>13</v>
          </cell>
          <cell r="K597" t="str">
            <v>HGC20240726001-0001</v>
          </cell>
        </row>
        <row r="598">
          <cell r="C598" t="str">
            <v>HGC-Lib-2458125</v>
          </cell>
          <cell r="D598" t="str">
            <v>E-ZHZS</v>
          </cell>
          <cell r="F598" t="str">
            <v>CGAGGCTG</v>
          </cell>
          <cell r="G598" t="str">
            <v>CTCCTTAC</v>
          </cell>
          <cell r="H598" t="str">
            <v>CUT&amp;Tag文库</v>
          </cell>
          <cell r="I598">
            <v>10</v>
          </cell>
          <cell r="J598">
            <v>10</v>
          </cell>
          <cell r="K598" t="str">
            <v>HGC20240430007-0010</v>
          </cell>
        </row>
        <row r="599">
          <cell r="C599" t="str">
            <v>HGC-Lib-2458126</v>
          </cell>
          <cell r="D599" t="str">
            <v>E-ZSZH</v>
          </cell>
          <cell r="F599" t="str">
            <v>GCTACGCT</v>
          </cell>
          <cell r="G599" t="str">
            <v>AGGCTTAG</v>
          </cell>
          <cell r="H599" t="str">
            <v>CUT&amp;Tag文库</v>
          </cell>
          <cell r="I599">
            <v>10</v>
          </cell>
          <cell r="J599">
            <v>10</v>
          </cell>
          <cell r="K599" t="str">
            <v>HGC20240430007-0010</v>
          </cell>
        </row>
        <row r="600">
          <cell r="C600" t="str">
            <v>HGC-Lib-2458127</v>
          </cell>
          <cell r="D600" t="str">
            <v>G-ZHZS</v>
          </cell>
          <cell r="F600" t="str">
            <v>CTCTCTAC</v>
          </cell>
          <cell r="G600" t="str">
            <v>TACTCCTT</v>
          </cell>
          <cell r="H600" t="str">
            <v>CUT&amp;Tag文库</v>
          </cell>
          <cell r="I600">
            <v>10</v>
          </cell>
          <cell r="J600">
            <v>10</v>
          </cell>
          <cell r="K600" t="str">
            <v>HGC20240430007-0010</v>
          </cell>
        </row>
        <row r="601">
          <cell r="C601" t="str">
            <v>HGC-Lib-2458128</v>
          </cell>
          <cell r="D601" t="str">
            <v>G-ZSZH</v>
          </cell>
          <cell r="F601" t="str">
            <v>TAGGCATG</v>
          </cell>
          <cell r="G601" t="str">
            <v>TATGCAGT</v>
          </cell>
          <cell r="H601" t="str">
            <v>CUT&amp;Tag文库</v>
          </cell>
          <cell r="I601">
            <v>10</v>
          </cell>
          <cell r="J601">
            <v>10</v>
          </cell>
          <cell r="K601" t="str">
            <v>HGC20240430007-0010</v>
          </cell>
        </row>
        <row r="602">
          <cell r="C602" t="str">
            <v>HGC-Lib-2458139</v>
          </cell>
          <cell r="D602">
            <v>2</v>
          </cell>
          <cell r="F602" t="str">
            <v>CGTACTAG</v>
          </cell>
          <cell r="G602" t="str">
            <v>TATGCAGT</v>
          </cell>
          <cell r="H602" t="str">
            <v>cut&amp;tag文库</v>
          </cell>
          <cell r="I602">
            <v>4</v>
          </cell>
          <cell r="J602">
            <v>4</v>
          </cell>
          <cell r="K602" t="str">
            <v>HGC20240608001-0004</v>
          </cell>
        </row>
        <row r="603">
          <cell r="C603" t="str">
            <v>HGC-Lib-2458140</v>
          </cell>
          <cell r="D603">
            <v>3</v>
          </cell>
          <cell r="F603" t="str">
            <v>AGGCAGAA</v>
          </cell>
          <cell r="G603" t="str">
            <v>TATGCAGT</v>
          </cell>
          <cell r="H603" t="str">
            <v>cut&amp;tag文库</v>
          </cell>
          <cell r="I603">
            <v>6</v>
          </cell>
          <cell r="J603">
            <v>6</v>
          </cell>
          <cell r="K603" t="str">
            <v>HGC20240608001-0004</v>
          </cell>
        </row>
        <row r="604">
          <cell r="C604" t="str">
            <v>HGC-Lib-2459276</v>
          </cell>
          <cell r="D604" t="str">
            <v>CH-2</v>
          </cell>
          <cell r="F604" t="str">
            <v>ACAGTG</v>
          </cell>
          <cell r="H604" t="str">
            <v>PCR产物文库</v>
          </cell>
          <cell r="I604">
            <v>5</v>
          </cell>
          <cell r="J604">
            <v>5</v>
          </cell>
          <cell r="K604" t="str">
            <v>HGC20230605001-0027</v>
          </cell>
        </row>
        <row r="605">
          <cell r="C605" t="str">
            <v>HGC-Lib-2459277</v>
          </cell>
          <cell r="D605" t="str">
            <v>NL-3</v>
          </cell>
          <cell r="F605" t="str">
            <v>GCCAAT</v>
          </cell>
          <cell r="H605" t="str">
            <v>PCR产物文库</v>
          </cell>
          <cell r="I605">
            <v>5</v>
          </cell>
          <cell r="J605">
            <v>5</v>
          </cell>
          <cell r="K605" t="str">
            <v>HGC20230605001-0027</v>
          </cell>
        </row>
        <row r="606">
          <cell r="C606" t="str">
            <v>HGC-Lib-2459278</v>
          </cell>
          <cell r="D606" t="str">
            <v>5Z-4</v>
          </cell>
          <cell r="F606" t="str">
            <v>CAGATC</v>
          </cell>
          <cell r="H606" t="str">
            <v>PCR产物文库</v>
          </cell>
          <cell r="I606">
            <v>5</v>
          </cell>
          <cell r="J606">
            <v>5</v>
          </cell>
          <cell r="K606" t="str">
            <v>HGC20230605001-0027</v>
          </cell>
        </row>
        <row r="607">
          <cell r="C607" t="str">
            <v>HGC-Lib-2459279</v>
          </cell>
          <cell r="D607" t="str">
            <v>5Z-5</v>
          </cell>
          <cell r="F607" t="str">
            <v>ACTTGA</v>
          </cell>
          <cell r="H607" t="str">
            <v>PCR产物文库</v>
          </cell>
          <cell r="I607">
            <v>5</v>
          </cell>
          <cell r="J607">
            <v>5</v>
          </cell>
          <cell r="K607" t="str">
            <v>HGC20230605001-0027</v>
          </cell>
        </row>
        <row r="608">
          <cell r="C608" t="str">
            <v>HGC-Lib-2457268</v>
          </cell>
          <cell r="D608" t="str">
            <v>Cl13_GPX4_KD_D14_RNA_1</v>
          </cell>
          <cell r="F608" t="str">
            <v>GGCTAC</v>
          </cell>
          <cell r="H608" t="str">
            <v>RNA-seq文库</v>
          </cell>
          <cell r="I608">
            <v>8</v>
          </cell>
          <cell r="J608">
            <v>8</v>
          </cell>
          <cell r="K608" t="str">
            <v>HGC20240702007-0003</v>
          </cell>
        </row>
        <row r="609">
          <cell r="C609" t="str">
            <v>HGC-Lib-2457269</v>
          </cell>
          <cell r="D609" t="str">
            <v>Cl13_GPX4_KDV_D14_RNA_1</v>
          </cell>
          <cell r="F609" t="str">
            <v>CTTGTA</v>
          </cell>
          <cell r="H609" t="str">
            <v>RNA-seq文库</v>
          </cell>
          <cell r="I609">
            <v>8</v>
          </cell>
          <cell r="J609">
            <v>8</v>
          </cell>
          <cell r="K609" t="str">
            <v>HGC20240702007-0003</v>
          </cell>
        </row>
        <row r="610">
          <cell r="C610" t="str">
            <v>HGC-POOL-2449905</v>
          </cell>
          <cell r="D610" t="str">
            <v>RX20240628-2</v>
          </cell>
          <cell r="F610" t="str">
            <v>CGCTCATT</v>
          </cell>
          <cell r="G610" t="str">
            <v>TAAGATTA</v>
          </cell>
          <cell r="H610" t="str">
            <v>mRNA文库</v>
          </cell>
          <cell r="I610">
            <v>19.206600000000002</v>
          </cell>
          <cell r="J610">
            <v>19.206600000000002</v>
          </cell>
          <cell r="K610" t="str">
            <v>HGC20240317003-0017</v>
          </cell>
        </row>
        <row r="611">
          <cell r="D611" t="str">
            <v>RX20240628-2</v>
          </cell>
          <cell r="F611" t="str">
            <v>GAGATTCC</v>
          </cell>
          <cell r="G611" t="str">
            <v>TAAGATTA</v>
          </cell>
          <cell r="H611" t="str">
            <v>mRNA文库</v>
          </cell>
          <cell r="K611" t="str">
            <v>HGC20240317003-0017</v>
          </cell>
        </row>
        <row r="612">
          <cell r="D612" t="str">
            <v>RX20240628-2</v>
          </cell>
          <cell r="F612" t="str">
            <v>ATTCAGAA</v>
          </cell>
          <cell r="G612" t="str">
            <v>TAAGATTA</v>
          </cell>
          <cell r="H612" t="str">
            <v>mRNA文库</v>
          </cell>
          <cell r="K612" t="str">
            <v>HGC20240317003-0017</v>
          </cell>
        </row>
        <row r="613">
          <cell r="D613" t="str">
            <v>RX20240628-2</v>
          </cell>
          <cell r="F613" t="str">
            <v>GAATTCGT</v>
          </cell>
          <cell r="G613" t="str">
            <v>TAAGATTA</v>
          </cell>
          <cell r="H613" t="str">
            <v>mRNA文库</v>
          </cell>
          <cell r="K613" t="str">
            <v>HGC20240317003-0017</v>
          </cell>
        </row>
        <row r="614">
          <cell r="C614" t="str">
            <v>HGC-Lib-2455205</v>
          </cell>
          <cell r="D614" t="str">
            <v>22701-DZZ</v>
          </cell>
          <cell r="F614" t="str">
            <v>CGCTCATT</v>
          </cell>
          <cell r="G614" t="str">
            <v>AGGATAGG</v>
          </cell>
          <cell r="H614" t="str">
            <v>DAP-seq文库</v>
          </cell>
          <cell r="I614">
            <v>1</v>
          </cell>
          <cell r="J614">
            <v>1</v>
          </cell>
          <cell r="K614" t="str">
            <v>HGC20240307006-0037</v>
          </cell>
        </row>
        <row r="615">
          <cell r="C615" t="str">
            <v>HGC-Lib-2455204</v>
          </cell>
          <cell r="D615" t="str">
            <v>22703-SYZ2</v>
          </cell>
          <cell r="F615" t="str">
            <v>TCCGGAGA</v>
          </cell>
          <cell r="G615" t="str">
            <v>GCCTCTAT</v>
          </cell>
          <cell r="H615" t="str">
            <v>DAP-seq文库</v>
          </cell>
          <cell r="I615">
            <v>2.5</v>
          </cell>
          <cell r="J615">
            <v>2.5</v>
          </cell>
          <cell r="K615" t="str">
            <v>HGC20240307006-0037</v>
          </cell>
        </row>
        <row r="616">
          <cell r="C616" t="str">
            <v>HGC-Lib-2455203</v>
          </cell>
          <cell r="D616" t="str">
            <v>22703-SYZ1</v>
          </cell>
          <cell r="F616" t="str">
            <v>ATTACTCG</v>
          </cell>
          <cell r="G616" t="str">
            <v>AGGCTATA</v>
          </cell>
          <cell r="H616" t="str">
            <v>DAP-seq文库</v>
          </cell>
          <cell r="I616">
            <v>2.5</v>
          </cell>
          <cell r="J616">
            <v>2.5</v>
          </cell>
          <cell r="K616" t="str">
            <v>HGC20240307006-0037</v>
          </cell>
        </row>
        <row r="617">
          <cell r="C617" t="str">
            <v>HGC-POOL-2457133</v>
          </cell>
          <cell r="D617" t="str">
            <v>YX20240717_2</v>
          </cell>
          <cell r="F617" t="str">
            <v>ATTCAGAA</v>
          </cell>
          <cell r="G617" t="str">
            <v>CTTCGCCT</v>
          </cell>
          <cell r="H617" t="str">
            <v>全基因组文库</v>
          </cell>
          <cell r="I617">
            <v>30</v>
          </cell>
          <cell r="J617">
            <v>30</v>
          </cell>
          <cell r="K617" t="str">
            <v>HGC20240307006-0043</v>
          </cell>
        </row>
        <row r="618">
          <cell r="D618" t="str">
            <v>YX20240717_2</v>
          </cell>
          <cell r="F618" t="str">
            <v>GAATTCGT</v>
          </cell>
          <cell r="G618" t="str">
            <v>CTTCGCCT</v>
          </cell>
          <cell r="H618" t="str">
            <v>全基因组文库</v>
          </cell>
          <cell r="K618" t="str">
            <v>HGC20240307006-0043</v>
          </cell>
        </row>
        <row r="619">
          <cell r="D619" t="str">
            <v>YX20240717_2</v>
          </cell>
          <cell r="F619" t="str">
            <v>CTGAAGCT</v>
          </cell>
          <cell r="G619" t="str">
            <v>CTTCGCCT</v>
          </cell>
          <cell r="H619" t="str">
            <v>全基因组文库</v>
          </cell>
          <cell r="K619" t="str">
            <v>HGC20240307006-0043</v>
          </cell>
        </row>
        <row r="620">
          <cell r="D620" t="str">
            <v>YX20240717_2</v>
          </cell>
          <cell r="F620" t="str">
            <v>TAATGCGC</v>
          </cell>
          <cell r="G620" t="str">
            <v>CTTCGCCT</v>
          </cell>
          <cell r="H620" t="str">
            <v>全基因组文库</v>
          </cell>
          <cell r="K620" t="str">
            <v>HGC20240307006-0043</v>
          </cell>
        </row>
        <row r="621">
          <cell r="D621" t="str">
            <v>YX20240717_2</v>
          </cell>
          <cell r="F621" t="str">
            <v>CGGCTATG</v>
          </cell>
          <cell r="G621" t="str">
            <v>CTTCGCCT</v>
          </cell>
          <cell r="H621" t="str">
            <v>全基因组文库</v>
          </cell>
          <cell r="K621" t="str">
            <v>HGC20240307006-0043</v>
          </cell>
        </row>
        <row r="622">
          <cell r="D622" t="str">
            <v>YX20240717_2</v>
          </cell>
          <cell r="F622" t="str">
            <v>TCCGCGAA</v>
          </cell>
          <cell r="G622" t="str">
            <v>CTTCGCCT</v>
          </cell>
          <cell r="H622" t="str">
            <v>全基因组文库</v>
          </cell>
          <cell r="K622" t="str">
            <v>HGC20240307006-0043</v>
          </cell>
        </row>
        <row r="623">
          <cell r="D623" t="str">
            <v>YX20240717_2</v>
          </cell>
          <cell r="F623" t="str">
            <v>TCTCGCGC</v>
          </cell>
          <cell r="G623" t="str">
            <v>CTTCGCCT</v>
          </cell>
          <cell r="H623" t="str">
            <v>全基因组文库</v>
          </cell>
          <cell r="K623" t="str">
            <v>HGC20240307006-0043</v>
          </cell>
        </row>
        <row r="624">
          <cell r="D624" t="str">
            <v>YX20240717_2</v>
          </cell>
          <cell r="F624" t="str">
            <v>AGCGATAG</v>
          </cell>
          <cell r="G624" t="str">
            <v>CTTCGCCT</v>
          </cell>
          <cell r="H624" t="str">
            <v>全基因组文库</v>
          </cell>
          <cell r="K624" t="str">
            <v>HGC20240307006-0043</v>
          </cell>
        </row>
        <row r="625">
          <cell r="D625" t="str">
            <v>YX20240717_2</v>
          </cell>
          <cell r="F625" t="str">
            <v>CGTGTAGG</v>
          </cell>
          <cell r="G625" t="str">
            <v>CTTCGCCT</v>
          </cell>
          <cell r="H625" t="str">
            <v>全基因组文库</v>
          </cell>
          <cell r="K625" t="str">
            <v>HGC20240307006-0043</v>
          </cell>
        </row>
        <row r="626">
          <cell r="D626" t="str">
            <v>YX20240717_2</v>
          </cell>
          <cell r="F626" t="str">
            <v>GACACTAC</v>
          </cell>
          <cell r="G626" t="str">
            <v>CTTCGCCT</v>
          </cell>
          <cell r="H626" t="str">
            <v>全基因组文库</v>
          </cell>
          <cell r="K626" t="str">
            <v>HGC20240307006-0043</v>
          </cell>
        </row>
        <row r="627">
          <cell r="D627" t="str">
            <v>YX20240717_2</v>
          </cell>
          <cell r="F627" t="str">
            <v>TGCATACA</v>
          </cell>
          <cell r="G627" t="str">
            <v>CTTCGCCT</v>
          </cell>
          <cell r="H627" t="str">
            <v>全基因组文库</v>
          </cell>
          <cell r="K627" t="str">
            <v>HGC20240307006-0043</v>
          </cell>
        </row>
        <row r="628">
          <cell r="D628" t="str">
            <v>YX20240717_2</v>
          </cell>
          <cell r="F628" t="str">
            <v>CAGTCTGG</v>
          </cell>
          <cell r="G628" t="str">
            <v>CTTCGCCT</v>
          </cell>
          <cell r="H628" t="str">
            <v>全基因组文库</v>
          </cell>
          <cell r="K628" t="str">
            <v>HGC20240307006-0043</v>
          </cell>
        </row>
        <row r="629">
          <cell r="D629" t="str">
            <v>YX20240717_2</v>
          </cell>
          <cell r="F629" t="str">
            <v>TGGCACCT</v>
          </cell>
          <cell r="G629" t="str">
            <v>CTTCGCCT</v>
          </cell>
          <cell r="H629" t="str">
            <v>全基因组文库</v>
          </cell>
          <cell r="K629" t="str">
            <v>HGC20240307006-0043</v>
          </cell>
        </row>
        <row r="630">
          <cell r="D630" t="str">
            <v>YX20240717_2</v>
          </cell>
          <cell r="F630" t="str">
            <v>CAAGGTGA</v>
          </cell>
          <cell r="G630" t="str">
            <v>CTTCGCCT</v>
          </cell>
          <cell r="H630" t="str">
            <v>全基因组文库</v>
          </cell>
          <cell r="K630" t="str">
            <v>HGC20240307006-0043</v>
          </cell>
        </row>
        <row r="631">
          <cell r="C631" t="str">
            <v>HGC-POOL-2457132</v>
          </cell>
          <cell r="D631" t="str">
            <v>YX20240717_1</v>
          </cell>
          <cell r="F631" t="str">
            <v>GAGATTCC</v>
          </cell>
          <cell r="G631" t="str">
            <v>GGCAGCTA</v>
          </cell>
          <cell r="H631" t="str">
            <v>mRNA文库</v>
          </cell>
          <cell r="I631">
            <v>1</v>
          </cell>
          <cell r="J631">
            <v>1</v>
          </cell>
          <cell r="K631" t="str">
            <v>HGC20240307006-0043</v>
          </cell>
        </row>
        <row r="632">
          <cell r="D632" t="str">
            <v>YX20240717_1</v>
          </cell>
          <cell r="F632" t="str">
            <v>GAGATTCC</v>
          </cell>
          <cell r="G632" t="str">
            <v>CATTCGCT</v>
          </cell>
          <cell r="H632" t="str">
            <v>mRNA文库</v>
          </cell>
          <cell r="K632" t="str">
            <v>HGC20240307006-0043</v>
          </cell>
        </row>
        <row r="633">
          <cell r="D633" t="str">
            <v>YX20240717_1</v>
          </cell>
          <cell r="F633" t="str">
            <v>GAGATTCC</v>
          </cell>
          <cell r="G633" t="str">
            <v>GCAGCATA</v>
          </cell>
          <cell r="H633" t="str">
            <v>mRNA文库</v>
          </cell>
          <cell r="K633" t="str">
            <v>HGC20240307006-0043</v>
          </cell>
        </row>
        <row r="634">
          <cell r="D634" t="str">
            <v>YX20240717_1</v>
          </cell>
          <cell r="F634" t="str">
            <v>GAGATTCC</v>
          </cell>
          <cell r="G634" t="str">
            <v>TCTGAAAC</v>
          </cell>
          <cell r="H634" t="str">
            <v>mRNA文库</v>
          </cell>
          <cell r="K634" t="str">
            <v>HGC20240307006-0043</v>
          </cell>
        </row>
        <row r="635">
          <cell r="D635" t="str">
            <v>YX20240717_1</v>
          </cell>
          <cell r="F635" t="str">
            <v>GAGATTCC</v>
          </cell>
          <cell r="G635" t="str">
            <v>ATCCTGTG</v>
          </cell>
          <cell r="H635" t="str">
            <v>mRNA文库</v>
          </cell>
          <cell r="K635" t="str">
            <v>HGC20240307006-0043</v>
          </cell>
        </row>
        <row r="636">
          <cell r="C636" t="str">
            <v>HGC-POOL-2456497</v>
          </cell>
          <cell r="D636" t="str">
            <v>WHTRDRPEP000141747-LS</v>
          </cell>
          <cell r="F636" t="str">
            <v>CCACATTC</v>
          </cell>
          <cell r="H636" t="str">
            <v>mRNA文库</v>
          </cell>
          <cell r="I636">
            <v>100</v>
          </cell>
          <cell r="J636">
            <v>100</v>
          </cell>
          <cell r="K636" t="str">
            <v>HGC20240307007-0008</v>
          </cell>
        </row>
        <row r="637">
          <cell r="D637" t="str">
            <v>WHTRDRPEP000141747-LS</v>
          </cell>
          <cell r="F637" t="str">
            <v>CGAGGATC</v>
          </cell>
          <cell r="H637" t="str">
            <v>mRNA文库</v>
          </cell>
          <cell r="K637" t="str">
            <v>HGC20240307007-0008</v>
          </cell>
        </row>
        <row r="638">
          <cell r="D638" t="str">
            <v>WHTRDRPEP000141747-LS</v>
          </cell>
          <cell r="F638" t="str">
            <v>AGTCCATC</v>
          </cell>
          <cell r="H638" t="str">
            <v>mRNA文库</v>
          </cell>
          <cell r="K638" t="str">
            <v>HGC20240307007-0008</v>
          </cell>
        </row>
        <row r="639">
          <cell r="D639" t="str">
            <v>WHTRDRPEP000141747-LS</v>
          </cell>
          <cell r="F639" t="str">
            <v>GAAGCACG</v>
          </cell>
          <cell r="H639" t="str">
            <v>mRNA文库</v>
          </cell>
          <cell r="K639" t="str">
            <v>HGC20240307007-0008</v>
          </cell>
        </row>
        <row r="640">
          <cell r="D640" t="str">
            <v>WHTRDRPEP000141747-LS</v>
          </cell>
          <cell r="F640" t="str">
            <v>AGCGCTAG</v>
          </cell>
          <cell r="H640" t="str">
            <v>mRNA文库</v>
          </cell>
          <cell r="K640" t="str">
            <v>HGC20240307007-0008</v>
          </cell>
        </row>
        <row r="641">
          <cell r="D641" t="str">
            <v>WHTRDRPEP000141747-LS</v>
          </cell>
          <cell r="F641" t="str">
            <v>ATAGGAAG</v>
          </cell>
          <cell r="H641" t="str">
            <v>mRNA文库</v>
          </cell>
          <cell r="K641" t="str">
            <v>HGC20240307007-0008</v>
          </cell>
        </row>
        <row r="642">
          <cell r="D642" t="str">
            <v>WHTRDRPEP000141747-LS</v>
          </cell>
          <cell r="F642" t="str">
            <v>ACTACAAG</v>
          </cell>
          <cell r="H642" t="str">
            <v>mRNA文库</v>
          </cell>
          <cell r="K642" t="str">
            <v>HGC20240307007-0008</v>
          </cell>
        </row>
        <row r="643">
          <cell r="D643" t="str">
            <v>WHTRDRPEP000141747-LS</v>
          </cell>
          <cell r="F643" t="str">
            <v>TTAACCGG</v>
          </cell>
          <cell r="H643" t="str">
            <v>mRNA文库</v>
          </cell>
          <cell r="K643" t="str">
            <v>HGC20240307007-0008</v>
          </cell>
        </row>
        <row r="644">
          <cell r="D644" t="str">
            <v>WHTRDRPEP000141747-LS</v>
          </cell>
          <cell r="F644" t="str">
            <v>CAACTAAG</v>
          </cell>
          <cell r="H644" t="str">
            <v>mRNA文库</v>
          </cell>
          <cell r="K644" t="str">
            <v>HGC20240307007-0008</v>
          </cell>
        </row>
        <row r="645">
          <cell r="D645" t="str">
            <v>WHTRDRPEP000141747-LS</v>
          </cell>
          <cell r="F645" t="str">
            <v>TCCAGTAG</v>
          </cell>
          <cell r="H645" t="str">
            <v>mRNA文库</v>
          </cell>
          <cell r="K645" t="str">
            <v>HGC20240307007-0008</v>
          </cell>
        </row>
        <row r="646">
          <cell r="D646" t="str">
            <v>WHTRDRPEP000141747-LS</v>
          </cell>
          <cell r="F646" t="str">
            <v>GATGGTTC</v>
          </cell>
          <cell r="H646" t="str">
            <v>mRNA文库</v>
          </cell>
          <cell r="K646" t="str">
            <v>HGC20240307007-0008</v>
          </cell>
        </row>
        <row r="647">
          <cell r="D647" t="str">
            <v>WHTRDRPEP000141747-LS</v>
          </cell>
          <cell r="F647" t="str">
            <v>CTTGATGG</v>
          </cell>
          <cell r="H647" t="str">
            <v>mRNA文库</v>
          </cell>
          <cell r="K647" t="str">
            <v>HGC20240307007-0008</v>
          </cell>
        </row>
        <row r="648">
          <cell r="D648" t="str">
            <v>WHTRDRPEP000141747-LS</v>
          </cell>
          <cell r="F648" t="str">
            <v>CTAAGTCG</v>
          </cell>
          <cell r="H648" t="str">
            <v>mRNA文库</v>
          </cell>
          <cell r="K648" t="str">
            <v>HGC20240307007-0008</v>
          </cell>
        </row>
        <row r="649">
          <cell r="D649" t="str">
            <v>WHTRDRPEP000141747-LS</v>
          </cell>
          <cell r="F649" t="str">
            <v>AAGATCGG</v>
          </cell>
          <cell r="H649" t="str">
            <v>mRNA文库</v>
          </cell>
          <cell r="K649" t="str">
            <v>HGC20240307007-0008</v>
          </cell>
        </row>
        <row r="650">
          <cell r="D650" t="str">
            <v>WHTRDRPEP000141747-LS</v>
          </cell>
          <cell r="F650" t="str">
            <v>CCTGTGAG</v>
          </cell>
          <cell r="H650" t="str">
            <v>mRNA文库</v>
          </cell>
          <cell r="K650" t="str">
            <v>HGC20240307007-0008</v>
          </cell>
        </row>
        <row r="651">
          <cell r="D651" t="str">
            <v>WHTRDRPEP000141747-LS</v>
          </cell>
          <cell r="F651" t="str">
            <v>TCTTGGTC</v>
          </cell>
          <cell r="H651" t="str">
            <v>mRNA文库</v>
          </cell>
          <cell r="K651" t="str">
            <v>HGC20240307007-0008</v>
          </cell>
        </row>
        <row r="652">
          <cell r="D652" t="str">
            <v>WHTRDRPEP000141747-LS</v>
          </cell>
          <cell r="F652" t="str">
            <v>TATTCGCG</v>
          </cell>
          <cell r="H652" t="str">
            <v>mRNA文库</v>
          </cell>
          <cell r="K652" t="str">
            <v>HGC20240307007-0008</v>
          </cell>
        </row>
        <row r="653">
          <cell r="D653" t="str">
            <v>WHTRDRPEP000141747-LS</v>
          </cell>
          <cell r="F653" t="str">
            <v>TTGTCTAG</v>
          </cell>
          <cell r="H653" t="str">
            <v>mRNA文库</v>
          </cell>
          <cell r="K653" t="str">
            <v>HGC20240307007-0008</v>
          </cell>
        </row>
        <row r="654">
          <cell r="D654" t="str">
            <v>WHTRDRPEP000141747-LS</v>
          </cell>
          <cell r="F654" t="str">
            <v>CACTAATC</v>
          </cell>
          <cell r="H654" t="str">
            <v>mRNA文库</v>
          </cell>
          <cell r="K654" t="str">
            <v>HGC20240307007-0008</v>
          </cell>
        </row>
        <row r="655">
          <cell r="C655" t="str">
            <v>HGC-Lib-2458350</v>
          </cell>
          <cell r="D655" t="str">
            <v>N_B_N4705-5G-10X5028BM</v>
          </cell>
          <cell r="F655" t="str">
            <v>ATGACGTCGC</v>
          </cell>
          <cell r="G655" t="str">
            <v>ATCCTGACCT</v>
          </cell>
          <cell r="H655" t="str">
            <v>10x 5'单细胞</v>
          </cell>
          <cell r="I655">
            <v>19.0366</v>
          </cell>
          <cell r="J655">
            <v>19.0366</v>
          </cell>
          <cell r="K655" t="str">
            <v>HGC20231127004-0079</v>
          </cell>
        </row>
        <row r="656">
          <cell r="C656" t="str">
            <v>HGC-2452319</v>
          </cell>
          <cell r="D656" t="str">
            <v>ZD00534128</v>
          </cell>
          <cell r="E656" t="str">
            <v>IDT161</v>
          </cell>
          <cell r="F656" t="str">
            <v>TTCCTGTG</v>
          </cell>
          <cell r="G656" t="str">
            <v>CTCCTGAA</v>
          </cell>
          <cell r="H656" t="str">
            <v>mRNA</v>
          </cell>
          <cell r="I656">
            <v>7.7789000000000001</v>
          </cell>
          <cell r="J656">
            <v>7.7789000000000001</v>
          </cell>
          <cell r="K656" t="str">
            <v>HGC20230216001-0019</v>
          </cell>
        </row>
        <row r="657">
          <cell r="C657" t="str">
            <v>HGC-2452320</v>
          </cell>
          <cell r="D657" t="str">
            <v>ZD00533791</v>
          </cell>
          <cell r="E657" t="str">
            <v>IDT162</v>
          </cell>
          <cell r="F657" t="str">
            <v>CGTTGAGT</v>
          </cell>
          <cell r="G657" t="str">
            <v>GCATAGTC</v>
          </cell>
          <cell r="H657" t="str">
            <v>mRNA</v>
          </cell>
          <cell r="I657">
            <v>7.4398999999999997</v>
          </cell>
          <cell r="J657">
            <v>7.4398999999999997</v>
          </cell>
          <cell r="K657" t="str">
            <v>HGC20230216001-0019</v>
          </cell>
        </row>
        <row r="658">
          <cell r="C658" t="str">
            <v>HGC-2452321</v>
          </cell>
          <cell r="D658" t="str">
            <v>ZD00533465</v>
          </cell>
          <cell r="E658" t="str">
            <v>IDT163</v>
          </cell>
          <cell r="F658" t="str">
            <v>AGTCGCTT</v>
          </cell>
          <cell r="G658" t="str">
            <v>TCGAACCT</v>
          </cell>
          <cell r="H658" t="str">
            <v>mRNA</v>
          </cell>
          <cell r="I658">
            <v>7.0380000000000003</v>
          </cell>
          <cell r="J658">
            <v>7.0380000000000003</v>
          </cell>
          <cell r="K658" t="str">
            <v>HGC20230216001-0019</v>
          </cell>
        </row>
        <row r="659">
          <cell r="C659" t="str">
            <v>HGC-2452322</v>
          </cell>
          <cell r="D659" t="str">
            <v>ZD00532694</v>
          </cell>
          <cell r="E659" t="str">
            <v>IDT164</v>
          </cell>
          <cell r="F659" t="str">
            <v>TAGGTAGG</v>
          </cell>
          <cell r="G659" t="str">
            <v>CACAGACT</v>
          </cell>
          <cell r="H659" t="str">
            <v>mRNA</v>
          </cell>
          <cell r="I659">
            <v>7.4682000000000004</v>
          </cell>
          <cell r="J659">
            <v>7.4682000000000004</v>
          </cell>
          <cell r="K659" t="str">
            <v>HGC20230216001-0019</v>
          </cell>
        </row>
        <row r="660">
          <cell r="C660" t="str">
            <v>HGC-2452323</v>
          </cell>
          <cell r="D660" t="str">
            <v>ZD00533914</v>
          </cell>
          <cell r="E660" t="str">
            <v>IDT165</v>
          </cell>
          <cell r="F660" t="str">
            <v>CAGGAGAT</v>
          </cell>
          <cell r="G660" t="str">
            <v>CCTTAGGT</v>
          </cell>
          <cell r="H660" t="str">
            <v>mRNA</v>
          </cell>
          <cell r="I660">
            <v>8.3031000000000006</v>
          </cell>
          <cell r="J660">
            <v>8.3031000000000006</v>
          </cell>
          <cell r="K660" t="str">
            <v>HGC20230216001-0019</v>
          </cell>
        </row>
        <row r="661">
          <cell r="C661" t="str">
            <v>HGC-2452324</v>
          </cell>
          <cell r="D661" t="str">
            <v>ZD00534785</v>
          </cell>
          <cell r="E661" t="str">
            <v>IDT166</v>
          </cell>
          <cell r="F661" t="str">
            <v>CATCGTGA</v>
          </cell>
          <cell r="G661" t="str">
            <v>TACCTGCA</v>
          </cell>
          <cell r="H661" t="str">
            <v>mRNA</v>
          </cell>
          <cell r="I661">
            <v>7.68</v>
          </cell>
          <cell r="J661">
            <v>7.68</v>
          </cell>
          <cell r="K661" t="str">
            <v>HGC20230216001-0019</v>
          </cell>
        </row>
        <row r="662">
          <cell r="C662" t="str">
            <v>HGC-2452325</v>
          </cell>
          <cell r="D662" t="str">
            <v>ZD00513884</v>
          </cell>
          <cell r="E662" t="str">
            <v>IDT167</v>
          </cell>
          <cell r="F662" t="str">
            <v>TGTTGTGG</v>
          </cell>
          <cell r="G662" t="str">
            <v>GTGTCCTT</v>
          </cell>
          <cell r="H662" t="str">
            <v>mRNA</v>
          </cell>
          <cell r="I662">
            <v>7.7969999999999997</v>
          </cell>
          <cell r="J662">
            <v>7.7969999999999997</v>
          </cell>
          <cell r="K662" t="str">
            <v>HGC20230216001-0019</v>
          </cell>
        </row>
        <row r="663">
          <cell r="C663" t="str">
            <v>HGC-2452307</v>
          </cell>
          <cell r="D663" t="str">
            <v>ZD00534080</v>
          </cell>
          <cell r="E663" t="str">
            <v>IDT097</v>
          </cell>
          <cell r="F663" t="str">
            <v>GCCTATCA</v>
          </cell>
          <cell r="G663" t="str">
            <v>AATGGTCG</v>
          </cell>
          <cell r="H663" t="str">
            <v>mRNA</v>
          </cell>
          <cell r="I663">
            <v>7.2821999999999996</v>
          </cell>
          <cell r="J663">
            <v>7.2821999999999996</v>
          </cell>
          <cell r="K663" t="str">
            <v>HGC20230216001-0019</v>
          </cell>
        </row>
        <row r="664">
          <cell r="C664" t="str">
            <v>HGC-2452326</v>
          </cell>
          <cell r="D664" t="str">
            <v>ZD00535015</v>
          </cell>
          <cell r="E664" t="str">
            <v>IDT099</v>
          </cell>
          <cell r="F664" t="str">
            <v>AGTCTCAC</v>
          </cell>
          <cell r="G664" t="str">
            <v>CGTCCATT</v>
          </cell>
          <cell r="H664" t="str">
            <v>mRNA</v>
          </cell>
          <cell r="I664">
            <v>6.9843000000000002</v>
          </cell>
          <cell r="J664">
            <v>6.9843000000000002</v>
          </cell>
          <cell r="K664" t="str">
            <v>HGC20230216001-0019</v>
          </cell>
        </row>
        <row r="665">
          <cell r="C665" t="str">
            <v>HGC-2452327</v>
          </cell>
          <cell r="D665" t="str">
            <v>ZD00512397</v>
          </cell>
          <cell r="E665" t="str">
            <v>IDT100</v>
          </cell>
          <cell r="F665" t="str">
            <v>CTCATCAG</v>
          </cell>
          <cell r="G665" t="str">
            <v>TACTAGCG</v>
          </cell>
          <cell r="H665" t="str">
            <v>mRNA</v>
          </cell>
          <cell r="I665">
            <v>7.2107000000000001</v>
          </cell>
          <cell r="J665">
            <v>7.2107000000000001</v>
          </cell>
          <cell r="K665" t="str">
            <v>HGC20230216001-0019</v>
          </cell>
        </row>
        <row r="666">
          <cell r="C666" t="str">
            <v>HGC-2452329</v>
          </cell>
          <cell r="D666" t="str">
            <v>ZD00516903</v>
          </cell>
          <cell r="E666" t="str">
            <v>IDT101</v>
          </cell>
          <cell r="F666" t="str">
            <v>TGTACCGT</v>
          </cell>
          <cell r="G666" t="str">
            <v>CCTAGAGA</v>
          </cell>
          <cell r="H666" t="str">
            <v>mRNA</v>
          </cell>
          <cell r="I666">
            <v>7.6101000000000001</v>
          </cell>
          <cell r="J666">
            <v>7.6101000000000001</v>
          </cell>
          <cell r="K666" t="str">
            <v>HGC20230216001-0019</v>
          </cell>
        </row>
        <row r="667">
          <cell r="C667" t="str">
            <v>HGC-2452331</v>
          </cell>
          <cell r="D667" t="str">
            <v>ZD00516302</v>
          </cell>
          <cell r="E667" t="str">
            <v>IDT102</v>
          </cell>
          <cell r="F667" t="str">
            <v>AAGTCGAG</v>
          </cell>
          <cell r="G667" t="str">
            <v>CGCAATGT</v>
          </cell>
          <cell r="H667" t="str">
            <v>mRNA</v>
          </cell>
          <cell r="I667">
            <v>6.3566000000000003</v>
          </cell>
          <cell r="J667">
            <v>6.3566000000000003</v>
          </cell>
          <cell r="K667" t="str">
            <v>HGC20230216001-0019</v>
          </cell>
        </row>
        <row r="668">
          <cell r="C668" t="str">
            <v>HGC-2452332</v>
          </cell>
          <cell r="D668" t="str">
            <v>ZD00534268</v>
          </cell>
          <cell r="E668" t="str">
            <v>IDT103</v>
          </cell>
          <cell r="F668" t="str">
            <v>CACGTTGT</v>
          </cell>
          <cell r="G668" t="str">
            <v>ACACCTCA</v>
          </cell>
          <cell r="H668" t="str">
            <v>mRNA</v>
          </cell>
          <cell r="I668">
            <v>6.8860999999999999</v>
          </cell>
          <cell r="J668">
            <v>6.8860999999999999</v>
          </cell>
          <cell r="K668" t="str">
            <v>HGC20230216001-0019</v>
          </cell>
        </row>
        <row r="669">
          <cell r="C669" t="str">
            <v>HGC-2452333</v>
          </cell>
          <cell r="D669" t="str">
            <v>ZD00535235</v>
          </cell>
          <cell r="E669" t="str">
            <v>IDT104</v>
          </cell>
          <cell r="F669" t="str">
            <v>TCACAGCA</v>
          </cell>
          <cell r="G669" t="str">
            <v>GAGGCATT</v>
          </cell>
          <cell r="H669" t="str">
            <v>mRNA</v>
          </cell>
          <cell r="I669">
            <v>7.3265000000000002</v>
          </cell>
          <cell r="J669">
            <v>7.3265000000000002</v>
          </cell>
          <cell r="K669" t="str">
            <v>HGC20230216001-0019</v>
          </cell>
        </row>
        <row r="670">
          <cell r="C670" t="str">
            <v>HGC-2452335</v>
          </cell>
          <cell r="D670" t="str">
            <v>ZD00533526</v>
          </cell>
          <cell r="E670" t="str">
            <v>IDT105</v>
          </cell>
          <cell r="F670" t="str">
            <v>CTACTTGG</v>
          </cell>
          <cell r="G670" t="str">
            <v>TACTCCAG</v>
          </cell>
          <cell r="H670" t="str">
            <v>mRNA</v>
          </cell>
          <cell r="I670">
            <v>7.3689999999999998</v>
          </cell>
          <cell r="J670">
            <v>7.3689999999999998</v>
          </cell>
          <cell r="K670" t="str">
            <v>HGC20230216001-0019</v>
          </cell>
        </row>
        <row r="671">
          <cell r="C671" t="str">
            <v>HGC-2452336</v>
          </cell>
          <cell r="D671" t="str">
            <v>ZD00533898</v>
          </cell>
          <cell r="E671" t="str">
            <v>IDT106</v>
          </cell>
          <cell r="F671" t="str">
            <v>CCTCAGTT</v>
          </cell>
          <cell r="G671" t="str">
            <v>CAGCATAC</v>
          </cell>
          <cell r="H671" t="str">
            <v>mRNA</v>
          </cell>
          <cell r="I671">
            <v>7.3745000000000003</v>
          </cell>
          <cell r="J671">
            <v>7.3745000000000003</v>
          </cell>
          <cell r="K671" t="str">
            <v>HGC20230216001-0019</v>
          </cell>
        </row>
        <row r="672">
          <cell r="C672" t="str">
            <v>HGC-2452339</v>
          </cell>
          <cell r="D672" t="str">
            <v>ZD00402992</v>
          </cell>
          <cell r="E672" t="str">
            <v>IDT107</v>
          </cell>
          <cell r="F672" t="str">
            <v>TCCTACCT</v>
          </cell>
          <cell r="G672" t="str">
            <v>ACTCTCCA</v>
          </cell>
          <cell r="H672" t="str">
            <v>mRNA</v>
          </cell>
          <cell r="I672">
            <v>7.1031000000000004</v>
          </cell>
          <cell r="J672">
            <v>7.1031000000000004</v>
          </cell>
          <cell r="K672" t="str">
            <v>HGC20230216001-0019</v>
          </cell>
        </row>
        <row r="673">
          <cell r="C673" t="str">
            <v>HGC-2452340</v>
          </cell>
          <cell r="D673" t="str">
            <v>ZD00774379</v>
          </cell>
          <cell r="E673" t="str">
            <v>IDT108</v>
          </cell>
          <cell r="F673" t="str">
            <v>ATGGCGAA</v>
          </cell>
          <cell r="G673" t="str">
            <v>CTCTATCG</v>
          </cell>
          <cell r="H673" t="str">
            <v>mRNA</v>
          </cell>
          <cell r="I673">
            <v>7.1120000000000001</v>
          </cell>
          <cell r="J673">
            <v>7.1120000000000001</v>
          </cell>
          <cell r="K673" t="str">
            <v>HGC20230216001-0019</v>
          </cell>
        </row>
        <row r="674">
          <cell r="C674" t="str">
            <v>HGC-2452341</v>
          </cell>
          <cell r="D674" t="str">
            <v>ZD00774195</v>
          </cell>
          <cell r="E674" t="str">
            <v>IDT109</v>
          </cell>
          <cell r="F674" t="str">
            <v>CTTACCTG</v>
          </cell>
          <cell r="G674" t="str">
            <v>GCAATGAG</v>
          </cell>
          <cell r="H674" t="str">
            <v>mRNA</v>
          </cell>
          <cell r="I674">
            <v>7.5079000000000002</v>
          </cell>
          <cell r="J674">
            <v>7.5079000000000002</v>
          </cell>
          <cell r="K674" t="str">
            <v>HGC20230216001-0019</v>
          </cell>
        </row>
        <row r="675">
          <cell r="C675" t="str">
            <v>HGC-2452343</v>
          </cell>
          <cell r="D675" t="str">
            <v>ZD00772656</v>
          </cell>
          <cell r="E675" t="str">
            <v>IDT110</v>
          </cell>
          <cell r="F675" t="str">
            <v>CTCGATAC</v>
          </cell>
          <cell r="G675" t="str">
            <v>AAGCTGGT</v>
          </cell>
          <cell r="H675" t="str">
            <v>mRNA</v>
          </cell>
          <cell r="I675">
            <v>7.3859000000000004</v>
          </cell>
          <cell r="J675">
            <v>7.3859000000000004</v>
          </cell>
          <cell r="K675" t="str">
            <v>HGC20230216001-0019</v>
          </cell>
        </row>
        <row r="676">
          <cell r="C676" t="str">
            <v>HGC-2452345</v>
          </cell>
          <cell r="D676" t="str">
            <v>ZD00770156</v>
          </cell>
          <cell r="E676" t="str">
            <v>IDT111</v>
          </cell>
          <cell r="F676" t="str">
            <v>TCCGTGAA</v>
          </cell>
          <cell r="G676" t="str">
            <v>CACGATTC</v>
          </cell>
          <cell r="H676" t="str">
            <v>mRNA</v>
          </cell>
          <cell r="I676">
            <v>7.1933999999999996</v>
          </cell>
          <cell r="J676">
            <v>7.1933999999999996</v>
          </cell>
          <cell r="K676" t="str">
            <v>HGC20230216001-0019</v>
          </cell>
        </row>
        <row r="677">
          <cell r="C677" t="str">
            <v>HGC-2452346</v>
          </cell>
          <cell r="D677" t="str">
            <v>ZD00772708</v>
          </cell>
          <cell r="E677" t="str">
            <v>IDT112</v>
          </cell>
          <cell r="F677" t="str">
            <v>TAGAGCTC</v>
          </cell>
          <cell r="G677" t="str">
            <v>AGAAGCCT</v>
          </cell>
          <cell r="H677" t="str">
            <v>mRNA</v>
          </cell>
          <cell r="I677">
            <v>7.4356999999999998</v>
          </cell>
          <cell r="J677">
            <v>7.4356999999999998</v>
          </cell>
          <cell r="K677" t="str">
            <v>HGC20230216001-0019</v>
          </cell>
        </row>
        <row r="678">
          <cell r="C678" t="str">
            <v>HGC-2452286</v>
          </cell>
          <cell r="D678" t="str">
            <v>ZD00514939</v>
          </cell>
          <cell r="E678" t="str">
            <v>IDT129</v>
          </cell>
          <cell r="F678" t="str">
            <v>CAGGTTAG</v>
          </cell>
          <cell r="G678" t="str">
            <v>AATCCAGC</v>
          </cell>
          <cell r="H678" t="str">
            <v>mRNA</v>
          </cell>
          <cell r="I678">
            <v>2.5497000000000001</v>
          </cell>
          <cell r="J678">
            <v>2.5497000000000001</v>
          </cell>
          <cell r="K678" t="str">
            <v>HGC20230216001-0019</v>
          </cell>
        </row>
        <row r="679">
          <cell r="C679" t="str">
            <v>HGC-2452310</v>
          </cell>
          <cell r="D679" t="str">
            <v>ZD00534225</v>
          </cell>
          <cell r="E679" t="str">
            <v>IDT152</v>
          </cell>
          <cell r="F679" t="str">
            <v>ACGACAGA</v>
          </cell>
          <cell r="G679" t="str">
            <v>CGCAACTA</v>
          </cell>
          <cell r="H679" t="str">
            <v>mRNA</v>
          </cell>
          <cell r="I679">
            <v>1.3283</v>
          </cell>
          <cell r="J679">
            <v>1.3283</v>
          </cell>
          <cell r="K679" t="str">
            <v>HGC20230216001-0019</v>
          </cell>
        </row>
        <row r="680">
          <cell r="C680" t="str">
            <v>HGC-2452312</v>
          </cell>
          <cell r="D680" t="str">
            <v>ZD00532967</v>
          </cell>
          <cell r="E680" t="str">
            <v>IDT154</v>
          </cell>
          <cell r="F680" t="str">
            <v>GAGTGGTT</v>
          </cell>
          <cell r="G680" t="str">
            <v>GCATAACG</v>
          </cell>
          <cell r="H680" t="str">
            <v>mRNA</v>
          </cell>
          <cell r="I680">
            <v>1.7117</v>
          </cell>
          <cell r="J680">
            <v>1.7117</v>
          </cell>
          <cell r="K680" t="str">
            <v>HGC20230216001-0019</v>
          </cell>
        </row>
        <row r="681">
          <cell r="C681" t="str">
            <v>HGC-2452274</v>
          </cell>
          <cell r="D681" t="str">
            <v>ZD00533392</v>
          </cell>
          <cell r="E681" t="str">
            <v>IDT117</v>
          </cell>
          <cell r="F681" t="str">
            <v>CAACGGAT</v>
          </cell>
          <cell r="G681" t="str">
            <v>GCCACTTA</v>
          </cell>
          <cell r="H681" t="str">
            <v>mRNA</v>
          </cell>
          <cell r="I681">
            <v>0.50549999999999995</v>
          </cell>
          <cell r="J681">
            <v>0.50549999999999995</v>
          </cell>
          <cell r="K681" t="str">
            <v>HGC20230216001-0019</v>
          </cell>
        </row>
        <row r="682">
          <cell r="C682" t="str">
            <v>HGC-2452275</v>
          </cell>
          <cell r="D682" t="str">
            <v>ZD00516520</v>
          </cell>
          <cell r="E682" t="str">
            <v>IDT118</v>
          </cell>
          <cell r="F682" t="str">
            <v>TGGCTATC</v>
          </cell>
          <cell r="G682" t="str">
            <v>CATCACGT</v>
          </cell>
          <cell r="H682" t="str">
            <v>mRNA</v>
          </cell>
          <cell r="I682">
            <v>1.2424999999999999</v>
          </cell>
          <cell r="J682">
            <v>1.2424999999999999</v>
          </cell>
          <cell r="K682" t="str">
            <v>HGC20230216001-0019</v>
          </cell>
        </row>
        <row r="683">
          <cell r="C683" t="str">
            <v>HGC-2452276</v>
          </cell>
          <cell r="D683" t="str">
            <v>ZD00517630</v>
          </cell>
          <cell r="E683" t="str">
            <v>IDT119</v>
          </cell>
          <cell r="F683" t="str">
            <v>CGGTCATA</v>
          </cell>
          <cell r="G683" t="str">
            <v>TGCTCTAC</v>
          </cell>
          <cell r="H683" t="str">
            <v>mRNA</v>
          </cell>
          <cell r="I683">
            <v>1.1079000000000001</v>
          </cell>
          <cell r="J683">
            <v>1.1079000000000001</v>
          </cell>
          <cell r="K683" t="str">
            <v>HGC20230216001-0019</v>
          </cell>
        </row>
        <row r="684">
          <cell r="C684" t="str">
            <v>HGC-2452277</v>
          </cell>
          <cell r="D684" t="str">
            <v>ZD00511318</v>
          </cell>
          <cell r="E684" t="str">
            <v>IDT120</v>
          </cell>
          <cell r="F684" t="str">
            <v>TCCAATCG</v>
          </cell>
          <cell r="G684" t="str">
            <v>CAACTGAC</v>
          </cell>
          <cell r="H684" t="str">
            <v>mRNA</v>
          </cell>
          <cell r="I684">
            <v>1.0242</v>
          </cell>
          <cell r="J684">
            <v>1.0242</v>
          </cell>
          <cell r="K684" t="str">
            <v>HGC20230216001-0019</v>
          </cell>
        </row>
        <row r="685">
          <cell r="C685" t="str">
            <v>HGC-2452278</v>
          </cell>
          <cell r="D685" t="str">
            <v>ZD00511986</v>
          </cell>
          <cell r="E685" t="str">
            <v>IDT121</v>
          </cell>
          <cell r="F685" t="str">
            <v>GAGCTTGT</v>
          </cell>
          <cell r="G685" t="str">
            <v>CCTCGAAT</v>
          </cell>
          <cell r="H685" t="str">
            <v>mRNA</v>
          </cell>
          <cell r="I685">
            <v>1.1392</v>
          </cell>
          <cell r="J685">
            <v>1.1392</v>
          </cell>
          <cell r="K685" t="str">
            <v>HGC20230216001-0019</v>
          </cell>
        </row>
        <row r="686">
          <cell r="C686" t="str">
            <v>HGC-2452279</v>
          </cell>
          <cell r="D686" t="str">
            <v>ZD00513838</v>
          </cell>
          <cell r="E686" t="str">
            <v>IDT122</v>
          </cell>
          <cell r="F686" t="str">
            <v>GAAGGTTC</v>
          </cell>
          <cell r="G686" t="str">
            <v>CCAGTATC</v>
          </cell>
          <cell r="H686" t="str">
            <v>mRNA</v>
          </cell>
          <cell r="I686">
            <v>1.1317999999999999</v>
          </cell>
          <cell r="J686">
            <v>1.1317999999999999</v>
          </cell>
          <cell r="K686" t="str">
            <v>HGC20230216001-0019</v>
          </cell>
        </row>
        <row r="687">
          <cell r="C687" t="str">
            <v>HGC-2452281</v>
          </cell>
          <cell r="D687" t="str">
            <v>ZD00513436</v>
          </cell>
          <cell r="E687" t="str">
            <v>IDT124</v>
          </cell>
          <cell r="F687" t="str">
            <v>AGTTACGG</v>
          </cell>
          <cell r="G687" t="str">
            <v>GAGACCAA</v>
          </cell>
          <cell r="H687" t="str">
            <v>mRNA</v>
          </cell>
          <cell r="I687">
            <v>0.58489999999999998</v>
          </cell>
          <cell r="J687">
            <v>0.58489999999999998</v>
          </cell>
          <cell r="K687" t="str">
            <v>HGC20230216001-0019</v>
          </cell>
        </row>
        <row r="688">
          <cell r="C688" t="str">
            <v>HGC-2452282</v>
          </cell>
          <cell r="D688" t="str">
            <v>ZD00533578</v>
          </cell>
          <cell r="E688" t="str">
            <v>IDT125</v>
          </cell>
          <cell r="F688" t="str">
            <v>GTGTCTGA</v>
          </cell>
          <cell r="G688" t="str">
            <v>ATAGTCGG</v>
          </cell>
          <cell r="H688" t="str">
            <v>mRNA</v>
          </cell>
          <cell r="I688">
            <v>0.98919999999999997</v>
          </cell>
          <cell r="J688">
            <v>0.98919999999999997</v>
          </cell>
          <cell r="K688" t="str">
            <v>HGC20230216001-0019</v>
          </cell>
        </row>
        <row r="689">
          <cell r="C689" t="str">
            <v>HGC-2452283</v>
          </cell>
          <cell r="D689" t="str">
            <v>ZD00517302</v>
          </cell>
          <cell r="E689" t="str">
            <v>IDT126</v>
          </cell>
          <cell r="F689" t="str">
            <v>TGACTTCG</v>
          </cell>
          <cell r="G689" t="str">
            <v>CTTAGGAC</v>
          </cell>
          <cell r="H689" t="str">
            <v>mRNA</v>
          </cell>
          <cell r="I689">
            <v>0.55249999999999999</v>
          </cell>
          <cell r="J689">
            <v>0.55249999999999999</v>
          </cell>
          <cell r="K689" t="str">
            <v>HGC20230216001-0019</v>
          </cell>
        </row>
        <row r="690">
          <cell r="C690" t="str">
            <v>HGC-2452284</v>
          </cell>
          <cell r="D690" t="str">
            <v>ZD00511914</v>
          </cell>
          <cell r="E690" t="str">
            <v>IDT127</v>
          </cell>
          <cell r="F690" t="str">
            <v>TGGATCAC</v>
          </cell>
          <cell r="G690" t="str">
            <v>GCATTGGT</v>
          </cell>
          <cell r="H690" t="str">
            <v>mRNA</v>
          </cell>
          <cell r="I690">
            <v>0.99460000000000004</v>
          </cell>
          <cell r="J690">
            <v>0.99460000000000004</v>
          </cell>
          <cell r="K690" t="str">
            <v>HGC20230216001-0019</v>
          </cell>
        </row>
        <row r="691">
          <cell r="C691" t="str">
            <v>HGC-2452285</v>
          </cell>
          <cell r="D691" t="str">
            <v>ZD00512576</v>
          </cell>
          <cell r="E691" t="str">
            <v>IDT128</v>
          </cell>
          <cell r="F691" t="str">
            <v>ACACCAGT</v>
          </cell>
          <cell r="G691" t="str">
            <v>AGTGCATC</v>
          </cell>
          <cell r="H691" t="str">
            <v>mRNA</v>
          </cell>
          <cell r="I691">
            <v>0.82140000000000002</v>
          </cell>
          <cell r="J691">
            <v>0.82140000000000002</v>
          </cell>
          <cell r="K691" t="str">
            <v>HGC20230216001-0019</v>
          </cell>
        </row>
        <row r="692">
          <cell r="C692" t="str">
            <v>HGC-2451578</v>
          </cell>
          <cell r="D692" t="str">
            <v>IC-1</v>
          </cell>
          <cell r="E692" t="str">
            <v>IDT345</v>
          </cell>
          <cell r="F692" t="str">
            <v>GAGATGTC</v>
          </cell>
          <cell r="G692" t="str">
            <v>TAGTCAGC</v>
          </cell>
          <cell r="H692" t="str">
            <v>mRNA</v>
          </cell>
          <cell r="I692">
            <v>1.1052999999999999</v>
          </cell>
          <cell r="J692">
            <v>1.1052999999999999</v>
          </cell>
          <cell r="K692" t="str">
            <v>HGC20240320002-0046</v>
          </cell>
        </row>
        <row r="693">
          <cell r="C693" t="str">
            <v>HGC-2451578-2</v>
          </cell>
          <cell r="D693" t="str">
            <v>IC-2</v>
          </cell>
          <cell r="E693" t="str">
            <v>IDT346</v>
          </cell>
          <cell r="F693" t="str">
            <v>TACGGTTG</v>
          </cell>
          <cell r="G693" t="str">
            <v>AGTTCGCA</v>
          </cell>
          <cell r="H693" t="str">
            <v>mRNA</v>
          </cell>
          <cell r="I693">
            <v>0.4824</v>
          </cell>
          <cell r="J693">
            <v>0.4824</v>
          </cell>
          <cell r="K693" t="str">
            <v>HGC20240320002-0046</v>
          </cell>
        </row>
        <row r="694">
          <cell r="C694" t="str">
            <v>HGC-2451578-3</v>
          </cell>
          <cell r="D694" t="str">
            <v>IC-3</v>
          </cell>
          <cell r="E694" t="str">
            <v>IDT347</v>
          </cell>
          <cell r="F694" t="str">
            <v>CTATCGCA</v>
          </cell>
          <cell r="G694" t="str">
            <v>CGCGTATT</v>
          </cell>
          <cell r="H694" t="str">
            <v>mRNA</v>
          </cell>
          <cell r="I694">
            <v>0.87670000000000003</v>
          </cell>
          <cell r="J694">
            <v>0.87670000000000003</v>
          </cell>
          <cell r="K694" t="str">
            <v>HGC20240320002-0046</v>
          </cell>
        </row>
        <row r="695">
          <cell r="C695" t="str">
            <v>HGC-2451581</v>
          </cell>
          <cell r="D695" t="str">
            <v>S-1</v>
          </cell>
          <cell r="E695" t="str">
            <v>IDT348</v>
          </cell>
          <cell r="F695" t="str">
            <v>TCGAACCA</v>
          </cell>
          <cell r="G695" t="str">
            <v>AACCGTGT</v>
          </cell>
          <cell r="H695" t="str">
            <v>mRNA</v>
          </cell>
          <cell r="I695">
            <v>1.1418999999999999</v>
          </cell>
          <cell r="J695">
            <v>1.1418999999999999</v>
          </cell>
          <cell r="K695" t="str">
            <v>HGC20240320002-0046</v>
          </cell>
        </row>
        <row r="696">
          <cell r="C696" t="str">
            <v>HGC-2451581-2</v>
          </cell>
          <cell r="D696" t="str">
            <v>S-2</v>
          </cell>
          <cell r="E696" t="str">
            <v>IDT349</v>
          </cell>
          <cell r="F696" t="str">
            <v>GAACGCTT</v>
          </cell>
          <cell r="G696" t="str">
            <v>AAGTGCAG</v>
          </cell>
          <cell r="H696" t="str">
            <v>mRNA</v>
          </cell>
          <cell r="I696">
            <v>0.6956</v>
          </cell>
          <cell r="J696">
            <v>0.6956</v>
          </cell>
          <cell r="K696" t="str">
            <v>HGC20240320002-0046</v>
          </cell>
        </row>
        <row r="697">
          <cell r="C697" t="str">
            <v>HGC-2451581-3</v>
          </cell>
          <cell r="D697" t="str">
            <v>S-3</v>
          </cell>
          <cell r="E697" t="str">
            <v>IDT350</v>
          </cell>
          <cell r="F697" t="str">
            <v>CAGAATCG</v>
          </cell>
          <cell r="G697" t="str">
            <v>CCAGTTGA</v>
          </cell>
          <cell r="H697" t="str">
            <v>mRNA</v>
          </cell>
          <cell r="I697">
            <v>0.51519999999999999</v>
          </cell>
          <cell r="J697">
            <v>0.51519999999999999</v>
          </cell>
          <cell r="K697" t="str">
            <v>HGC20240320002-0046</v>
          </cell>
        </row>
        <row r="698">
          <cell r="C698" t="str">
            <v>HGC-2451584</v>
          </cell>
          <cell r="D698" t="str">
            <v>I-1</v>
          </cell>
          <cell r="E698" t="str">
            <v>IDT351</v>
          </cell>
          <cell r="F698" t="str">
            <v>ATGGTTGC</v>
          </cell>
          <cell r="G698" t="str">
            <v>AGCCAACT</v>
          </cell>
          <cell r="H698" t="str">
            <v>mRNA</v>
          </cell>
          <cell r="I698">
            <v>0.72409999999999997</v>
          </cell>
          <cell r="J698">
            <v>0.72409999999999997</v>
          </cell>
          <cell r="K698" t="str">
            <v>HGC20240320002-0046</v>
          </cell>
        </row>
        <row r="699">
          <cell r="C699" t="str">
            <v>HGC-2451584-2</v>
          </cell>
          <cell r="D699" t="str">
            <v>I-2</v>
          </cell>
          <cell r="E699" t="str">
            <v>IDT352</v>
          </cell>
          <cell r="F699" t="str">
            <v>GCTGGATT</v>
          </cell>
          <cell r="G699" t="str">
            <v>CTAACCTG</v>
          </cell>
          <cell r="H699" t="str">
            <v>mRNA</v>
          </cell>
          <cell r="I699">
            <v>0.45429999999999998</v>
          </cell>
          <cell r="J699">
            <v>0.45429999999999998</v>
          </cell>
          <cell r="K699" t="str">
            <v>HGC20240320002-0046</v>
          </cell>
        </row>
        <row r="700">
          <cell r="C700" t="str">
            <v>HGC-2452136</v>
          </cell>
          <cell r="D700" t="str">
            <v>E-5-1</v>
          </cell>
          <cell r="E700" t="str">
            <v>IDT168</v>
          </cell>
          <cell r="F700" t="str">
            <v>ACAGACCT</v>
          </cell>
          <cell r="G700" t="str">
            <v>CTAGGTTG</v>
          </cell>
          <cell r="H700" t="str">
            <v>mRNA</v>
          </cell>
          <cell r="I700">
            <v>2.3820999999999999</v>
          </cell>
          <cell r="J700">
            <v>2.3820999999999999</v>
          </cell>
          <cell r="K700" t="str">
            <v>HGC20240320002-0051</v>
          </cell>
        </row>
        <row r="701">
          <cell r="C701" t="str">
            <v>HGC-2452137</v>
          </cell>
          <cell r="D701" t="str">
            <v>K1</v>
          </cell>
          <cell r="E701" t="str">
            <v>IDT169</v>
          </cell>
          <cell r="F701" t="str">
            <v>GTCCTTCT</v>
          </cell>
          <cell r="G701" t="str">
            <v>TGTGTCAG</v>
          </cell>
          <cell r="H701" t="str">
            <v>mRNA</v>
          </cell>
          <cell r="I701">
            <v>2.6515</v>
          </cell>
          <cell r="J701">
            <v>2.6515</v>
          </cell>
          <cell r="K701" t="str">
            <v>HGC20240320002-0052</v>
          </cell>
        </row>
        <row r="702">
          <cell r="C702" t="str">
            <v>HGC-2452138</v>
          </cell>
          <cell r="D702" t="str">
            <v>K2</v>
          </cell>
          <cell r="E702" t="str">
            <v>IDT170</v>
          </cell>
          <cell r="F702" t="str">
            <v>TGATACGC</v>
          </cell>
          <cell r="G702" t="str">
            <v>CAACGAGT</v>
          </cell>
          <cell r="H702" t="str">
            <v>mRNA</v>
          </cell>
          <cell r="I702">
            <v>2.6951000000000001</v>
          </cell>
          <cell r="J702">
            <v>2.6951000000000001</v>
          </cell>
          <cell r="K702" t="str">
            <v>HGC20240320002-0052</v>
          </cell>
        </row>
        <row r="703">
          <cell r="C703" t="str">
            <v>HGC-2452139</v>
          </cell>
          <cell r="D703" t="str">
            <v>K3</v>
          </cell>
          <cell r="E703" t="str">
            <v>IDT171</v>
          </cell>
          <cell r="F703" t="str">
            <v>CTGTGTTG</v>
          </cell>
          <cell r="G703" t="str">
            <v>TAGGAGCT</v>
          </cell>
          <cell r="H703" t="str">
            <v>mRNA</v>
          </cell>
          <cell r="I703">
            <v>2.2002000000000002</v>
          </cell>
          <cell r="J703">
            <v>2.2002000000000002</v>
          </cell>
          <cell r="K703" t="str">
            <v>HGC20240320002-0052</v>
          </cell>
        </row>
        <row r="704">
          <cell r="C704" t="str">
            <v>HGC-2452140</v>
          </cell>
          <cell r="D704" t="str">
            <v>C0.41</v>
          </cell>
          <cell r="E704" t="str">
            <v>IDT172</v>
          </cell>
          <cell r="F704" t="str">
            <v>AACGTGGA</v>
          </cell>
          <cell r="G704" t="str">
            <v>CCGATGTA</v>
          </cell>
          <cell r="H704" t="str">
            <v>mRNA</v>
          </cell>
          <cell r="I704">
            <v>1.6025</v>
          </cell>
          <cell r="J704">
            <v>1.6025</v>
          </cell>
          <cell r="K704" t="str">
            <v>HGC20240320002-0052</v>
          </cell>
        </row>
        <row r="705">
          <cell r="C705" t="str">
            <v>HGC-2452141</v>
          </cell>
          <cell r="D705" t="str">
            <v>C0.42</v>
          </cell>
          <cell r="E705" t="str">
            <v>IDT173</v>
          </cell>
          <cell r="F705" t="str">
            <v>GTTGCGAT</v>
          </cell>
          <cell r="G705" t="str">
            <v>GACTTGTG</v>
          </cell>
          <cell r="H705" t="str">
            <v>mRNA</v>
          </cell>
          <cell r="I705">
            <v>2.0701000000000001</v>
          </cell>
          <cell r="J705">
            <v>2.0701000000000001</v>
          </cell>
          <cell r="K705" t="str">
            <v>HGC20240320002-0052</v>
          </cell>
        </row>
        <row r="706">
          <cell r="C706" t="str">
            <v>HGC-2452142</v>
          </cell>
          <cell r="D706" t="str">
            <v>C0.43</v>
          </cell>
          <cell r="E706" t="str">
            <v>IDT174</v>
          </cell>
          <cell r="F706" t="str">
            <v>AACGACGT</v>
          </cell>
          <cell r="G706" t="str">
            <v>TCAATCCG</v>
          </cell>
          <cell r="H706" t="str">
            <v>mRNA</v>
          </cell>
          <cell r="I706">
            <v>2.4666000000000001</v>
          </cell>
          <cell r="J706">
            <v>2.4666000000000001</v>
          </cell>
          <cell r="K706" t="str">
            <v>HGC20240320002-0052</v>
          </cell>
        </row>
        <row r="707">
          <cell r="C707" t="str">
            <v>HGC-2452150</v>
          </cell>
          <cell r="D707" t="str">
            <v>N10-1</v>
          </cell>
          <cell r="E707" t="str">
            <v>IDT175</v>
          </cell>
          <cell r="F707" t="str">
            <v>CGTATTCG</v>
          </cell>
          <cell r="G707" t="str">
            <v>TGTCGACT</v>
          </cell>
          <cell r="H707" t="str">
            <v>mRNA</v>
          </cell>
          <cell r="I707">
            <v>1.7726</v>
          </cell>
          <cell r="J707">
            <v>1.7726</v>
          </cell>
          <cell r="K707" t="str">
            <v>HGC20240320002-0054</v>
          </cell>
        </row>
        <row r="708">
          <cell r="C708" t="str">
            <v>HGC-2452152</v>
          </cell>
          <cell r="D708" t="str">
            <v>N11-1</v>
          </cell>
          <cell r="E708" t="str">
            <v>IDT176</v>
          </cell>
          <cell r="F708" t="str">
            <v>AGCAAGCA</v>
          </cell>
          <cell r="G708" t="str">
            <v>AAGGAGAC</v>
          </cell>
          <cell r="H708" t="str">
            <v>mRNA</v>
          </cell>
          <cell r="I708">
            <v>2.8348</v>
          </cell>
          <cell r="J708">
            <v>2.8348</v>
          </cell>
          <cell r="K708" t="str">
            <v>HGC20240320002-0054</v>
          </cell>
        </row>
        <row r="709">
          <cell r="C709" t="str">
            <v>HGC-2452154</v>
          </cell>
          <cell r="D709" t="str">
            <v>N12-1</v>
          </cell>
          <cell r="E709" t="str">
            <v>IDT177</v>
          </cell>
          <cell r="F709" t="str">
            <v>TGTTCGAG</v>
          </cell>
          <cell r="G709" t="str">
            <v>CGTATCTC</v>
          </cell>
          <cell r="H709" t="str">
            <v>mRNA</v>
          </cell>
          <cell r="I709">
            <v>3.4672000000000001</v>
          </cell>
          <cell r="J709">
            <v>3.4672000000000001</v>
          </cell>
          <cell r="K709" t="str">
            <v>HGC20240320002-0054</v>
          </cell>
        </row>
        <row r="710">
          <cell r="C710" t="str">
            <v>HGC-2452156</v>
          </cell>
          <cell r="D710" t="str">
            <v>OE16-1</v>
          </cell>
          <cell r="E710" t="str">
            <v>IDT178</v>
          </cell>
          <cell r="F710" t="str">
            <v>CTCCATGT</v>
          </cell>
          <cell r="G710" t="str">
            <v>ACACCGAT</v>
          </cell>
          <cell r="H710" t="str">
            <v>mRNA</v>
          </cell>
          <cell r="I710">
            <v>2.2475000000000001</v>
          </cell>
          <cell r="J710">
            <v>2.2475000000000001</v>
          </cell>
          <cell r="K710" t="str">
            <v>HGC20240320002-0054</v>
          </cell>
        </row>
        <row r="711">
          <cell r="C711" t="str">
            <v>HGC-2452158</v>
          </cell>
          <cell r="D711" t="str">
            <v>OE17-1</v>
          </cell>
          <cell r="E711" t="str">
            <v>IDT179</v>
          </cell>
          <cell r="F711" t="str">
            <v>CGTCTTGT</v>
          </cell>
          <cell r="G711" t="str">
            <v>TTGCGAGA</v>
          </cell>
          <cell r="H711" t="str">
            <v>mRNA</v>
          </cell>
          <cell r="I711">
            <v>2.0285000000000002</v>
          </cell>
          <cell r="J711">
            <v>2.0285000000000002</v>
          </cell>
          <cell r="K711" t="str">
            <v>HGC20240320002-0054</v>
          </cell>
        </row>
        <row r="712">
          <cell r="C712" t="str">
            <v>HGC-2452160</v>
          </cell>
          <cell r="D712" t="str">
            <v>OE18-1</v>
          </cell>
          <cell r="E712" t="str">
            <v>IDT180</v>
          </cell>
          <cell r="F712" t="str">
            <v>ATAAGGCG</v>
          </cell>
          <cell r="G712" t="str">
            <v>GCGTTAGA</v>
          </cell>
          <cell r="H712" t="str">
            <v>mRNA</v>
          </cell>
          <cell r="I712">
            <v>2.3645999999999998</v>
          </cell>
          <cell r="J712">
            <v>2.3645999999999998</v>
          </cell>
          <cell r="K712" t="str">
            <v>HGC20240320002-0054</v>
          </cell>
        </row>
        <row r="713">
          <cell r="C713" t="str">
            <v>HGC-2452162</v>
          </cell>
          <cell r="D713" t="str">
            <v>S1</v>
          </cell>
          <cell r="E713" t="str">
            <v>IDT181</v>
          </cell>
          <cell r="F713" t="str">
            <v>TGTCTGCT</v>
          </cell>
          <cell r="G713" t="str">
            <v>GTCGATTG</v>
          </cell>
          <cell r="H713" t="str">
            <v>mRNA</v>
          </cell>
          <cell r="I713">
            <v>4.5869</v>
          </cell>
          <cell r="J713">
            <v>4.5869</v>
          </cell>
          <cell r="K713" t="str">
            <v>HGC20240320002-0055</v>
          </cell>
        </row>
        <row r="714">
          <cell r="C714" t="str">
            <v>HGC-2452163</v>
          </cell>
          <cell r="D714" t="str">
            <v>S2</v>
          </cell>
          <cell r="E714" t="str">
            <v>IDT182</v>
          </cell>
          <cell r="F714" t="str">
            <v>CGCTTAAC</v>
          </cell>
          <cell r="G714" t="str">
            <v>AAGTCCTC</v>
          </cell>
          <cell r="H714" t="str">
            <v>mRNA</v>
          </cell>
          <cell r="I714">
            <v>4.8094999999999999</v>
          </cell>
          <cell r="J714">
            <v>4.8094999999999999</v>
          </cell>
          <cell r="K714" t="str">
            <v>HGC20240320002-0055</v>
          </cell>
        </row>
        <row r="715">
          <cell r="C715" t="str">
            <v>HGC-2452164</v>
          </cell>
          <cell r="D715" t="str">
            <v>S3</v>
          </cell>
          <cell r="E715" t="str">
            <v>IDT183</v>
          </cell>
          <cell r="F715" t="str">
            <v>GATCCATG</v>
          </cell>
          <cell r="G715" t="str">
            <v>CAACTCCA</v>
          </cell>
          <cell r="H715" t="str">
            <v>mRNA</v>
          </cell>
          <cell r="I715">
            <v>4.2606000000000002</v>
          </cell>
          <cell r="J715">
            <v>4.2606000000000002</v>
          </cell>
          <cell r="K715" t="str">
            <v>HGC20240320002-0055</v>
          </cell>
        </row>
        <row r="716">
          <cell r="C716" t="str">
            <v>HGC-2452165</v>
          </cell>
          <cell r="D716" t="str">
            <v>I1</v>
          </cell>
          <cell r="E716" t="str">
            <v>IDT184</v>
          </cell>
          <cell r="F716" t="str">
            <v>ACCTCTGT</v>
          </cell>
          <cell r="G716" t="str">
            <v>ATGCCTAG</v>
          </cell>
          <cell r="H716" t="str">
            <v>mRNA</v>
          </cell>
          <cell r="I716">
            <v>4.5734000000000004</v>
          </cell>
          <cell r="J716">
            <v>4.5734000000000004</v>
          </cell>
          <cell r="K716" t="str">
            <v>HGC20240320002-0055</v>
          </cell>
        </row>
        <row r="717">
          <cell r="C717" t="str">
            <v>HGC-2452166</v>
          </cell>
          <cell r="D717" t="str">
            <v>I2</v>
          </cell>
          <cell r="E717" t="str">
            <v>IDT185</v>
          </cell>
          <cell r="F717" t="str">
            <v>GCCACTTA</v>
          </cell>
          <cell r="G717" t="str">
            <v>GAGTAGAG</v>
          </cell>
          <cell r="H717" t="str">
            <v>mRNA</v>
          </cell>
          <cell r="I717">
            <v>4.8113000000000001</v>
          </cell>
          <cell r="J717">
            <v>4.8113000000000001</v>
          </cell>
          <cell r="K717" t="str">
            <v>HGC20240320002-0055</v>
          </cell>
        </row>
        <row r="718">
          <cell r="C718" t="str">
            <v>HGC-2452167</v>
          </cell>
          <cell r="D718" t="str">
            <v>I3</v>
          </cell>
          <cell r="E718" t="str">
            <v>IDT186</v>
          </cell>
          <cell r="F718" t="str">
            <v>ACCTGACT</v>
          </cell>
          <cell r="G718" t="str">
            <v>ACGCTTCT</v>
          </cell>
          <cell r="H718" t="str">
            <v>mRNA</v>
          </cell>
          <cell r="I718">
            <v>5.0799000000000003</v>
          </cell>
          <cell r="J718">
            <v>5.0799000000000003</v>
          </cell>
          <cell r="K718" t="str">
            <v>HGC20240320002-0055</v>
          </cell>
        </row>
        <row r="719">
          <cell r="C719" t="str">
            <v>HGC-2452168</v>
          </cell>
          <cell r="D719" t="str">
            <v>N1</v>
          </cell>
          <cell r="E719" t="str">
            <v>IDT187</v>
          </cell>
          <cell r="F719" t="str">
            <v>GTTAAGGC</v>
          </cell>
          <cell r="G719" t="str">
            <v>ACCTTCGA</v>
          </cell>
          <cell r="H719" t="str">
            <v>mRNA</v>
          </cell>
          <cell r="I719">
            <v>4.7628000000000004</v>
          </cell>
          <cell r="J719">
            <v>4.7628000000000004</v>
          </cell>
          <cell r="K719" t="str">
            <v>HGC20240320002-0055</v>
          </cell>
        </row>
        <row r="720">
          <cell r="C720" t="str">
            <v>HGC-2452169</v>
          </cell>
          <cell r="D720" t="str">
            <v>N2</v>
          </cell>
          <cell r="E720" t="str">
            <v>IDT188</v>
          </cell>
          <cell r="F720" t="str">
            <v>ATGCCAAC</v>
          </cell>
          <cell r="G720" t="str">
            <v>TTACCGAC</v>
          </cell>
          <cell r="H720" t="str">
            <v>mRNA</v>
          </cell>
          <cell r="I720">
            <v>4.7907999999999999</v>
          </cell>
          <cell r="J720">
            <v>4.7907999999999999</v>
          </cell>
          <cell r="K720" t="str">
            <v>HGC20240320002-0055</v>
          </cell>
        </row>
        <row r="721">
          <cell r="C721" t="str">
            <v>HGC-2452170</v>
          </cell>
          <cell r="D721" t="str">
            <v>N3</v>
          </cell>
          <cell r="E721" t="str">
            <v>IDT189</v>
          </cell>
          <cell r="F721" t="str">
            <v>AGAGGTTG</v>
          </cell>
          <cell r="G721" t="str">
            <v>GTCATCGT</v>
          </cell>
          <cell r="H721" t="str">
            <v>mRNA</v>
          </cell>
          <cell r="I721">
            <v>4.3330000000000002</v>
          </cell>
          <cell r="J721">
            <v>4.3330000000000002</v>
          </cell>
          <cell r="K721" t="str">
            <v>HGC20240320002-0055</v>
          </cell>
        </row>
        <row r="722">
          <cell r="C722" t="str">
            <v>HGC-2457851</v>
          </cell>
          <cell r="D722" t="str">
            <v>HG2024_292</v>
          </cell>
          <cell r="E722" t="str">
            <v>IDT131</v>
          </cell>
          <cell r="F722" t="str">
            <v>TCAACTGG</v>
          </cell>
          <cell r="G722" t="str">
            <v>CGATTCTG</v>
          </cell>
          <cell r="H722" t="str">
            <v>WGS</v>
          </cell>
          <cell r="I722">
            <v>31.8934</v>
          </cell>
          <cell r="J722">
            <v>31.8934</v>
          </cell>
          <cell r="K722" t="str">
            <v>HGC20240509004-0036</v>
          </cell>
        </row>
        <row r="723">
          <cell r="C723" t="str">
            <v>HGC-2447925</v>
          </cell>
          <cell r="D723" t="str">
            <v>L17-12R</v>
          </cell>
          <cell r="E723" t="str">
            <v>IDT296</v>
          </cell>
          <cell r="F723" t="str">
            <v>CTCTACTC</v>
          </cell>
          <cell r="G723" t="str">
            <v>TAAGTGGC</v>
          </cell>
          <cell r="H723" t="str">
            <v>mRNA</v>
          </cell>
          <cell r="I723">
            <v>1</v>
          </cell>
          <cell r="J723">
            <v>1</v>
          </cell>
          <cell r="K723" t="str">
            <v>HGC20240624005-0001</v>
          </cell>
        </row>
        <row r="724">
          <cell r="C724" t="str">
            <v>HGC-2447941</v>
          </cell>
          <cell r="D724" t="str">
            <v>L20-7R</v>
          </cell>
          <cell r="E724" t="str">
            <v>IDT312</v>
          </cell>
          <cell r="F724" t="str">
            <v>CTGACACA</v>
          </cell>
          <cell r="G724" t="str">
            <v>AGAAGGAC</v>
          </cell>
          <cell r="H724" t="str">
            <v>mRNA</v>
          </cell>
          <cell r="I724">
            <v>1</v>
          </cell>
          <cell r="J724">
            <v>1</v>
          </cell>
          <cell r="K724" t="str">
            <v>HGC20240624005-0001</v>
          </cell>
        </row>
        <row r="725">
          <cell r="C725" t="str">
            <v>HGC-2447948</v>
          </cell>
          <cell r="D725" t="str">
            <v>L21-17R</v>
          </cell>
          <cell r="E725" t="str">
            <v>IDT319</v>
          </cell>
          <cell r="F725" t="str">
            <v>GACTATGC</v>
          </cell>
          <cell r="G725" t="str">
            <v>ACTCAACG</v>
          </cell>
          <cell r="H725" t="str">
            <v>mRNA</v>
          </cell>
          <cell r="I725">
            <v>0.5</v>
          </cell>
          <cell r="J725">
            <v>0.5</v>
          </cell>
          <cell r="K725" t="str">
            <v>HGC20240624005-0001</v>
          </cell>
        </row>
        <row r="726">
          <cell r="C726" t="str">
            <v>HGC-Lib-2456980</v>
          </cell>
          <cell r="D726" t="str">
            <v>NGS0324037-9</v>
          </cell>
          <cell r="F726" t="str">
            <v>CGCTCTAT</v>
          </cell>
          <cell r="G726" t="str">
            <v>TTGCAACG</v>
          </cell>
          <cell r="H726" t="str">
            <v>mRNA文库</v>
          </cell>
          <cell r="I726">
            <v>1.2702</v>
          </cell>
          <cell r="J726">
            <v>1.2702</v>
          </cell>
          <cell r="K726" t="str">
            <v>HGC20231114014-0085</v>
          </cell>
        </row>
        <row r="727">
          <cell r="C727" t="str">
            <v>HGC-Lib-2456777</v>
          </cell>
          <cell r="D727" t="str">
            <v>NGS0324045-2-3</v>
          </cell>
          <cell r="F727" t="str">
            <v>CGAACTCA</v>
          </cell>
          <cell r="G727" t="str">
            <v>ACTAGCAC</v>
          </cell>
          <cell r="H727" t="str">
            <v>mRNA文库</v>
          </cell>
          <cell r="I727">
            <v>0.97319999999999995</v>
          </cell>
          <cell r="J727">
            <v>0.97319999999999995</v>
          </cell>
          <cell r="K727" t="str">
            <v>HGC20231114014-0105</v>
          </cell>
        </row>
        <row r="728">
          <cell r="C728" t="str">
            <v>HGC-Lib-2456778</v>
          </cell>
          <cell r="D728" t="str">
            <v>NGS0324045-3-1</v>
          </cell>
          <cell r="F728" t="str">
            <v>GATTGCGT</v>
          </cell>
          <cell r="G728" t="str">
            <v>CTTGTGCT</v>
          </cell>
          <cell r="H728" t="str">
            <v>mRNA文库</v>
          </cell>
          <cell r="I728">
            <v>0.41120000000000001</v>
          </cell>
          <cell r="J728">
            <v>0.41120000000000001</v>
          </cell>
          <cell r="K728" t="str">
            <v>HGC20231114014-0105</v>
          </cell>
        </row>
        <row r="729">
          <cell r="C729" t="str">
            <v>HGC-Lib-2456779</v>
          </cell>
          <cell r="D729" t="str">
            <v>NGS0324045-3-2</v>
          </cell>
          <cell r="F729" t="str">
            <v>TAGGTCAC</v>
          </cell>
          <cell r="G729" t="str">
            <v>AGAGGTGT</v>
          </cell>
          <cell r="H729" t="str">
            <v>mRNA文库</v>
          </cell>
          <cell r="I729">
            <v>0.50529999999999997</v>
          </cell>
          <cell r="J729">
            <v>0.50529999999999997</v>
          </cell>
          <cell r="K729" t="str">
            <v>HGC20231114014-0105</v>
          </cell>
        </row>
        <row r="730">
          <cell r="C730" t="str">
            <v>HGC-Lib-2456780</v>
          </cell>
          <cell r="D730" t="str">
            <v>NGS0324045-3-3</v>
          </cell>
          <cell r="F730" t="str">
            <v>TCACAGAC</v>
          </cell>
          <cell r="G730" t="str">
            <v>CGGTCTAA</v>
          </cell>
          <cell r="H730" t="str">
            <v>mRNA文库</v>
          </cell>
          <cell r="I730">
            <v>0.36620000000000003</v>
          </cell>
          <cell r="J730">
            <v>0.36620000000000003</v>
          </cell>
          <cell r="K730" t="str">
            <v>HGC20231114014-0105</v>
          </cell>
        </row>
        <row r="731">
          <cell r="C731" t="str">
            <v>HGC-Lib-2456781</v>
          </cell>
          <cell r="D731" t="str">
            <v>NGS0324045-4-1</v>
          </cell>
          <cell r="F731" t="str">
            <v>CCTATCGA</v>
          </cell>
          <cell r="G731" t="str">
            <v>CCAGGTAA</v>
          </cell>
          <cell r="H731" t="str">
            <v>mRNA文库</v>
          </cell>
          <cell r="I731">
            <v>0.77190000000000003</v>
          </cell>
          <cell r="J731">
            <v>0.77190000000000003</v>
          </cell>
          <cell r="K731" t="str">
            <v>HGC20231114014-0105</v>
          </cell>
        </row>
        <row r="732">
          <cell r="C732" t="str">
            <v>HGC-Lib-2456782</v>
          </cell>
          <cell r="D732" t="str">
            <v>NGS0324045-4-2</v>
          </cell>
          <cell r="F732" t="str">
            <v>TTGGAGCT</v>
          </cell>
          <cell r="G732" t="str">
            <v>TCACAGTG</v>
          </cell>
          <cell r="H732" t="str">
            <v>mRNA文库</v>
          </cell>
          <cell r="I732">
            <v>0.30930000000000002</v>
          </cell>
          <cell r="J732">
            <v>0.30930000000000002</v>
          </cell>
          <cell r="K732" t="str">
            <v>HGC20231114014-0105</v>
          </cell>
        </row>
        <row r="733">
          <cell r="C733" t="str">
            <v>HGC-Lib-2456783</v>
          </cell>
          <cell r="D733" t="str">
            <v>NGS0324045-4-3</v>
          </cell>
          <cell r="F733" t="str">
            <v>CCTAGGTA</v>
          </cell>
          <cell r="G733" t="str">
            <v>GAGGTAGT</v>
          </cell>
          <cell r="H733" t="str">
            <v>mRNA文库</v>
          </cell>
          <cell r="I733">
            <v>0.58020000000000005</v>
          </cell>
          <cell r="J733">
            <v>0.58020000000000005</v>
          </cell>
          <cell r="K733" t="str">
            <v>HGC20231114014-0105</v>
          </cell>
        </row>
        <row r="735">
          <cell r="C735" t="str">
            <v>HaploX编号</v>
          </cell>
          <cell r="D735" t="str">
            <v>样本名称</v>
          </cell>
          <cell r="E735" t="str">
            <v>Index序号</v>
          </cell>
          <cell r="F735" t="str">
            <v>i7序列</v>
          </cell>
          <cell r="G735" t="str">
            <v>i5序列</v>
          </cell>
          <cell r="H735" t="str">
            <v>文库类型</v>
          </cell>
          <cell r="I735" t="str">
            <v>数据量G</v>
          </cell>
          <cell r="J735" t="str">
            <v>预分配数据量G</v>
          </cell>
          <cell r="K735" t="str">
            <v>合同编号</v>
          </cell>
        </row>
        <row r="736">
          <cell r="D736" t="str">
            <v>0801X1</v>
          </cell>
          <cell r="H736" t="str">
            <v>mRNA文库/免疫组库/10x 5'单细胞/small RNA文库</v>
          </cell>
          <cell r="I736">
            <v>1000</v>
          </cell>
          <cell r="J736">
            <v>1000</v>
          </cell>
          <cell r="K736" t="str">
            <v>HGC20240625004-0006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P81"/>
  <sheetViews>
    <sheetView zoomScale="70" zoomScaleNormal="70" workbookViewId="0">
      <selection activeCell="M1" sqref="M1"/>
    </sheetView>
  </sheetViews>
  <sheetFormatPr baseColWidth="8" defaultColWidth="8.75" defaultRowHeight="30" customHeight="1"/>
  <cols>
    <col width="12" customWidth="1" style="62" min="1" max="1"/>
    <col width="20" customWidth="1" style="62" min="2" max="2"/>
    <col width="22" customWidth="1" style="88" min="3" max="3"/>
    <col width="14" customWidth="1" style="88" min="4" max="4"/>
    <col width="26" customWidth="1" style="89" min="5" max="5"/>
    <col width="26" customWidth="1" style="90" min="6" max="6"/>
    <col width="25" customWidth="1" style="62" min="7" max="7"/>
    <col width="36" customWidth="1" style="62" min="8" max="8"/>
    <col width="27" customWidth="1" style="88" min="9" max="9"/>
    <col width="12" customWidth="1" style="91" min="10" max="10"/>
    <col width="43" customWidth="1" style="91" min="11" max="11"/>
    <col width="25" customWidth="1" style="91" min="12" max="12"/>
    <col width="22" customWidth="1" style="62" min="13" max="13"/>
    <col width="8" customWidth="1" style="62" min="14" max="14"/>
    <col width="16" bestFit="1" customWidth="1" style="62" min="15" max="15"/>
    <col width="12" customWidth="1" style="62" min="16" max="16"/>
    <col width="8.75" customWidth="1" style="62" min="17" max="17"/>
    <col width="8.75" customWidth="1" style="62" min="18" max="16384"/>
  </cols>
  <sheetData>
    <row r="1" ht="90" customFormat="1" customHeight="1" s="61">
      <c r="A1" s="67" t="inlineStr">
        <is>
          <t>lane编号</t>
        </is>
      </c>
      <c r="B1" s="68" t="inlineStr">
        <is>
          <t>文库编号</t>
        </is>
      </c>
      <c r="C1" s="92" t="inlineStr">
        <is>
          <t>Qubit浓度（ng/ul）</t>
        </is>
      </c>
      <c r="D1" s="92" t="inlineStr">
        <is>
          <t>数据量（G)</t>
        </is>
      </c>
      <c r="E1" s="93" t="inlineStr">
        <is>
          <t>文库摩尔质量（ng）</t>
        </is>
      </c>
      <c r="F1" s="94" t="inlineStr">
        <is>
          <t>最终取样体积（ul）</t>
        </is>
      </c>
      <c r="G1" s="72" t="inlineStr">
        <is>
          <t>文库类型</t>
        </is>
      </c>
      <c r="H1" s="95" t="inlineStr">
        <is>
          <t>客户单位</t>
        </is>
      </c>
      <c r="I1" s="96" t="inlineStr">
        <is>
          <t>TE Buffer补充体积（uL）</t>
        </is>
      </c>
      <c r="J1" s="97" t="inlineStr">
        <is>
          <t>找样人员</t>
        </is>
      </c>
      <c r="K1" s="97" t="inlineStr">
        <is>
          <t>备注</t>
        </is>
      </c>
      <c r="M1" s="76" t="inlineStr">
        <is>
          <t>Qubit浓度（ng/ul）</t>
        </is>
      </c>
      <c r="N1" s="76" t="inlineStr">
        <is>
          <t>片段</t>
        </is>
      </c>
      <c r="O1" s="61" t="inlineStr">
        <is>
          <t>人工检测结果</t>
        </is>
      </c>
      <c r="P1" s="61" t="inlineStr">
        <is>
          <t>人工备注</t>
        </is>
      </c>
    </row>
    <row r="2" ht="30" customHeight="1" s="116">
      <c r="A2" s="127" t="inlineStr">
        <is>
          <t>C1</t>
        </is>
      </c>
      <c r="B2" s="127" t="inlineStr">
        <is>
          <t>HGC-Lib-26095584</t>
        </is>
      </c>
      <c r="C2" s="127" t="n">
        <v>9.52</v>
      </c>
      <c r="D2" s="128" t="n">
        <v>0.13</v>
      </c>
      <c r="E2" s="129">
        <f>D2/D4*300</f>
        <v/>
      </c>
      <c r="F2" s="129">
        <f>ROUND(E2/C2,3)</f>
        <v/>
      </c>
      <c r="G2" s="127" t="inlineStr">
        <is>
          <t>华大-C4-转录组</t>
        </is>
      </c>
      <c r="H2" s="128" t="inlineStr">
        <is>
          <t>广州奥智生物科技有限公司</t>
        </is>
      </c>
      <c r="I2" s="130" t="n"/>
      <c r="J2" s="131" t="n"/>
      <c r="K2" s="131" t="inlineStr">
        <is>
          <t>补测_260802_R21016100250033_ML150025074</t>
        </is>
      </c>
      <c r="L2" s="131" t="n"/>
      <c r="M2" s="131" t="n">
        <v>9.52</v>
      </c>
      <c r="N2" s="131" t="n"/>
      <c r="O2" s="131" t="inlineStr">
        <is>
          <t>B</t>
        </is>
      </c>
      <c r="P2" s="131" t="inlineStr">
        <is>
          <t>AE</t>
        </is>
      </c>
    </row>
    <row r="3" ht="30" customHeight="1" s="116">
      <c r="A3" s="132" t="n"/>
      <c r="B3" s="127" t="inlineStr">
        <is>
          <t>HGC-Lib-26095612</t>
        </is>
      </c>
      <c r="C3" s="127" t="n">
        <v>13.61</v>
      </c>
      <c r="D3" s="128" t="n">
        <v>0.78</v>
      </c>
      <c r="E3" s="129">
        <f>D3/D4*300</f>
        <v/>
      </c>
      <c r="F3" s="129">
        <f>ROUND(E3/C3,3)</f>
        <v/>
      </c>
      <c r="G3" s="127" t="inlineStr">
        <is>
          <t>华大-C4-转录组</t>
        </is>
      </c>
      <c r="H3" s="128" t="inlineStr">
        <is>
          <t>广州奥智生物科技有限公司</t>
        </is>
      </c>
      <c r="I3" s="130" t="n"/>
      <c r="J3" s="131" t="n"/>
      <c r="K3" s="131" t="inlineStr">
        <is>
          <t>补测_260802_R21016100250033_ML150025074</t>
        </is>
      </c>
      <c r="L3" s="131" t="n"/>
      <c r="M3" s="131" t="n">
        <v>13.61</v>
      </c>
      <c r="N3" s="131" t="n"/>
      <c r="O3" s="131" t="inlineStr">
        <is>
          <t>B</t>
        </is>
      </c>
      <c r="P3" s="131" t="inlineStr">
        <is>
          <t>E</t>
        </is>
      </c>
    </row>
    <row r="4" ht="30" customHeight="1" s="116">
      <c r="A4" s="133" t="n"/>
      <c r="B4" s="131" t="n">
        <v>2</v>
      </c>
      <c r="C4" s="133" t="n"/>
      <c r="D4" s="134" t="n">
        <v>0.91</v>
      </c>
      <c r="E4" s="130">
        <f>ROUND(SUM(E2:E3),3)</f>
        <v/>
      </c>
      <c r="F4" s="130">
        <f>ROUND(SUM(F2:F3),3)</f>
        <v/>
      </c>
      <c r="G4" s="133" t="n"/>
      <c r="H4" s="135" t="n"/>
      <c r="I4" s="136">
        <f>ROUND(40-F4,3)</f>
        <v/>
      </c>
      <c r="J4" s="133" t="n"/>
      <c r="K4" s="133" t="n"/>
      <c r="L4" s="133" t="n"/>
      <c r="M4" s="133" t="n"/>
      <c r="N4" s="133" t="n"/>
      <c r="O4" s="133" t="n"/>
      <c r="P4" s="133" t="n"/>
    </row>
    <row r="5" ht="30" customHeight="1" s="116">
      <c r="A5" s="127" t="inlineStr">
        <is>
          <t>C2</t>
        </is>
      </c>
      <c r="B5" s="127" t="inlineStr">
        <is>
          <t>HGC-Lib-26095255</t>
        </is>
      </c>
      <c r="C5" s="127" t="n">
        <v>17.6</v>
      </c>
      <c r="D5" s="128" t="n">
        <v>7.8</v>
      </c>
      <c r="E5" s="129">
        <f>D5/D9*300</f>
        <v/>
      </c>
      <c r="F5" s="129">
        <f>ROUND(E5/C5,3)</f>
        <v/>
      </c>
      <c r="G5" s="127" t="inlineStr">
        <is>
          <t>华大C4-cDNA</t>
        </is>
      </c>
      <c r="H5" s="128" t="inlineStr">
        <is>
          <t>武汉瑞兴生物科技有限公司</t>
        </is>
      </c>
      <c r="I5" s="130" t="n"/>
      <c r="J5" s="131" t="n"/>
      <c r="K5" s="131" t="inlineStr">
        <is>
          <t>补测_260803_R21016100250033_ML150028533</t>
        </is>
      </c>
      <c r="L5" s="131" t="n"/>
      <c r="M5" s="131" t="n">
        <v>17.6</v>
      </c>
      <c r="N5" s="131" t="n">
        <v>464</v>
      </c>
      <c r="O5" s="131" t="inlineStr">
        <is>
          <t>B</t>
        </is>
      </c>
      <c r="P5" s="131" t="inlineStr">
        <is>
          <t>CE</t>
        </is>
      </c>
    </row>
    <row r="6" ht="30" customHeight="1" s="116">
      <c r="A6" s="137" t="n"/>
      <c r="B6" s="127" t="inlineStr">
        <is>
          <t>HGC-Lib-26095600</t>
        </is>
      </c>
      <c r="C6" s="127" t="n">
        <v>10.13</v>
      </c>
      <c r="D6" s="128" t="n">
        <v>8.84</v>
      </c>
      <c r="E6" s="129">
        <f>D6/D9*300</f>
        <v/>
      </c>
      <c r="F6" s="129">
        <f>ROUND(E6/C6,3)</f>
        <v/>
      </c>
      <c r="G6" s="127" t="inlineStr">
        <is>
          <t>华大-C4-转录组</t>
        </is>
      </c>
      <c r="H6" s="128" t="inlineStr">
        <is>
          <t>广州奥智生物科技有限公司</t>
        </is>
      </c>
      <c r="I6" s="130" t="n"/>
      <c r="J6" s="131" t="n"/>
      <c r="K6" s="131" t="inlineStr">
        <is>
          <t>补测_260802_R21016100250033_ML150025074</t>
        </is>
      </c>
      <c r="L6" s="131" t="n"/>
      <c r="M6" s="131" t="n">
        <v>10.13</v>
      </c>
      <c r="N6" s="131" t="n"/>
      <c r="O6" s="131" t="inlineStr">
        <is>
          <t>B</t>
        </is>
      </c>
      <c r="P6" s="131" t="inlineStr">
        <is>
          <t>E</t>
        </is>
      </c>
    </row>
    <row r="7" ht="30" customHeight="1" s="116">
      <c r="A7" s="137" t="n"/>
      <c r="B7" s="127" t="inlineStr">
        <is>
          <t>HGC-Lib-26097583</t>
        </is>
      </c>
      <c r="C7" s="127" t="n">
        <v>11.88</v>
      </c>
      <c r="D7" s="128" t="n">
        <v>4.16</v>
      </c>
      <c r="E7" s="129">
        <f>D7/D9*300</f>
        <v/>
      </c>
      <c r="F7" s="129">
        <f>ROUND(E7/C7,3)</f>
        <v/>
      </c>
      <c r="G7" s="127" t="inlineStr">
        <is>
          <t>华大-C4-转录组</t>
        </is>
      </c>
      <c r="H7" s="128" t="inlineStr">
        <is>
          <t>广州奥智生物科技有限公司</t>
        </is>
      </c>
      <c r="I7" s="130" t="n"/>
      <c r="J7" s="131" t="n"/>
      <c r="K7" s="131" t="inlineStr">
        <is>
          <t>补测_260802_R21016100250033_ML150025074</t>
        </is>
      </c>
      <c r="L7" s="131" t="n"/>
      <c r="M7" s="131" t="n">
        <v>11.88</v>
      </c>
      <c r="N7" s="131" t="n"/>
      <c r="O7" s="131" t="inlineStr">
        <is>
          <t>B</t>
        </is>
      </c>
      <c r="P7" s="131" t="inlineStr">
        <is>
          <t>E</t>
        </is>
      </c>
    </row>
    <row r="8" ht="30" customHeight="1" s="116">
      <c r="A8" s="132" t="n"/>
      <c r="B8" s="127" t="inlineStr">
        <is>
          <t>HGC-Lib-26097597</t>
        </is>
      </c>
      <c r="C8" s="127" t="n">
        <v>10.53</v>
      </c>
      <c r="D8" s="128" t="n">
        <v>5.46</v>
      </c>
      <c r="E8" s="129">
        <f>D8/D9*300</f>
        <v/>
      </c>
      <c r="F8" s="129">
        <f>ROUND(E8/C8,3)</f>
        <v/>
      </c>
      <c r="G8" s="127" t="inlineStr">
        <is>
          <t>华大-C4-转录组</t>
        </is>
      </c>
      <c r="H8" s="128" t="inlineStr">
        <is>
          <t>广州奥智生物科技有限公司</t>
        </is>
      </c>
      <c r="I8" s="130" t="n"/>
      <c r="J8" s="131" t="n"/>
      <c r="K8" s="131" t="inlineStr">
        <is>
          <t>补测_260803_R21016100250033_ML150028533</t>
        </is>
      </c>
      <c r="L8" s="131" t="n"/>
      <c r="M8" s="131" t="n">
        <v>10.53</v>
      </c>
      <c r="N8" s="131" t="n"/>
      <c r="O8" s="131" t="inlineStr">
        <is>
          <t>B</t>
        </is>
      </c>
      <c r="P8" s="131" t="inlineStr">
        <is>
          <t>E</t>
        </is>
      </c>
    </row>
    <row r="9" ht="30" customHeight="1" s="116">
      <c r="A9" s="133" t="n"/>
      <c r="B9" s="131" t="n">
        <v>4</v>
      </c>
      <c r="C9" s="133" t="n"/>
      <c r="D9" s="134" t="n">
        <v>26.26</v>
      </c>
      <c r="E9" s="130">
        <f>ROUND(SUM(E5:E8),3)</f>
        <v/>
      </c>
      <c r="F9" s="130">
        <f>ROUND(SUM(F5:F8),3)</f>
        <v/>
      </c>
      <c r="G9" s="133" t="n"/>
      <c r="H9" s="135" t="n"/>
      <c r="I9" s="136">
        <f>ROUND(40-F9,3)</f>
        <v/>
      </c>
      <c r="J9" s="133" t="n"/>
      <c r="K9" s="133" t="n"/>
      <c r="L9" s="133" t="n"/>
      <c r="M9" s="133" t="n"/>
      <c r="N9" s="133" t="n"/>
      <c r="O9" s="133" t="n"/>
      <c r="P9" s="133" t="n"/>
    </row>
    <row r="10" ht="30" customHeight="1" s="116">
      <c r="A10" s="127" t="inlineStr">
        <is>
          <t>C3</t>
        </is>
      </c>
      <c r="B10" s="127" t="inlineStr">
        <is>
          <t>HGC-Lib-26092994</t>
        </is>
      </c>
      <c r="C10" s="127" t="n">
        <v>25.2</v>
      </c>
      <c r="D10" s="128" t="n">
        <v>13</v>
      </c>
      <c r="E10" s="129">
        <f>D10/D19*450</f>
        <v/>
      </c>
      <c r="F10" s="129">
        <f>ROUND(E10/C10,3)</f>
        <v/>
      </c>
      <c r="G10" s="127" t="inlineStr">
        <is>
          <t>华大C4-cDNA</t>
        </is>
      </c>
      <c r="H10" s="128" t="inlineStr">
        <is>
          <t>杭州开泰生物技术有限公司</t>
        </is>
      </c>
      <c r="I10" s="130" t="n"/>
      <c r="J10" s="131" t="n"/>
      <c r="K10" s="131" t="inlineStr">
        <is>
          <t>加急</t>
        </is>
      </c>
      <c r="L10" s="131" t="n"/>
      <c r="M10" s="131" t="n">
        <v>25.2</v>
      </c>
      <c r="N10" s="131" t="n">
        <v>418</v>
      </c>
      <c r="O10" s="131" t="inlineStr">
        <is>
          <t>A</t>
        </is>
      </c>
      <c r="P10" s="131" t="n"/>
    </row>
    <row r="11" ht="30" customHeight="1" s="116">
      <c r="A11" s="137" t="n"/>
      <c r="B11" s="127" t="inlineStr">
        <is>
          <t>HGC-Lib-26093652</t>
        </is>
      </c>
      <c r="C11" s="127" t="n">
        <v>34</v>
      </c>
      <c r="D11" s="128" t="n">
        <v>13</v>
      </c>
      <c r="E11" s="129">
        <f>D11/D19*450</f>
        <v/>
      </c>
      <c r="F11" s="129">
        <f>ROUND(E11/C11,3)</f>
        <v/>
      </c>
      <c r="G11" s="127" t="inlineStr">
        <is>
          <t>华大C4-cDNA</t>
        </is>
      </c>
      <c r="H11" s="128" t="inlineStr">
        <is>
          <t>杭州开泰生物技术有限公司</t>
        </is>
      </c>
      <c r="I11" s="130" t="n"/>
      <c r="J11" s="131" t="n"/>
      <c r="K11" s="131" t="inlineStr">
        <is>
          <t>加急</t>
        </is>
      </c>
      <c r="L11" s="131" t="n"/>
      <c r="M11" s="131" t="n">
        <v>34</v>
      </c>
      <c r="N11" s="131" t="n">
        <v>427</v>
      </c>
      <c r="O11" s="131" t="inlineStr">
        <is>
          <t>A</t>
        </is>
      </c>
      <c r="P11" s="131" t="n"/>
    </row>
    <row r="12" ht="30" customHeight="1" s="116">
      <c r="A12" s="137" t="n"/>
      <c r="B12" s="127" t="inlineStr">
        <is>
          <t>HGC-Lib-26093655</t>
        </is>
      </c>
      <c r="C12" s="127" t="n">
        <v>33.4</v>
      </c>
      <c r="D12" s="128" t="n">
        <v>13</v>
      </c>
      <c r="E12" s="129">
        <f>D12/D19*450</f>
        <v/>
      </c>
      <c r="F12" s="129">
        <f>ROUND(E12/C12,3)</f>
        <v/>
      </c>
      <c r="G12" s="127" t="inlineStr">
        <is>
          <t>华大C4-cDNA</t>
        </is>
      </c>
      <c r="H12" s="128" t="inlineStr">
        <is>
          <t>杭州开泰生物技术有限公司</t>
        </is>
      </c>
      <c r="I12" s="130" t="n"/>
      <c r="J12" s="131" t="n"/>
      <c r="K12" s="131" t="inlineStr">
        <is>
          <t>加急</t>
        </is>
      </c>
      <c r="L12" s="131" t="n"/>
      <c r="M12" s="131" t="n">
        <v>33.4</v>
      </c>
      <c r="N12" s="131" t="n">
        <v>409</v>
      </c>
      <c r="O12" s="131" t="inlineStr">
        <is>
          <t>A</t>
        </is>
      </c>
      <c r="P12" s="131" t="n"/>
    </row>
    <row r="13" ht="30" customHeight="1" s="116">
      <c r="A13" s="137" t="n"/>
      <c r="B13" s="127" t="inlineStr">
        <is>
          <t>HGC-Lib-26098633</t>
        </is>
      </c>
      <c r="C13" s="127" t="n">
        <v>21.54</v>
      </c>
      <c r="D13" s="128" t="n">
        <v>13</v>
      </c>
      <c r="E13" s="129">
        <f>D13/D19*450</f>
        <v/>
      </c>
      <c r="F13" s="129">
        <f>ROUND(E13/C13,3)</f>
        <v/>
      </c>
      <c r="G13" s="127" t="inlineStr">
        <is>
          <t>华大C4-cDNA</t>
        </is>
      </c>
      <c r="H13" s="128" t="inlineStr">
        <is>
          <t>杭州开泰生物技术有限公司</t>
        </is>
      </c>
      <c r="I13" s="130" t="n"/>
      <c r="J13" s="131" t="n"/>
      <c r="K13" s="131" t="n"/>
      <c r="L13" s="131" t="n"/>
      <c r="M13" s="131" t="n">
        <v>21.54</v>
      </c>
      <c r="N13" s="131" t="n">
        <v>506</v>
      </c>
      <c r="O13" s="131" t="inlineStr">
        <is>
          <t>A</t>
        </is>
      </c>
      <c r="P13" s="131" t="n"/>
    </row>
    <row r="14" ht="30" customHeight="1" s="116">
      <c r="A14" s="137" t="n"/>
      <c r="B14" s="127" t="inlineStr">
        <is>
          <t>HGC-Lib-26098634</t>
        </is>
      </c>
      <c r="C14" s="127" t="n">
        <v>26.11</v>
      </c>
      <c r="D14" s="128" t="n">
        <v>13</v>
      </c>
      <c r="E14" s="129">
        <f>D14/D19*450</f>
        <v/>
      </c>
      <c r="F14" s="129">
        <f>ROUND(E14/C14,3)</f>
        <v/>
      </c>
      <c r="G14" s="127" t="inlineStr">
        <is>
          <t>华大C4-cDNA</t>
        </is>
      </c>
      <c r="H14" s="128" t="inlineStr">
        <is>
          <t>杭州开泰生物技术有限公司</t>
        </is>
      </c>
      <c r="I14" s="130" t="n"/>
      <c r="J14" s="131" t="n"/>
      <c r="K14" s="131" t="n"/>
      <c r="L14" s="131" t="n"/>
      <c r="M14" s="131" t="n">
        <v>26.11</v>
      </c>
      <c r="N14" s="131" t="n">
        <v>507</v>
      </c>
      <c r="O14" s="131" t="inlineStr">
        <is>
          <t>A</t>
        </is>
      </c>
      <c r="P14" s="131" t="n"/>
    </row>
    <row r="15" ht="30" customHeight="1" s="116">
      <c r="A15" s="137" t="n"/>
      <c r="B15" s="127" t="inlineStr">
        <is>
          <t>HGC-Lib-26098635</t>
        </is>
      </c>
      <c r="C15" s="127" t="n">
        <v>30.38</v>
      </c>
      <c r="D15" s="128" t="n">
        <v>13</v>
      </c>
      <c r="E15" s="129">
        <f>D15/D19*450</f>
        <v/>
      </c>
      <c r="F15" s="129">
        <f>ROUND(E15/C15,3)</f>
        <v/>
      </c>
      <c r="G15" s="127" t="inlineStr">
        <is>
          <t>华大C4-cDNA</t>
        </is>
      </c>
      <c r="H15" s="128" t="inlineStr">
        <is>
          <t>杭州开泰生物技术有限公司</t>
        </is>
      </c>
      <c r="I15" s="130" t="n"/>
      <c r="J15" s="131" t="n"/>
      <c r="K15" s="131" t="n"/>
      <c r="L15" s="131" t="n"/>
      <c r="M15" s="131" t="n">
        <v>30.38</v>
      </c>
      <c r="N15" s="131" t="n">
        <v>505</v>
      </c>
      <c r="O15" s="131" t="inlineStr">
        <is>
          <t>A</t>
        </is>
      </c>
      <c r="P15" s="131" t="n"/>
    </row>
    <row r="16" ht="30" customHeight="1" s="116">
      <c r="A16" s="137" t="n"/>
      <c r="B16" s="127" t="inlineStr">
        <is>
          <t>HGC-Lib-26098636</t>
        </is>
      </c>
      <c r="C16" s="127" t="n">
        <v>35.79</v>
      </c>
      <c r="D16" s="128" t="n">
        <v>13</v>
      </c>
      <c r="E16" s="129">
        <f>D16/D19*450</f>
        <v/>
      </c>
      <c r="F16" s="129">
        <f>ROUND(E16/C16,3)</f>
        <v/>
      </c>
      <c r="G16" s="127" t="inlineStr">
        <is>
          <t>华大C4-cDNA</t>
        </is>
      </c>
      <c r="H16" s="128" t="inlineStr">
        <is>
          <t>杭州开泰生物技术有限公司</t>
        </is>
      </c>
      <c r="I16" s="130" t="n"/>
      <c r="J16" s="131" t="n"/>
      <c r="K16" s="131" t="n"/>
      <c r="L16" s="131" t="n"/>
      <c r="M16" s="131" t="n">
        <v>35.79</v>
      </c>
      <c r="N16" s="131" t="n">
        <v>506</v>
      </c>
      <c r="O16" s="131" t="inlineStr">
        <is>
          <t>A</t>
        </is>
      </c>
      <c r="P16" s="131" t="n"/>
    </row>
    <row r="17" ht="30" customHeight="1" s="116">
      <c r="A17" s="137" t="n"/>
      <c r="B17" s="127" t="inlineStr">
        <is>
          <t>HGC-Lib-26098637</t>
        </is>
      </c>
      <c r="C17" s="127" t="n">
        <v>30.25</v>
      </c>
      <c r="D17" s="128" t="n">
        <v>13</v>
      </c>
      <c r="E17" s="129">
        <f>D17/D19*450</f>
        <v/>
      </c>
      <c r="F17" s="129">
        <f>ROUND(E17/C17,3)</f>
        <v/>
      </c>
      <c r="G17" s="127" t="inlineStr">
        <is>
          <t>华大C4-cDNA</t>
        </is>
      </c>
      <c r="H17" s="128" t="inlineStr">
        <is>
          <t>杭州开泰生物技术有限公司</t>
        </is>
      </c>
      <c r="I17" s="130" t="n"/>
      <c r="J17" s="131" t="n"/>
      <c r="K17" s="131" t="n"/>
      <c r="L17" s="131" t="n"/>
      <c r="M17" s="131" t="n">
        <v>30.25</v>
      </c>
      <c r="N17" s="131" t="n">
        <v>513</v>
      </c>
      <c r="O17" s="131" t="inlineStr">
        <is>
          <t>A</t>
        </is>
      </c>
      <c r="P17" s="131" t="n"/>
    </row>
    <row r="18" ht="30" customHeight="1" s="116">
      <c r="A18" s="132" t="n"/>
      <c r="B18" s="127" t="inlineStr">
        <is>
          <t>HGC-Lib-26098638</t>
        </is>
      </c>
      <c r="C18" s="127" t="n">
        <v>28.08</v>
      </c>
      <c r="D18" s="128" t="n">
        <v>13</v>
      </c>
      <c r="E18" s="129">
        <f>D18/D19*450</f>
        <v/>
      </c>
      <c r="F18" s="129">
        <f>ROUND(E18/C18,3)</f>
        <v/>
      </c>
      <c r="G18" s="127" t="inlineStr">
        <is>
          <t>华大C4-cDNA</t>
        </is>
      </c>
      <c r="H18" s="128" t="inlineStr">
        <is>
          <t>杭州开泰生物技术有限公司</t>
        </is>
      </c>
      <c r="I18" s="130" t="n"/>
      <c r="J18" s="131" t="n"/>
      <c r="K18" s="131" t="n"/>
      <c r="L18" s="131" t="n"/>
      <c r="M18" s="131" t="n">
        <v>28.08</v>
      </c>
      <c r="N18" s="131" t="n">
        <v>512</v>
      </c>
      <c r="O18" s="131" t="inlineStr">
        <is>
          <t>A</t>
        </is>
      </c>
      <c r="P18" s="131" t="n"/>
    </row>
    <row r="19" ht="30" customHeight="1" s="116">
      <c r="A19" s="133" t="n"/>
      <c r="B19" s="131" t="n">
        <v>9</v>
      </c>
      <c r="C19" s="133" t="n"/>
      <c r="D19" s="134" t="n">
        <v>117</v>
      </c>
      <c r="E19" s="130">
        <f>ROUND(SUM(E10:E18),3)</f>
        <v/>
      </c>
      <c r="F19" s="130">
        <f>ROUND(SUM(F10:F18),3)</f>
        <v/>
      </c>
      <c r="G19" s="133" t="n"/>
      <c r="H19" s="135" t="n"/>
      <c r="I19" s="136">
        <f>ROUND(40-F19,3)</f>
        <v/>
      </c>
      <c r="J19" s="133" t="n"/>
      <c r="K19" s="133" t="n"/>
      <c r="L19" s="133" t="n"/>
      <c r="M19" s="133" t="n"/>
      <c r="N19" s="133" t="n"/>
      <c r="O19" s="133" t="n"/>
      <c r="P19" s="133" t="n"/>
    </row>
    <row r="20" ht="30" customHeight="1" s="116">
      <c r="A20" s="127" t="inlineStr">
        <is>
          <t>C4</t>
        </is>
      </c>
      <c r="B20" s="127" t="inlineStr">
        <is>
          <t>HGC-Lib-26092925</t>
        </is>
      </c>
      <c r="C20" s="127" t="n">
        <v>14.3</v>
      </c>
      <c r="D20" s="128" t="n">
        <v>16.51</v>
      </c>
      <c r="E20" s="129">
        <f>D20/D21*300</f>
        <v/>
      </c>
      <c r="F20" s="129">
        <f>ROUND(E20/C20,3)</f>
        <v/>
      </c>
      <c r="G20" s="127" t="inlineStr">
        <is>
          <t>华大c4单细胞cDNA文库</t>
        </is>
      </c>
      <c r="H20" s="128" t="inlineStr">
        <is>
          <t>武汉迈维代谢生物科技股份有限公司</t>
        </is>
      </c>
      <c r="I20" s="130" t="n"/>
      <c r="J20" s="131" t="n"/>
      <c r="K20" s="131" t="inlineStr">
        <is>
          <t>补测_260801_R21016100250033_ML150025069</t>
        </is>
      </c>
      <c r="L20" s="131" t="n"/>
      <c r="M20" s="131" t="n">
        <v>14.3</v>
      </c>
      <c r="N20" s="131" t="n">
        <v>413</v>
      </c>
      <c r="O20" s="131" t="inlineStr">
        <is>
          <t>B</t>
        </is>
      </c>
      <c r="P20" s="131" t="inlineStr">
        <is>
          <t>E</t>
        </is>
      </c>
    </row>
    <row r="21" ht="30" customHeight="1" s="116">
      <c r="A21" s="133" t="n"/>
      <c r="B21" s="131" t="n">
        <v>1</v>
      </c>
      <c r="C21" s="133" t="n"/>
      <c r="D21" s="134" t="n">
        <v>16.51</v>
      </c>
      <c r="E21" s="130">
        <f>ROUND(SUM(E20:E20),3)</f>
        <v/>
      </c>
      <c r="F21" s="130">
        <f>ROUND(SUM(F20:F20),3)</f>
        <v/>
      </c>
      <c r="G21" s="133" t="n"/>
      <c r="H21" s="135" t="n"/>
      <c r="I21" s="136">
        <f>ROUND(40-F21,3)</f>
        <v/>
      </c>
      <c r="J21" s="133" t="n"/>
      <c r="K21" s="133" t="n"/>
      <c r="L21" s="133" t="n"/>
      <c r="M21" s="133" t="n"/>
      <c r="N21" s="133" t="n"/>
      <c r="O21" s="133" t="n"/>
      <c r="P21" s="133" t="n"/>
    </row>
    <row r="22" ht="30" customHeight="1" s="116">
      <c r="A22" s="127" t="inlineStr">
        <is>
          <t>C5</t>
        </is>
      </c>
      <c r="B22" s="127" t="inlineStr">
        <is>
          <t>HGC-Lib-26095249</t>
        </is>
      </c>
      <c r="C22" s="127" t="n">
        <v>68.37</v>
      </c>
      <c r="D22" s="128" t="n">
        <v>52</v>
      </c>
      <c r="E22" s="129">
        <f>D22/D23*450</f>
        <v/>
      </c>
      <c r="F22" s="129">
        <f>ROUND(E22/C22,3)</f>
        <v/>
      </c>
      <c r="G22" s="127" t="inlineStr">
        <is>
          <t>华大C4-cDNA</t>
        </is>
      </c>
      <c r="H22" s="128" t="inlineStr">
        <is>
          <t>武汉瑞兴生物科技有限公司</t>
        </is>
      </c>
      <c r="I22" s="130" t="n"/>
      <c r="J22" s="131" t="n"/>
      <c r="K22" s="131" t="n"/>
      <c r="L22" s="131" t="n"/>
      <c r="M22" s="131" t="n">
        <v>68.37</v>
      </c>
      <c r="N22" s="131" t="n">
        <v>433</v>
      </c>
      <c r="O22" s="131" t="inlineStr">
        <is>
          <t>B</t>
        </is>
      </c>
      <c r="P22" s="131" t="inlineStr">
        <is>
          <t>C</t>
        </is>
      </c>
    </row>
    <row r="23" ht="30" customHeight="1" s="116">
      <c r="A23" s="133" t="n"/>
      <c r="B23" s="131" t="n">
        <v>1</v>
      </c>
      <c r="C23" s="133" t="n"/>
      <c r="D23" s="134" t="n">
        <v>52</v>
      </c>
      <c r="E23" s="130">
        <f>ROUND(SUM(E22:E22),3)</f>
        <v/>
      </c>
      <c r="F23" s="130">
        <f>ROUND(SUM(F22:F22),3)</f>
        <v/>
      </c>
      <c r="G23" s="133" t="n"/>
      <c r="H23" s="135" t="n"/>
      <c r="I23" s="136">
        <f>ROUND(40-F23,3)</f>
        <v/>
      </c>
      <c r="J23" s="133" t="n"/>
      <c r="K23" s="133" t="n"/>
      <c r="L23" s="133" t="n"/>
      <c r="M23" s="133" t="n"/>
      <c r="N23" s="133" t="n"/>
      <c r="O23" s="133" t="n"/>
      <c r="P23" s="133" t="n"/>
    </row>
    <row r="24" ht="30" customHeight="1" s="116">
      <c r="A24" s="127" t="inlineStr">
        <is>
          <t>C6</t>
        </is>
      </c>
      <c r="B24" s="127" t="inlineStr">
        <is>
          <t>HGC-Lib-26097582</t>
        </is>
      </c>
      <c r="C24" s="127" t="n">
        <v>10.98</v>
      </c>
      <c r="D24" s="128" t="n">
        <v>11.96</v>
      </c>
      <c r="E24" s="129">
        <f>D24/D25*300</f>
        <v/>
      </c>
      <c r="F24" s="129">
        <f>ROUND(E24/C24,3)</f>
        <v/>
      </c>
      <c r="G24" s="127" t="inlineStr">
        <is>
          <t>华大-C4-转录组</t>
        </is>
      </c>
      <c r="H24" s="128" t="inlineStr">
        <is>
          <t>广州奥智生物科技有限公司</t>
        </is>
      </c>
      <c r="I24" s="130" t="n"/>
      <c r="J24" s="131" t="n"/>
      <c r="K24" s="131" t="inlineStr">
        <is>
          <t>补测_260802_R21016100250033_ML150025074</t>
        </is>
      </c>
      <c r="L24" s="131" t="n"/>
      <c r="M24" s="131" t="n">
        <v>10.98</v>
      </c>
      <c r="N24" s="131" t="n"/>
      <c r="O24" s="131" t="inlineStr">
        <is>
          <t>B</t>
        </is>
      </c>
      <c r="P24" s="131" t="inlineStr">
        <is>
          <t>E</t>
        </is>
      </c>
    </row>
    <row r="25" ht="30" customHeight="1" s="116">
      <c r="A25" s="133" t="n"/>
      <c r="B25" s="131" t="n">
        <v>1</v>
      </c>
      <c r="C25" s="133" t="n"/>
      <c r="D25" s="134" t="n">
        <v>11.96</v>
      </c>
      <c r="E25" s="130">
        <f>ROUND(SUM(E24:E24),3)</f>
        <v/>
      </c>
      <c r="F25" s="130">
        <f>ROUND(SUM(F24:F24),3)</f>
        <v/>
      </c>
      <c r="G25" s="133" t="n"/>
      <c r="H25" s="135" t="n"/>
      <c r="I25" s="136">
        <f>ROUND(40-F25,3)</f>
        <v/>
      </c>
      <c r="J25" s="133" t="n"/>
      <c r="K25" s="133" t="n"/>
      <c r="L25" s="133" t="n"/>
      <c r="M25" s="133" t="n"/>
      <c r="N25" s="133" t="n"/>
      <c r="O25" s="133" t="n"/>
      <c r="P25" s="133" t="n"/>
    </row>
    <row r="26" ht="30" customHeight="1" s="116">
      <c r="A26" s="127" t="inlineStr">
        <is>
          <t>C7</t>
        </is>
      </c>
      <c r="B26" s="127" t="inlineStr">
        <is>
          <t>HGC-Lib-26095247</t>
        </is>
      </c>
      <c r="C26" s="127" t="n">
        <v>14.18</v>
      </c>
      <c r="D26" s="128" t="n">
        <v>22.1</v>
      </c>
      <c r="E26" s="129">
        <f>D26/D27*300</f>
        <v/>
      </c>
      <c r="F26" s="129">
        <f>ROUND(E26/C26,3)</f>
        <v/>
      </c>
      <c r="G26" s="127" t="inlineStr">
        <is>
          <t>华大C4-cDNA</t>
        </is>
      </c>
      <c r="H26" s="128" t="inlineStr">
        <is>
          <t>武汉瑞兴生物科技有限公司</t>
        </is>
      </c>
      <c r="I26" s="130" t="n"/>
      <c r="J26" s="131" t="n"/>
      <c r="K26" s="131" t="inlineStr">
        <is>
          <t>补测_260803_R21016100250033_ML150028533</t>
        </is>
      </c>
      <c r="L26" s="131" t="n"/>
      <c r="M26" s="131" t="n">
        <v>14.18</v>
      </c>
      <c r="N26" s="131" t="n">
        <v>439</v>
      </c>
      <c r="O26" s="131" t="inlineStr">
        <is>
          <t>B</t>
        </is>
      </c>
      <c r="P26" s="131" t="inlineStr">
        <is>
          <t>E</t>
        </is>
      </c>
    </row>
    <row r="27" ht="30" customHeight="1" s="116">
      <c r="A27" s="133" t="n"/>
      <c r="B27" s="131" t="n">
        <v>1</v>
      </c>
      <c r="C27" s="133" t="n"/>
      <c r="D27" s="134" t="n">
        <v>22.1</v>
      </c>
      <c r="E27" s="130">
        <f>ROUND(SUM(E26:E26),3)</f>
        <v/>
      </c>
      <c r="F27" s="130">
        <f>ROUND(SUM(F26:F26),3)</f>
        <v/>
      </c>
      <c r="G27" s="133" t="n"/>
      <c r="H27" s="135" t="n"/>
      <c r="I27" s="136">
        <f>ROUND(40-F27,3)</f>
        <v/>
      </c>
      <c r="J27" s="133" t="n"/>
      <c r="K27" s="133" t="n"/>
      <c r="L27" s="133" t="n"/>
      <c r="M27" s="133" t="n"/>
      <c r="N27" s="133" t="n"/>
      <c r="O27" s="133" t="n"/>
      <c r="P27" s="133" t="n"/>
    </row>
    <row r="28" ht="30" customHeight="1" s="116">
      <c r="A28" s="127" t="inlineStr">
        <is>
          <t>C8</t>
        </is>
      </c>
      <c r="B28" s="127" t="inlineStr">
        <is>
          <t>HGC-Lib-26099051</t>
        </is>
      </c>
      <c r="C28" s="127" t="n">
        <v>35.4</v>
      </c>
      <c r="D28" s="128" t="n">
        <v>58.5</v>
      </c>
      <c r="E28" s="129">
        <f>D28/D38*450</f>
        <v/>
      </c>
      <c r="F28" s="129">
        <f>ROUND(E28/C28,3)</f>
        <v/>
      </c>
      <c r="G28" s="127" t="inlineStr">
        <is>
          <t>华大c4单细胞cDNA文库</t>
        </is>
      </c>
      <c r="H28" s="128" t="inlineStr">
        <is>
          <t>广州承启生物科技有限公司</t>
        </is>
      </c>
      <c r="I28" s="130" t="n"/>
      <c r="J28" s="131" t="n"/>
      <c r="K28" s="131" t="n"/>
      <c r="L28" s="131" t="n"/>
      <c r="M28" s="131" t="n">
        <v>35.4</v>
      </c>
      <c r="N28" s="131" t="n"/>
      <c r="O28" s="131" t="n"/>
      <c r="P28" s="131" t="n"/>
    </row>
    <row r="29" ht="30" customHeight="1" s="116">
      <c r="A29" s="137" t="n"/>
      <c r="B29" s="127" t="inlineStr">
        <is>
          <t>HGC-Lib-26099052</t>
        </is>
      </c>
      <c r="C29" s="127" t="n">
        <v>47.4</v>
      </c>
      <c r="D29" s="128" t="n">
        <v>58.5</v>
      </c>
      <c r="E29" s="129">
        <f>D29/D38*450</f>
        <v/>
      </c>
      <c r="F29" s="129">
        <f>ROUND(E29/C29,3)</f>
        <v/>
      </c>
      <c r="G29" s="127" t="inlineStr">
        <is>
          <t>华大c4单细胞cDNA文库</t>
        </is>
      </c>
      <c r="H29" s="128" t="inlineStr">
        <is>
          <t>广州承启生物科技有限公司</t>
        </is>
      </c>
      <c r="I29" s="130" t="n"/>
      <c r="J29" s="131" t="n"/>
      <c r="K29" s="131" t="n"/>
      <c r="L29" s="131" t="n"/>
      <c r="M29" s="131" t="n">
        <v>47.4</v>
      </c>
      <c r="N29" s="131" t="n"/>
      <c r="O29" s="131" t="n"/>
      <c r="P29" s="131" t="n"/>
    </row>
    <row r="30" ht="30" customHeight="1" s="116">
      <c r="A30" s="137" t="n"/>
      <c r="B30" s="127" t="inlineStr">
        <is>
          <t>HGC-Lib-26099506</t>
        </is>
      </c>
      <c r="C30" s="127" t="n">
        <v>40.47</v>
      </c>
      <c r="D30" s="128" t="n">
        <v>58.5</v>
      </c>
      <c r="E30" s="129">
        <f>D30/D38*450</f>
        <v/>
      </c>
      <c r="F30" s="129">
        <f>ROUND(E30/C30,3)</f>
        <v/>
      </c>
      <c r="G30" s="127" t="inlineStr">
        <is>
          <t>华大c4单细胞cDNA文库</t>
        </is>
      </c>
      <c r="H30" s="128" t="inlineStr">
        <is>
          <t>广州承启生物科技有限公司</t>
        </is>
      </c>
      <c r="I30" s="130" t="n"/>
      <c r="J30" s="131" t="n"/>
      <c r="K30" s="131" t="n"/>
      <c r="L30" s="131" t="n"/>
      <c r="M30" s="131" t="n">
        <v>40.47</v>
      </c>
      <c r="N30" s="131" t="n"/>
      <c r="O30" s="131" t="n"/>
      <c r="P30" s="131" t="n"/>
    </row>
    <row r="31" ht="30" customHeight="1" s="116">
      <c r="A31" s="137" t="n"/>
      <c r="B31" s="127" t="inlineStr">
        <is>
          <t>HGC-Lib-26099510</t>
        </is>
      </c>
      <c r="C31" s="127" t="n">
        <v>48.46</v>
      </c>
      <c r="D31" s="128" t="n">
        <v>58.5</v>
      </c>
      <c r="E31" s="129">
        <f>D31/D38*450</f>
        <v/>
      </c>
      <c r="F31" s="129">
        <f>ROUND(E31/C31,3)</f>
        <v/>
      </c>
      <c r="G31" s="127" t="inlineStr">
        <is>
          <t>华大c4单细胞cDNA文库</t>
        </is>
      </c>
      <c r="H31" s="128" t="inlineStr">
        <is>
          <t>广州承启生物科技有限公司</t>
        </is>
      </c>
      <c r="I31" s="130" t="n"/>
      <c r="J31" s="131" t="n"/>
      <c r="K31" s="131" t="n"/>
      <c r="L31" s="131" t="n"/>
      <c r="M31" s="131" t="n">
        <v>48.46</v>
      </c>
      <c r="N31" s="131" t="n"/>
      <c r="O31" s="131" t="n"/>
      <c r="P31" s="131" t="n"/>
    </row>
    <row r="32" ht="30" customHeight="1" s="116">
      <c r="A32" s="137" t="n"/>
      <c r="B32" s="127" t="inlineStr">
        <is>
          <t>HGC-Lib-26099511</t>
        </is>
      </c>
      <c r="C32" s="127" t="n">
        <v>55.76</v>
      </c>
      <c r="D32" s="128" t="n">
        <v>58.5</v>
      </c>
      <c r="E32" s="129">
        <f>D32/D38*450</f>
        <v/>
      </c>
      <c r="F32" s="129">
        <f>ROUND(E32/C32,3)</f>
        <v/>
      </c>
      <c r="G32" s="127" t="inlineStr">
        <is>
          <t>华大c4单细胞cDNA文库</t>
        </is>
      </c>
      <c r="H32" s="128" t="inlineStr">
        <is>
          <t>广州承启生物科技有限公司</t>
        </is>
      </c>
      <c r="I32" s="130" t="n"/>
      <c r="J32" s="131" t="n"/>
      <c r="K32" s="131" t="n"/>
      <c r="L32" s="131" t="n"/>
      <c r="M32" s="131" t="n">
        <v>55.76</v>
      </c>
      <c r="N32" s="131" t="n"/>
      <c r="O32" s="131" t="n"/>
      <c r="P32" s="131" t="n"/>
    </row>
    <row r="33" ht="30" customHeight="1" s="116">
      <c r="A33" s="137" t="n"/>
      <c r="B33" s="127" t="inlineStr">
        <is>
          <t>HGC-Lib-26099513</t>
        </is>
      </c>
      <c r="C33" s="127" t="n">
        <v>46.42</v>
      </c>
      <c r="D33" s="128" t="n">
        <v>58.5</v>
      </c>
      <c r="E33" s="129">
        <f>D33/D38*450</f>
        <v/>
      </c>
      <c r="F33" s="129">
        <f>ROUND(E33/C33,3)</f>
        <v/>
      </c>
      <c r="G33" s="127" t="inlineStr">
        <is>
          <t>华大c4单细胞cDNA文库</t>
        </is>
      </c>
      <c r="H33" s="128" t="inlineStr">
        <is>
          <t>广州承启生物科技有限公司</t>
        </is>
      </c>
      <c r="I33" s="130" t="n"/>
      <c r="J33" s="131" t="n"/>
      <c r="K33" s="131" t="n"/>
      <c r="L33" s="131" t="n"/>
      <c r="M33" s="131" t="n">
        <v>46.42</v>
      </c>
      <c r="N33" s="131" t="n"/>
      <c r="O33" s="131" t="n"/>
      <c r="P33" s="131" t="n"/>
    </row>
    <row r="34" ht="30" customHeight="1" s="116">
      <c r="A34" s="137" t="n"/>
      <c r="B34" s="127" t="inlineStr">
        <is>
          <t>HGC-Lib-26099514</t>
        </is>
      </c>
      <c r="C34" s="127" t="n">
        <v>74.16</v>
      </c>
      <c r="D34" s="128" t="n">
        <v>58.5</v>
      </c>
      <c r="E34" s="129">
        <f>D34/D38*450</f>
        <v/>
      </c>
      <c r="F34" s="129">
        <f>ROUND(E34/C34,3)</f>
        <v/>
      </c>
      <c r="G34" s="127" t="inlineStr">
        <is>
          <t>华大c4单细胞cDNA文库</t>
        </is>
      </c>
      <c r="H34" s="128" t="inlineStr">
        <is>
          <t>广州承启生物科技有限公司</t>
        </is>
      </c>
      <c r="I34" s="130" t="n"/>
      <c r="J34" s="131" t="n"/>
      <c r="K34" s="131" t="n"/>
      <c r="L34" s="131" t="n"/>
      <c r="M34" s="131" t="n">
        <v>74.16</v>
      </c>
      <c r="N34" s="131" t="n"/>
      <c r="O34" s="131" t="n"/>
      <c r="P34" s="131" t="n"/>
    </row>
    <row r="35" ht="30" customHeight="1" s="116">
      <c r="A35" s="137" t="n"/>
      <c r="B35" s="127" t="inlineStr">
        <is>
          <t>HGC-Lib-26099515</t>
        </is>
      </c>
      <c r="C35" s="127" t="n">
        <v>46.62</v>
      </c>
      <c r="D35" s="128" t="n">
        <v>58.5</v>
      </c>
      <c r="E35" s="129">
        <f>D35/D38*450</f>
        <v/>
      </c>
      <c r="F35" s="129">
        <f>ROUND(E35/C35,3)</f>
        <v/>
      </c>
      <c r="G35" s="127" t="inlineStr">
        <is>
          <t>华大c4单细胞cDNA文库</t>
        </is>
      </c>
      <c r="H35" s="128" t="inlineStr">
        <is>
          <t>广州承启生物科技有限公司</t>
        </is>
      </c>
      <c r="I35" s="130" t="n"/>
      <c r="J35" s="131" t="n"/>
      <c r="K35" s="131" t="n"/>
      <c r="L35" s="131" t="n"/>
      <c r="M35" s="131" t="n">
        <v>46.62</v>
      </c>
      <c r="N35" s="131" t="n"/>
      <c r="O35" s="131" t="n"/>
      <c r="P35" s="131" t="n"/>
    </row>
    <row r="36" ht="30" customHeight="1" s="116">
      <c r="A36" s="137" t="n"/>
      <c r="B36" s="127" t="inlineStr">
        <is>
          <t>HGC-Lib-26099516</t>
        </is>
      </c>
      <c r="C36" s="127" t="n">
        <v>53.19</v>
      </c>
      <c r="D36" s="128" t="n">
        <v>58.5</v>
      </c>
      <c r="E36" s="129">
        <f>D36/D38*450</f>
        <v/>
      </c>
      <c r="F36" s="129">
        <f>ROUND(E36/C36,3)</f>
        <v/>
      </c>
      <c r="G36" s="127" t="inlineStr">
        <is>
          <t>华大c4单细胞cDNA文库</t>
        </is>
      </c>
      <c r="H36" s="128" t="inlineStr">
        <is>
          <t>广州承启生物科技有限公司</t>
        </is>
      </c>
      <c r="I36" s="130" t="n"/>
      <c r="J36" s="131" t="n"/>
      <c r="K36" s="131" t="n"/>
      <c r="L36" s="131" t="n"/>
      <c r="M36" s="131" t="n">
        <v>53.19</v>
      </c>
      <c r="N36" s="131" t="n"/>
      <c r="O36" s="131" t="n"/>
      <c r="P36" s="131" t="n"/>
    </row>
    <row r="37" ht="30" customHeight="1" s="116">
      <c r="A37" s="132" t="n"/>
      <c r="B37" s="127" t="inlineStr">
        <is>
          <t>HGC-Lib-26099517</t>
        </is>
      </c>
      <c r="C37" s="127" t="n">
        <v>28.83</v>
      </c>
      <c r="D37" s="128" t="n">
        <v>58.5</v>
      </c>
      <c r="E37" s="129">
        <f>D37/D38*450</f>
        <v/>
      </c>
      <c r="F37" s="129">
        <f>ROUND(E37/C37,3)</f>
        <v/>
      </c>
      <c r="G37" s="127" t="inlineStr">
        <is>
          <t>华大c4单细胞cDNA文库</t>
        </is>
      </c>
      <c r="H37" s="128" t="inlineStr">
        <is>
          <t>广州承启生物科技有限公司</t>
        </is>
      </c>
      <c r="I37" s="130" t="n"/>
      <c r="J37" s="131" t="n"/>
      <c r="K37" s="131" t="n"/>
      <c r="L37" s="131" t="n"/>
      <c r="M37" s="131" t="n">
        <v>28.83</v>
      </c>
      <c r="N37" s="131" t="n"/>
      <c r="O37" s="131" t="n"/>
      <c r="P37" s="131" t="n"/>
    </row>
    <row r="38" ht="30" customHeight="1" s="116">
      <c r="A38" s="133" t="n"/>
      <c r="B38" s="131" t="n">
        <v>10</v>
      </c>
      <c r="C38" s="133" t="n"/>
      <c r="D38" s="134" t="n">
        <v>585</v>
      </c>
      <c r="E38" s="130">
        <f>ROUND(SUM(E28:E37),3)</f>
        <v/>
      </c>
      <c r="F38" s="130">
        <f>ROUND(SUM(F28:F37),3)</f>
        <v/>
      </c>
      <c r="G38" s="133" t="n"/>
      <c r="H38" s="135" t="n"/>
      <c r="I38" s="136">
        <f>ROUND(40-F38,3)</f>
        <v/>
      </c>
      <c r="J38" s="133" t="n"/>
      <c r="K38" s="133" t="n"/>
      <c r="L38" s="133" t="n"/>
      <c r="M38" s="133" t="n"/>
      <c r="N38" s="133" t="n"/>
      <c r="O38" s="133" t="n"/>
      <c r="P38" s="133" t="n"/>
    </row>
    <row r="39" ht="30" customHeight="1" s="116">
      <c r="A39" s="127" t="inlineStr">
        <is>
          <t>C9</t>
        </is>
      </c>
      <c r="B39" s="127" t="inlineStr">
        <is>
          <t>HGC-Lib-26099518</t>
        </is>
      </c>
      <c r="C39" s="127" t="n">
        <v>49.28</v>
      </c>
      <c r="D39" s="128" t="n">
        <v>58.5</v>
      </c>
      <c r="E39" s="129">
        <f>D39/D49*450</f>
        <v/>
      </c>
      <c r="F39" s="129">
        <f>ROUND(E39/C39,3)</f>
        <v/>
      </c>
      <c r="G39" s="127" t="inlineStr">
        <is>
          <t>华大c4单细胞cDNA文库</t>
        </is>
      </c>
      <c r="H39" s="128" t="inlineStr">
        <is>
          <t>广州承启生物科技有限公司</t>
        </is>
      </c>
      <c r="I39" s="130" t="n"/>
      <c r="J39" s="131" t="n"/>
      <c r="K39" s="131" t="n"/>
      <c r="L39" s="131" t="n"/>
      <c r="M39" s="131" t="n">
        <v>49.28</v>
      </c>
      <c r="N39" s="131" t="n"/>
      <c r="O39" s="131" t="n"/>
      <c r="P39" s="131" t="n"/>
    </row>
    <row r="40" ht="30" customHeight="1" s="116">
      <c r="A40" s="137" t="n"/>
      <c r="B40" s="127" t="inlineStr">
        <is>
          <t>HGC-Lib-26099519</t>
        </is>
      </c>
      <c r="C40" s="127" t="n">
        <v>62.89</v>
      </c>
      <c r="D40" s="128" t="n">
        <v>58.5</v>
      </c>
      <c r="E40" s="129">
        <f>D40/D49*450</f>
        <v/>
      </c>
      <c r="F40" s="129">
        <f>ROUND(E40/C40,3)</f>
        <v/>
      </c>
      <c r="G40" s="127" t="inlineStr">
        <is>
          <t>华大c4单细胞cDNA文库</t>
        </is>
      </c>
      <c r="H40" s="128" t="inlineStr">
        <is>
          <t>广州承启生物科技有限公司</t>
        </is>
      </c>
      <c r="I40" s="130" t="n"/>
      <c r="J40" s="131" t="n"/>
      <c r="K40" s="131" t="n"/>
      <c r="L40" s="131" t="n"/>
      <c r="M40" s="131" t="n">
        <v>62.89</v>
      </c>
      <c r="N40" s="131" t="n"/>
      <c r="O40" s="131" t="n"/>
      <c r="P40" s="131" t="n"/>
    </row>
    <row r="41" ht="30" customHeight="1" s="116">
      <c r="A41" s="137" t="n"/>
      <c r="B41" s="127" t="inlineStr">
        <is>
          <t>HGC-Lib-26099520</t>
        </is>
      </c>
      <c r="C41" s="127" t="n">
        <v>71.31</v>
      </c>
      <c r="D41" s="128" t="n">
        <v>58.5</v>
      </c>
      <c r="E41" s="129">
        <f>D41/D49*450</f>
        <v/>
      </c>
      <c r="F41" s="129">
        <f>ROUND(E41/C41,3)</f>
        <v/>
      </c>
      <c r="G41" s="127" t="inlineStr">
        <is>
          <t>华大c4单细胞cDNA文库</t>
        </is>
      </c>
      <c r="H41" s="128" t="inlineStr">
        <is>
          <t>广州承启生物科技有限公司</t>
        </is>
      </c>
      <c r="I41" s="130" t="n"/>
      <c r="J41" s="131" t="n"/>
      <c r="K41" s="131" t="n"/>
      <c r="L41" s="131" t="n"/>
      <c r="M41" s="131" t="n">
        <v>71.31</v>
      </c>
      <c r="N41" s="131" t="n"/>
      <c r="O41" s="131" t="n"/>
      <c r="P41" s="131" t="n"/>
    </row>
    <row r="42" ht="30" customHeight="1" s="116">
      <c r="A42" s="137" t="n"/>
      <c r="B42" s="127" t="inlineStr">
        <is>
          <t>HGC-Lib-26099521</t>
        </is>
      </c>
      <c r="C42" s="127" t="n">
        <v>63.86</v>
      </c>
      <c r="D42" s="128" t="n">
        <v>58.5</v>
      </c>
      <c r="E42" s="129">
        <f>D42/D49*450</f>
        <v/>
      </c>
      <c r="F42" s="129">
        <f>ROUND(E42/C42,3)</f>
        <v/>
      </c>
      <c r="G42" s="127" t="inlineStr">
        <is>
          <t>华大c4单细胞cDNA文库</t>
        </is>
      </c>
      <c r="H42" s="128" t="inlineStr">
        <is>
          <t>广州承启生物科技有限公司</t>
        </is>
      </c>
      <c r="I42" s="130" t="n"/>
      <c r="J42" s="131" t="n"/>
      <c r="K42" s="131" t="n"/>
      <c r="L42" s="131" t="n"/>
      <c r="M42" s="131" t="n">
        <v>63.86</v>
      </c>
      <c r="N42" s="131" t="n"/>
      <c r="O42" s="131" t="n"/>
      <c r="P42" s="131" t="n"/>
    </row>
    <row r="43" ht="30" customHeight="1" s="116">
      <c r="A43" s="137" t="n"/>
      <c r="B43" s="127" t="inlineStr">
        <is>
          <t>HGC-Lib-26099522</t>
        </is>
      </c>
      <c r="C43" s="127" t="n">
        <v>63.01</v>
      </c>
      <c r="D43" s="128" t="n">
        <v>58.5</v>
      </c>
      <c r="E43" s="129">
        <f>D43/D49*450</f>
        <v/>
      </c>
      <c r="F43" s="129">
        <f>ROUND(E43/C43,3)</f>
        <v/>
      </c>
      <c r="G43" s="127" t="inlineStr">
        <is>
          <t>华大c4单细胞cDNA文库</t>
        </is>
      </c>
      <c r="H43" s="128" t="inlineStr">
        <is>
          <t>广州承启生物科技有限公司</t>
        </is>
      </c>
      <c r="I43" s="130" t="n"/>
      <c r="J43" s="131" t="n"/>
      <c r="K43" s="131" t="n"/>
      <c r="L43" s="131" t="n"/>
      <c r="M43" s="131" t="n">
        <v>63.01</v>
      </c>
      <c r="N43" s="131" t="n"/>
      <c r="O43" s="131" t="n"/>
      <c r="P43" s="131" t="n"/>
    </row>
    <row r="44" ht="30" customHeight="1" s="116">
      <c r="A44" s="137" t="n"/>
      <c r="B44" s="127" t="inlineStr">
        <is>
          <t>HGC-Lib-26099523</t>
        </is>
      </c>
      <c r="C44" s="127" t="n">
        <v>55</v>
      </c>
      <c r="D44" s="128" t="n">
        <v>58.5</v>
      </c>
      <c r="E44" s="129">
        <f>D44/D49*450</f>
        <v/>
      </c>
      <c r="F44" s="129">
        <f>ROUND(E44/C44,3)</f>
        <v/>
      </c>
      <c r="G44" s="127" t="inlineStr">
        <is>
          <t>华大c4单细胞cDNA文库</t>
        </is>
      </c>
      <c r="H44" s="128" t="inlineStr">
        <is>
          <t>广州承启生物科技有限公司</t>
        </is>
      </c>
      <c r="I44" s="130" t="n"/>
      <c r="J44" s="131" t="n"/>
      <c r="K44" s="131" t="n"/>
      <c r="L44" s="131" t="n"/>
      <c r="M44" s="131" t="n">
        <v>55</v>
      </c>
      <c r="N44" s="131" t="n"/>
      <c r="O44" s="131" t="n"/>
      <c r="P44" s="131" t="n"/>
    </row>
    <row r="45" ht="30" customHeight="1" s="116">
      <c r="A45" s="137" t="n"/>
      <c r="B45" s="127" t="inlineStr">
        <is>
          <t>HGC-Lib-26099526</t>
        </is>
      </c>
      <c r="C45" s="127" t="n">
        <v>42.93</v>
      </c>
      <c r="D45" s="128" t="n">
        <v>58.5</v>
      </c>
      <c r="E45" s="129">
        <f>D45/D49*450</f>
        <v/>
      </c>
      <c r="F45" s="129">
        <f>ROUND(E45/C45,3)</f>
        <v/>
      </c>
      <c r="G45" s="127" t="inlineStr">
        <is>
          <t>华大c4单细胞cDNA文库</t>
        </is>
      </c>
      <c r="H45" s="128" t="inlineStr">
        <is>
          <t>广州承启生物科技有限公司</t>
        </is>
      </c>
      <c r="I45" s="130" t="n"/>
      <c r="J45" s="131" t="n"/>
      <c r="K45" s="131" t="n"/>
      <c r="L45" s="131" t="n"/>
      <c r="M45" s="131" t="n">
        <v>42.93</v>
      </c>
      <c r="N45" s="131" t="n"/>
      <c r="O45" s="131" t="n"/>
      <c r="P45" s="131" t="n"/>
    </row>
    <row r="46" ht="30" customHeight="1" s="116">
      <c r="A46" s="137" t="n"/>
      <c r="B46" s="127" t="inlineStr">
        <is>
          <t>HGC-Lib-26099527</t>
        </is>
      </c>
      <c r="C46" s="127" t="n">
        <v>62.41</v>
      </c>
      <c r="D46" s="128" t="n">
        <v>58.5</v>
      </c>
      <c r="E46" s="129">
        <f>D46/D49*450</f>
        <v/>
      </c>
      <c r="F46" s="129">
        <f>ROUND(E46/C46,3)</f>
        <v/>
      </c>
      <c r="G46" s="127" t="inlineStr">
        <is>
          <t>华大c4单细胞cDNA文库</t>
        </is>
      </c>
      <c r="H46" s="128" t="inlineStr">
        <is>
          <t>广州承启生物科技有限公司</t>
        </is>
      </c>
      <c r="I46" s="130" t="n"/>
      <c r="J46" s="131" t="n"/>
      <c r="K46" s="131" t="n"/>
      <c r="L46" s="131" t="n"/>
      <c r="M46" s="131" t="n">
        <v>62.41</v>
      </c>
      <c r="N46" s="131" t="n"/>
      <c r="O46" s="131" t="n"/>
      <c r="P46" s="131" t="n"/>
    </row>
    <row r="47" ht="30" customHeight="1" s="116">
      <c r="A47" s="137" t="n"/>
      <c r="B47" s="127" t="inlineStr">
        <is>
          <t>HGC-Lib-26099528</t>
        </is>
      </c>
      <c r="C47" s="127" t="n">
        <v>51</v>
      </c>
      <c r="D47" s="128" t="n">
        <v>58.5</v>
      </c>
      <c r="E47" s="129">
        <f>D47/D49*450</f>
        <v/>
      </c>
      <c r="F47" s="129">
        <f>ROUND(E47/C47,3)</f>
        <v/>
      </c>
      <c r="G47" s="127" t="inlineStr">
        <is>
          <t>华大c4单细胞cDNA文库</t>
        </is>
      </c>
      <c r="H47" s="128" t="inlineStr">
        <is>
          <t>广州承启生物科技有限公司</t>
        </is>
      </c>
      <c r="I47" s="130" t="n"/>
      <c r="J47" s="131" t="n"/>
      <c r="K47" s="131" t="n"/>
      <c r="L47" s="131" t="n"/>
      <c r="M47" s="131" t="n">
        <v>51</v>
      </c>
      <c r="N47" s="131" t="n"/>
      <c r="O47" s="131" t="n"/>
      <c r="P47" s="131" t="n"/>
    </row>
    <row r="48" ht="30" customHeight="1" s="116">
      <c r="A48" s="132" t="n"/>
      <c r="B48" s="127" t="inlineStr">
        <is>
          <t>HGC-Lib-26099529</t>
        </is>
      </c>
      <c r="C48" s="127" t="n">
        <v>42.79</v>
      </c>
      <c r="D48" s="128" t="n">
        <v>58.5</v>
      </c>
      <c r="E48" s="129">
        <f>D48/D49*450</f>
        <v/>
      </c>
      <c r="F48" s="129">
        <f>ROUND(E48/C48,3)</f>
        <v/>
      </c>
      <c r="G48" s="127" t="inlineStr">
        <is>
          <t>华大c4单细胞cDNA文库</t>
        </is>
      </c>
      <c r="H48" s="128" t="inlineStr">
        <is>
          <t>广州承启生物科技有限公司</t>
        </is>
      </c>
      <c r="I48" s="130" t="n"/>
      <c r="J48" s="131" t="n"/>
      <c r="K48" s="131" t="n"/>
      <c r="L48" s="131" t="n"/>
      <c r="M48" s="131" t="n">
        <v>42.79</v>
      </c>
      <c r="N48" s="131" t="n"/>
      <c r="O48" s="131" t="n"/>
      <c r="P48" s="131" t="n"/>
    </row>
    <row r="49" ht="30" customHeight="1" s="116">
      <c r="A49" s="133" t="n"/>
      <c r="B49" s="131" t="n">
        <v>10</v>
      </c>
      <c r="C49" s="133" t="n"/>
      <c r="D49" s="134" t="n">
        <v>585</v>
      </c>
      <c r="E49" s="130">
        <f>ROUND(SUM(E39:E48),3)</f>
        <v/>
      </c>
      <c r="F49" s="130">
        <f>ROUND(SUM(F39:F48),3)</f>
        <v/>
      </c>
      <c r="G49" s="133" t="n"/>
      <c r="H49" s="135" t="n"/>
      <c r="I49" s="136">
        <f>ROUND(40-F49,3)</f>
        <v/>
      </c>
      <c r="J49" s="133" t="n"/>
      <c r="K49" s="133" t="n"/>
      <c r="L49" s="133" t="n"/>
      <c r="M49" s="133" t="n"/>
      <c r="N49" s="133" t="n"/>
      <c r="O49" s="133" t="n"/>
      <c r="P49" s="133" t="n"/>
    </row>
    <row r="50" ht="30" customHeight="1" s="116">
      <c r="A50" s="127" t="inlineStr">
        <is>
          <t>C10</t>
        </is>
      </c>
      <c r="B50" s="127" t="inlineStr">
        <is>
          <t>HGC-Lib-26095657</t>
        </is>
      </c>
      <c r="C50" s="127" t="n">
        <v>13.45</v>
      </c>
      <c r="D50" s="128" t="n">
        <v>0.13</v>
      </c>
      <c r="E50" s="129">
        <f>D50/D52*300</f>
        <v/>
      </c>
      <c r="F50" s="129">
        <f>ROUND(E50/C50,3)</f>
        <v/>
      </c>
      <c r="G50" s="127" t="inlineStr">
        <is>
          <t>华大-C4-oligo</t>
        </is>
      </c>
      <c r="H50" s="128" t="inlineStr">
        <is>
          <t>广州奥智生物科技有限公司</t>
        </is>
      </c>
      <c r="I50" s="130" t="n"/>
      <c r="J50" s="131" t="n"/>
      <c r="K50" s="131" t="inlineStr">
        <is>
          <t>补测_260731_R21016100250033_ML150025091</t>
        </is>
      </c>
      <c r="L50" s="131" t="n"/>
      <c r="M50" s="131" t="n">
        <v>13.45</v>
      </c>
      <c r="N50" s="131" t="n"/>
      <c r="O50" s="131" t="inlineStr">
        <is>
          <t>B</t>
        </is>
      </c>
      <c r="P50" s="131" t="inlineStr">
        <is>
          <t>E</t>
        </is>
      </c>
    </row>
    <row r="51" ht="30" customHeight="1" s="116">
      <c r="A51" s="132" t="n"/>
      <c r="B51" s="127" t="inlineStr">
        <is>
          <t>HGC-Lib-26096118</t>
        </is>
      </c>
      <c r="C51" s="127" t="n">
        <v>33.76</v>
      </c>
      <c r="D51" s="128" t="n">
        <v>1.3</v>
      </c>
      <c r="E51" s="129">
        <f>D51/D52*300</f>
        <v/>
      </c>
      <c r="F51" s="129">
        <f>ROUND(E51/C51,3)</f>
        <v/>
      </c>
      <c r="G51" s="127" t="inlineStr">
        <is>
          <t>华大C4-oligo</t>
        </is>
      </c>
      <c r="H51" s="128" t="inlineStr">
        <is>
          <t>武汉百易汇能生物科技有限公司</t>
        </is>
      </c>
      <c r="I51" s="130" t="n"/>
      <c r="J51" s="131" t="n"/>
      <c r="K51" s="131" t="inlineStr">
        <is>
          <t>补测_260801_R21016100250033_ML150025069</t>
        </is>
      </c>
      <c r="L51" s="131" t="n"/>
      <c r="M51" s="131" t="n">
        <v>33.76</v>
      </c>
      <c r="N51" s="131" t="n"/>
      <c r="O51" s="131" t="inlineStr">
        <is>
          <t>A</t>
        </is>
      </c>
      <c r="P51" s="131" t="n"/>
    </row>
    <row r="52" ht="30" customHeight="1" s="116">
      <c r="A52" s="133" t="n"/>
      <c r="B52" s="131" t="n">
        <v>2</v>
      </c>
      <c r="C52" s="133" t="n"/>
      <c r="D52" s="134" t="n">
        <v>1.43</v>
      </c>
      <c r="E52" s="130">
        <f>ROUND(SUM(E50:E51),3)</f>
        <v/>
      </c>
      <c r="F52" s="130">
        <f>ROUND(SUM(F50:F51),3)</f>
        <v/>
      </c>
      <c r="G52" s="133" t="n"/>
      <c r="H52" s="135" t="n"/>
      <c r="I52" s="136">
        <f>ROUND(40-F52,3)</f>
        <v/>
      </c>
      <c r="J52" s="133" t="n"/>
      <c r="K52" s="133" t="n"/>
      <c r="L52" s="133" t="n"/>
      <c r="M52" s="133" t="n"/>
      <c r="N52" s="133" t="n"/>
      <c r="O52" s="133" t="n"/>
      <c r="P52" s="133" t="n"/>
    </row>
    <row r="53" ht="30" customHeight="1" s="116">
      <c r="A53" s="127" t="inlineStr">
        <is>
          <t>C11</t>
        </is>
      </c>
      <c r="B53" s="127" t="inlineStr">
        <is>
          <t>HGC-Lib-26095583</t>
        </is>
      </c>
      <c r="C53" s="127" t="n">
        <v>12.74</v>
      </c>
      <c r="D53" s="128" t="n">
        <v>1.17</v>
      </c>
      <c r="E53" s="129">
        <f>D53/D65*450</f>
        <v/>
      </c>
      <c r="F53" s="129">
        <f>ROUND(E53/C53,3)</f>
        <v/>
      </c>
      <c r="G53" s="127" t="inlineStr">
        <is>
          <t>华大-C4-oligo</t>
        </is>
      </c>
      <c r="H53" s="128" t="inlineStr">
        <is>
          <t>广州奥智生物科技有限公司</t>
        </is>
      </c>
      <c r="I53" s="130" t="n"/>
      <c r="J53" s="131" t="n"/>
      <c r="K53" s="131" t="n"/>
      <c r="L53" s="131" t="n"/>
      <c r="M53" s="131" t="n">
        <v>12.74</v>
      </c>
      <c r="N53" s="131" t="n"/>
      <c r="O53" s="131" t="inlineStr">
        <is>
          <t>B</t>
        </is>
      </c>
      <c r="P53" s="131" t="inlineStr">
        <is>
          <t>E</t>
        </is>
      </c>
    </row>
    <row r="54" ht="30" customHeight="1" s="116">
      <c r="A54" s="137" t="n"/>
      <c r="B54" s="127" t="inlineStr">
        <is>
          <t>HGC-Lib-26095658</t>
        </is>
      </c>
      <c r="C54" s="127" t="n">
        <v>11.43</v>
      </c>
      <c r="D54" s="128" t="n">
        <v>1.17</v>
      </c>
      <c r="E54" s="129">
        <f>D54/D65*450</f>
        <v/>
      </c>
      <c r="F54" s="129">
        <f>ROUND(E54/C54,3)</f>
        <v/>
      </c>
      <c r="G54" s="127" t="inlineStr">
        <is>
          <t>华大-C4-oligo</t>
        </is>
      </c>
      <c r="H54" s="128" t="inlineStr">
        <is>
          <t>广州奥智生物科技有限公司</t>
        </is>
      </c>
      <c r="I54" s="130" t="n"/>
      <c r="J54" s="131" t="n"/>
      <c r="K54" s="131" t="n"/>
      <c r="L54" s="131" t="n"/>
      <c r="M54" s="131" t="n">
        <v>11.43</v>
      </c>
      <c r="N54" s="131" t="n"/>
      <c r="O54" s="131" t="inlineStr">
        <is>
          <t>B</t>
        </is>
      </c>
      <c r="P54" s="131" t="inlineStr">
        <is>
          <t>E</t>
        </is>
      </c>
    </row>
    <row r="55" ht="30" customHeight="1" s="116">
      <c r="A55" s="137" t="n"/>
      <c r="B55" s="127" t="inlineStr">
        <is>
          <t>HGC-Lib-26095665</t>
        </is>
      </c>
      <c r="C55" s="127" t="n">
        <v>12.81</v>
      </c>
      <c r="D55" s="128" t="n">
        <v>1.17</v>
      </c>
      <c r="E55" s="129">
        <f>D55/D65*450</f>
        <v/>
      </c>
      <c r="F55" s="129">
        <f>ROUND(E55/C55,3)</f>
        <v/>
      </c>
      <c r="G55" s="127" t="inlineStr">
        <is>
          <t>华大-C4-oligo</t>
        </is>
      </c>
      <c r="H55" s="128" t="inlineStr">
        <is>
          <t>广州奥智生物科技有限公司</t>
        </is>
      </c>
      <c r="I55" s="130" t="n"/>
      <c r="J55" s="131" t="n"/>
      <c r="K55" s="131" t="n"/>
      <c r="L55" s="131" t="n"/>
      <c r="M55" s="131" t="n">
        <v>12.81</v>
      </c>
      <c r="N55" s="131" t="n"/>
      <c r="O55" s="131" t="inlineStr">
        <is>
          <t>B</t>
        </is>
      </c>
      <c r="P55" s="131" t="inlineStr">
        <is>
          <t>E</t>
        </is>
      </c>
    </row>
    <row r="56" ht="30" customHeight="1" s="116">
      <c r="A56" s="137" t="n"/>
      <c r="B56" s="127" t="inlineStr">
        <is>
          <t>HGC-Lib-26095674</t>
        </is>
      </c>
      <c r="C56" s="127" t="n">
        <v>12.46</v>
      </c>
      <c r="D56" s="128" t="n">
        <v>1.17</v>
      </c>
      <c r="E56" s="129">
        <f>D56/D65*450</f>
        <v/>
      </c>
      <c r="F56" s="129">
        <f>ROUND(E56/C56,3)</f>
        <v/>
      </c>
      <c r="G56" s="127" t="inlineStr">
        <is>
          <t>华大-C4-oligo</t>
        </is>
      </c>
      <c r="H56" s="128" t="inlineStr">
        <is>
          <t>广州奥智生物科技有限公司</t>
        </is>
      </c>
      <c r="I56" s="130" t="n"/>
      <c r="J56" s="131" t="n"/>
      <c r="K56" s="131" t="n"/>
      <c r="L56" s="131" t="n"/>
      <c r="M56" s="131" t="n">
        <v>12.46</v>
      </c>
      <c r="N56" s="131" t="n"/>
      <c r="O56" s="131" t="inlineStr">
        <is>
          <t>B</t>
        </is>
      </c>
      <c r="P56" s="131" t="inlineStr">
        <is>
          <t>E</t>
        </is>
      </c>
    </row>
    <row r="57" ht="30" customHeight="1" s="116">
      <c r="A57" s="137" t="n"/>
      <c r="B57" s="127" t="inlineStr">
        <is>
          <t>HGC-Lib-26099391</t>
        </is>
      </c>
      <c r="C57" s="127" t="n">
        <v>66.55</v>
      </c>
      <c r="D57" s="128" t="n">
        <v>6.5</v>
      </c>
      <c r="E57" s="129">
        <f>D57/D65*450</f>
        <v/>
      </c>
      <c r="F57" s="129">
        <f>ROUND(E57/C57,3)</f>
        <v/>
      </c>
      <c r="G57" s="127" t="inlineStr">
        <is>
          <t>华大c4单细胞oligo文库</t>
        </is>
      </c>
      <c r="H57" s="128" t="inlineStr">
        <is>
          <t>广州承启生物科技有限公司</t>
        </is>
      </c>
      <c r="I57" s="130" t="n"/>
      <c r="J57" s="131" t="n"/>
      <c r="K57" s="131" t="n"/>
      <c r="L57" s="131" t="n"/>
      <c r="M57" s="131" t="n">
        <v>66.55</v>
      </c>
      <c r="N57" s="131" t="n"/>
      <c r="O57" s="131" t="n"/>
      <c r="P57" s="131" t="n"/>
    </row>
    <row r="58" ht="30" customHeight="1" s="116">
      <c r="A58" s="137" t="n"/>
      <c r="B58" s="127" t="inlineStr">
        <is>
          <t>HGC-Lib-26099393</t>
        </is>
      </c>
      <c r="C58" s="127" t="n">
        <v>61.56</v>
      </c>
      <c r="D58" s="128" t="n">
        <v>6.5</v>
      </c>
      <c r="E58" s="129">
        <f>D58/D65*450</f>
        <v/>
      </c>
      <c r="F58" s="129">
        <f>ROUND(E58/C58,3)</f>
        <v/>
      </c>
      <c r="G58" s="127" t="inlineStr">
        <is>
          <t>华大c4单细胞oligo文库</t>
        </is>
      </c>
      <c r="H58" s="128" t="inlineStr">
        <is>
          <t>广州承启生物科技有限公司</t>
        </is>
      </c>
      <c r="I58" s="130" t="n"/>
      <c r="J58" s="131" t="n"/>
      <c r="K58" s="131" t="n"/>
      <c r="L58" s="131" t="n"/>
      <c r="M58" s="131" t="n">
        <v>61.56</v>
      </c>
      <c r="N58" s="131" t="n"/>
      <c r="O58" s="131" t="n"/>
      <c r="P58" s="131" t="n"/>
    </row>
    <row r="59" ht="30" customHeight="1" s="116">
      <c r="A59" s="137" t="n"/>
      <c r="B59" s="127" t="inlineStr">
        <is>
          <t>HGC-Lib-26099412</t>
        </is>
      </c>
      <c r="C59" s="127" t="n">
        <v>63.14</v>
      </c>
      <c r="D59" s="128" t="n">
        <v>6.5</v>
      </c>
      <c r="E59" s="129">
        <f>D59/D65*450</f>
        <v/>
      </c>
      <c r="F59" s="129">
        <f>ROUND(E59/C59,3)</f>
        <v/>
      </c>
      <c r="G59" s="127" t="inlineStr">
        <is>
          <t>华大c4单细胞oligo文库</t>
        </is>
      </c>
      <c r="H59" s="128" t="inlineStr">
        <is>
          <t>广州承启生物科技有限公司</t>
        </is>
      </c>
      <c r="I59" s="130" t="n"/>
      <c r="J59" s="131" t="n"/>
      <c r="K59" s="131" t="n"/>
      <c r="L59" s="131" t="n"/>
      <c r="M59" s="131" t="n">
        <v>63.14</v>
      </c>
      <c r="N59" s="131" t="n"/>
      <c r="O59" s="131" t="n"/>
      <c r="P59" s="131" t="n"/>
    </row>
    <row r="60" ht="30" customHeight="1" s="116">
      <c r="A60" s="137" t="n"/>
      <c r="B60" s="127" t="inlineStr">
        <is>
          <t>HGC-Lib-26099418</t>
        </is>
      </c>
      <c r="C60" s="127" t="n">
        <v>63.18</v>
      </c>
      <c r="D60" s="128" t="n">
        <v>6.5</v>
      </c>
      <c r="E60" s="129">
        <f>D60/D65*450</f>
        <v/>
      </c>
      <c r="F60" s="129">
        <f>ROUND(E60/C60,3)</f>
        <v/>
      </c>
      <c r="G60" s="127" t="inlineStr">
        <is>
          <t>华大c4单细胞oligo文库</t>
        </is>
      </c>
      <c r="H60" s="128" t="inlineStr">
        <is>
          <t>广州承启生物科技有限公司</t>
        </is>
      </c>
      <c r="I60" s="130" t="n"/>
      <c r="J60" s="131" t="n"/>
      <c r="K60" s="131" t="n"/>
      <c r="L60" s="131" t="n"/>
      <c r="M60" s="131" t="n">
        <v>63.18</v>
      </c>
      <c r="N60" s="131" t="n"/>
      <c r="O60" s="131" t="n"/>
      <c r="P60" s="131" t="n"/>
    </row>
    <row r="61" ht="30" customHeight="1" s="116">
      <c r="A61" s="137" t="n"/>
      <c r="B61" s="127" t="inlineStr">
        <is>
          <t>HGC-Lib-26099419</t>
        </is>
      </c>
      <c r="C61" s="127" t="n">
        <v>63.78</v>
      </c>
      <c r="D61" s="128" t="n">
        <v>6.5</v>
      </c>
      <c r="E61" s="129">
        <f>D61/D65*450</f>
        <v/>
      </c>
      <c r="F61" s="129">
        <f>ROUND(E61/C61,3)</f>
        <v/>
      </c>
      <c r="G61" s="127" t="inlineStr">
        <is>
          <t>华大c4单细胞oligo文库</t>
        </is>
      </c>
      <c r="H61" s="128" t="inlineStr">
        <is>
          <t>广州承启生物科技有限公司</t>
        </is>
      </c>
      <c r="I61" s="130" t="n"/>
      <c r="J61" s="131" t="n"/>
      <c r="K61" s="131" t="n"/>
      <c r="L61" s="131" t="n"/>
      <c r="M61" s="131" t="n">
        <v>63.78</v>
      </c>
      <c r="N61" s="131" t="n"/>
      <c r="O61" s="131" t="n"/>
      <c r="P61" s="131" t="n"/>
    </row>
    <row r="62" ht="30" customHeight="1" s="116">
      <c r="A62" s="137" t="n"/>
      <c r="B62" s="127" t="inlineStr">
        <is>
          <t>HGC-Lib-26099464</t>
        </is>
      </c>
      <c r="C62" s="127" t="n">
        <v>70.2</v>
      </c>
      <c r="D62" s="128" t="n">
        <v>6.5</v>
      </c>
      <c r="E62" s="129">
        <f>D62/D65*450</f>
        <v/>
      </c>
      <c r="F62" s="129">
        <f>ROUND(E62/C62,3)</f>
        <v/>
      </c>
      <c r="G62" s="127" t="inlineStr">
        <is>
          <t>华大c4单细胞oligo文库</t>
        </is>
      </c>
      <c r="H62" s="128" t="inlineStr">
        <is>
          <t>广州承启生物科技有限公司</t>
        </is>
      </c>
      <c r="I62" s="130" t="n"/>
      <c r="J62" s="131" t="n"/>
      <c r="K62" s="131" t="n"/>
      <c r="L62" s="131" t="n"/>
      <c r="M62" s="131" t="n">
        <v>70.2</v>
      </c>
      <c r="N62" s="131" t="n"/>
      <c r="O62" s="131" t="n"/>
      <c r="P62" s="131" t="n"/>
    </row>
    <row r="63" ht="30" customHeight="1" s="116">
      <c r="A63" s="137" t="n"/>
      <c r="B63" s="127" t="inlineStr">
        <is>
          <t>HGC-Lib-26099467</t>
        </is>
      </c>
      <c r="C63" s="127" t="n">
        <v>67.73</v>
      </c>
      <c r="D63" s="128" t="n">
        <v>6.5</v>
      </c>
      <c r="E63" s="129">
        <f>D63/D65*450</f>
        <v/>
      </c>
      <c r="F63" s="129">
        <f>ROUND(E63/C63,3)</f>
        <v/>
      </c>
      <c r="G63" s="127" t="inlineStr">
        <is>
          <t>华大c4单细胞oligo文库</t>
        </is>
      </c>
      <c r="H63" s="128" t="inlineStr">
        <is>
          <t>广州承启生物科技有限公司</t>
        </is>
      </c>
      <c r="I63" s="130" t="n"/>
      <c r="J63" s="131" t="n"/>
      <c r="K63" s="131" t="n"/>
      <c r="L63" s="131" t="n"/>
      <c r="M63" s="131" t="n">
        <v>67.73</v>
      </c>
      <c r="N63" s="131" t="n"/>
      <c r="O63" s="131" t="n"/>
      <c r="P63" s="131" t="n"/>
    </row>
    <row r="64" ht="30" customHeight="1" s="116">
      <c r="A64" s="132" t="n"/>
      <c r="B64" s="127" t="inlineStr">
        <is>
          <t>HGC-Lib-26099468</t>
        </is>
      </c>
      <c r="C64" s="127" t="n">
        <v>64.98</v>
      </c>
      <c r="D64" s="128" t="n">
        <v>6.5</v>
      </c>
      <c r="E64" s="129">
        <f>D64/D65*450</f>
        <v/>
      </c>
      <c r="F64" s="129">
        <f>ROUND(E64/C64,3)</f>
        <v/>
      </c>
      <c r="G64" s="127" t="inlineStr">
        <is>
          <t>华大c4单细胞oligo文库</t>
        </is>
      </c>
      <c r="H64" s="128" t="inlineStr">
        <is>
          <t>广州承启生物科技有限公司</t>
        </is>
      </c>
      <c r="I64" s="130" t="n"/>
      <c r="J64" s="131" t="n"/>
      <c r="K64" s="131" t="n"/>
      <c r="L64" s="131" t="n"/>
      <c r="M64" s="131" t="n">
        <v>64.98</v>
      </c>
      <c r="N64" s="131" t="n"/>
      <c r="O64" s="131" t="n"/>
      <c r="P64" s="131" t="n"/>
    </row>
    <row r="65" ht="30" customHeight="1" s="116">
      <c r="A65" s="133" t="n"/>
      <c r="B65" s="131" t="n">
        <v>12</v>
      </c>
      <c r="C65" s="133" t="n"/>
      <c r="D65" s="134" t="n">
        <v>56.68</v>
      </c>
      <c r="E65" s="130">
        <f>ROUND(SUM(E53:E64),3)</f>
        <v/>
      </c>
      <c r="F65" s="130">
        <f>ROUND(SUM(F53:F64),3)</f>
        <v/>
      </c>
      <c r="G65" s="133" t="n"/>
      <c r="H65" s="135" t="n"/>
      <c r="I65" s="136">
        <f>ROUND(40-F65,3)</f>
        <v/>
      </c>
      <c r="J65" s="133" t="n"/>
      <c r="K65" s="133" t="n"/>
      <c r="L65" s="133" t="n"/>
      <c r="M65" s="133" t="n"/>
      <c r="N65" s="133" t="n"/>
      <c r="O65" s="133" t="n"/>
      <c r="P65" s="133" t="n"/>
    </row>
    <row r="66" ht="30" customHeight="1" s="116">
      <c r="A66" s="127" t="inlineStr">
        <is>
          <t>C12</t>
        </is>
      </c>
      <c r="B66" s="127" t="inlineStr">
        <is>
          <t>HGC-Lib-26092998</t>
        </is>
      </c>
      <c r="C66" s="127" t="n">
        <v>34.2</v>
      </c>
      <c r="D66" s="128" t="n">
        <v>5.2</v>
      </c>
      <c r="E66" s="129">
        <f>D66/D78*450</f>
        <v/>
      </c>
      <c r="F66" s="129">
        <f>ROUND(E66/C66,3)</f>
        <v/>
      </c>
      <c r="G66" s="127" t="inlineStr">
        <is>
          <t>华大C4-oligo</t>
        </is>
      </c>
      <c r="H66" s="128" t="inlineStr">
        <is>
          <t>杭州开泰生物技术有限公司</t>
        </is>
      </c>
      <c r="I66" s="130" t="n"/>
      <c r="J66" s="131" t="n"/>
      <c r="K66" s="131" t="inlineStr">
        <is>
          <t>加急</t>
        </is>
      </c>
      <c r="L66" s="131" t="n"/>
      <c r="M66" s="131" t="n">
        <v>34.2</v>
      </c>
      <c r="N66" s="131" t="n">
        <v>185</v>
      </c>
      <c r="O66" s="131" t="inlineStr">
        <is>
          <t>A</t>
        </is>
      </c>
      <c r="P66" s="131" t="n"/>
    </row>
    <row r="67" ht="30" customHeight="1" s="116">
      <c r="A67" s="137" t="n"/>
      <c r="B67" s="127" t="inlineStr">
        <is>
          <t>HGC-Lib-26093005</t>
        </is>
      </c>
      <c r="C67" s="127" t="n">
        <v>36.4</v>
      </c>
      <c r="D67" s="128" t="n">
        <v>5.2</v>
      </c>
      <c r="E67" s="129">
        <f>D67/D78*450</f>
        <v/>
      </c>
      <c r="F67" s="129">
        <f>ROUND(E67/C67,3)</f>
        <v/>
      </c>
      <c r="G67" s="127" t="inlineStr">
        <is>
          <t>华大C4-oligo</t>
        </is>
      </c>
      <c r="H67" s="128" t="inlineStr">
        <is>
          <t>杭州开泰生物技术有限公司</t>
        </is>
      </c>
      <c r="I67" s="130" t="n"/>
      <c r="J67" s="131" t="n"/>
      <c r="K67" s="131" t="inlineStr">
        <is>
          <t>加急</t>
        </is>
      </c>
      <c r="L67" s="131" t="n"/>
      <c r="M67" s="131" t="n">
        <v>36.4</v>
      </c>
      <c r="N67" s="131" t="n">
        <v>185</v>
      </c>
      <c r="O67" s="131" t="inlineStr">
        <is>
          <t>A</t>
        </is>
      </c>
      <c r="P67" s="131" t="n"/>
    </row>
    <row r="68" ht="30" customHeight="1" s="116">
      <c r="A68" s="137" t="n"/>
      <c r="B68" s="127" t="inlineStr">
        <is>
          <t>HGC-Lib-26097917</t>
        </is>
      </c>
      <c r="C68" s="127" t="n">
        <v>42.04</v>
      </c>
      <c r="D68" s="128" t="n">
        <v>6.5</v>
      </c>
      <c r="E68" s="129">
        <f>D68/D78*450</f>
        <v/>
      </c>
      <c r="F68" s="129">
        <f>ROUND(E68/C68,3)</f>
        <v/>
      </c>
      <c r="G68" s="127" t="inlineStr">
        <is>
          <t>华大C4-oligo</t>
        </is>
      </c>
      <c r="H68" s="128" t="inlineStr">
        <is>
          <t>杭州星源未来科技有限公司</t>
        </is>
      </c>
      <c r="I68" s="130" t="n"/>
      <c r="J68" s="131" t="n"/>
      <c r="K68" s="131" t="n"/>
      <c r="L68" s="131" t="n"/>
      <c r="M68" s="131" t="n">
        <v>42.04</v>
      </c>
      <c r="N68" s="131" t="n">
        <v>243</v>
      </c>
      <c r="O68" s="131" t="inlineStr">
        <is>
          <t>B</t>
        </is>
      </c>
      <c r="P68" s="131" t="inlineStr">
        <is>
          <t>C</t>
        </is>
      </c>
    </row>
    <row r="69" ht="30" customHeight="1" s="116">
      <c r="A69" s="137" t="n"/>
      <c r="B69" s="127" t="inlineStr">
        <is>
          <t>HGC-Lib-26099392</t>
        </is>
      </c>
      <c r="C69" s="127" t="n">
        <v>57.52</v>
      </c>
      <c r="D69" s="128" t="n">
        <v>6.5</v>
      </c>
      <c r="E69" s="129">
        <f>D69/D78*450</f>
        <v/>
      </c>
      <c r="F69" s="129">
        <f>ROUND(E69/C69,3)</f>
        <v/>
      </c>
      <c r="G69" s="127" t="inlineStr">
        <is>
          <t>华大c4单细胞oligo文库</t>
        </is>
      </c>
      <c r="H69" s="128" t="inlineStr">
        <is>
          <t>广州承启生物科技有限公司</t>
        </is>
      </c>
      <c r="I69" s="130" t="n"/>
      <c r="J69" s="131" t="n"/>
      <c r="K69" s="131" t="n"/>
      <c r="L69" s="131" t="n"/>
      <c r="M69" s="131" t="n">
        <v>57.52</v>
      </c>
      <c r="N69" s="131" t="n"/>
      <c r="O69" s="131" t="n"/>
      <c r="P69" s="131" t="n"/>
    </row>
    <row r="70" ht="30" customHeight="1" s="116">
      <c r="A70" s="137" t="n"/>
      <c r="B70" s="127" t="inlineStr">
        <is>
          <t>HGC-Lib-26099420</t>
        </is>
      </c>
      <c r="C70" s="127" t="n">
        <v>53.42</v>
      </c>
      <c r="D70" s="128" t="n">
        <v>6.5</v>
      </c>
      <c r="E70" s="129">
        <f>D70/D78*450</f>
        <v/>
      </c>
      <c r="F70" s="129">
        <f>ROUND(E70/C70,3)</f>
        <v/>
      </c>
      <c r="G70" s="127" t="inlineStr">
        <is>
          <t>华大c4单细胞oligo文库</t>
        </is>
      </c>
      <c r="H70" s="128" t="inlineStr">
        <is>
          <t>广州承启生物科技有限公司</t>
        </is>
      </c>
      <c r="I70" s="130" t="n"/>
      <c r="J70" s="131" t="n"/>
      <c r="K70" s="131" t="n"/>
      <c r="L70" s="131" t="n"/>
      <c r="M70" s="131" t="n">
        <v>53.42</v>
      </c>
      <c r="N70" s="131" t="n"/>
      <c r="O70" s="131" t="n"/>
      <c r="P70" s="131" t="n"/>
    </row>
    <row r="71" ht="30" customHeight="1" s="116">
      <c r="A71" s="137" t="n"/>
      <c r="B71" s="127" t="inlineStr">
        <is>
          <t>HGC-Lib-26099421</t>
        </is>
      </c>
      <c r="C71" s="127" t="n">
        <v>59.08</v>
      </c>
      <c r="D71" s="128" t="n">
        <v>6.5</v>
      </c>
      <c r="E71" s="129">
        <f>D71/D78*450</f>
        <v/>
      </c>
      <c r="F71" s="129">
        <f>ROUND(E71/C71,3)</f>
        <v/>
      </c>
      <c r="G71" s="127" t="inlineStr">
        <is>
          <t>华大c4单细胞oligo文库</t>
        </is>
      </c>
      <c r="H71" s="128" t="inlineStr">
        <is>
          <t>广州承启生物科技有限公司</t>
        </is>
      </c>
      <c r="I71" s="130" t="n"/>
      <c r="J71" s="131" t="n"/>
      <c r="K71" s="131" t="n"/>
      <c r="L71" s="131" t="n"/>
      <c r="M71" s="131" t="n">
        <v>59.08</v>
      </c>
      <c r="N71" s="131" t="n"/>
      <c r="O71" s="131" t="n"/>
      <c r="P71" s="131" t="n"/>
    </row>
    <row r="72" ht="30" customHeight="1" s="116">
      <c r="A72" s="137" t="n"/>
      <c r="B72" s="127" t="inlineStr">
        <is>
          <t>HGC-Lib-26099422</t>
        </is>
      </c>
      <c r="C72" s="127" t="n">
        <v>60.15</v>
      </c>
      <c r="D72" s="128" t="n">
        <v>6.5</v>
      </c>
      <c r="E72" s="129">
        <f>D72/D78*450</f>
        <v/>
      </c>
      <c r="F72" s="129">
        <f>ROUND(E72/C72,3)</f>
        <v/>
      </c>
      <c r="G72" s="127" t="inlineStr">
        <is>
          <t>华大c4单细胞oligo文库</t>
        </is>
      </c>
      <c r="H72" s="128" t="inlineStr">
        <is>
          <t>广州承启生物科技有限公司</t>
        </is>
      </c>
      <c r="I72" s="130" t="n"/>
      <c r="J72" s="131" t="n"/>
      <c r="K72" s="131" t="n"/>
      <c r="L72" s="131" t="n"/>
      <c r="M72" s="131" t="n">
        <v>60.15</v>
      </c>
      <c r="N72" s="131" t="n"/>
      <c r="O72" s="131" t="n"/>
      <c r="P72" s="131" t="n"/>
    </row>
    <row r="73" ht="30" customHeight="1" s="116">
      <c r="A73" s="137" t="n"/>
      <c r="B73" s="127" t="inlineStr">
        <is>
          <t>HGC-Lib-26099465</t>
        </is>
      </c>
      <c r="C73" s="127" t="n">
        <v>57.47</v>
      </c>
      <c r="D73" s="128" t="n">
        <v>6.5</v>
      </c>
      <c r="E73" s="129">
        <f>D73/D78*450</f>
        <v/>
      </c>
      <c r="F73" s="129">
        <f>ROUND(E73/C73,3)</f>
        <v/>
      </c>
      <c r="G73" s="127" t="inlineStr">
        <is>
          <t>华大c4单细胞oligo文库</t>
        </is>
      </c>
      <c r="H73" s="128" t="inlineStr">
        <is>
          <t>广州承启生物科技有限公司</t>
        </is>
      </c>
      <c r="I73" s="130" t="n"/>
      <c r="J73" s="131" t="n"/>
      <c r="K73" s="131" t="n"/>
      <c r="L73" s="131" t="n"/>
      <c r="M73" s="131" t="n">
        <v>57.47</v>
      </c>
      <c r="N73" s="131" t="n"/>
      <c r="O73" s="131" t="n"/>
      <c r="P73" s="131" t="n"/>
    </row>
    <row r="74" ht="30" customHeight="1" s="116">
      <c r="A74" s="137" t="n"/>
      <c r="B74" s="127" t="inlineStr">
        <is>
          <t>HGC-Lib-26099466</t>
        </is>
      </c>
      <c r="C74" s="127" t="n">
        <v>56.98</v>
      </c>
      <c r="D74" s="128" t="n">
        <v>6.5</v>
      </c>
      <c r="E74" s="129">
        <f>D74/D78*450</f>
        <v/>
      </c>
      <c r="F74" s="129">
        <f>ROUND(E74/C74,3)</f>
        <v/>
      </c>
      <c r="G74" s="127" t="inlineStr">
        <is>
          <t>华大c4单细胞oligo文库</t>
        </is>
      </c>
      <c r="H74" s="128" t="inlineStr">
        <is>
          <t>广州承启生物科技有限公司</t>
        </is>
      </c>
      <c r="I74" s="130" t="n"/>
      <c r="J74" s="131" t="n"/>
      <c r="K74" s="131" t="n"/>
      <c r="L74" s="131" t="n"/>
      <c r="M74" s="131" t="n">
        <v>56.98</v>
      </c>
      <c r="N74" s="131" t="n"/>
      <c r="O74" s="131" t="n"/>
      <c r="P74" s="131" t="n"/>
    </row>
    <row r="75" ht="30" customHeight="1" s="116">
      <c r="A75" s="137" t="n"/>
      <c r="B75" s="127" t="inlineStr">
        <is>
          <t>HGC-Lib-26099469</t>
        </is>
      </c>
      <c r="C75" s="127" t="n">
        <v>55.39</v>
      </c>
      <c r="D75" s="128" t="n">
        <v>6.5</v>
      </c>
      <c r="E75" s="129">
        <f>D75/D78*450</f>
        <v/>
      </c>
      <c r="F75" s="129">
        <f>ROUND(E75/C75,3)</f>
        <v/>
      </c>
      <c r="G75" s="127" t="inlineStr">
        <is>
          <t>华大c4单细胞oligo文库</t>
        </is>
      </c>
      <c r="H75" s="128" t="inlineStr">
        <is>
          <t>广州承启生物科技有限公司</t>
        </is>
      </c>
      <c r="I75" s="130" t="n"/>
      <c r="J75" s="131" t="n"/>
      <c r="K75" s="131" t="n"/>
      <c r="L75" s="131" t="n"/>
      <c r="M75" s="131" t="n">
        <v>55.39</v>
      </c>
      <c r="N75" s="131" t="n"/>
      <c r="O75" s="131" t="n"/>
      <c r="P75" s="131" t="n"/>
    </row>
    <row r="76" ht="30" customHeight="1" s="116">
      <c r="A76" s="137" t="n"/>
      <c r="B76" s="127" t="inlineStr">
        <is>
          <t>HGC-Lib-26099470</t>
        </is>
      </c>
      <c r="C76" s="127" t="n">
        <v>56.23</v>
      </c>
      <c r="D76" s="128" t="n">
        <v>6.5</v>
      </c>
      <c r="E76" s="129">
        <f>D76/D78*450</f>
        <v/>
      </c>
      <c r="F76" s="129">
        <f>ROUND(E76/C76,3)</f>
        <v/>
      </c>
      <c r="G76" s="127" t="inlineStr">
        <is>
          <t>华大c4单细胞oligo文库</t>
        </is>
      </c>
      <c r="H76" s="128" t="inlineStr">
        <is>
          <t>广州承启生物科技有限公司</t>
        </is>
      </c>
      <c r="I76" s="130" t="n"/>
      <c r="J76" s="131" t="n"/>
      <c r="K76" s="131" t="n"/>
      <c r="L76" s="131" t="n"/>
      <c r="M76" s="131" t="n">
        <v>56.23</v>
      </c>
      <c r="N76" s="131" t="n"/>
      <c r="O76" s="131" t="n"/>
      <c r="P76" s="131" t="n"/>
    </row>
    <row r="77" ht="30" customHeight="1" s="116">
      <c r="A77" s="132" t="n"/>
      <c r="B77" s="127" t="inlineStr">
        <is>
          <t>HGC-Lib-26099471</t>
        </is>
      </c>
      <c r="C77" s="127" t="n">
        <v>51.35</v>
      </c>
      <c r="D77" s="128" t="n">
        <v>6.5</v>
      </c>
      <c r="E77" s="129">
        <f>D77/D78*450</f>
        <v/>
      </c>
      <c r="F77" s="129">
        <f>ROUND(E77/C77,3)</f>
        <v/>
      </c>
      <c r="G77" s="127" t="inlineStr">
        <is>
          <t>华大c4单细胞oligo文库</t>
        </is>
      </c>
      <c r="H77" s="128" t="inlineStr">
        <is>
          <t>广州承启生物科技有限公司</t>
        </is>
      </c>
      <c r="I77" s="130" t="n"/>
      <c r="J77" s="131" t="n"/>
      <c r="K77" s="131" t="n"/>
      <c r="L77" s="131" t="n"/>
      <c r="M77" s="131" t="n">
        <v>51.35</v>
      </c>
      <c r="N77" s="131" t="n"/>
      <c r="O77" s="131" t="n"/>
      <c r="P77" s="131" t="n"/>
    </row>
    <row r="78" ht="30" customHeight="1" s="116">
      <c r="A78" s="133" t="n"/>
      <c r="B78" s="131" t="n">
        <v>12</v>
      </c>
      <c r="C78" s="133" t="n"/>
      <c r="D78" s="134" t="n">
        <v>75.40000000000001</v>
      </c>
      <c r="E78" s="130">
        <f>ROUND(SUM(E66:E77),3)</f>
        <v/>
      </c>
      <c r="F78" s="130">
        <f>ROUND(SUM(F66:F77),3)</f>
        <v/>
      </c>
      <c r="G78" s="133" t="n"/>
      <c r="H78" s="135" t="n"/>
      <c r="I78" s="136">
        <f>ROUND(40-F78,3)</f>
        <v/>
      </c>
      <c r="J78" s="133" t="n"/>
      <c r="K78" s="133" t="n"/>
      <c r="L78" s="133" t="n"/>
      <c r="M78" s="133" t="n"/>
      <c r="N78" s="133" t="n"/>
      <c r="O78" s="133" t="n"/>
      <c r="P78" s="133" t="n"/>
    </row>
    <row r="79" ht="30" customHeight="1" s="116">
      <c r="A79" s="127" t="inlineStr">
        <is>
          <t>C13</t>
        </is>
      </c>
      <c r="B79" s="127" t="inlineStr">
        <is>
          <t>HGC-Lib-26092934</t>
        </is>
      </c>
      <c r="C79" s="127" t="n">
        <v>38.4</v>
      </c>
      <c r="D79" s="128" t="n">
        <v>6.5</v>
      </c>
      <c r="E79" s="129">
        <f>D79/D81*450</f>
        <v/>
      </c>
      <c r="F79" s="129">
        <f>ROUND(E79/C79,3)</f>
        <v/>
      </c>
      <c r="G79" s="127" t="inlineStr">
        <is>
          <t>华大c4单细胞Oligo文库</t>
        </is>
      </c>
      <c r="H79" s="128" t="inlineStr">
        <is>
          <t>武汉迈维代谢生物科技股份有限公司</t>
        </is>
      </c>
      <c r="I79" s="130" t="n"/>
      <c r="J79" s="131" t="n"/>
      <c r="K79" s="131" t="n"/>
      <c r="L79" s="131" t="n"/>
      <c r="M79" s="131" t="n">
        <v>38.4</v>
      </c>
      <c r="N79" s="131" t="n">
        <v>221</v>
      </c>
      <c r="O79" s="131" t="inlineStr">
        <is>
          <t>B</t>
        </is>
      </c>
      <c r="P79" s="131" t="inlineStr">
        <is>
          <t>C</t>
        </is>
      </c>
    </row>
    <row r="80" ht="30" customHeight="1" s="116">
      <c r="A80" s="132" t="n"/>
      <c r="B80" s="127" t="inlineStr">
        <is>
          <t>HGC-Lib-26098938</t>
        </is>
      </c>
      <c r="C80" s="127" t="n">
        <v>41.8</v>
      </c>
      <c r="D80" s="128" t="n">
        <v>6.5</v>
      </c>
      <c r="E80" s="129">
        <f>D80/D81*450</f>
        <v/>
      </c>
      <c r="F80" s="129">
        <f>ROUND(E80/C80,3)</f>
        <v/>
      </c>
      <c r="G80" s="127" t="inlineStr">
        <is>
          <t>华大c4单细胞oligo文库</t>
        </is>
      </c>
      <c r="H80" s="128" t="inlineStr">
        <is>
          <t>广州承启生物科技有限公司</t>
        </is>
      </c>
      <c r="I80" s="130" t="n"/>
      <c r="J80" s="131" t="n"/>
      <c r="K80" s="131" t="n"/>
      <c r="L80" s="131" t="n"/>
      <c r="M80" s="131" t="n">
        <v>41.8</v>
      </c>
      <c r="N80" s="131" t="n"/>
      <c r="O80" s="131" t="n"/>
      <c r="P80" s="131" t="n"/>
    </row>
    <row r="81" ht="30" customHeight="1" s="116">
      <c r="A81" s="133" t="n"/>
      <c r="B81" s="131" t="n">
        <v>2</v>
      </c>
      <c r="C81" s="133" t="n"/>
      <c r="D81" s="134" t="n">
        <v>13</v>
      </c>
      <c r="E81" s="130">
        <f>ROUND(SUM(E79:E80),3)</f>
        <v/>
      </c>
      <c r="F81" s="130">
        <f>ROUND(SUM(F79:F80),3)</f>
        <v/>
      </c>
      <c r="G81" s="133" t="n"/>
      <c r="H81" s="135" t="n"/>
      <c r="I81" s="136">
        <f>ROUND(40-F81,3)</f>
        <v/>
      </c>
      <c r="J81" s="133" t="n"/>
      <c r="K81" s="133" t="n"/>
      <c r="L81" s="133" t="n"/>
      <c r="M81" s="133" t="n"/>
      <c r="N81" s="133" t="n"/>
      <c r="O81" s="133" t="n"/>
      <c r="P81" s="133" t="n"/>
    </row>
  </sheetData>
  <mergeCells count="9">
    <mergeCell ref="A79:A80"/>
    <mergeCell ref="A39:A48"/>
    <mergeCell ref="A10:A18"/>
    <mergeCell ref="A66:A77"/>
    <mergeCell ref="A53:A64"/>
    <mergeCell ref="A28:A37"/>
    <mergeCell ref="A2:A3"/>
    <mergeCell ref="A5:A8"/>
    <mergeCell ref="A50:A51"/>
  </mergeCells>
  <pageMargins left="0.75" right="0.75" top="1" bottom="1" header="0.5" footer="0.5"/>
  <pageSetup orientation="portrait" paperSize="9" scale="5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P69"/>
  <sheetViews>
    <sheetView workbookViewId="0">
      <selection activeCell="A1" sqref="A1"/>
    </sheetView>
  </sheetViews>
  <sheetFormatPr baseColWidth="8" defaultColWidth="8.75" defaultRowHeight="30" customHeight="1"/>
  <cols>
    <col width="12" customWidth="1" style="62" min="1" max="1"/>
    <col width="21" customWidth="1" style="62" min="2" max="2"/>
    <col width="22" customWidth="1" style="88" min="3" max="3"/>
    <col width="14" customWidth="1" style="88" min="4" max="4"/>
    <col width="26" customWidth="1" style="89" min="5" max="5"/>
    <col width="26" customWidth="1" style="90" min="6" max="6"/>
    <col width="25" customWidth="1" style="62" min="7" max="7"/>
    <col width="36" customWidth="1" style="62" min="8" max="8"/>
    <col width="27" customWidth="1" style="88" min="9" max="9"/>
    <col width="12" customWidth="1" style="91" min="10" max="10"/>
    <col width="43" customWidth="1" style="91" min="11" max="11"/>
    <col width="25" customWidth="1" style="91" min="12" max="12"/>
    <col width="22" customWidth="1" style="62" min="13" max="13"/>
    <col width="8" customWidth="1" style="62" min="14" max="14"/>
    <col width="16" bestFit="1" customWidth="1" style="62" min="15" max="15"/>
    <col width="12" customWidth="1" style="62" min="16" max="16"/>
    <col width="8.75" customWidth="1" style="62" min="17" max="17"/>
    <col width="8.75" customWidth="1" style="62" min="18" max="16384"/>
  </cols>
  <sheetData>
    <row r="1" ht="90" customFormat="1" customHeight="1" s="61">
      <c r="A1" s="67" t="inlineStr">
        <is>
          <t>lane编号</t>
        </is>
      </c>
      <c r="B1" s="68" t="inlineStr">
        <is>
          <t>文库编号</t>
        </is>
      </c>
      <c r="C1" s="92" t="inlineStr">
        <is>
          <t>Qubit浓度（ng/ul）</t>
        </is>
      </c>
      <c r="D1" s="92" t="inlineStr">
        <is>
          <t>数据量（G)</t>
        </is>
      </c>
      <c r="E1" s="93" t="inlineStr">
        <is>
          <t>文库摩尔质量（ng）</t>
        </is>
      </c>
      <c r="F1" s="94" t="inlineStr">
        <is>
          <t>最终取样体积（ul）</t>
        </is>
      </c>
      <c r="G1" s="72" t="inlineStr">
        <is>
          <t>文库类型</t>
        </is>
      </c>
      <c r="H1" s="95" t="inlineStr">
        <is>
          <t>客户单位</t>
        </is>
      </c>
      <c r="I1" s="96" t="inlineStr">
        <is>
          <t>TE Buffer补充体积（uL）</t>
        </is>
      </c>
      <c r="J1" s="97" t="inlineStr">
        <is>
          <t>找样人员</t>
        </is>
      </c>
      <c r="K1" s="97" t="inlineStr">
        <is>
          <t>备注</t>
        </is>
      </c>
      <c r="M1" s="76" t="inlineStr">
        <is>
          <t>Qubit浓度（ng/ul）</t>
        </is>
      </c>
      <c r="N1" s="76" t="inlineStr">
        <is>
          <t>片段</t>
        </is>
      </c>
      <c r="O1" s="61" t="inlineStr">
        <is>
          <t>人工检测结果</t>
        </is>
      </c>
      <c r="P1" s="61" t="inlineStr">
        <is>
          <t>人工备注</t>
        </is>
      </c>
    </row>
    <row r="2" ht="30" customHeight="1" s="116">
      <c r="A2" s="127" t="inlineStr">
        <is>
          <t>D1</t>
        </is>
      </c>
      <c r="B2" s="127" t="inlineStr">
        <is>
          <t>HGC-Lib-26092553</t>
        </is>
      </c>
      <c r="C2" s="127" t="n">
        <v>11.06</v>
      </c>
      <c r="D2" s="128" t="n">
        <v>65</v>
      </c>
      <c r="E2" s="129">
        <f>D2/D3*300</f>
        <v/>
      </c>
      <c r="F2" s="129">
        <f>ROUND(E2/C2,3)</f>
        <v/>
      </c>
      <c r="G2" s="127" t="inlineStr">
        <is>
          <t>华大C4-cDNA</t>
        </is>
      </c>
      <c r="H2" s="128" t="inlineStr">
        <is>
          <t>中国科学院上海有机化学研究所</t>
        </is>
      </c>
      <c r="I2" s="130" t="n"/>
      <c r="J2" s="131" t="n"/>
      <c r="K2" s="131" t="n"/>
      <c r="L2" s="131" t="n"/>
      <c r="M2" s="131" t="n">
        <v>11.06</v>
      </c>
      <c r="N2" s="131" t="n">
        <v>526</v>
      </c>
      <c r="O2" s="131" t="inlineStr">
        <is>
          <t>B</t>
        </is>
      </c>
      <c r="P2" s="131" t="inlineStr">
        <is>
          <t>CE</t>
        </is>
      </c>
    </row>
    <row r="3" ht="30" customHeight="1" s="116">
      <c r="A3" s="133" t="n"/>
      <c r="B3" s="131" t="n">
        <v>1</v>
      </c>
      <c r="C3" s="133" t="n"/>
      <c r="D3" s="134" t="n">
        <v>65</v>
      </c>
      <c r="E3" s="130">
        <f>ROUND(SUM(E2:E2),3)</f>
        <v/>
      </c>
      <c r="F3" s="130">
        <f>ROUND(SUM(F2:F2),3)</f>
        <v/>
      </c>
      <c r="G3" s="133" t="n"/>
      <c r="H3" s="135" t="n"/>
      <c r="I3" s="136">
        <f>ROUND(40-F3,3)</f>
        <v/>
      </c>
      <c r="J3" s="133" t="n"/>
      <c r="K3" s="133" t="n"/>
      <c r="L3" s="133" t="n"/>
      <c r="M3" s="133" t="n"/>
      <c r="N3" s="133" t="n"/>
      <c r="O3" s="133" t="n"/>
      <c r="P3" s="133" t="n"/>
    </row>
    <row r="4" ht="30" customHeight="1" s="116">
      <c r="A4" s="127" t="inlineStr">
        <is>
          <t>D2</t>
        </is>
      </c>
      <c r="B4" s="127" t="inlineStr">
        <is>
          <t>HGC-Lib-26092927</t>
        </is>
      </c>
      <c r="C4" s="127" t="n">
        <v>20.2</v>
      </c>
      <c r="D4" s="128" t="n">
        <v>25.61</v>
      </c>
      <c r="E4" s="129">
        <f>D4/D5*300</f>
        <v/>
      </c>
      <c r="F4" s="129">
        <f>ROUND(E4/C4,3)</f>
        <v/>
      </c>
      <c r="G4" s="127" t="inlineStr">
        <is>
          <t>华大c4单细胞cDNA文库</t>
        </is>
      </c>
      <c r="H4" s="128" t="inlineStr">
        <is>
          <t>武汉迈维代谢生物科技股份有限公司</t>
        </is>
      </c>
      <c r="I4" s="130" t="n"/>
      <c r="J4" s="131" t="n"/>
      <c r="K4" s="131" t="inlineStr">
        <is>
          <t>补测_260801_R21016100250033_ML150025069</t>
        </is>
      </c>
      <c r="L4" s="131" t="n"/>
      <c r="M4" s="131" t="n">
        <v>20.2</v>
      </c>
      <c r="N4" s="131" t="n">
        <v>447</v>
      </c>
      <c r="O4" s="131" t="inlineStr">
        <is>
          <t>B</t>
        </is>
      </c>
      <c r="P4" s="131" t="inlineStr">
        <is>
          <t>E</t>
        </is>
      </c>
    </row>
    <row r="5" ht="30" customHeight="1" s="116">
      <c r="A5" s="133" t="n"/>
      <c r="B5" s="131" t="n">
        <v>1</v>
      </c>
      <c r="C5" s="133" t="n"/>
      <c r="D5" s="134" t="n">
        <v>25.61</v>
      </c>
      <c r="E5" s="130">
        <f>ROUND(SUM(E4:E4),3)</f>
        <v/>
      </c>
      <c r="F5" s="130">
        <f>ROUND(SUM(F4:F4),3)</f>
        <v/>
      </c>
      <c r="G5" s="133" t="n"/>
      <c r="H5" s="135" t="n"/>
      <c r="I5" s="136">
        <f>ROUND(40-F5,3)</f>
        <v/>
      </c>
      <c r="J5" s="133" t="n"/>
      <c r="K5" s="133" t="n"/>
      <c r="L5" s="133" t="n"/>
      <c r="M5" s="133" t="n"/>
      <c r="N5" s="133" t="n"/>
      <c r="O5" s="133" t="n"/>
      <c r="P5" s="133" t="n"/>
    </row>
    <row r="6" ht="30" customHeight="1" s="116">
      <c r="A6" s="127" t="inlineStr">
        <is>
          <t>D3</t>
        </is>
      </c>
      <c r="B6" s="127" t="inlineStr">
        <is>
          <t>HGC-Lib-26097609</t>
        </is>
      </c>
      <c r="C6" s="127" t="n">
        <v>15.22</v>
      </c>
      <c r="D6" s="128" t="n">
        <v>51.48</v>
      </c>
      <c r="E6" s="129">
        <f>D6/D7*300</f>
        <v/>
      </c>
      <c r="F6" s="129">
        <f>ROUND(E6/C6,3)</f>
        <v/>
      </c>
      <c r="G6" s="127" t="inlineStr">
        <is>
          <t>华大-C4-转录组</t>
        </is>
      </c>
      <c r="H6" s="128" t="inlineStr">
        <is>
          <t>广州奥智生物科技有限公司</t>
        </is>
      </c>
      <c r="I6" s="130" t="n"/>
      <c r="J6" s="131" t="n"/>
      <c r="K6" s="131" t="n"/>
      <c r="L6" s="131" t="n"/>
      <c r="M6" s="131" t="n">
        <v>15.22</v>
      </c>
      <c r="N6" s="131" t="n"/>
      <c r="O6" s="131" t="inlineStr">
        <is>
          <t>B</t>
        </is>
      </c>
      <c r="P6" s="131" t="inlineStr">
        <is>
          <t>E</t>
        </is>
      </c>
    </row>
    <row r="7" ht="30" customHeight="1" s="116">
      <c r="A7" s="133" t="n"/>
      <c r="B7" s="131" t="n">
        <v>1</v>
      </c>
      <c r="C7" s="133" t="n"/>
      <c r="D7" s="134" t="n">
        <v>51.48</v>
      </c>
      <c r="E7" s="130">
        <f>ROUND(SUM(E6:E6),3)</f>
        <v/>
      </c>
      <c r="F7" s="130">
        <f>ROUND(SUM(F6:F6),3)</f>
        <v/>
      </c>
      <c r="G7" s="133" t="n"/>
      <c r="H7" s="135" t="n"/>
      <c r="I7" s="136">
        <f>ROUND(40-F7,3)</f>
        <v/>
      </c>
      <c r="J7" s="133" t="n"/>
      <c r="K7" s="133" t="n"/>
      <c r="L7" s="133" t="n"/>
      <c r="M7" s="133" t="n"/>
      <c r="N7" s="133" t="n"/>
      <c r="O7" s="133" t="n"/>
      <c r="P7" s="133" t="n"/>
    </row>
    <row r="8" ht="30" customHeight="1" s="116">
      <c r="A8" s="127" t="inlineStr">
        <is>
          <t>D4</t>
        </is>
      </c>
      <c r="B8" s="127" t="inlineStr">
        <is>
          <t>HGC-Lib-26097599</t>
        </is>
      </c>
      <c r="C8" s="127" t="n">
        <v>13.6</v>
      </c>
      <c r="D8" s="128" t="n">
        <v>3.25</v>
      </c>
      <c r="E8" s="129">
        <f>D8/D9*300</f>
        <v/>
      </c>
      <c r="F8" s="129">
        <f>ROUND(E8/C8,3)</f>
        <v/>
      </c>
      <c r="G8" s="127" t="inlineStr">
        <is>
          <t>华大-C4-转录组</t>
        </is>
      </c>
      <c r="H8" s="128" t="inlineStr">
        <is>
          <t>广州奥智生物科技有限公司</t>
        </is>
      </c>
      <c r="I8" s="130" t="n"/>
      <c r="J8" s="131" t="n"/>
      <c r="K8" s="131" t="inlineStr">
        <is>
          <t>补测_260803_R21016100250033_ML150028533</t>
        </is>
      </c>
      <c r="L8" s="131" t="n"/>
      <c r="M8" s="131" t="n">
        <v>13.6</v>
      </c>
      <c r="N8" s="131" t="n"/>
      <c r="O8" s="131" t="inlineStr">
        <is>
          <t>B</t>
        </is>
      </c>
      <c r="P8" s="131" t="inlineStr">
        <is>
          <t>E</t>
        </is>
      </c>
    </row>
    <row r="9" ht="30" customHeight="1" s="116">
      <c r="A9" s="133" t="n"/>
      <c r="B9" s="131" t="n">
        <v>1</v>
      </c>
      <c r="C9" s="133" t="n"/>
      <c r="D9" s="134" t="n">
        <v>3.25</v>
      </c>
      <c r="E9" s="130">
        <f>ROUND(SUM(E8:E8),3)</f>
        <v/>
      </c>
      <c r="F9" s="130">
        <f>ROUND(SUM(F8:F8),3)</f>
        <v/>
      </c>
      <c r="G9" s="133" t="n"/>
      <c r="H9" s="135" t="n"/>
      <c r="I9" s="136">
        <f>ROUND(40-F9,3)</f>
        <v/>
      </c>
      <c r="J9" s="133" t="n"/>
      <c r="K9" s="133" t="n"/>
      <c r="L9" s="133" t="n"/>
      <c r="M9" s="133" t="n"/>
      <c r="N9" s="133" t="n"/>
      <c r="O9" s="133" t="n"/>
      <c r="P9" s="133" t="n"/>
    </row>
    <row r="10" ht="30" customHeight="1" s="116">
      <c r="A10" s="127" t="inlineStr">
        <is>
          <t>D5</t>
        </is>
      </c>
      <c r="B10" s="127" t="inlineStr">
        <is>
          <t>HGC-Lib-26098685</t>
        </is>
      </c>
      <c r="C10" s="127" t="n">
        <v>14.12</v>
      </c>
      <c r="D10" s="128" t="n">
        <v>52</v>
      </c>
      <c r="E10" s="129">
        <f>D10/D11*300</f>
        <v/>
      </c>
      <c r="F10" s="129">
        <f>ROUND(E10/C10,3)</f>
        <v/>
      </c>
      <c r="G10" s="127" t="inlineStr">
        <is>
          <t>华大C4-cDNA</t>
        </is>
      </c>
      <c r="H10" s="128" t="inlineStr">
        <is>
          <t>武汉瑞兴生物科技有限公司</t>
        </is>
      </c>
      <c r="I10" s="130" t="n"/>
      <c r="J10" s="131" t="n"/>
      <c r="K10" s="131" t="n"/>
      <c r="L10" s="131" t="n"/>
      <c r="M10" s="131" t="n">
        <v>14.12</v>
      </c>
      <c r="N10" s="131" t="n">
        <v>514</v>
      </c>
      <c r="O10" s="131" t="inlineStr">
        <is>
          <t>B</t>
        </is>
      </c>
      <c r="P10" s="131" t="inlineStr">
        <is>
          <t>E</t>
        </is>
      </c>
    </row>
    <row r="11" ht="30" customHeight="1" s="116">
      <c r="A11" s="133" t="n"/>
      <c r="B11" s="131" t="n">
        <v>1</v>
      </c>
      <c r="C11" s="133" t="n"/>
      <c r="D11" s="134" t="n">
        <v>52</v>
      </c>
      <c r="E11" s="130">
        <f>ROUND(SUM(E10:E10),3)</f>
        <v/>
      </c>
      <c r="F11" s="130">
        <f>ROUND(SUM(F10:F10),3)</f>
        <v/>
      </c>
      <c r="G11" s="133" t="n"/>
      <c r="H11" s="135" t="n"/>
      <c r="I11" s="136">
        <f>ROUND(40-F11,3)</f>
        <v/>
      </c>
      <c r="J11" s="133" t="n"/>
      <c r="K11" s="133" t="n"/>
      <c r="L11" s="133" t="n"/>
      <c r="M11" s="133" t="n"/>
      <c r="N11" s="133" t="n"/>
      <c r="O11" s="133" t="n"/>
      <c r="P11" s="133" t="n"/>
    </row>
    <row r="12" ht="30" customHeight="1" s="116">
      <c r="A12" s="127" t="inlineStr">
        <is>
          <t>D6</t>
        </is>
      </c>
      <c r="B12" s="127" t="inlineStr">
        <is>
          <t>HGC-Lib-26098686</t>
        </is>
      </c>
      <c r="C12" s="127" t="n">
        <v>19.09</v>
      </c>
      <c r="D12" s="128" t="n">
        <v>52</v>
      </c>
      <c r="E12" s="129">
        <f>D12/D13*300</f>
        <v/>
      </c>
      <c r="F12" s="129">
        <f>ROUND(E12/C12,3)</f>
        <v/>
      </c>
      <c r="G12" s="127" t="inlineStr">
        <is>
          <t>华大C4-cDNA</t>
        </is>
      </c>
      <c r="H12" s="128" t="inlineStr">
        <is>
          <t>武汉瑞兴生物科技有限公司</t>
        </is>
      </c>
      <c r="I12" s="130" t="n"/>
      <c r="J12" s="131" t="n"/>
      <c r="K12" s="131" t="n"/>
      <c r="L12" s="131" t="n"/>
      <c r="M12" s="131" t="n">
        <v>19.09</v>
      </c>
      <c r="N12" s="131" t="n">
        <v>516</v>
      </c>
      <c r="O12" s="131" t="inlineStr">
        <is>
          <t>A</t>
        </is>
      </c>
      <c r="P12" s="131" t="n"/>
    </row>
    <row r="13" ht="30" customHeight="1" s="116">
      <c r="A13" s="133" t="n"/>
      <c r="B13" s="131" t="n">
        <v>1</v>
      </c>
      <c r="C13" s="133" t="n"/>
      <c r="D13" s="134" t="n">
        <v>52</v>
      </c>
      <c r="E13" s="130">
        <f>ROUND(SUM(E12:E12),3)</f>
        <v/>
      </c>
      <c r="F13" s="130">
        <f>ROUND(SUM(F12:F12),3)</f>
        <v/>
      </c>
      <c r="G13" s="133" t="n"/>
      <c r="H13" s="135" t="n"/>
      <c r="I13" s="136">
        <f>ROUND(40-F13,3)</f>
        <v/>
      </c>
      <c r="J13" s="133" t="n"/>
      <c r="K13" s="133" t="n"/>
      <c r="L13" s="133" t="n"/>
      <c r="M13" s="133" t="n"/>
      <c r="N13" s="133" t="n"/>
      <c r="O13" s="133" t="n"/>
      <c r="P13" s="133" t="n"/>
    </row>
    <row r="14" ht="30" customHeight="1" s="116">
      <c r="A14" s="127" t="inlineStr">
        <is>
          <t>D7</t>
        </is>
      </c>
      <c r="B14" s="127" t="inlineStr">
        <is>
          <t>HGC-Lib-26099037</t>
        </is>
      </c>
      <c r="C14" s="127" t="n">
        <v>49</v>
      </c>
      <c r="D14" s="128" t="n">
        <v>58.5</v>
      </c>
      <c r="E14" s="129">
        <f>D14/D15*300</f>
        <v/>
      </c>
      <c r="F14" s="129">
        <f>ROUND(E14/C14,3)</f>
        <v/>
      </c>
      <c r="G14" s="127" t="inlineStr">
        <is>
          <t>华大-cDNA文库</t>
        </is>
      </c>
      <c r="H14" s="128" t="inlineStr">
        <is>
          <t>广东美格基因科技有限公司</t>
        </is>
      </c>
      <c r="I14" s="130" t="n"/>
      <c r="J14" s="131" t="n"/>
      <c r="K14" s="131" t="n"/>
      <c r="L14" s="131" t="n"/>
      <c r="M14" s="131" t="n">
        <v>49</v>
      </c>
      <c r="N14" s="131" t="n">
        <v>421</v>
      </c>
      <c r="O14" s="131" t="inlineStr">
        <is>
          <t>B</t>
        </is>
      </c>
      <c r="P14" s="131" t="inlineStr">
        <is>
          <t>B</t>
        </is>
      </c>
    </row>
    <row r="15" ht="30" customHeight="1" s="116">
      <c r="A15" s="133" t="n"/>
      <c r="B15" s="131" t="n">
        <v>1</v>
      </c>
      <c r="C15" s="133" t="n"/>
      <c r="D15" s="134" t="n">
        <v>58.5</v>
      </c>
      <c r="E15" s="130">
        <f>ROUND(SUM(E14:E14),3)</f>
        <v/>
      </c>
      <c r="F15" s="130">
        <f>ROUND(SUM(F14:F14),3)</f>
        <v/>
      </c>
      <c r="G15" s="133" t="n"/>
      <c r="H15" s="135" t="n"/>
      <c r="I15" s="136">
        <f>ROUND(40-F15,3)</f>
        <v/>
      </c>
      <c r="J15" s="133" t="n"/>
      <c r="K15" s="133" t="n"/>
      <c r="L15" s="133" t="n"/>
      <c r="M15" s="133" t="n"/>
      <c r="N15" s="133" t="n"/>
      <c r="O15" s="133" t="n"/>
      <c r="P15" s="133" t="n"/>
    </row>
    <row r="16" ht="30" customHeight="1" s="116">
      <c r="A16" s="127" t="inlineStr">
        <is>
          <t>D8</t>
        </is>
      </c>
      <c r="B16" s="127" t="inlineStr">
        <is>
          <t>HGC-Lib-26099491</t>
        </is>
      </c>
      <c r="C16" s="127" t="n">
        <v>38.39</v>
      </c>
      <c r="D16" s="128" t="n">
        <v>58.5</v>
      </c>
      <c r="E16" s="129">
        <f>D16/D26*450</f>
        <v/>
      </c>
      <c r="F16" s="129">
        <f>ROUND(E16/C16,3)</f>
        <v/>
      </c>
      <c r="G16" s="127" t="inlineStr">
        <is>
          <t>华大c4单细胞cDNA文库</t>
        </is>
      </c>
      <c r="H16" s="128" t="inlineStr">
        <is>
          <t>广州承启生物科技有限公司</t>
        </is>
      </c>
      <c r="I16" s="130" t="n"/>
      <c r="J16" s="131" t="n"/>
      <c r="K16" s="131" t="n"/>
      <c r="L16" s="131" t="n"/>
      <c r="M16" s="131" t="n">
        <v>38.39</v>
      </c>
      <c r="N16" s="131" t="n"/>
      <c r="O16" s="131" t="n"/>
      <c r="P16" s="131" t="n"/>
    </row>
    <row r="17" ht="30" customHeight="1" s="116">
      <c r="A17" s="137" t="n"/>
      <c r="B17" s="127" t="inlineStr">
        <is>
          <t>HGC-Lib-26099492</t>
        </is>
      </c>
      <c r="C17" s="127" t="n">
        <v>35.01</v>
      </c>
      <c r="D17" s="128" t="n">
        <v>58.5</v>
      </c>
      <c r="E17" s="129">
        <f>D17/D26*450</f>
        <v/>
      </c>
      <c r="F17" s="129">
        <f>ROUND(E17/C17,3)</f>
        <v/>
      </c>
      <c r="G17" s="127" t="inlineStr">
        <is>
          <t>华大c4单细胞cDNA文库</t>
        </is>
      </c>
      <c r="H17" s="128" t="inlineStr">
        <is>
          <t>广州承启生物科技有限公司</t>
        </is>
      </c>
      <c r="I17" s="130" t="n"/>
      <c r="J17" s="131" t="n"/>
      <c r="K17" s="131" t="n"/>
      <c r="L17" s="131" t="n"/>
      <c r="M17" s="131" t="n">
        <v>35.01</v>
      </c>
      <c r="N17" s="131" t="n"/>
      <c r="O17" s="131" t="n"/>
      <c r="P17" s="131" t="n"/>
    </row>
    <row r="18" ht="30" customHeight="1" s="116">
      <c r="A18" s="137" t="n"/>
      <c r="B18" s="127" t="inlineStr">
        <is>
          <t>HGC-Lib-26099493</t>
        </is>
      </c>
      <c r="C18" s="127" t="n">
        <v>17.32</v>
      </c>
      <c r="D18" s="128" t="n">
        <v>58.5</v>
      </c>
      <c r="E18" s="129">
        <f>D18/D26*450</f>
        <v/>
      </c>
      <c r="F18" s="129">
        <f>ROUND(E18/C18,3)</f>
        <v/>
      </c>
      <c r="G18" s="127" t="inlineStr">
        <is>
          <t>华大c4单细胞cDNA文库</t>
        </is>
      </c>
      <c r="H18" s="128" t="inlineStr">
        <is>
          <t>广州承启生物科技有限公司</t>
        </is>
      </c>
      <c r="I18" s="130" t="n"/>
      <c r="J18" s="131" t="n"/>
      <c r="K18" s="131" t="n"/>
      <c r="L18" s="131" t="n"/>
      <c r="M18" s="131" t="n">
        <v>17.32</v>
      </c>
      <c r="N18" s="131" t="n"/>
      <c r="O18" s="131" t="n"/>
      <c r="P18" s="131" t="n"/>
    </row>
    <row r="19" ht="30" customHeight="1" s="116">
      <c r="A19" s="137" t="n"/>
      <c r="B19" s="127" t="inlineStr">
        <is>
          <t>HGC-Lib-26099500</t>
        </is>
      </c>
      <c r="C19" s="127" t="n">
        <v>26.62</v>
      </c>
      <c r="D19" s="128" t="n">
        <v>58.5</v>
      </c>
      <c r="E19" s="129">
        <f>D19/D26*450</f>
        <v/>
      </c>
      <c r="F19" s="129">
        <f>ROUND(E19/C19,3)</f>
        <v/>
      </c>
      <c r="G19" s="127" t="inlineStr">
        <is>
          <t>华大c4单细胞cDNA文库</t>
        </is>
      </c>
      <c r="H19" s="128" t="inlineStr">
        <is>
          <t>广州承启生物科技有限公司</t>
        </is>
      </c>
      <c r="I19" s="130" t="n"/>
      <c r="J19" s="131" t="n"/>
      <c r="K19" s="131" t="n"/>
      <c r="L19" s="131" t="n"/>
      <c r="M19" s="131" t="n">
        <v>26.62</v>
      </c>
      <c r="N19" s="131" t="n"/>
      <c r="O19" s="131" t="n"/>
      <c r="P19" s="131" t="n"/>
    </row>
    <row r="20" ht="30" customHeight="1" s="116">
      <c r="A20" s="137" t="n"/>
      <c r="B20" s="127" t="inlineStr">
        <is>
          <t>HGC-Lib-26099501</t>
        </is>
      </c>
      <c r="C20" s="127" t="n">
        <v>43.09</v>
      </c>
      <c r="D20" s="128" t="n">
        <v>58.5</v>
      </c>
      <c r="E20" s="129">
        <f>D20/D26*450</f>
        <v/>
      </c>
      <c r="F20" s="129">
        <f>ROUND(E20/C20,3)</f>
        <v/>
      </c>
      <c r="G20" s="127" t="inlineStr">
        <is>
          <t>华大c4单细胞cDNA文库</t>
        </is>
      </c>
      <c r="H20" s="128" t="inlineStr">
        <is>
          <t>广州承启生物科技有限公司</t>
        </is>
      </c>
      <c r="I20" s="130" t="n"/>
      <c r="J20" s="131" t="n"/>
      <c r="K20" s="131" t="n"/>
      <c r="L20" s="131" t="n"/>
      <c r="M20" s="131" t="n">
        <v>43.09</v>
      </c>
      <c r="N20" s="131" t="n"/>
      <c r="O20" s="131" t="n"/>
      <c r="P20" s="131" t="n"/>
    </row>
    <row r="21" ht="30" customHeight="1" s="116">
      <c r="A21" s="137" t="n"/>
      <c r="B21" s="127" t="inlineStr">
        <is>
          <t>HGC-Lib-26099502</t>
        </is>
      </c>
      <c r="C21" s="127" t="n">
        <v>35.55</v>
      </c>
      <c r="D21" s="128" t="n">
        <v>58.5</v>
      </c>
      <c r="E21" s="129">
        <f>D21/D26*450</f>
        <v/>
      </c>
      <c r="F21" s="129">
        <f>ROUND(E21/C21,3)</f>
        <v/>
      </c>
      <c r="G21" s="127" t="inlineStr">
        <is>
          <t>华大c4单细胞cDNA文库</t>
        </is>
      </c>
      <c r="H21" s="128" t="inlineStr">
        <is>
          <t>广州承启生物科技有限公司</t>
        </is>
      </c>
      <c r="I21" s="130" t="n"/>
      <c r="J21" s="131" t="n"/>
      <c r="K21" s="131" t="n"/>
      <c r="L21" s="131" t="n"/>
      <c r="M21" s="131" t="n">
        <v>35.55</v>
      </c>
      <c r="N21" s="131" t="n"/>
      <c r="O21" s="131" t="n"/>
      <c r="P21" s="131" t="n"/>
    </row>
    <row r="22" ht="30" customHeight="1" s="116">
      <c r="A22" s="137" t="n"/>
      <c r="B22" s="127" t="inlineStr">
        <is>
          <t>HGC-Lib-26099503</t>
        </is>
      </c>
      <c r="C22" s="127" t="n">
        <v>44.6</v>
      </c>
      <c r="D22" s="128" t="n">
        <v>58.5</v>
      </c>
      <c r="E22" s="129">
        <f>D22/D26*450</f>
        <v/>
      </c>
      <c r="F22" s="129">
        <f>ROUND(E22/C22,3)</f>
        <v/>
      </c>
      <c r="G22" s="127" t="inlineStr">
        <is>
          <t>华大c4单细胞cDNA文库</t>
        </is>
      </c>
      <c r="H22" s="128" t="inlineStr">
        <is>
          <t>广州承启生物科技有限公司</t>
        </is>
      </c>
      <c r="I22" s="130" t="n"/>
      <c r="J22" s="131" t="n"/>
      <c r="K22" s="131" t="n"/>
      <c r="L22" s="131" t="n"/>
      <c r="M22" s="131" t="n">
        <v>44.6</v>
      </c>
      <c r="N22" s="131" t="n"/>
      <c r="O22" s="131" t="n"/>
      <c r="P22" s="131" t="n"/>
    </row>
    <row r="23" ht="30" customHeight="1" s="116">
      <c r="A23" s="137" t="n"/>
      <c r="B23" s="127" t="inlineStr">
        <is>
          <t>HGC-Lib-26099504</t>
        </is>
      </c>
      <c r="C23" s="127" t="n">
        <v>38.29</v>
      </c>
      <c r="D23" s="128" t="n">
        <v>58.5</v>
      </c>
      <c r="E23" s="129">
        <f>D23/D26*450</f>
        <v/>
      </c>
      <c r="F23" s="129">
        <f>ROUND(E23/C23,3)</f>
        <v/>
      </c>
      <c r="G23" s="127" t="inlineStr">
        <is>
          <t>华大c4单细胞cDNA文库</t>
        </is>
      </c>
      <c r="H23" s="128" t="inlineStr">
        <is>
          <t>广州承启生物科技有限公司</t>
        </is>
      </c>
      <c r="I23" s="130" t="n"/>
      <c r="J23" s="131" t="n"/>
      <c r="K23" s="131" t="n"/>
      <c r="L23" s="131" t="n"/>
      <c r="M23" s="131" t="n">
        <v>38.29</v>
      </c>
      <c r="N23" s="131" t="n"/>
      <c r="O23" s="131" t="n"/>
      <c r="P23" s="131" t="n"/>
    </row>
    <row r="24" ht="30" customHeight="1" s="116">
      <c r="A24" s="137" t="n"/>
      <c r="B24" s="127" t="inlineStr">
        <is>
          <t>HGC-Lib-26099533</t>
        </is>
      </c>
      <c r="C24" s="127" t="n">
        <v>47.49</v>
      </c>
      <c r="D24" s="128" t="n">
        <v>58.5</v>
      </c>
      <c r="E24" s="129">
        <f>D24/D26*450</f>
        <v/>
      </c>
      <c r="F24" s="129">
        <f>ROUND(E24/C24,3)</f>
        <v/>
      </c>
      <c r="G24" s="127" t="inlineStr">
        <is>
          <t>华大c4单细胞cDNA文库</t>
        </is>
      </c>
      <c r="H24" s="128" t="inlineStr">
        <is>
          <t>广州承启生物科技有限公司</t>
        </is>
      </c>
      <c r="I24" s="130" t="n"/>
      <c r="J24" s="131" t="n"/>
      <c r="K24" s="131" t="n"/>
      <c r="L24" s="131" t="n"/>
      <c r="M24" s="131" t="n">
        <v>47.49</v>
      </c>
      <c r="N24" s="131" t="n"/>
      <c r="O24" s="131" t="n"/>
      <c r="P24" s="131" t="n"/>
    </row>
    <row r="25" ht="30" customHeight="1" s="116">
      <c r="A25" s="132" t="n"/>
      <c r="B25" s="127" t="inlineStr">
        <is>
          <t>HGC-Lib-26099534</t>
        </is>
      </c>
      <c r="C25" s="127" t="n">
        <v>65.94</v>
      </c>
      <c r="D25" s="128" t="n">
        <v>58.5</v>
      </c>
      <c r="E25" s="129">
        <f>D25/D26*450</f>
        <v/>
      </c>
      <c r="F25" s="129">
        <f>ROUND(E25/C25,3)</f>
        <v/>
      </c>
      <c r="G25" s="127" t="inlineStr">
        <is>
          <t>华大c4单细胞cDNA文库</t>
        </is>
      </c>
      <c r="H25" s="128" t="inlineStr">
        <is>
          <t>广州承启生物科技有限公司</t>
        </is>
      </c>
      <c r="I25" s="130" t="n"/>
      <c r="J25" s="131" t="n"/>
      <c r="K25" s="131" t="n"/>
      <c r="L25" s="131" t="n"/>
      <c r="M25" s="131" t="n">
        <v>65.94</v>
      </c>
      <c r="N25" s="131" t="n"/>
      <c r="O25" s="131" t="n"/>
      <c r="P25" s="131" t="n"/>
    </row>
    <row r="26" ht="30" customHeight="1" s="116">
      <c r="A26" s="133" t="n"/>
      <c r="B26" s="131" t="n">
        <v>10</v>
      </c>
      <c r="C26" s="133" t="n"/>
      <c r="D26" s="134" t="n">
        <v>585</v>
      </c>
      <c r="E26" s="130">
        <f>ROUND(SUM(E16:E25),3)</f>
        <v/>
      </c>
      <c r="F26" s="130">
        <f>ROUND(SUM(F16:F25),3)</f>
        <v/>
      </c>
      <c r="G26" s="133" t="n"/>
      <c r="H26" s="135" t="n"/>
      <c r="I26" s="136">
        <f>ROUND(40-F26,3)</f>
        <v/>
      </c>
      <c r="J26" s="133" t="n"/>
      <c r="K26" s="133" t="n"/>
      <c r="L26" s="133" t="n"/>
      <c r="M26" s="133" t="n"/>
      <c r="N26" s="133" t="n"/>
      <c r="O26" s="133" t="n"/>
      <c r="P26" s="133" t="n"/>
    </row>
    <row r="27" ht="30" customHeight="1" s="116">
      <c r="A27" s="127" t="inlineStr">
        <is>
          <t>D9</t>
        </is>
      </c>
      <c r="B27" s="127" t="inlineStr">
        <is>
          <t>HGC-Lib-26099535</t>
        </is>
      </c>
      <c r="C27" s="127" t="n">
        <v>62.3</v>
      </c>
      <c r="D27" s="128" t="n">
        <v>58.5</v>
      </c>
      <c r="E27" s="129">
        <f>D27/D36*450</f>
        <v/>
      </c>
      <c r="F27" s="129">
        <f>ROUND(E27/C27,3)</f>
        <v/>
      </c>
      <c r="G27" s="127" t="inlineStr">
        <is>
          <t>华大c4单细胞cDNA文库</t>
        </is>
      </c>
      <c r="H27" s="128" t="inlineStr">
        <is>
          <t>广州承启生物科技有限公司</t>
        </is>
      </c>
      <c r="I27" s="130" t="n"/>
      <c r="J27" s="131" t="n"/>
      <c r="K27" s="131" t="n"/>
      <c r="L27" s="131" t="n"/>
      <c r="M27" s="131" t="n">
        <v>62.3</v>
      </c>
      <c r="N27" s="131" t="n"/>
      <c r="O27" s="131" t="n"/>
      <c r="P27" s="131" t="n"/>
    </row>
    <row r="28" ht="30" customHeight="1" s="116">
      <c r="A28" s="137" t="n"/>
      <c r="B28" s="127" t="inlineStr">
        <is>
          <t>HGC-Lib-26099536</t>
        </is>
      </c>
      <c r="C28" s="127" t="n">
        <v>52.66</v>
      </c>
      <c r="D28" s="128" t="n">
        <v>58.5</v>
      </c>
      <c r="E28" s="129">
        <f>D28/D36*450</f>
        <v/>
      </c>
      <c r="F28" s="129">
        <f>ROUND(E28/C28,3)</f>
        <v/>
      </c>
      <c r="G28" s="127" t="inlineStr">
        <is>
          <t>华大c4单细胞cDNA文库</t>
        </is>
      </c>
      <c r="H28" s="128" t="inlineStr">
        <is>
          <t>广州承启生物科技有限公司</t>
        </is>
      </c>
      <c r="I28" s="130" t="n"/>
      <c r="J28" s="131" t="n"/>
      <c r="K28" s="131" t="n"/>
      <c r="L28" s="131" t="n"/>
      <c r="M28" s="131" t="n">
        <v>52.66</v>
      </c>
      <c r="N28" s="131" t="n"/>
      <c r="O28" s="131" t="n"/>
      <c r="P28" s="131" t="n"/>
    </row>
    <row r="29" ht="30" customHeight="1" s="116">
      <c r="A29" s="137" t="n"/>
      <c r="B29" s="127" t="inlineStr">
        <is>
          <t>HGC-Lib-26099537</t>
        </is>
      </c>
      <c r="C29" s="127" t="n">
        <v>58.55</v>
      </c>
      <c r="D29" s="128" t="n">
        <v>58.5</v>
      </c>
      <c r="E29" s="129">
        <f>D29/D36*450</f>
        <v/>
      </c>
      <c r="F29" s="129">
        <f>ROUND(E29/C29,3)</f>
        <v/>
      </c>
      <c r="G29" s="127" t="inlineStr">
        <is>
          <t>华大c4单细胞cDNA文库</t>
        </is>
      </c>
      <c r="H29" s="128" t="inlineStr">
        <is>
          <t>广州承启生物科技有限公司</t>
        </is>
      </c>
      <c r="I29" s="130" t="n"/>
      <c r="J29" s="131" t="n"/>
      <c r="K29" s="131" t="n"/>
      <c r="L29" s="131" t="n"/>
      <c r="M29" s="131" t="n">
        <v>58.55</v>
      </c>
      <c r="N29" s="131" t="n"/>
      <c r="O29" s="131" t="n"/>
      <c r="P29" s="131" t="n"/>
    </row>
    <row r="30" ht="30" customHeight="1" s="116">
      <c r="A30" s="137" t="n"/>
      <c r="B30" s="127" t="inlineStr">
        <is>
          <t>HGC-Lib-26099543</t>
        </is>
      </c>
      <c r="C30" s="127" t="n">
        <v>54.34</v>
      </c>
      <c r="D30" s="128" t="n">
        <v>58.5</v>
      </c>
      <c r="E30" s="129">
        <f>D30/D36*450</f>
        <v/>
      </c>
      <c r="F30" s="129">
        <f>ROUND(E30/C30,3)</f>
        <v/>
      </c>
      <c r="G30" s="127" t="inlineStr">
        <is>
          <t>华大c4单细胞cDNA文库</t>
        </is>
      </c>
      <c r="H30" s="128" t="inlineStr">
        <is>
          <t>广州承启生物科技有限公司</t>
        </is>
      </c>
      <c r="I30" s="130" t="n"/>
      <c r="J30" s="131" t="n"/>
      <c r="K30" s="131" t="n"/>
      <c r="L30" s="131" t="n"/>
      <c r="M30" s="131" t="n">
        <v>54.34</v>
      </c>
      <c r="N30" s="131" t="n"/>
      <c r="O30" s="131" t="n"/>
      <c r="P30" s="131" t="n"/>
    </row>
    <row r="31" ht="30" customHeight="1" s="116">
      <c r="A31" s="137" t="n"/>
      <c r="B31" s="127" t="inlineStr">
        <is>
          <t>HGC-Lib-26099544</t>
        </is>
      </c>
      <c r="C31" s="127" t="n">
        <v>38.1</v>
      </c>
      <c r="D31" s="128" t="n">
        <v>58.5</v>
      </c>
      <c r="E31" s="129">
        <f>D31/D36*450</f>
        <v/>
      </c>
      <c r="F31" s="129">
        <f>ROUND(E31/C31,3)</f>
        <v/>
      </c>
      <c r="G31" s="127" t="inlineStr">
        <is>
          <t>华大c4单细胞cDNA文库</t>
        </is>
      </c>
      <c r="H31" s="128" t="inlineStr">
        <is>
          <t>广州承启生物科技有限公司</t>
        </is>
      </c>
      <c r="I31" s="130" t="n"/>
      <c r="J31" s="131" t="n"/>
      <c r="K31" s="131" t="n"/>
      <c r="L31" s="131" t="n"/>
      <c r="M31" s="131" t="n">
        <v>38.1</v>
      </c>
      <c r="N31" s="131" t="n"/>
      <c r="O31" s="131" t="n"/>
      <c r="P31" s="131" t="n"/>
    </row>
    <row r="32" ht="30" customHeight="1" s="116">
      <c r="A32" s="137" t="n"/>
      <c r="B32" s="127" t="inlineStr">
        <is>
          <t>HGC-Lib-26099545</t>
        </is>
      </c>
      <c r="C32" s="127" t="n">
        <v>45.49</v>
      </c>
      <c r="D32" s="128" t="n">
        <v>58.5</v>
      </c>
      <c r="E32" s="129">
        <f>D32/D36*450</f>
        <v/>
      </c>
      <c r="F32" s="129">
        <f>ROUND(E32/C32,3)</f>
        <v/>
      </c>
      <c r="G32" s="127" t="inlineStr">
        <is>
          <t>华大c4单细胞cDNA文库</t>
        </is>
      </c>
      <c r="H32" s="128" t="inlineStr">
        <is>
          <t>广州承启生物科技有限公司</t>
        </is>
      </c>
      <c r="I32" s="130" t="n"/>
      <c r="J32" s="131" t="n"/>
      <c r="K32" s="131" t="n"/>
      <c r="L32" s="131" t="n"/>
      <c r="M32" s="131" t="n">
        <v>45.49</v>
      </c>
      <c r="N32" s="131" t="n"/>
      <c r="O32" s="131" t="n"/>
      <c r="P32" s="131" t="n"/>
    </row>
    <row r="33" ht="30" customHeight="1" s="116">
      <c r="A33" s="137" t="n"/>
      <c r="B33" s="127" t="inlineStr">
        <is>
          <t>HGC-Lib-26099546</t>
        </is>
      </c>
      <c r="C33" s="127" t="n">
        <v>37.95</v>
      </c>
      <c r="D33" s="128" t="n">
        <v>58.5</v>
      </c>
      <c r="E33" s="129">
        <f>D33/D36*450</f>
        <v/>
      </c>
      <c r="F33" s="129">
        <f>ROUND(E33/C33,3)</f>
        <v/>
      </c>
      <c r="G33" s="127" t="inlineStr">
        <is>
          <t>华大c4单细胞cDNA文库</t>
        </is>
      </c>
      <c r="H33" s="128" t="inlineStr">
        <is>
          <t>广州承启生物科技有限公司</t>
        </is>
      </c>
      <c r="I33" s="130" t="n"/>
      <c r="J33" s="131" t="n"/>
      <c r="K33" s="131" t="n"/>
      <c r="L33" s="131" t="n"/>
      <c r="M33" s="131" t="n">
        <v>37.95</v>
      </c>
      <c r="N33" s="131" t="n"/>
      <c r="O33" s="131" t="n"/>
      <c r="P33" s="131" t="n"/>
    </row>
    <row r="34" ht="30" customHeight="1" s="116">
      <c r="A34" s="137" t="n"/>
      <c r="B34" s="127" t="inlineStr">
        <is>
          <t>HGC-Lib-26099547</t>
        </is>
      </c>
      <c r="C34" s="127" t="n">
        <v>43.5</v>
      </c>
      <c r="D34" s="128" t="n">
        <v>58.5</v>
      </c>
      <c r="E34" s="129">
        <f>D34/D36*450</f>
        <v/>
      </c>
      <c r="F34" s="129">
        <f>ROUND(E34/C34,3)</f>
        <v/>
      </c>
      <c r="G34" s="127" t="inlineStr">
        <is>
          <t>华大c4单细胞cDNA文库</t>
        </is>
      </c>
      <c r="H34" s="128" t="inlineStr">
        <is>
          <t>广州承启生物科技有限公司</t>
        </is>
      </c>
      <c r="I34" s="130" t="n"/>
      <c r="J34" s="131" t="n"/>
      <c r="K34" s="131" t="n"/>
      <c r="L34" s="131" t="n"/>
      <c r="M34" s="131" t="n">
        <v>43.5</v>
      </c>
      <c r="N34" s="131" t="n"/>
      <c r="O34" s="131" t="n"/>
      <c r="P34" s="131" t="n"/>
    </row>
    <row r="35" ht="30" customHeight="1" s="116">
      <c r="A35" s="132" t="n"/>
      <c r="B35" s="127" t="inlineStr">
        <is>
          <t>HGC-Lib-26099548</t>
        </is>
      </c>
      <c r="C35" s="127" t="n">
        <v>61.83</v>
      </c>
      <c r="D35" s="128" t="n">
        <v>58.5</v>
      </c>
      <c r="E35" s="129">
        <f>D35/D36*450</f>
        <v/>
      </c>
      <c r="F35" s="129">
        <f>ROUND(E35/C35,3)</f>
        <v/>
      </c>
      <c r="G35" s="127" t="inlineStr">
        <is>
          <t>华大c4单细胞cDNA文库</t>
        </is>
      </c>
      <c r="H35" s="128" t="inlineStr">
        <is>
          <t>广州承启生物科技有限公司</t>
        </is>
      </c>
      <c r="I35" s="130" t="n"/>
      <c r="J35" s="131" t="n"/>
      <c r="K35" s="131" t="n"/>
      <c r="L35" s="131" t="n"/>
      <c r="M35" s="131" t="n">
        <v>61.83</v>
      </c>
      <c r="N35" s="131" t="n"/>
      <c r="O35" s="131" t="n"/>
      <c r="P35" s="131" t="n"/>
    </row>
    <row r="36" ht="30" customHeight="1" s="116">
      <c r="A36" s="133" t="n"/>
      <c r="B36" s="131" t="n">
        <v>9</v>
      </c>
      <c r="C36" s="133" t="n"/>
      <c r="D36" s="134" t="n">
        <v>526.5</v>
      </c>
      <c r="E36" s="130">
        <f>ROUND(SUM(E27:E35),3)</f>
        <v/>
      </c>
      <c r="F36" s="130">
        <f>ROUND(SUM(F27:F35),3)</f>
        <v/>
      </c>
      <c r="G36" s="133" t="n"/>
      <c r="H36" s="135" t="n"/>
      <c r="I36" s="136">
        <f>ROUND(40-F36,3)</f>
        <v/>
      </c>
      <c r="J36" s="133" t="n"/>
      <c r="K36" s="133" t="n"/>
      <c r="L36" s="133" t="n"/>
      <c r="M36" s="133" t="n"/>
      <c r="N36" s="133" t="n"/>
      <c r="O36" s="133" t="n"/>
      <c r="P36" s="133" t="n"/>
    </row>
    <row r="37" ht="30" customHeight="1" s="116">
      <c r="A37" s="127" t="inlineStr">
        <is>
          <t>D10</t>
        </is>
      </c>
      <c r="B37" s="127" t="inlineStr">
        <is>
          <t>HGC-Lib-26095669</t>
        </is>
      </c>
      <c r="C37" s="127" t="n">
        <v>12.7</v>
      </c>
      <c r="D37" s="128" t="n">
        <v>1.17</v>
      </c>
      <c r="E37" s="129">
        <f>D37/D49*450</f>
        <v/>
      </c>
      <c r="F37" s="129">
        <f>ROUND(E37/C37,3)</f>
        <v/>
      </c>
      <c r="G37" s="127" t="inlineStr">
        <is>
          <t>华大-C4-oligo</t>
        </is>
      </c>
      <c r="H37" s="128" t="inlineStr">
        <is>
          <t>广州奥智生物科技有限公司</t>
        </is>
      </c>
      <c r="I37" s="130" t="n"/>
      <c r="J37" s="131" t="n"/>
      <c r="K37" s="131" t="n"/>
      <c r="L37" s="131" t="n"/>
      <c r="M37" s="131" t="n">
        <v>12.7</v>
      </c>
      <c r="N37" s="131" t="n"/>
      <c r="O37" s="131" t="inlineStr">
        <is>
          <t>B</t>
        </is>
      </c>
      <c r="P37" s="131" t="inlineStr">
        <is>
          <t>E</t>
        </is>
      </c>
    </row>
    <row r="38" ht="30" customHeight="1" s="116">
      <c r="A38" s="137" t="n"/>
      <c r="B38" s="127" t="inlineStr">
        <is>
          <t>HGC-Lib-26095675</t>
        </is>
      </c>
      <c r="C38" s="127" t="n">
        <v>12.92</v>
      </c>
      <c r="D38" s="128" t="n">
        <v>1.17</v>
      </c>
      <c r="E38" s="129">
        <f>D38/D49*450</f>
        <v/>
      </c>
      <c r="F38" s="129">
        <f>ROUND(E38/C38,3)</f>
        <v/>
      </c>
      <c r="G38" s="127" t="inlineStr">
        <is>
          <t>华大-C4-oligo</t>
        </is>
      </c>
      <c r="H38" s="128" t="inlineStr">
        <is>
          <t>广州奥智生物科技有限公司</t>
        </is>
      </c>
      <c r="I38" s="130" t="n"/>
      <c r="J38" s="131" t="n"/>
      <c r="K38" s="131" t="n"/>
      <c r="L38" s="131" t="n"/>
      <c r="M38" s="131" t="n">
        <v>12.92</v>
      </c>
      <c r="N38" s="131" t="n"/>
      <c r="O38" s="131" t="inlineStr">
        <is>
          <t>B</t>
        </is>
      </c>
      <c r="P38" s="131" t="inlineStr">
        <is>
          <t>E</t>
        </is>
      </c>
    </row>
    <row r="39" ht="30" customHeight="1" s="116">
      <c r="A39" s="137" t="n"/>
      <c r="B39" s="127" t="inlineStr">
        <is>
          <t>HGC-Lib-26099397</t>
        </is>
      </c>
      <c r="C39" s="127" t="n">
        <v>72.73</v>
      </c>
      <c r="D39" s="128" t="n">
        <v>6.5</v>
      </c>
      <c r="E39" s="129">
        <f>D39/D49*450</f>
        <v/>
      </c>
      <c r="F39" s="129">
        <f>ROUND(E39/C39,3)</f>
        <v/>
      </c>
      <c r="G39" s="127" t="inlineStr">
        <is>
          <t>华大c4单细胞oligo文库</t>
        </is>
      </c>
      <c r="H39" s="128" t="inlineStr">
        <is>
          <t>广州承启生物科技有限公司</t>
        </is>
      </c>
      <c r="I39" s="130" t="n"/>
      <c r="J39" s="131" t="n"/>
      <c r="K39" s="131" t="n"/>
      <c r="L39" s="131" t="n"/>
      <c r="M39" s="131" t="n">
        <v>72.73</v>
      </c>
      <c r="N39" s="131" t="n"/>
      <c r="O39" s="131" t="n"/>
      <c r="P39" s="131" t="n"/>
    </row>
    <row r="40" ht="30" customHeight="1" s="116">
      <c r="A40" s="137" t="n"/>
      <c r="B40" s="127" t="inlineStr">
        <is>
          <t>HGC-Lib-26099399</t>
        </is>
      </c>
      <c r="C40" s="127" t="n">
        <v>68.34</v>
      </c>
      <c r="D40" s="128" t="n">
        <v>6.5</v>
      </c>
      <c r="E40" s="129">
        <f>D40/D49*450</f>
        <v/>
      </c>
      <c r="F40" s="129">
        <f>ROUND(E40/C40,3)</f>
        <v/>
      </c>
      <c r="G40" s="127" t="inlineStr">
        <is>
          <t>华大c4单细胞oligo文库</t>
        </is>
      </c>
      <c r="H40" s="128" t="inlineStr">
        <is>
          <t>广州承启生物科技有限公司</t>
        </is>
      </c>
      <c r="I40" s="130" t="n"/>
      <c r="J40" s="131" t="n"/>
      <c r="K40" s="131" t="n"/>
      <c r="L40" s="131" t="n"/>
      <c r="M40" s="131" t="n">
        <v>68.34</v>
      </c>
      <c r="N40" s="131" t="n"/>
      <c r="O40" s="131" t="n"/>
      <c r="P40" s="131" t="n"/>
    </row>
    <row r="41" ht="30" customHeight="1" s="116">
      <c r="A41" s="137" t="n"/>
      <c r="B41" s="127" t="inlineStr">
        <is>
          <t>HGC-Lib-26099401</t>
        </is>
      </c>
      <c r="C41" s="127" t="n">
        <v>68.44</v>
      </c>
      <c r="D41" s="128" t="n">
        <v>6.5</v>
      </c>
      <c r="E41" s="129">
        <f>D41/D49*450</f>
        <v/>
      </c>
      <c r="F41" s="129">
        <f>ROUND(E41/C41,3)</f>
        <v/>
      </c>
      <c r="G41" s="127" t="inlineStr">
        <is>
          <t>华大c4单细胞oligo文库</t>
        </is>
      </c>
      <c r="H41" s="128" t="inlineStr">
        <is>
          <t>广州承启生物科技有限公司</t>
        </is>
      </c>
      <c r="I41" s="130" t="n"/>
      <c r="J41" s="131" t="n"/>
      <c r="K41" s="131" t="n"/>
      <c r="L41" s="131" t="n"/>
      <c r="M41" s="131" t="n">
        <v>68.44</v>
      </c>
      <c r="N41" s="131" t="n"/>
      <c r="O41" s="131" t="n"/>
      <c r="P41" s="131" t="n"/>
    </row>
    <row r="42" ht="30" customHeight="1" s="116">
      <c r="A42" s="137" t="n"/>
      <c r="B42" s="127" t="inlineStr">
        <is>
          <t>HGC-Lib-26099428</t>
        </is>
      </c>
      <c r="C42" s="127" t="n">
        <v>71.53</v>
      </c>
      <c r="D42" s="128" t="n">
        <v>6.5</v>
      </c>
      <c r="E42" s="129">
        <f>D42/D49*450</f>
        <v/>
      </c>
      <c r="F42" s="129">
        <f>ROUND(E42/C42,3)</f>
        <v/>
      </c>
      <c r="G42" s="127" t="inlineStr">
        <is>
          <t>华大c4单细胞oligo文库</t>
        </is>
      </c>
      <c r="H42" s="128" t="inlineStr">
        <is>
          <t>广州承启生物科技有限公司</t>
        </is>
      </c>
      <c r="I42" s="130" t="n"/>
      <c r="J42" s="131" t="n"/>
      <c r="K42" s="131" t="n"/>
      <c r="L42" s="131" t="n"/>
      <c r="M42" s="131" t="n">
        <v>71.53</v>
      </c>
      <c r="N42" s="131" t="n"/>
      <c r="O42" s="131" t="n"/>
      <c r="P42" s="131" t="n"/>
    </row>
    <row r="43" ht="30" customHeight="1" s="116">
      <c r="A43" s="137" t="n"/>
      <c r="B43" s="127" t="inlineStr">
        <is>
          <t>HGC-Lib-26099429</t>
        </is>
      </c>
      <c r="C43" s="127" t="n">
        <v>79.89</v>
      </c>
      <c r="D43" s="128" t="n">
        <v>6.5</v>
      </c>
      <c r="E43" s="129">
        <f>D43/D49*450</f>
        <v/>
      </c>
      <c r="F43" s="129">
        <f>ROUND(E43/C43,3)</f>
        <v/>
      </c>
      <c r="G43" s="127" t="inlineStr">
        <is>
          <t>华大c4单细胞oligo文库</t>
        </is>
      </c>
      <c r="H43" s="128" t="inlineStr">
        <is>
          <t>广州承启生物科技有限公司</t>
        </is>
      </c>
      <c r="I43" s="130" t="n"/>
      <c r="J43" s="131" t="n"/>
      <c r="K43" s="131" t="n"/>
      <c r="L43" s="131" t="n"/>
      <c r="M43" s="131" t="n">
        <v>79.89</v>
      </c>
      <c r="N43" s="131" t="n"/>
      <c r="O43" s="131" t="n"/>
      <c r="P43" s="131" t="n"/>
    </row>
    <row r="44" ht="30" customHeight="1" s="116">
      <c r="A44" s="137" t="n"/>
      <c r="B44" s="127" t="inlineStr">
        <is>
          <t>HGC-Lib-26099430</t>
        </is>
      </c>
      <c r="C44" s="127" t="n">
        <v>82.03</v>
      </c>
      <c r="D44" s="128" t="n">
        <v>6.5</v>
      </c>
      <c r="E44" s="129">
        <f>D44/D49*450</f>
        <v/>
      </c>
      <c r="F44" s="129">
        <f>ROUND(E44/C44,3)</f>
        <v/>
      </c>
      <c r="G44" s="127" t="inlineStr">
        <is>
          <t>华大c4单细胞oligo文库</t>
        </is>
      </c>
      <c r="H44" s="128" t="inlineStr">
        <is>
          <t>广州承启生物科技有限公司</t>
        </is>
      </c>
      <c r="I44" s="130" t="n"/>
      <c r="J44" s="131" t="n"/>
      <c r="K44" s="131" t="n"/>
      <c r="L44" s="131" t="n"/>
      <c r="M44" s="131" t="n">
        <v>82.03</v>
      </c>
      <c r="N44" s="131" t="n"/>
      <c r="O44" s="131" t="n"/>
      <c r="P44" s="131" t="n"/>
    </row>
    <row r="45" ht="30" customHeight="1" s="116">
      <c r="A45" s="137" t="n"/>
      <c r="B45" s="127" t="inlineStr">
        <is>
          <t>HGC-Lib-26099436</t>
        </is>
      </c>
      <c r="C45" s="127" t="n">
        <v>71.47</v>
      </c>
      <c r="D45" s="128" t="n">
        <v>6.5</v>
      </c>
      <c r="E45" s="129">
        <f>D45/D49*450</f>
        <v/>
      </c>
      <c r="F45" s="129">
        <f>ROUND(E45/C45,3)</f>
        <v/>
      </c>
      <c r="G45" s="127" t="inlineStr">
        <is>
          <t>华大c4单细胞oligo文库</t>
        </is>
      </c>
      <c r="H45" s="128" t="inlineStr">
        <is>
          <t>广州承启生物科技有限公司</t>
        </is>
      </c>
      <c r="I45" s="130" t="n"/>
      <c r="J45" s="131" t="n"/>
      <c r="K45" s="131" t="n"/>
      <c r="L45" s="131" t="n"/>
      <c r="M45" s="131" t="n">
        <v>71.47</v>
      </c>
      <c r="N45" s="131" t="n"/>
      <c r="O45" s="131" t="n"/>
      <c r="P45" s="131" t="n"/>
    </row>
    <row r="46" ht="30" customHeight="1" s="116">
      <c r="A46" s="137" t="n"/>
      <c r="B46" s="127" t="inlineStr">
        <is>
          <t>HGC-Lib-26099437</t>
        </is>
      </c>
      <c r="C46" s="127" t="n">
        <v>79.73</v>
      </c>
      <c r="D46" s="128" t="n">
        <v>6.5</v>
      </c>
      <c r="E46" s="129">
        <f>D46/D49*450</f>
        <v/>
      </c>
      <c r="F46" s="129">
        <f>ROUND(E46/C46,3)</f>
        <v/>
      </c>
      <c r="G46" s="127" t="inlineStr">
        <is>
          <t>华大c4单细胞oligo文库</t>
        </is>
      </c>
      <c r="H46" s="128" t="inlineStr">
        <is>
          <t>广州承启生物科技有限公司</t>
        </is>
      </c>
      <c r="I46" s="130" t="n"/>
      <c r="J46" s="131" t="n"/>
      <c r="K46" s="131" t="n"/>
      <c r="L46" s="131" t="n"/>
      <c r="M46" s="131" t="n">
        <v>79.73</v>
      </c>
      <c r="N46" s="131" t="n"/>
      <c r="O46" s="131" t="n"/>
      <c r="P46" s="131" t="n"/>
    </row>
    <row r="47" ht="30" customHeight="1" s="116">
      <c r="A47" s="137" t="n"/>
      <c r="B47" s="127" t="inlineStr">
        <is>
          <t>HGC-Lib-26099438</t>
        </is>
      </c>
      <c r="C47" s="127" t="n">
        <v>86.52</v>
      </c>
      <c r="D47" s="128" t="n">
        <v>6.5</v>
      </c>
      <c r="E47" s="129">
        <f>D47/D49*450</f>
        <v/>
      </c>
      <c r="F47" s="129">
        <f>ROUND(E47/C47,3)</f>
        <v/>
      </c>
      <c r="G47" s="127" t="inlineStr">
        <is>
          <t>华大c4单细胞oligo文库</t>
        </is>
      </c>
      <c r="H47" s="128" t="inlineStr">
        <is>
          <t>广州承启生物科技有限公司</t>
        </is>
      </c>
      <c r="I47" s="130" t="n"/>
      <c r="J47" s="131" t="n"/>
      <c r="K47" s="131" t="n"/>
      <c r="L47" s="131" t="n"/>
      <c r="M47" s="131" t="n">
        <v>86.52</v>
      </c>
      <c r="N47" s="131" t="n"/>
      <c r="O47" s="131" t="n"/>
      <c r="P47" s="131" t="n"/>
    </row>
    <row r="48" ht="30" customHeight="1" s="116">
      <c r="A48" s="132" t="n"/>
      <c r="B48" s="127" t="inlineStr">
        <is>
          <t>HGC-Lib-26099439</t>
        </is>
      </c>
      <c r="C48" s="127" t="n">
        <v>82.79000000000001</v>
      </c>
      <c r="D48" s="128" t="n">
        <v>6.5</v>
      </c>
      <c r="E48" s="129">
        <f>D48/D49*450</f>
        <v/>
      </c>
      <c r="F48" s="129">
        <f>ROUND(E48/C48,3)</f>
        <v/>
      </c>
      <c r="G48" s="127" t="inlineStr">
        <is>
          <t>华大c4单细胞oligo文库</t>
        </is>
      </c>
      <c r="H48" s="128" t="inlineStr">
        <is>
          <t>广州承启生物科技有限公司</t>
        </is>
      </c>
      <c r="I48" s="130" t="n"/>
      <c r="J48" s="131" t="n"/>
      <c r="K48" s="131" t="n"/>
      <c r="L48" s="131" t="n"/>
      <c r="M48" s="131" t="n">
        <v>82.79000000000001</v>
      </c>
      <c r="N48" s="131" t="n"/>
      <c r="O48" s="131" t="n"/>
      <c r="P48" s="131" t="n"/>
    </row>
    <row r="49" ht="30" customHeight="1" s="116">
      <c r="A49" s="133" t="n"/>
      <c r="B49" s="131" t="n">
        <v>12</v>
      </c>
      <c r="C49" s="133" t="n"/>
      <c r="D49" s="134" t="n">
        <v>67.34</v>
      </c>
      <c r="E49" s="130">
        <f>ROUND(SUM(E37:E48),3)</f>
        <v/>
      </c>
      <c r="F49" s="130">
        <f>ROUND(SUM(F37:F48),3)</f>
        <v/>
      </c>
      <c r="G49" s="133" t="n"/>
      <c r="H49" s="135" t="n"/>
      <c r="I49" s="136">
        <f>ROUND(40-F49,3)</f>
        <v/>
      </c>
      <c r="J49" s="133" t="n"/>
      <c r="K49" s="133" t="n"/>
      <c r="L49" s="133" t="n"/>
      <c r="M49" s="133" t="n"/>
      <c r="N49" s="133" t="n"/>
      <c r="O49" s="133" t="n"/>
      <c r="P49" s="133" t="n"/>
    </row>
    <row r="50" ht="30" customHeight="1" s="116">
      <c r="A50" s="127" t="inlineStr">
        <is>
          <t>D11</t>
        </is>
      </c>
      <c r="B50" s="127" t="inlineStr">
        <is>
          <t>HGC-Lib-26095660</t>
        </is>
      </c>
      <c r="C50" s="127" t="n">
        <v>10.94</v>
      </c>
      <c r="D50" s="128" t="n">
        <v>1.17</v>
      </c>
      <c r="E50" s="129">
        <f>D50/D62*450</f>
        <v/>
      </c>
      <c r="F50" s="129">
        <f>ROUND(E50/C50,3)</f>
        <v/>
      </c>
      <c r="G50" s="127" t="inlineStr">
        <is>
          <t>华大-C4-oligo</t>
        </is>
      </c>
      <c r="H50" s="128" t="inlineStr">
        <is>
          <t>广州奥智生物科技有限公司</t>
        </is>
      </c>
      <c r="I50" s="130" t="n"/>
      <c r="J50" s="131" t="n"/>
      <c r="K50" s="131" t="n"/>
      <c r="L50" s="131" t="n"/>
      <c r="M50" s="131" t="n">
        <v>10.94</v>
      </c>
      <c r="N50" s="131" t="n"/>
      <c r="O50" s="131" t="inlineStr">
        <is>
          <t>B</t>
        </is>
      </c>
      <c r="P50" s="131" t="inlineStr">
        <is>
          <t>E</t>
        </is>
      </c>
    </row>
    <row r="51" ht="30" customHeight="1" s="116">
      <c r="A51" s="137" t="n"/>
      <c r="B51" s="127" t="inlineStr">
        <is>
          <t>HGC-Lib-26095678</t>
        </is>
      </c>
      <c r="C51" s="127" t="n">
        <v>12.01</v>
      </c>
      <c r="D51" s="128" t="n">
        <v>1.17</v>
      </c>
      <c r="E51" s="129">
        <f>D51/D62*450</f>
        <v/>
      </c>
      <c r="F51" s="129">
        <f>ROUND(E51/C51,3)</f>
        <v/>
      </c>
      <c r="G51" s="127" t="inlineStr">
        <is>
          <t>华大-C4-oligo</t>
        </is>
      </c>
      <c r="H51" s="128" t="inlineStr">
        <is>
          <t>广州奥智生物科技有限公司</t>
        </is>
      </c>
      <c r="I51" s="130" t="n"/>
      <c r="J51" s="131" t="n"/>
      <c r="K51" s="131" t="n"/>
      <c r="L51" s="131" t="n"/>
      <c r="M51" s="131" t="n">
        <v>12.01</v>
      </c>
      <c r="N51" s="131" t="n"/>
      <c r="O51" s="131" t="inlineStr">
        <is>
          <t>B</t>
        </is>
      </c>
      <c r="P51" s="131" t="inlineStr">
        <is>
          <t>E</t>
        </is>
      </c>
    </row>
    <row r="52" ht="30" customHeight="1" s="116">
      <c r="A52" s="137" t="n"/>
      <c r="B52" s="127" t="inlineStr">
        <is>
          <t>HGC-Lib-26095683</t>
        </is>
      </c>
      <c r="C52" s="127" t="n">
        <v>11.87</v>
      </c>
      <c r="D52" s="128" t="n">
        <v>1.17</v>
      </c>
      <c r="E52" s="129">
        <f>D52/D62*450</f>
        <v/>
      </c>
      <c r="F52" s="129">
        <f>ROUND(E52/C52,3)</f>
        <v/>
      </c>
      <c r="G52" s="127" t="inlineStr">
        <is>
          <t>华大-C4-oligo</t>
        </is>
      </c>
      <c r="H52" s="128" t="inlineStr">
        <is>
          <t>广州奥智生物科技有限公司</t>
        </is>
      </c>
      <c r="I52" s="130" t="n"/>
      <c r="J52" s="131" t="n"/>
      <c r="K52" s="131" t="n"/>
      <c r="L52" s="131" t="n"/>
      <c r="M52" s="131" t="n">
        <v>11.87</v>
      </c>
      <c r="N52" s="131" t="n"/>
      <c r="O52" s="131" t="inlineStr">
        <is>
          <t>B</t>
        </is>
      </c>
      <c r="P52" s="131" t="inlineStr">
        <is>
          <t>E</t>
        </is>
      </c>
    </row>
    <row r="53" ht="30" customHeight="1" s="116">
      <c r="A53" s="137" t="n"/>
      <c r="B53" s="127" t="inlineStr">
        <is>
          <t>HGC-Lib-26095693</t>
        </is>
      </c>
      <c r="C53" s="127" t="n">
        <v>8.5</v>
      </c>
      <c r="D53" s="128" t="n">
        <v>1.17</v>
      </c>
      <c r="E53" s="129">
        <f>D53/D62*450</f>
        <v/>
      </c>
      <c r="F53" s="129">
        <f>ROUND(E53/C53,3)</f>
        <v/>
      </c>
      <c r="G53" s="127" t="inlineStr">
        <is>
          <t>华大-C4-oligo</t>
        </is>
      </c>
      <c r="H53" s="128" t="inlineStr">
        <is>
          <t>广州奥智生物科技有限公司</t>
        </is>
      </c>
      <c r="I53" s="130" t="n"/>
      <c r="J53" s="131" t="n"/>
      <c r="K53" s="131" t="n"/>
      <c r="L53" s="131" t="n"/>
      <c r="M53" s="131" t="n">
        <v>8.5</v>
      </c>
      <c r="N53" s="131" t="n"/>
      <c r="O53" s="131" t="inlineStr">
        <is>
          <t>B</t>
        </is>
      </c>
      <c r="P53" s="131" t="inlineStr">
        <is>
          <t>AE</t>
        </is>
      </c>
    </row>
    <row r="54" ht="30" customHeight="1" s="116">
      <c r="A54" s="137" t="n"/>
      <c r="B54" s="127" t="inlineStr">
        <is>
          <t>HGC-Lib-26097916</t>
        </is>
      </c>
      <c r="C54" s="127" t="n">
        <v>47.71</v>
      </c>
      <c r="D54" s="128" t="n">
        <v>6.5</v>
      </c>
      <c r="E54" s="129">
        <f>D54/D62*450</f>
        <v/>
      </c>
      <c r="F54" s="129">
        <f>ROUND(E54/C54,3)</f>
        <v/>
      </c>
      <c r="G54" s="127" t="inlineStr">
        <is>
          <t>华大C4-oligo</t>
        </is>
      </c>
      <c r="H54" s="128" t="inlineStr">
        <is>
          <t>杭州星源未来科技有限公司</t>
        </is>
      </c>
      <c r="I54" s="130" t="n"/>
      <c r="J54" s="131" t="n"/>
      <c r="K54" s="131" t="n"/>
      <c r="L54" s="131" t="n"/>
      <c r="M54" s="131" t="n">
        <v>47.71</v>
      </c>
      <c r="N54" s="131" t="n">
        <v>238</v>
      </c>
      <c r="O54" s="131" t="inlineStr">
        <is>
          <t>B</t>
        </is>
      </c>
      <c r="P54" s="131" t="inlineStr">
        <is>
          <t>C</t>
        </is>
      </c>
    </row>
    <row r="55" ht="30" customHeight="1" s="116">
      <c r="A55" s="137" t="n"/>
      <c r="B55" s="127" t="inlineStr">
        <is>
          <t>HGC-Lib-26099398</t>
        </is>
      </c>
      <c r="C55" s="127" t="n">
        <v>64.63</v>
      </c>
      <c r="D55" s="128" t="n">
        <v>6.5</v>
      </c>
      <c r="E55" s="129">
        <f>D55/D62*450</f>
        <v/>
      </c>
      <c r="F55" s="129">
        <f>ROUND(E55/C55,3)</f>
        <v/>
      </c>
      <c r="G55" s="127" t="inlineStr">
        <is>
          <t>华大c4单细胞oligo文库</t>
        </is>
      </c>
      <c r="H55" s="128" t="inlineStr">
        <is>
          <t>广州承启生物科技有限公司</t>
        </is>
      </c>
      <c r="I55" s="130" t="n"/>
      <c r="J55" s="131" t="n"/>
      <c r="K55" s="131" t="n"/>
      <c r="L55" s="131" t="n"/>
      <c r="M55" s="131" t="n">
        <v>64.63</v>
      </c>
      <c r="N55" s="131" t="n"/>
      <c r="O55" s="131" t="n"/>
      <c r="P55" s="131" t="n"/>
    </row>
    <row r="56" ht="30" customHeight="1" s="116">
      <c r="A56" s="137" t="n"/>
      <c r="B56" s="127" t="inlineStr">
        <is>
          <t>HGC-Lib-26099400</t>
        </is>
      </c>
      <c r="C56" s="127" t="n">
        <v>66.14</v>
      </c>
      <c r="D56" s="128" t="n">
        <v>6.5</v>
      </c>
      <c r="E56" s="129">
        <f>D56/D62*450</f>
        <v/>
      </c>
      <c r="F56" s="129">
        <f>ROUND(E56/C56,3)</f>
        <v/>
      </c>
      <c r="G56" s="127" t="inlineStr">
        <is>
          <t>华大c4单细胞oligo文库</t>
        </is>
      </c>
      <c r="H56" s="128" t="inlineStr">
        <is>
          <t>广州承启生物科技有限公司</t>
        </is>
      </c>
      <c r="I56" s="130" t="n"/>
      <c r="J56" s="131" t="n"/>
      <c r="K56" s="131" t="n"/>
      <c r="L56" s="131" t="n"/>
      <c r="M56" s="131" t="n">
        <v>66.14</v>
      </c>
      <c r="N56" s="131" t="n"/>
      <c r="O56" s="131" t="n"/>
      <c r="P56" s="131" t="n"/>
    </row>
    <row r="57" ht="30" customHeight="1" s="116">
      <c r="A57" s="137" t="n"/>
      <c r="B57" s="127" t="inlineStr">
        <is>
          <t>HGC-Lib-26099417</t>
        </is>
      </c>
      <c r="C57" s="127" t="n">
        <v>67.34</v>
      </c>
      <c r="D57" s="128" t="n">
        <v>6.5</v>
      </c>
      <c r="E57" s="129">
        <f>D57/D62*450</f>
        <v/>
      </c>
      <c r="F57" s="129">
        <f>ROUND(E57/C57,3)</f>
        <v/>
      </c>
      <c r="G57" s="127" t="inlineStr">
        <is>
          <t>华大c4单细胞oligo文库</t>
        </is>
      </c>
      <c r="H57" s="128" t="inlineStr">
        <is>
          <t>广州承启生物科技有限公司</t>
        </is>
      </c>
      <c r="I57" s="130" t="n"/>
      <c r="J57" s="131" t="n"/>
      <c r="K57" s="131" t="n"/>
      <c r="L57" s="131" t="n"/>
      <c r="M57" s="131" t="n">
        <v>67.34</v>
      </c>
      <c r="N57" s="131" t="n"/>
      <c r="O57" s="131" t="n"/>
      <c r="P57" s="131" t="n"/>
    </row>
    <row r="58" ht="30" customHeight="1" s="116">
      <c r="A58" s="137" t="n"/>
      <c r="B58" s="127" t="inlineStr">
        <is>
          <t>HGC-Lib-26099440</t>
        </is>
      </c>
      <c r="C58" s="127" t="n">
        <v>68.06999999999999</v>
      </c>
      <c r="D58" s="128" t="n">
        <v>6.5</v>
      </c>
      <c r="E58" s="129">
        <f>D58/D62*450</f>
        <v/>
      </c>
      <c r="F58" s="129">
        <f>ROUND(E58/C58,3)</f>
        <v/>
      </c>
      <c r="G58" s="127" t="inlineStr">
        <is>
          <t>华大c4单细胞oligo文库</t>
        </is>
      </c>
      <c r="H58" s="128" t="inlineStr">
        <is>
          <t>广州承启生物科技有限公司</t>
        </is>
      </c>
      <c r="I58" s="130" t="n"/>
      <c r="J58" s="131" t="n"/>
      <c r="K58" s="131" t="n"/>
      <c r="L58" s="131" t="n"/>
      <c r="M58" s="131" t="n">
        <v>68.06999999999999</v>
      </c>
      <c r="N58" s="131" t="n"/>
      <c r="O58" s="131" t="n"/>
      <c r="P58" s="131" t="n"/>
    </row>
    <row r="59" ht="30" customHeight="1" s="116">
      <c r="A59" s="137" t="n"/>
      <c r="B59" s="127" t="inlineStr">
        <is>
          <t>HGC-Lib-26099487</t>
        </is>
      </c>
      <c r="C59" s="127" t="n">
        <v>65.23</v>
      </c>
      <c r="D59" s="128" t="n">
        <v>6.5</v>
      </c>
      <c r="E59" s="129">
        <f>D59/D62*450</f>
        <v/>
      </c>
      <c r="F59" s="129">
        <f>ROUND(E59/C59,3)</f>
        <v/>
      </c>
      <c r="G59" s="127" t="inlineStr">
        <is>
          <t>华大c4单细胞oligo文库</t>
        </is>
      </c>
      <c r="H59" s="128" t="inlineStr">
        <is>
          <t>广州承启生物科技有限公司</t>
        </is>
      </c>
      <c r="I59" s="130" t="n"/>
      <c r="J59" s="131" t="n"/>
      <c r="K59" s="131" t="n"/>
      <c r="L59" s="131" t="n"/>
      <c r="M59" s="131" t="n">
        <v>65.23</v>
      </c>
      <c r="N59" s="131" t="n"/>
      <c r="O59" s="131" t="n"/>
      <c r="P59" s="131" t="n"/>
    </row>
    <row r="60" ht="30" customHeight="1" s="116">
      <c r="A60" s="137" t="n"/>
      <c r="B60" s="127" t="inlineStr">
        <is>
          <t>HGC-Lib-26099488</t>
        </is>
      </c>
      <c r="C60" s="127" t="n">
        <v>61.79</v>
      </c>
      <c r="D60" s="128" t="n">
        <v>6.5</v>
      </c>
      <c r="E60" s="129">
        <f>D60/D62*450</f>
        <v/>
      </c>
      <c r="F60" s="129">
        <f>ROUND(E60/C60,3)</f>
        <v/>
      </c>
      <c r="G60" s="127" t="inlineStr">
        <is>
          <t>华大c4单细胞oligo文库</t>
        </is>
      </c>
      <c r="H60" s="128" t="inlineStr">
        <is>
          <t>广州承启生物科技有限公司</t>
        </is>
      </c>
      <c r="I60" s="130" t="n"/>
      <c r="J60" s="131" t="n"/>
      <c r="K60" s="131" t="n"/>
      <c r="L60" s="131" t="n"/>
      <c r="M60" s="131" t="n">
        <v>61.79</v>
      </c>
      <c r="N60" s="131" t="n"/>
      <c r="O60" s="131" t="n"/>
      <c r="P60" s="131" t="n"/>
    </row>
    <row r="61" ht="30" customHeight="1" s="116">
      <c r="A61" s="132" t="n"/>
      <c r="B61" s="127" t="inlineStr">
        <is>
          <t>HGC-Lib-26099489</t>
        </is>
      </c>
      <c r="C61" s="127" t="n">
        <v>49.59</v>
      </c>
      <c r="D61" s="128" t="n">
        <v>6.5</v>
      </c>
      <c r="E61" s="129">
        <f>D61/D62*450</f>
        <v/>
      </c>
      <c r="F61" s="129">
        <f>ROUND(E61/C61,3)</f>
        <v/>
      </c>
      <c r="G61" s="127" t="inlineStr">
        <is>
          <t>华大c4单细胞oligo文库</t>
        </is>
      </c>
      <c r="H61" s="128" t="inlineStr">
        <is>
          <t>广州承启生物科技有限公司</t>
        </is>
      </c>
      <c r="I61" s="130" t="n"/>
      <c r="J61" s="131" t="n"/>
      <c r="K61" s="131" t="n"/>
      <c r="L61" s="131" t="n"/>
      <c r="M61" s="131" t="n">
        <v>49.59</v>
      </c>
      <c r="N61" s="131" t="n"/>
      <c r="O61" s="131" t="n"/>
      <c r="P61" s="131" t="n"/>
    </row>
    <row r="62" ht="30" customHeight="1" s="116">
      <c r="A62" s="133" t="n"/>
      <c r="B62" s="131" t="n">
        <v>12</v>
      </c>
      <c r="C62" s="133" t="n"/>
      <c r="D62" s="134" t="n">
        <v>56.68</v>
      </c>
      <c r="E62" s="130">
        <f>ROUND(SUM(E50:E61),3)</f>
        <v/>
      </c>
      <c r="F62" s="130">
        <f>ROUND(SUM(F50:F61),3)</f>
        <v/>
      </c>
      <c r="G62" s="133" t="n"/>
      <c r="H62" s="135" t="n"/>
      <c r="I62" s="136">
        <f>ROUND(40-F62,3)</f>
        <v/>
      </c>
      <c r="J62" s="133" t="n"/>
      <c r="K62" s="133" t="n"/>
      <c r="L62" s="133" t="n"/>
      <c r="M62" s="133" t="n"/>
      <c r="N62" s="133" t="n"/>
      <c r="O62" s="133" t="n"/>
      <c r="P62" s="133" t="n"/>
    </row>
    <row r="63" ht="30" customHeight="1" s="116">
      <c r="A63" s="127" t="inlineStr">
        <is>
          <t>D12</t>
        </is>
      </c>
      <c r="B63" s="127" t="inlineStr">
        <is>
          <t>HGC-Lib-26093647</t>
        </is>
      </c>
      <c r="C63" s="127" t="n">
        <v>23.8</v>
      </c>
      <c r="D63" s="128" t="n">
        <v>5.2</v>
      </c>
      <c r="E63" s="129">
        <f>D63/D67*450</f>
        <v/>
      </c>
      <c r="F63" s="129">
        <f>ROUND(E63/C63,3)</f>
        <v/>
      </c>
      <c r="G63" s="127" t="inlineStr">
        <is>
          <t>华大C4-oligo</t>
        </is>
      </c>
      <c r="H63" s="128" t="inlineStr">
        <is>
          <t>杭州开泰生物技术有限公司</t>
        </is>
      </c>
      <c r="I63" s="130" t="n"/>
      <c r="J63" s="131" t="n"/>
      <c r="K63" s="131" t="inlineStr">
        <is>
          <t>加急</t>
        </is>
      </c>
      <c r="L63" s="131" t="n"/>
      <c r="M63" s="131" t="n">
        <v>23.8</v>
      </c>
      <c r="N63" s="131" t="n">
        <v>199</v>
      </c>
      <c r="O63" s="131" t="inlineStr">
        <is>
          <t>B</t>
        </is>
      </c>
      <c r="P63" s="131" t="inlineStr">
        <is>
          <t>C</t>
        </is>
      </c>
    </row>
    <row r="64" ht="30" customHeight="1" s="116">
      <c r="A64" s="137" t="n"/>
      <c r="B64" s="127" t="inlineStr">
        <is>
          <t>HGC-Lib-26098627</t>
        </is>
      </c>
      <c r="C64" s="127" t="n">
        <v>21.52</v>
      </c>
      <c r="D64" s="128" t="n">
        <v>5.2</v>
      </c>
      <c r="E64" s="129">
        <f>D64/D67*450</f>
        <v/>
      </c>
      <c r="F64" s="129">
        <f>ROUND(E64/C64,3)</f>
        <v/>
      </c>
      <c r="G64" s="127" t="inlineStr">
        <is>
          <t>华大C4-oligo</t>
        </is>
      </c>
      <c r="H64" s="128" t="inlineStr">
        <is>
          <t>杭州开泰生物技术有限公司</t>
        </is>
      </c>
      <c r="I64" s="130" t="n"/>
      <c r="J64" s="131" t="n"/>
      <c r="K64" s="131" t="n"/>
      <c r="L64" s="131" t="n"/>
      <c r="M64" s="131" t="n">
        <v>21.52</v>
      </c>
      <c r="N64" s="131" t="n">
        <v>246</v>
      </c>
      <c r="O64" s="131" t="inlineStr">
        <is>
          <t>A</t>
        </is>
      </c>
      <c r="P64" s="131" t="n"/>
    </row>
    <row r="65" ht="30" customHeight="1" s="116">
      <c r="A65" s="137" t="n"/>
      <c r="B65" s="127" t="inlineStr">
        <is>
          <t>HGC-Lib-26098630</t>
        </is>
      </c>
      <c r="C65" s="127" t="n">
        <v>21.76</v>
      </c>
      <c r="D65" s="128" t="n">
        <v>5.2</v>
      </c>
      <c r="E65" s="129">
        <f>D65/D67*450</f>
        <v/>
      </c>
      <c r="F65" s="129">
        <f>ROUND(E65/C65,3)</f>
        <v/>
      </c>
      <c r="G65" s="127" t="inlineStr">
        <is>
          <t>华大C4-oligo</t>
        </is>
      </c>
      <c r="H65" s="128" t="inlineStr">
        <is>
          <t>杭州开泰生物技术有限公司</t>
        </is>
      </c>
      <c r="I65" s="130" t="n"/>
      <c r="J65" s="131" t="n"/>
      <c r="K65" s="131" t="n"/>
      <c r="L65" s="131" t="n"/>
      <c r="M65" s="131" t="n">
        <v>21.76</v>
      </c>
      <c r="N65" s="131" t="n">
        <v>244</v>
      </c>
      <c r="O65" s="131" t="inlineStr">
        <is>
          <t>A</t>
        </is>
      </c>
      <c r="P65" s="131" t="n"/>
    </row>
    <row r="66" ht="30" customHeight="1" s="116">
      <c r="A66" s="132" t="n"/>
      <c r="B66" s="127" t="inlineStr">
        <is>
          <t>HGC-Lib-26098631</t>
        </is>
      </c>
      <c r="C66" s="127" t="n">
        <v>25.62</v>
      </c>
      <c r="D66" s="128" t="n">
        <v>5.2</v>
      </c>
      <c r="E66" s="129">
        <f>D66/D67*450</f>
        <v/>
      </c>
      <c r="F66" s="129">
        <f>ROUND(E66/C66,3)</f>
        <v/>
      </c>
      <c r="G66" s="127" t="inlineStr">
        <is>
          <t>华大C4-oligo</t>
        </is>
      </c>
      <c r="H66" s="128" t="inlineStr">
        <is>
          <t>杭州开泰生物技术有限公司</t>
        </is>
      </c>
      <c r="I66" s="130" t="n"/>
      <c r="J66" s="131" t="n"/>
      <c r="K66" s="131" t="n"/>
      <c r="L66" s="131" t="n"/>
      <c r="M66" s="131" t="n">
        <v>25.62</v>
      </c>
      <c r="N66" s="131" t="n">
        <v>242</v>
      </c>
      <c r="O66" s="131" t="inlineStr">
        <is>
          <t>A</t>
        </is>
      </c>
      <c r="P66" s="131" t="n"/>
    </row>
    <row r="67" ht="30" customHeight="1" s="116">
      <c r="A67" s="133" t="n"/>
      <c r="B67" s="131" t="n">
        <v>4</v>
      </c>
      <c r="C67" s="133" t="n"/>
      <c r="D67" s="134" t="n">
        <v>20.8</v>
      </c>
      <c r="E67" s="130">
        <f>ROUND(SUM(E63:E66),3)</f>
        <v/>
      </c>
      <c r="F67" s="130">
        <f>ROUND(SUM(F63:F66),3)</f>
        <v/>
      </c>
      <c r="G67" s="133" t="n"/>
      <c r="H67" s="135" t="n"/>
      <c r="I67" s="136">
        <f>ROUND(40-F67,3)</f>
        <v/>
      </c>
      <c r="J67" s="133" t="n"/>
      <c r="K67" s="133" t="n"/>
      <c r="L67" s="133" t="n"/>
      <c r="M67" s="133" t="n"/>
      <c r="N67" s="133" t="n"/>
      <c r="O67" s="133" t="n"/>
      <c r="P67" s="133" t="n"/>
    </row>
    <row r="68" ht="30" customHeight="1" s="116">
      <c r="A68" s="127" t="inlineStr">
        <is>
          <t>D13</t>
        </is>
      </c>
      <c r="B68" s="127" t="inlineStr">
        <is>
          <t>HGC-POOL-26098682</t>
        </is>
      </c>
      <c r="C68" s="127" t="n">
        <v>24.45</v>
      </c>
      <c r="D68" s="128" t="n">
        <v>26</v>
      </c>
      <c r="E68" s="129">
        <f>D68/D69*300</f>
        <v/>
      </c>
      <c r="F68" s="129">
        <f>ROUND(E68/C68,3)</f>
        <v/>
      </c>
      <c r="G68" s="127" t="inlineStr">
        <is>
          <t>华大C4-oligo</t>
        </is>
      </c>
      <c r="H68" s="128" t="inlineStr">
        <is>
          <t>武汉瑞兴生物科技有限公司</t>
        </is>
      </c>
      <c r="I68" s="130" t="n"/>
      <c r="J68" s="131" t="n"/>
      <c r="K68" s="131" t="n"/>
      <c r="L68" s="131" t="n"/>
      <c r="M68" s="131" t="n">
        <v>24.45</v>
      </c>
      <c r="N68" s="131" t="n">
        <v>254</v>
      </c>
      <c r="O68" s="131" t="inlineStr">
        <is>
          <t>A</t>
        </is>
      </c>
      <c r="P68" s="131" t="n"/>
    </row>
    <row r="69" ht="30" customHeight="1" s="116">
      <c r="A69" s="133" t="n"/>
      <c r="B69" s="131" t="n">
        <v>1</v>
      </c>
      <c r="C69" s="133" t="n"/>
      <c r="D69" s="134" t="n">
        <v>26</v>
      </c>
      <c r="E69" s="130">
        <f>ROUND(SUM(E68:E68),3)</f>
        <v/>
      </c>
      <c r="F69" s="130">
        <f>ROUND(SUM(F68:F68),3)</f>
        <v/>
      </c>
      <c r="G69" s="133" t="n"/>
      <c r="H69" s="135" t="n"/>
      <c r="I69" s="136">
        <f>ROUND(40-F69,3)</f>
        <v/>
      </c>
      <c r="J69" s="133" t="n"/>
      <c r="K69" s="133" t="n"/>
      <c r="L69" s="133" t="n"/>
      <c r="M69" s="133" t="n"/>
      <c r="N69" s="133" t="n"/>
      <c r="O69" s="133" t="n"/>
      <c r="P69" s="133" t="n"/>
    </row>
  </sheetData>
  <mergeCells count="5">
    <mergeCell ref="A27:A35"/>
    <mergeCell ref="A16:A25"/>
    <mergeCell ref="A37:A48"/>
    <mergeCell ref="A50:A61"/>
    <mergeCell ref="A63:A66"/>
  </mergeCells>
  <pageMargins left="0.75" right="0.75" top="1" bottom="1" header="0.5" footer="0.5"/>
  <pageSetup orientation="portrait" paperSize="9" scale="5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zoomScale="60" zoomScaleNormal="60" workbookViewId="0">
      <selection activeCell="K13" sqref="K13"/>
    </sheetView>
  </sheetViews>
  <sheetFormatPr baseColWidth="8" defaultColWidth="9" defaultRowHeight="21.95" customHeight="1"/>
  <cols>
    <col width="10" customWidth="1" style="28" min="1" max="1"/>
    <col width="17" customWidth="1" style="28" min="2" max="2"/>
    <col width="13" customWidth="1" style="98" min="3" max="3"/>
    <col width="20" customWidth="1" style="98" min="4" max="4"/>
    <col width="60" customWidth="1" style="99" min="5" max="5"/>
    <col width="25" customWidth="1" style="99" min="6" max="6"/>
    <col width="14" customWidth="1" style="98" min="7" max="7"/>
    <col width="17" customWidth="1" style="98" min="8" max="8"/>
    <col width="21" customWidth="1" style="100" min="9" max="9"/>
    <col width="12" customWidth="1" style="98" min="10" max="10"/>
    <col width="17" customWidth="1" style="101" min="11" max="11"/>
    <col width="16" customWidth="1" style="98" min="12" max="12"/>
    <col width="17" customWidth="1" style="26" min="13" max="13"/>
    <col width="25" customWidth="1" style="26" min="14" max="14"/>
    <col width="36" customWidth="1" style="26" min="15" max="15"/>
    <col width="14" customWidth="1" style="98" min="16" max="16"/>
    <col width="16" customWidth="1" style="26" min="17" max="17"/>
    <col width="15" customWidth="1" style="26" min="18" max="18"/>
    <col width="14" customWidth="1" style="26" min="19" max="19"/>
    <col width="12.625" customWidth="1" style="26" min="20" max="20"/>
    <col width="9" customWidth="1" style="26" min="21" max="21"/>
    <col width="9" customWidth="1" style="26" min="22" max="16384"/>
  </cols>
  <sheetData>
    <row r="1" ht="40" customFormat="1" customHeight="1" s="4">
      <c r="A1" s="4" t="inlineStr">
        <is>
          <t>laneID</t>
        </is>
      </c>
      <c r="B1" s="102" t="inlineStr">
        <is>
          <t>文库ssDNA编号</t>
        </is>
      </c>
      <c r="C1" s="103" t="inlineStr">
        <is>
          <t>SSDNA浓度</t>
        </is>
      </c>
      <c r="D1" s="104" t="inlineStr">
        <is>
          <t>平均片段</t>
        </is>
      </c>
      <c r="E1" s="105" t="n"/>
      <c r="F1" s="105" t="inlineStr">
        <is>
          <t>150fmol对应质量（ng）</t>
        </is>
      </c>
      <c r="G1" s="106" t="inlineStr">
        <is>
          <t>投入摩尔数</t>
        </is>
      </c>
      <c r="H1" s="107" t="inlineStr">
        <is>
          <t>数据量（G)</t>
        </is>
      </c>
      <c r="I1" s="108" t="inlineStr">
        <is>
          <t>理论数据量占比</t>
        </is>
      </c>
      <c r="J1" s="109" t="inlineStr">
        <is>
          <t>调整比例</t>
        </is>
      </c>
      <c r="K1" s="109" t="n"/>
      <c r="L1" s="108" t="inlineStr">
        <is>
          <t>实际投入占比</t>
        </is>
      </c>
      <c r="M1" s="110" t="inlineStr">
        <is>
          <t>ssDNA取样体积</t>
        </is>
      </c>
      <c r="N1" s="111" t="inlineStr">
        <is>
          <t>文库类型</t>
        </is>
      </c>
      <c r="O1" s="111" t="inlineStr">
        <is>
          <t>客户单位</t>
        </is>
      </c>
      <c r="P1" s="112" t="inlineStr">
        <is>
          <t>TE补充体积</t>
        </is>
      </c>
      <c r="Q1" s="113" t="inlineStr">
        <is>
          <t>实际调整比例</t>
        </is>
      </c>
      <c r="R1" s="111" t="inlineStr">
        <is>
          <t>环化效率</t>
        </is>
      </c>
      <c r="S1" s="104" t="inlineStr">
        <is>
          <t>环化投入量</t>
        </is>
      </c>
      <c r="T1" s="44" t="n"/>
      <c r="U1" s="44" t="n"/>
      <c r="V1" s="114" t="n"/>
      <c r="W1" s="115" t="n"/>
      <c r="X1" s="115" t="n"/>
    </row>
    <row r="2" ht="30" customFormat="1" customHeight="1" s="4">
      <c r="A2" s="127" t="inlineStr">
        <is>
          <t>0807C</t>
        </is>
      </c>
      <c r="B2" s="127" t="inlineStr">
        <is>
          <t>C1</t>
        </is>
      </c>
      <c r="C2" s="138" t="n"/>
      <c r="D2" s="139" t="n"/>
      <c r="E2" s="129">
        <f>IF(ABS(D2-D15)&lt;=100,"正常",IF(D2&gt;D15,"偏大"&amp;INT(D2-D15)&amp;"bp","偏小"&amp;INT(D15-D2)&amp;"bp"))</f>
        <v/>
      </c>
      <c r="F2" s="129">
        <f>D2*0.33*G2*0.001</f>
        <v/>
      </c>
      <c r="G2" s="127">
        <f>900*L2</f>
        <v/>
      </c>
      <c r="H2" s="128" t="n">
        <v>0.91</v>
      </c>
      <c r="I2" s="129">
        <f>ROUND(H2/H15,4)</f>
        <v/>
      </c>
      <c r="J2" s="138" t="n"/>
      <c r="K2" s="127">
        <f>I2*J2</f>
        <v/>
      </c>
      <c r="L2" s="127">
        <f>K2/K15</f>
        <v/>
      </c>
      <c r="M2" s="127">
        <f>F2/C2</f>
        <v/>
      </c>
      <c r="N2" s="127" t="inlineStr">
        <is>
          <t>华大-C4-转录组</t>
        </is>
      </c>
      <c r="O2" s="127" t="inlineStr">
        <is>
          <t>广州奥智生物科技有限公司</t>
        </is>
      </c>
      <c r="P2" s="138" t="n"/>
      <c r="Q2" s="127">
        <f>I2*J2</f>
        <v/>
      </c>
      <c r="R2" s="131">
        <f>22*C2/S2</f>
        <v/>
      </c>
      <c r="S2" s="131" t="n">
        <v>300</v>
      </c>
      <c r="T2" s="133" t="n"/>
      <c r="U2" s="133" t="n"/>
      <c r="V2" s="133" t="n"/>
      <c r="W2" s="133" t="n"/>
      <c r="X2" s="133" t="n"/>
    </row>
    <row r="3" ht="30" customFormat="1" customHeight="1" s="4">
      <c r="A3" s="127" t="inlineStr">
        <is>
          <t>0807C</t>
        </is>
      </c>
      <c r="B3" s="127" t="inlineStr">
        <is>
          <t>C2</t>
        </is>
      </c>
      <c r="C3" s="138" t="n"/>
      <c r="D3" s="139" t="n"/>
      <c r="E3" s="129">
        <f>IF(ABS(D3-D15)&lt;=100,"正常",IF(D3&gt;D15,"偏大"&amp;INT(D3-D15)&amp;"bp","偏小"&amp;INT(D15-D3)&amp;"bp"))</f>
        <v/>
      </c>
      <c r="F3" s="129">
        <f>D3*0.33*G3*0.001</f>
        <v/>
      </c>
      <c r="G3" s="127">
        <f>900*L3</f>
        <v/>
      </c>
      <c r="H3" s="128" t="n">
        <v>26.26</v>
      </c>
      <c r="I3" s="129">
        <f>ROUND(H3/H15,4)</f>
        <v/>
      </c>
      <c r="J3" s="138" t="n"/>
      <c r="K3" s="127">
        <f>I3*J3</f>
        <v/>
      </c>
      <c r="L3" s="127">
        <f>K3/K15</f>
        <v/>
      </c>
      <c r="M3" s="127">
        <f>F3/C3</f>
        <v/>
      </c>
      <c r="N3" s="127" t="inlineStr">
        <is>
          <t>华大C4-cDNA</t>
        </is>
      </c>
      <c r="O3" s="127" t="inlineStr">
        <is>
          <t>武汉瑞兴生物科技有限公司</t>
        </is>
      </c>
      <c r="P3" s="138" t="n"/>
      <c r="Q3" s="127">
        <f>I3*J3</f>
        <v/>
      </c>
      <c r="R3" s="131">
        <f>22*C3/S3</f>
        <v/>
      </c>
      <c r="S3" s="131" t="n">
        <v>300</v>
      </c>
      <c r="T3" s="133" t="n"/>
      <c r="U3" s="133" t="n"/>
      <c r="V3" s="133" t="n"/>
      <c r="W3" s="133" t="n"/>
      <c r="X3" s="133" t="n"/>
    </row>
    <row r="4" ht="30" customFormat="1" customHeight="1" s="4">
      <c r="A4" s="127" t="inlineStr">
        <is>
          <t>0807C</t>
        </is>
      </c>
      <c r="B4" s="127" t="inlineStr">
        <is>
          <t>C3</t>
        </is>
      </c>
      <c r="C4" s="138" t="n"/>
      <c r="D4" s="139" t="n"/>
      <c r="E4" s="129">
        <f>IF(ABS(D4-D15)&lt;=100,"正常",IF(D4&gt;D15,"偏大"&amp;INT(D4-D15)&amp;"bp","偏小"&amp;INT(D15-D4)&amp;"bp"))</f>
        <v/>
      </c>
      <c r="F4" s="129">
        <f>D4*0.33*G4*0.001</f>
        <v/>
      </c>
      <c r="G4" s="127">
        <f>900*L4</f>
        <v/>
      </c>
      <c r="H4" s="128" t="n">
        <v>117</v>
      </c>
      <c r="I4" s="129">
        <f>ROUND(H4/H15,4)</f>
        <v/>
      </c>
      <c r="J4" s="138" t="n"/>
      <c r="K4" s="127">
        <f>I4*J4</f>
        <v/>
      </c>
      <c r="L4" s="127">
        <f>K4/K15</f>
        <v/>
      </c>
      <c r="M4" s="127">
        <f>F4/C4</f>
        <v/>
      </c>
      <c r="N4" s="127" t="inlineStr">
        <is>
          <t>华大C4-cDNA</t>
        </is>
      </c>
      <c r="O4" s="127" t="inlineStr">
        <is>
          <t>杭州开泰生物技术有限公司</t>
        </is>
      </c>
      <c r="P4" s="138" t="n"/>
      <c r="Q4" s="127">
        <f>I4*J4</f>
        <v/>
      </c>
      <c r="R4" s="131">
        <f>22*C4/S4</f>
        <v/>
      </c>
      <c r="S4" s="131" t="n">
        <v>450</v>
      </c>
      <c r="T4" s="133" t="n"/>
      <c r="U4" s="133" t="n"/>
      <c r="V4" s="133" t="n"/>
      <c r="W4" s="133" t="n"/>
      <c r="X4" s="133" t="n"/>
    </row>
    <row r="5" ht="30" customFormat="1" customHeight="1" s="4">
      <c r="A5" s="127" t="inlineStr">
        <is>
          <t>0807C</t>
        </is>
      </c>
      <c r="B5" s="127" t="inlineStr">
        <is>
          <t>C4</t>
        </is>
      </c>
      <c r="C5" s="138" t="n"/>
      <c r="D5" s="139" t="n"/>
      <c r="E5" s="129">
        <f>IF(ABS(D5-D15)&lt;=100,"正常",IF(D5&gt;D15,"偏大"&amp;INT(D5-D15)&amp;"bp","偏小"&amp;INT(D15-D5)&amp;"bp"))</f>
        <v/>
      </c>
      <c r="F5" s="129">
        <f>D5*0.33*G5*0.001</f>
        <v/>
      </c>
      <c r="G5" s="127">
        <f>900*L5</f>
        <v/>
      </c>
      <c r="H5" s="128" t="n">
        <v>16.51</v>
      </c>
      <c r="I5" s="129">
        <f>ROUND(H5/H15,4)</f>
        <v/>
      </c>
      <c r="J5" s="138" t="n"/>
      <c r="K5" s="127">
        <f>I5*J5</f>
        <v/>
      </c>
      <c r="L5" s="127">
        <f>K5/K15</f>
        <v/>
      </c>
      <c r="M5" s="127">
        <f>F5/C5</f>
        <v/>
      </c>
      <c r="N5" s="127" t="inlineStr">
        <is>
          <t>华大c4单细胞cDNA文库</t>
        </is>
      </c>
      <c r="O5" s="127" t="inlineStr">
        <is>
          <t>武汉迈维代谢生物科技股份有限公司</t>
        </is>
      </c>
      <c r="P5" s="138" t="n"/>
      <c r="Q5" s="127">
        <f>I5*J5</f>
        <v/>
      </c>
      <c r="R5" s="131">
        <f>22*C5/S5</f>
        <v/>
      </c>
      <c r="S5" s="131" t="n">
        <v>300</v>
      </c>
      <c r="T5" s="133" t="n"/>
      <c r="U5" s="133" t="n"/>
      <c r="V5" s="133" t="n"/>
      <c r="W5" s="133" t="n"/>
      <c r="X5" s="133" t="n"/>
    </row>
    <row r="6" ht="30" customFormat="1" customHeight="1" s="4">
      <c r="A6" s="127" t="inlineStr">
        <is>
          <t>0807C</t>
        </is>
      </c>
      <c r="B6" s="127" t="inlineStr">
        <is>
          <t>C5</t>
        </is>
      </c>
      <c r="C6" s="138" t="n"/>
      <c r="D6" s="139" t="n"/>
      <c r="E6" s="129">
        <f>IF(ABS(D6-D15)&lt;=100,"正常",IF(D6&gt;D15,"偏大"&amp;INT(D6-D15)&amp;"bp","偏小"&amp;INT(D15-D6)&amp;"bp"))</f>
        <v/>
      </c>
      <c r="F6" s="129">
        <f>D6*0.33*G6*0.001</f>
        <v/>
      </c>
      <c r="G6" s="127">
        <f>900*L6</f>
        <v/>
      </c>
      <c r="H6" s="128" t="n">
        <v>52</v>
      </c>
      <c r="I6" s="129">
        <f>ROUND(H6/H15,4)</f>
        <v/>
      </c>
      <c r="J6" s="138" t="n"/>
      <c r="K6" s="127">
        <f>I6*J6</f>
        <v/>
      </c>
      <c r="L6" s="127">
        <f>K6/K15</f>
        <v/>
      </c>
      <c r="M6" s="127">
        <f>F6/C6</f>
        <v/>
      </c>
      <c r="N6" s="127" t="inlineStr">
        <is>
          <t>华大C4-cDNA</t>
        </is>
      </c>
      <c r="O6" s="127" t="inlineStr">
        <is>
          <t>武汉瑞兴生物科技有限公司</t>
        </is>
      </c>
      <c r="P6" s="138" t="n"/>
      <c r="Q6" s="127">
        <f>I6*J6</f>
        <v/>
      </c>
      <c r="R6" s="131">
        <f>22*C6/S6</f>
        <v/>
      </c>
      <c r="S6" s="131" t="n">
        <v>450</v>
      </c>
      <c r="T6" s="133" t="n"/>
      <c r="U6" s="133" t="n"/>
      <c r="V6" s="133" t="n"/>
      <c r="W6" s="133" t="n"/>
      <c r="X6" s="133" t="n"/>
    </row>
    <row r="7" ht="30" customFormat="1" customHeight="1" s="4">
      <c r="A7" s="127" t="inlineStr">
        <is>
          <t>0807C</t>
        </is>
      </c>
      <c r="B7" s="127" t="inlineStr">
        <is>
          <t>C6</t>
        </is>
      </c>
      <c r="C7" s="138" t="n"/>
      <c r="D7" s="139" t="n"/>
      <c r="E7" s="129">
        <f>IF(ABS(D7-D15)&lt;=100,"正常",IF(D7&gt;D15,"偏大"&amp;INT(D7-D15)&amp;"bp","偏小"&amp;INT(D15-D7)&amp;"bp"))</f>
        <v/>
      </c>
      <c r="F7" s="129">
        <f>D7*0.33*G7*0.001</f>
        <v/>
      </c>
      <c r="G7" s="127">
        <f>900*L7</f>
        <v/>
      </c>
      <c r="H7" s="128" t="n">
        <v>11.96</v>
      </c>
      <c r="I7" s="129">
        <f>ROUND(H7/H15,4)</f>
        <v/>
      </c>
      <c r="J7" s="138" t="n"/>
      <c r="K7" s="127">
        <f>I7*J7</f>
        <v/>
      </c>
      <c r="L7" s="127">
        <f>K7/K15</f>
        <v/>
      </c>
      <c r="M7" s="127">
        <f>F7/C7</f>
        <v/>
      </c>
      <c r="N7" s="127" t="inlineStr">
        <is>
          <t>华大-C4-转录组</t>
        </is>
      </c>
      <c r="O7" s="127" t="inlineStr">
        <is>
          <t>广州奥智生物科技有限公司</t>
        </is>
      </c>
      <c r="P7" s="138" t="n"/>
      <c r="Q7" s="127">
        <f>I7*J7</f>
        <v/>
      </c>
      <c r="R7" s="131">
        <f>22*C7/S7</f>
        <v/>
      </c>
      <c r="S7" s="131" t="n">
        <v>300</v>
      </c>
      <c r="T7" s="133" t="n"/>
      <c r="U7" s="133" t="n"/>
      <c r="V7" s="133" t="n"/>
      <c r="W7" s="133" t="n"/>
      <c r="X7" s="133" t="n"/>
    </row>
    <row r="8" ht="30" customFormat="1" customHeight="1" s="4">
      <c r="A8" s="127" t="inlineStr">
        <is>
          <t>0807C</t>
        </is>
      </c>
      <c r="B8" s="127" t="inlineStr">
        <is>
          <t>C7</t>
        </is>
      </c>
      <c r="C8" s="138" t="n"/>
      <c r="D8" s="139" t="n"/>
      <c r="E8" s="129">
        <f>IF(ABS(D8-D15)&lt;=100,"正常",IF(D8&gt;D15,"偏大"&amp;INT(D8-D15)&amp;"bp","偏小"&amp;INT(D15-D8)&amp;"bp"))</f>
        <v/>
      </c>
      <c r="F8" s="129">
        <f>D8*0.33*G8*0.001</f>
        <v/>
      </c>
      <c r="G8" s="127">
        <f>900*L8</f>
        <v/>
      </c>
      <c r="H8" s="128" t="n">
        <v>22.1</v>
      </c>
      <c r="I8" s="129">
        <f>ROUND(H8/H15,4)</f>
        <v/>
      </c>
      <c r="J8" s="138" t="n"/>
      <c r="K8" s="127">
        <f>I8*J8</f>
        <v/>
      </c>
      <c r="L8" s="127">
        <f>K8/K15</f>
        <v/>
      </c>
      <c r="M8" s="127">
        <f>F8/C8</f>
        <v/>
      </c>
      <c r="N8" s="127" t="inlineStr">
        <is>
          <t>华大C4-cDNA</t>
        </is>
      </c>
      <c r="O8" s="127" t="inlineStr">
        <is>
          <t>武汉瑞兴生物科技有限公司</t>
        </is>
      </c>
      <c r="P8" s="138" t="n"/>
      <c r="Q8" s="127">
        <f>I8*J8</f>
        <v/>
      </c>
      <c r="R8" s="131">
        <f>22*C8/S8</f>
        <v/>
      </c>
      <c r="S8" s="131" t="n">
        <v>300</v>
      </c>
      <c r="T8" s="133" t="n"/>
      <c r="U8" s="133" t="n"/>
      <c r="V8" s="133" t="n"/>
      <c r="W8" s="133" t="n"/>
      <c r="X8" s="133" t="n"/>
    </row>
    <row r="9" ht="30" customFormat="1" customHeight="1" s="4">
      <c r="A9" s="127" t="inlineStr">
        <is>
          <t>0807C</t>
        </is>
      </c>
      <c r="B9" s="127" t="inlineStr">
        <is>
          <t>C8</t>
        </is>
      </c>
      <c r="C9" s="138" t="n"/>
      <c r="D9" s="139" t="n"/>
      <c r="E9" s="129">
        <f>IF(ABS(D9-D15)&lt;=100,"正常",IF(D9&gt;D15,"偏大"&amp;INT(D9-D15)&amp;"bp","偏小"&amp;INT(D15-D9)&amp;"bp"))</f>
        <v/>
      </c>
      <c r="F9" s="129">
        <f>D9*0.33*G9*0.001</f>
        <v/>
      </c>
      <c r="G9" s="127">
        <f>900*L9</f>
        <v/>
      </c>
      <c r="H9" s="128" t="n">
        <v>585</v>
      </c>
      <c r="I9" s="129">
        <f>ROUND(H9/H15,4)</f>
        <v/>
      </c>
      <c r="J9" s="138" t="n"/>
      <c r="K9" s="127">
        <f>I9*J9</f>
        <v/>
      </c>
      <c r="L9" s="127">
        <f>K9/K15</f>
        <v/>
      </c>
      <c r="M9" s="127">
        <f>F9/C9</f>
        <v/>
      </c>
      <c r="N9" s="127" t="inlineStr">
        <is>
          <t>华大c4单细胞cDNA文库</t>
        </is>
      </c>
      <c r="O9" s="127" t="inlineStr">
        <is>
          <t>广州承启生物科技有限公司</t>
        </is>
      </c>
      <c r="P9" s="138" t="n"/>
      <c r="Q9" s="127">
        <f>I9*J9</f>
        <v/>
      </c>
      <c r="R9" s="131">
        <f>22*C9/S9</f>
        <v/>
      </c>
      <c r="S9" s="131" t="n">
        <v>450</v>
      </c>
      <c r="T9" s="133" t="n"/>
      <c r="U9" s="133" t="n"/>
      <c r="V9" s="133" t="n"/>
      <c r="W9" s="133" t="n"/>
      <c r="X9" s="133" t="n"/>
    </row>
    <row r="10" ht="30" customFormat="1" customHeight="1" s="4">
      <c r="A10" s="127" t="inlineStr">
        <is>
          <t>0807C</t>
        </is>
      </c>
      <c r="B10" s="127" t="inlineStr">
        <is>
          <t>C9</t>
        </is>
      </c>
      <c r="C10" s="138" t="n"/>
      <c r="D10" s="139" t="n"/>
      <c r="E10" s="129">
        <f>IF(ABS(D10-D15)&lt;=100,"正常",IF(D10&gt;D15,"偏大"&amp;INT(D10-D15)&amp;"bp","偏小"&amp;INT(D15-D10)&amp;"bp"))</f>
        <v/>
      </c>
      <c r="F10" s="129">
        <f>D10*0.33*G10*0.001</f>
        <v/>
      </c>
      <c r="G10" s="127">
        <f>900*L10</f>
        <v/>
      </c>
      <c r="H10" s="128" t="n">
        <v>585</v>
      </c>
      <c r="I10" s="129">
        <f>ROUND(H10/H15,4)</f>
        <v/>
      </c>
      <c r="J10" s="138" t="n"/>
      <c r="K10" s="127">
        <f>I10*J10</f>
        <v/>
      </c>
      <c r="L10" s="127">
        <f>K10/K15</f>
        <v/>
      </c>
      <c r="M10" s="127">
        <f>F10/C10</f>
        <v/>
      </c>
      <c r="N10" s="127" t="inlineStr">
        <is>
          <t>华大c4单细胞cDNA文库</t>
        </is>
      </c>
      <c r="O10" s="127" t="inlineStr">
        <is>
          <t>广州承启生物科技有限公司</t>
        </is>
      </c>
      <c r="P10" s="138" t="n"/>
      <c r="Q10" s="127">
        <f>I10*J10</f>
        <v/>
      </c>
      <c r="R10" s="131">
        <f>22*C10/S10</f>
        <v/>
      </c>
      <c r="S10" s="131" t="n">
        <v>450</v>
      </c>
      <c r="T10" s="133" t="n"/>
      <c r="U10" s="133" t="n"/>
      <c r="V10" s="133" t="n"/>
      <c r="W10" s="133" t="n"/>
      <c r="X10" s="133" t="n"/>
    </row>
    <row r="11" ht="30" customFormat="1" customHeight="1" s="4">
      <c r="A11" s="127" t="inlineStr">
        <is>
          <t>0807C</t>
        </is>
      </c>
      <c r="B11" s="127" t="inlineStr">
        <is>
          <t>C10</t>
        </is>
      </c>
      <c r="C11" s="138" t="n"/>
      <c r="D11" s="139" t="n"/>
      <c r="E11" s="129">
        <f>IF(ABS(D11-D15)&lt;=100,"正常",IF(D11&gt;D15,"偏大"&amp;INT(D11-D15)&amp;"bp","偏小"&amp;INT(D15-D11)&amp;"bp"))</f>
        <v/>
      </c>
      <c r="F11" s="129">
        <f>D11*0.33*G11*0.001</f>
        <v/>
      </c>
      <c r="G11" s="127">
        <f>900*L11</f>
        <v/>
      </c>
      <c r="H11" s="128" t="n">
        <v>1.43</v>
      </c>
      <c r="I11" s="129">
        <f>ROUND(H11/H15,4)</f>
        <v/>
      </c>
      <c r="J11" s="138" t="n"/>
      <c r="K11" s="127">
        <f>I11*J11</f>
        <v/>
      </c>
      <c r="L11" s="127">
        <f>K11/K15</f>
        <v/>
      </c>
      <c r="M11" s="127">
        <f>F11/C11</f>
        <v/>
      </c>
      <c r="N11" s="127" t="inlineStr">
        <is>
          <t>华大-C4-oligo</t>
        </is>
      </c>
      <c r="O11" s="127" t="inlineStr">
        <is>
          <t>广州奥智生物科技有限公司</t>
        </is>
      </c>
      <c r="P11" s="138" t="n"/>
      <c r="Q11" s="127">
        <f>I11*J11</f>
        <v/>
      </c>
      <c r="R11" s="131">
        <f>22*C11/S11</f>
        <v/>
      </c>
      <c r="S11" s="131" t="n">
        <v>300</v>
      </c>
      <c r="T11" s="133" t="n"/>
      <c r="U11" s="133" t="n"/>
      <c r="V11" s="133" t="n"/>
      <c r="W11" s="133" t="n"/>
      <c r="X11" s="133" t="n"/>
    </row>
    <row r="12" ht="30" customFormat="1" customHeight="1" s="114">
      <c r="A12" s="127" t="inlineStr">
        <is>
          <t>0807C</t>
        </is>
      </c>
      <c r="B12" s="127" t="inlineStr">
        <is>
          <t>C11</t>
        </is>
      </c>
      <c r="C12" s="138" t="n"/>
      <c r="D12" s="139" t="n"/>
      <c r="E12" s="129">
        <f>IF(ABS(D12-D15)&lt;=100,"正常",IF(D12&gt;D15,"偏大"&amp;INT(D12-D15)&amp;"bp","偏小"&amp;INT(D15-D12)&amp;"bp"))</f>
        <v/>
      </c>
      <c r="F12" s="129">
        <f>D12*0.33*G12*0.001</f>
        <v/>
      </c>
      <c r="G12" s="127">
        <f>900*L12</f>
        <v/>
      </c>
      <c r="H12" s="128" t="n">
        <v>56.68</v>
      </c>
      <c r="I12" s="129">
        <f>ROUND(H12/H15,4)</f>
        <v/>
      </c>
      <c r="J12" s="138" t="n"/>
      <c r="K12" s="127">
        <f>I12*J12</f>
        <v/>
      </c>
      <c r="L12" s="127">
        <f>K12/K15</f>
        <v/>
      </c>
      <c r="M12" s="127">
        <f>F12/C12</f>
        <v/>
      </c>
      <c r="N12" s="127" t="inlineStr">
        <is>
          <t>华大-C4-oligo</t>
        </is>
      </c>
      <c r="O12" s="127" t="inlineStr">
        <is>
          <t>广州奥智生物科技有限公司</t>
        </is>
      </c>
      <c r="P12" s="138" t="n"/>
      <c r="Q12" s="127">
        <f>I12*J12</f>
        <v/>
      </c>
      <c r="R12" s="131">
        <f>22*C12/S12</f>
        <v/>
      </c>
      <c r="S12" s="131" t="n">
        <v>450</v>
      </c>
      <c r="T12" s="133" t="n"/>
      <c r="U12" s="133" t="n"/>
      <c r="V12" s="133" t="n"/>
      <c r="W12" s="133" t="n"/>
      <c r="X12" s="133" t="n"/>
    </row>
    <row r="13" ht="30" customHeight="1" s="116">
      <c r="A13" s="127" t="inlineStr">
        <is>
          <t>0807C</t>
        </is>
      </c>
      <c r="B13" s="127" t="inlineStr">
        <is>
          <t>C12</t>
        </is>
      </c>
      <c r="C13" s="138" t="n"/>
      <c r="D13" s="139" t="n"/>
      <c r="E13" s="129">
        <f>IF(ABS(D13-D15)&lt;=100,"正常",IF(D13&gt;D15,"偏大"&amp;INT(D13-D15)&amp;"bp","偏小"&amp;INT(D15-D13)&amp;"bp"))</f>
        <v/>
      </c>
      <c r="F13" s="129">
        <f>D13*0.33*G13*0.001</f>
        <v/>
      </c>
      <c r="G13" s="127">
        <f>900*L13</f>
        <v/>
      </c>
      <c r="H13" s="128" t="n">
        <v>75.40000000000001</v>
      </c>
      <c r="I13" s="129">
        <f>ROUND(H13/H15,4)</f>
        <v/>
      </c>
      <c r="J13" s="138" t="n"/>
      <c r="K13" s="127">
        <f>I13*J13</f>
        <v/>
      </c>
      <c r="L13" s="127">
        <f>K13/K15</f>
        <v/>
      </c>
      <c r="M13" s="127">
        <f>F13/C13</f>
        <v/>
      </c>
      <c r="N13" s="127" t="inlineStr">
        <is>
          <t>华大C4-oligo</t>
        </is>
      </c>
      <c r="O13" s="127" t="inlineStr">
        <is>
          <t>杭州开泰生物技术有限公司</t>
        </is>
      </c>
      <c r="P13" s="138" t="n"/>
      <c r="Q13" s="127">
        <f>I13*J13</f>
        <v/>
      </c>
      <c r="R13" s="131">
        <f>22*C13/S13</f>
        <v/>
      </c>
      <c r="S13" s="131" t="n">
        <v>450</v>
      </c>
      <c r="T13" s="133" t="n"/>
      <c r="U13" s="133" t="n"/>
      <c r="V13" s="133" t="n"/>
      <c r="W13" s="133" t="n"/>
      <c r="X13" s="133" t="n"/>
    </row>
    <row r="14" ht="30" customFormat="1" customHeight="1" s="4">
      <c r="A14" s="127" t="inlineStr">
        <is>
          <t>0807C</t>
        </is>
      </c>
      <c r="B14" s="127" t="inlineStr">
        <is>
          <t>C13</t>
        </is>
      </c>
      <c r="C14" s="138" t="n"/>
      <c r="D14" s="139" t="n"/>
      <c r="E14" s="129">
        <f>IF(ABS(D14-D15)&lt;=100,"正常",IF(D14&gt;D15,"偏大"&amp;INT(D14-D15)&amp;"bp","偏小"&amp;INT(D15-D14)&amp;"bp"))</f>
        <v/>
      </c>
      <c r="F14" s="129">
        <f>D14*0.33*G14*0.001</f>
        <v/>
      </c>
      <c r="G14" s="127">
        <f>900*L14</f>
        <v/>
      </c>
      <c r="H14" s="128" t="n">
        <v>13</v>
      </c>
      <c r="I14" s="129">
        <f>ROUND(H14/H15,4)</f>
        <v/>
      </c>
      <c r="J14" s="138" t="n"/>
      <c r="K14" s="127">
        <f>I14*J14</f>
        <v/>
      </c>
      <c r="L14" s="127">
        <f>K14/K15</f>
        <v/>
      </c>
      <c r="M14" s="127">
        <f>F14/C14</f>
        <v/>
      </c>
      <c r="N14" s="127" t="inlineStr">
        <is>
          <t>华大c4单细胞Oligo文库</t>
        </is>
      </c>
      <c r="O14" s="127" t="inlineStr">
        <is>
          <t>武汉迈维代谢生物科技股份有限公司</t>
        </is>
      </c>
      <c r="P14" s="138" t="n"/>
      <c r="Q14" s="127">
        <f>I14*J14</f>
        <v/>
      </c>
      <c r="R14" s="131">
        <f>22*C14/S14</f>
        <v/>
      </c>
      <c r="S14" s="131" t="n">
        <v>450</v>
      </c>
      <c r="T14" s="133" t="n"/>
      <c r="U14" s="133" t="n"/>
      <c r="V14" s="133" t="n"/>
      <c r="W14" s="133" t="n"/>
      <c r="X14" s="133" t="n"/>
    </row>
    <row r="15" ht="30" customFormat="1" customHeight="1" s="4">
      <c r="A15" s="133" t="n"/>
      <c r="B15" s="133" t="n"/>
      <c r="C15" s="133" t="n"/>
      <c r="D15" s="134">
        <f>MEDIAN(D2:D14)</f>
        <v/>
      </c>
      <c r="E15" s="140" t="n"/>
      <c r="F15" s="140" t="n"/>
      <c r="G15" s="133" t="n"/>
      <c r="H15" s="134">
        <f>SUM(H2:H14)</f>
        <v/>
      </c>
      <c r="I15" s="140" t="n"/>
      <c r="J15" s="133" t="n"/>
      <c r="K15" s="131">
        <f>SUM(K2:K14)</f>
        <v/>
      </c>
      <c r="L15" s="133" t="n"/>
      <c r="M15" s="131">
        <f>SUM(M2:M14)</f>
        <v/>
      </c>
      <c r="N15" s="133" t="n"/>
      <c r="O15" s="133" t="n"/>
      <c r="P15" s="141">
        <f>96-M15</f>
        <v/>
      </c>
      <c r="Q15" s="133" t="n"/>
      <c r="R15" s="133" t="n"/>
      <c r="S15" s="133" t="n"/>
      <c r="T15" s="133" t="n"/>
      <c r="U15" s="133" t="n"/>
      <c r="V15" s="133" t="n"/>
      <c r="W15" s="133" t="n"/>
      <c r="X15" s="133" t="n"/>
    </row>
    <row r="16" ht="30" customFormat="1" customHeight="1" s="4">
      <c r="A16" s="133" t="n"/>
      <c r="B16" s="133" t="n"/>
      <c r="C16" s="133" t="n"/>
      <c r="D16" s="135" t="n"/>
      <c r="E16" s="140" t="n"/>
      <c r="F16" s="140" t="n"/>
      <c r="G16" s="133" t="n"/>
      <c r="H16" s="135" t="n"/>
      <c r="I16" s="140" t="n"/>
      <c r="J16" s="133" t="n"/>
      <c r="K16" s="133" t="n"/>
      <c r="L16" s="133" t="n"/>
      <c r="M16" s="133" t="n"/>
      <c r="N16" s="133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33" t="n"/>
      <c r="X16" s="133" t="n"/>
    </row>
    <row r="17" ht="30" customFormat="1" customHeight="1" s="4">
      <c r="A17" s="127" t="inlineStr">
        <is>
          <t>0807D</t>
        </is>
      </c>
      <c r="B17" s="127" t="inlineStr">
        <is>
          <t>D1</t>
        </is>
      </c>
      <c r="C17" s="138" t="n"/>
      <c r="D17" s="139" t="n"/>
      <c r="E17" s="129">
        <f>IF(ABS(D17-D30)&lt;=100,"正常",IF(D17&gt;D30,"偏大"&amp;INT(D17-D30)&amp;"bp","偏小"&amp;INT(D30-D17)&amp;"bp"))</f>
        <v/>
      </c>
      <c r="F17" s="129">
        <f>D17*0.33*G17*0.001</f>
        <v/>
      </c>
      <c r="G17" s="127">
        <f>900*L17</f>
        <v/>
      </c>
      <c r="H17" s="128" t="n">
        <v>65</v>
      </c>
      <c r="I17" s="129">
        <f>ROUND(H17/H30,4)</f>
        <v/>
      </c>
      <c r="J17" s="138" t="n"/>
      <c r="K17" s="127">
        <f>I17*J17</f>
        <v/>
      </c>
      <c r="L17" s="127">
        <f>K17/K30</f>
        <v/>
      </c>
      <c r="M17" s="127">
        <f>F17/C17</f>
        <v/>
      </c>
      <c r="N17" s="127" t="inlineStr">
        <is>
          <t>华大C4-cDNA</t>
        </is>
      </c>
      <c r="O17" s="127" t="inlineStr">
        <is>
          <t>中国科学院上海有机化学研究所</t>
        </is>
      </c>
      <c r="P17" s="138" t="n"/>
      <c r="Q17" s="127">
        <f>I17*J17</f>
        <v/>
      </c>
      <c r="R17" s="131">
        <f>22*C17/S17</f>
        <v/>
      </c>
      <c r="S17" s="131" t="n">
        <v>300</v>
      </c>
      <c r="T17" s="133" t="n"/>
      <c r="U17" s="133" t="n"/>
      <c r="V17" s="133" t="n"/>
      <c r="W17" s="133" t="n"/>
      <c r="X17" s="133" t="n"/>
    </row>
    <row r="18" ht="30" customFormat="1" customHeight="1" s="4">
      <c r="A18" s="127" t="inlineStr">
        <is>
          <t>0807D</t>
        </is>
      </c>
      <c r="B18" s="127" t="inlineStr">
        <is>
          <t>D2</t>
        </is>
      </c>
      <c r="C18" s="138" t="n"/>
      <c r="D18" s="139" t="n"/>
      <c r="E18" s="129">
        <f>IF(ABS(D18-D30)&lt;=100,"正常",IF(D18&gt;D30,"偏大"&amp;INT(D18-D30)&amp;"bp","偏小"&amp;INT(D30-D18)&amp;"bp"))</f>
        <v/>
      </c>
      <c r="F18" s="129">
        <f>D18*0.33*G18*0.001</f>
        <v/>
      </c>
      <c r="G18" s="127">
        <f>900*L18</f>
        <v/>
      </c>
      <c r="H18" s="128" t="n">
        <v>25.61</v>
      </c>
      <c r="I18" s="129">
        <f>ROUND(H18/H30,4)</f>
        <v/>
      </c>
      <c r="J18" s="138" t="n"/>
      <c r="K18" s="127">
        <f>I18*J18</f>
        <v/>
      </c>
      <c r="L18" s="127">
        <f>K18/K30</f>
        <v/>
      </c>
      <c r="M18" s="127">
        <f>F18/C18</f>
        <v/>
      </c>
      <c r="N18" s="127" t="inlineStr">
        <is>
          <t>华大c4单细胞cDNA文库</t>
        </is>
      </c>
      <c r="O18" s="127" t="inlineStr">
        <is>
          <t>武汉迈维代谢生物科技股份有限公司</t>
        </is>
      </c>
      <c r="P18" s="138" t="n"/>
      <c r="Q18" s="127">
        <f>I18*J18</f>
        <v/>
      </c>
      <c r="R18" s="131">
        <f>22*C18/S18</f>
        <v/>
      </c>
      <c r="S18" s="131" t="n">
        <v>300</v>
      </c>
      <c r="T18" s="133" t="n"/>
      <c r="U18" s="133" t="n"/>
      <c r="V18" s="133" t="n"/>
      <c r="W18" s="133" t="n"/>
      <c r="X18" s="133" t="n"/>
    </row>
    <row r="19" ht="30" customFormat="1" customHeight="1" s="4">
      <c r="A19" s="127" t="inlineStr">
        <is>
          <t>0807D</t>
        </is>
      </c>
      <c r="B19" s="127" t="inlineStr">
        <is>
          <t>D3</t>
        </is>
      </c>
      <c r="C19" s="138" t="n"/>
      <c r="D19" s="139" t="n"/>
      <c r="E19" s="129">
        <f>IF(ABS(D19-D30)&lt;=100,"正常",IF(D19&gt;D30,"偏大"&amp;INT(D19-D30)&amp;"bp","偏小"&amp;INT(D30-D19)&amp;"bp"))</f>
        <v/>
      </c>
      <c r="F19" s="129">
        <f>D19*0.33*G19*0.001</f>
        <v/>
      </c>
      <c r="G19" s="127">
        <f>900*L19</f>
        <v/>
      </c>
      <c r="H19" s="128" t="n">
        <v>51.48</v>
      </c>
      <c r="I19" s="129">
        <f>ROUND(H19/H30,4)</f>
        <v/>
      </c>
      <c r="J19" s="138" t="n"/>
      <c r="K19" s="127">
        <f>I19*J19</f>
        <v/>
      </c>
      <c r="L19" s="127">
        <f>K19/K30</f>
        <v/>
      </c>
      <c r="M19" s="127">
        <f>F19/C19</f>
        <v/>
      </c>
      <c r="N19" s="127" t="inlineStr">
        <is>
          <t>华大-C4-转录组</t>
        </is>
      </c>
      <c r="O19" s="127" t="inlineStr">
        <is>
          <t>广州奥智生物科技有限公司</t>
        </is>
      </c>
      <c r="P19" s="138" t="n"/>
      <c r="Q19" s="127">
        <f>I19*J19</f>
        <v/>
      </c>
      <c r="R19" s="131">
        <f>22*C19/S19</f>
        <v/>
      </c>
      <c r="S19" s="131" t="n">
        <v>300</v>
      </c>
      <c r="T19" s="133" t="n"/>
      <c r="U19" s="133" t="n"/>
      <c r="V19" s="133" t="n"/>
      <c r="W19" s="133" t="n"/>
      <c r="X19" s="133" t="n"/>
    </row>
    <row r="20" ht="30" customFormat="1" customHeight="1" s="4">
      <c r="A20" s="127" t="inlineStr">
        <is>
          <t>0807D</t>
        </is>
      </c>
      <c r="B20" s="127" t="inlineStr">
        <is>
          <t>D4</t>
        </is>
      </c>
      <c r="C20" s="138" t="n"/>
      <c r="D20" s="139" t="n"/>
      <c r="E20" s="129">
        <f>IF(ABS(D20-D30)&lt;=100,"正常",IF(D20&gt;D30,"偏大"&amp;INT(D20-D30)&amp;"bp","偏小"&amp;INT(D30-D20)&amp;"bp"))</f>
        <v/>
      </c>
      <c r="F20" s="129">
        <f>D20*0.33*G20*0.001</f>
        <v/>
      </c>
      <c r="G20" s="127">
        <f>900*L20</f>
        <v/>
      </c>
      <c r="H20" s="128" t="n">
        <v>3.25</v>
      </c>
      <c r="I20" s="129">
        <f>ROUND(H20/H30,4)</f>
        <v/>
      </c>
      <c r="J20" s="138" t="n"/>
      <c r="K20" s="127">
        <f>I20*J20</f>
        <v/>
      </c>
      <c r="L20" s="127">
        <f>K20/K30</f>
        <v/>
      </c>
      <c r="M20" s="127">
        <f>F20/C20</f>
        <v/>
      </c>
      <c r="N20" s="127" t="inlineStr">
        <is>
          <t>华大-C4-转录组</t>
        </is>
      </c>
      <c r="O20" s="127" t="inlineStr">
        <is>
          <t>广州奥智生物科技有限公司</t>
        </is>
      </c>
      <c r="P20" s="138" t="n"/>
      <c r="Q20" s="127">
        <f>I20*J20</f>
        <v/>
      </c>
      <c r="R20" s="131">
        <f>22*C20/S20</f>
        <v/>
      </c>
      <c r="S20" s="131" t="n">
        <v>300</v>
      </c>
      <c r="T20" s="133" t="n"/>
      <c r="U20" s="133" t="n"/>
      <c r="V20" s="133" t="n"/>
      <c r="W20" s="133" t="n"/>
      <c r="X20" s="133" t="n"/>
    </row>
    <row r="21" ht="30" customFormat="1" customHeight="1" s="4">
      <c r="A21" s="127" t="inlineStr">
        <is>
          <t>0807D</t>
        </is>
      </c>
      <c r="B21" s="127" t="inlineStr">
        <is>
          <t>D5</t>
        </is>
      </c>
      <c r="C21" s="138" t="n"/>
      <c r="D21" s="139" t="n"/>
      <c r="E21" s="129">
        <f>IF(ABS(D21-D30)&lt;=100,"正常",IF(D21&gt;D30,"偏大"&amp;INT(D21-D30)&amp;"bp","偏小"&amp;INT(D30-D21)&amp;"bp"))</f>
        <v/>
      </c>
      <c r="F21" s="129">
        <f>D21*0.33*G21*0.001</f>
        <v/>
      </c>
      <c r="G21" s="127">
        <f>900*L21</f>
        <v/>
      </c>
      <c r="H21" s="128" t="n">
        <v>52</v>
      </c>
      <c r="I21" s="129">
        <f>ROUND(H21/H30,4)</f>
        <v/>
      </c>
      <c r="J21" s="138" t="n"/>
      <c r="K21" s="127">
        <f>I21*J21</f>
        <v/>
      </c>
      <c r="L21" s="127">
        <f>K21/K30</f>
        <v/>
      </c>
      <c r="M21" s="127">
        <f>F21/C21</f>
        <v/>
      </c>
      <c r="N21" s="127" t="inlineStr">
        <is>
          <t>华大C4-cDNA</t>
        </is>
      </c>
      <c r="O21" s="127" t="inlineStr">
        <is>
          <t>武汉瑞兴生物科技有限公司</t>
        </is>
      </c>
      <c r="P21" s="138" t="n"/>
      <c r="Q21" s="127">
        <f>I21*J21</f>
        <v/>
      </c>
      <c r="R21" s="131">
        <f>22*C21/S21</f>
        <v/>
      </c>
      <c r="S21" s="131" t="n">
        <v>300</v>
      </c>
      <c r="T21" s="133" t="n"/>
      <c r="U21" s="133" t="n"/>
      <c r="V21" s="133" t="n"/>
      <c r="W21" s="133" t="n"/>
      <c r="X21" s="133" t="n"/>
    </row>
    <row r="22" ht="30" customFormat="1" customHeight="1" s="4">
      <c r="A22" s="127" t="inlineStr">
        <is>
          <t>0807D</t>
        </is>
      </c>
      <c r="B22" s="127" t="inlineStr">
        <is>
          <t>D6</t>
        </is>
      </c>
      <c r="C22" s="138" t="n"/>
      <c r="D22" s="139" t="n"/>
      <c r="E22" s="129">
        <f>IF(ABS(D22-D30)&lt;=100,"正常",IF(D22&gt;D30,"偏大"&amp;INT(D22-D30)&amp;"bp","偏小"&amp;INT(D30-D22)&amp;"bp"))</f>
        <v/>
      </c>
      <c r="F22" s="129">
        <f>D22*0.33*G22*0.001</f>
        <v/>
      </c>
      <c r="G22" s="127">
        <f>900*L22</f>
        <v/>
      </c>
      <c r="H22" s="128" t="n">
        <v>52</v>
      </c>
      <c r="I22" s="129">
        <f>ROUND(H22/H30,4)</f>
        <v/>
      </c>
      <c r="J22" s="138" t="n"/>
      <c r="K22" s="127">
        <f>I22*J22</f>
        <v/>
      </c>
      <c r="L22" s="127">
        <f>K22/K30</f>
        <v/>
      </c>
      <c r="M22" s="127">
        <f>F22/C22</f>
        <v/>
      </c>
      <c r="N22" s="127" t="inlineStr">
        <is>
          <t>华大C4-cDNA</t>
        </is>
      </c>
      <c r="O22" s="127" t="inlineStr">
        <is>
          <t>武汉瑞兴生物科技有限公司</t>
        </is>
      </c>
      <c r="P22" s="138" t="n"/>
      <c r="Q22" s="127">
        <f>I22*J22</f>
        <v/>
      </c>
      <c r="R22" s="131">
        <f>22*C22/S22</f>
        <v/>
      </c>
      <c r="S22" s="131" t="n">
        <v>300</v>
      </c>
      <c r="T22" s="133" t="n"/>
      <c r="U22" s="133" t="n"/>
      <c r="V22" s="133" t="n"/>
      <c r="W22" s="133" t="n"/>
      <c r="X22" s="133" t="n"/>
    </row>
    <row r="23" ht="30" customFormat="1" customHeight="1" s="4">
      <c r="A23" s="127" t="inlineStr">
        <is>
          <t>0807D</t>
        </is>
      </c>
      <c r="B23" s="127" t="inlineStr">
        <is>
          <t>D7</t>
        </is>
      </c>
      <c r="C23" s="138" t="n"/>
      <c r="D23" s="139" t="n"/>
      <c r="E23" s="129">
        <f>IF(ABS(D23-D30)&lt;=100,"正常",IF(D23&gt;D30,"偏大"&amp;INT(D23-D30)&amp;"bp","偏小"&amp;INT(D30-D23)&amp;"bp"))</f>
        <v/>
      </c>
      <c r="F23" s="129">
        <f>D23*0.33*G23*0.001</f>
        <v/>
      </c>
      <c r="G23" s="127">
        <f>900*L23</f>
        <v/>
      </c>
      <c r="H23" s="128" t="n">
        <v>58.5</v>
      </c>
      <c r="I23" s="129">
        <f>ROUND(H23/H30,4)</f>
        <v/>
      </c>
      <c r="J23" s="138" t="n"/>
      <c r="K23" s="127">
        <f>I23*J23</f>
        <v/>
      </c>
      <c r="L23" s="127">
        <f>K23/K30</f>
        <v/>
      </c>
      <c r="M23" s="127">
        <f>F23/C23</f>
        <v/>
      </c>
      <c r="N23" s="127" t="inlineStr">
        <is>
          <t>华大-cDNA文库</t>
        </is>
      </c>
      <c r="O23" s="127" t="inlineStr">
        <is>
          <t>广东美格基因科技有限公司</t>
        </is>
      </c>
      <c r="P23" s="138" t="n"/>
      <c r="Q23" s="127">
        <f>I23*J23</f>
        <v/>
      </c>
      <c r="R23" s="131">
        <f>22*C23/S23</f>
        <v/>
      </c>
      <c r="S23" s="131" t="n">
        <v>300</v>
      </c>
      <c r="T23" s="133" t="n"/>
      <c r="U23" s="133" t="n"/>
      <c r="V23" s="133" t="n"/>
      <c r="W23" s="133" t="n"/>
      <c r="X23" s="133" t="n"/>
    </row>
    <row r="24" ht="30" customFormat="1" customHeight="1" s="114">
      <c r="A24" s="127" t="inlineStr">
        <is>
          <t>0807D</t>
        </is>
      </c>
      <c r="B24" s="127" t="inlineStr">
        <is>
          <t>D8</t>
        </is>
      </c>
      <c r="C24" s="138" t="n"/>
      <c r="D24" s="139" t="n"/>
      <c r="E24" s="129">
        <f>IF(ABS(D24-D30)&lt;=100,"正常",IF(D24&gt;D30,"偏大"&amp;INT(D24-D30)&amp;"bp","偏小"&amp;INT(D30-D24)&amp;"bp"))</f>
        <v/>
      </c>
      <c r="F24" s="129">
        <f>D24*0.33*G24*0.001</f>
        <v/>
      </c>
      <c r="G24" s="127">
        <f>900*L24</f>
        <v/>
      </c>
      <c r="H24" s="128" t="n">
        <v>585</v>
      </c>
      <c r="I24" s="129">
        <f>ROUND(H24/H30,4)</f>
        <v/>
      </c>
      <c r="J24" s="138" t="n"/>
      <c r="K24" s="127">
        <f>I24*J24</f>
        <v/>
      </c>
      <c r="L24" s="127">
        <f>K24/K30</f>
        <v/>
      </c>
      <c r="M24" s="127">
        <f>F24/C24</f>
        <v/>
      </c>
      <c r="N24" s="127" t="inlineStr">
        <is>
          <t>华大c4单细胞cDNA文库</t>
        </is>
      </c>
      <c r="O24" s="127" t="inlineStr">
        <is>
          <t>广州承启生物科技有限公司</t>
        </is>
      </c>
      <c r="P24" s="138" t="n"/>
      <c r="Q24" s="127">
        <f>I24*J24</f>
        <v/>
      </c>
      <c r="R24" s="131">
        <f>22*C24/S24</f>
        <v/>
      </c>
      <c r="S24" s="131" t="n">
        <v>450</v>
      </c>
      <c r="T24" s="133" t="n"/>
      <c r="U24" s="133" t="n"/>
      <c r="V24" s="133" t="n"/>
      <c r="W24" s="133" t="n"/>
      <c r="X24" s="133" t="n"/>
    </row>
    <row r="25" ht="30" customHeight="1" s="116">
      <c r="A25" s="127" t="inlineStr">
        <is>
          <t>0807D</t>
        </is>
      </c>
      <c r="B25" s="127" t="inlineStr">
        <is>
          <t>D9</t>
        </is>
      </c>
      <c r="C25" s="138" t="n"/>
      <c r="D25" s="139" t="n"/>
      <c r="E25" s="129">
        <f>IF(ABS(D25-D30)&lt;=100,"正常",IF(D25&gt;D30,"偏大"&amp;INT(D25-D30)&amp;"bp","偏小"&amp;INT(D30-D25)&amp;"bp"))</f>
        <v/>
      </c>
      <c r="F25" s="129">
        <f>D25*0.33*G25*0.001</f>
        <v/>
      </c>
      <c r="G25" s="127">
        <f>900*L25</f>
        <v/>
      </c>
      <c r="H25" s="128" t="n">
        <v>526.5</v>
      </c>
      <c r="I25" s="129">
        <f>ROUND(H25/H30,4)</f>
        <v/>
      </c>
      <c r="J25" s="138" t="n"/>
      <c r="K25" s="127">
        <f>I25*J25</f>
        <v/>
      </c>
      <c r="L25" s="127">
        <f>K25/K30</f>
        <v/>
      </c>
      <c r="M25" s="127">
        <f>F25/C25</f>
        <v/>
      </c>
      <c r="N25" s="127" t="inlineStr">
        <is>
          <t>华大c4单细胞cDNA文库</t>
        </is>
      </c>
      <c r="O25" s="127" t="inlineStr">
        <is>
          <t>广州承启生物科技有限公司</t>
        </is>
      </c>
      <c r="P25" s="138" t="n"/>
      <c r="Q25" s="127">
        <f>I25*J25</f>
        <v/>
      </c>
      <c r="R25" s="131">
        <f>22*C25/S25</f>
        <v/>
      </c>
      <c r="S25" s="131" t="n">
        <v>450</v>
      </c>
      <c r="T25" s="133" t="n"/>
      <c r="U25" s="133" t="n"/>
      <c r="V25" s="133" t="n"/>
      <c r="W25" s="133" t="n"/>
      <c r="X25" s="133" t="n"/>
    </row>
    <row r="26" ht="30" customHeight="1" s="116">
      <c r="A26" s="127" t="inlineStr">
        <is>
          <t>0807D</t>
        </is>
      </c>
      <c r="B26" s="127" t="inlineStr">
        <is>
          <t>D10</t>
        </is>
      </c>
      <c r="C26" s="138" t="n"/>
      <c r="D26" s="139" t="n"/>
      <c r="E26" s="129">
        <f>IF(ABS(D26-D30)&lt;=100,"正常",IF(D26&gt;D30,"偏大"&amp;INT(D26-D30)&amp;"bp","偏小"&amp;INT(D30-D26)&amp;"bp"))</f>
        <v/>
      </c>
      <c r="F26" s="129">
        <f>D26*0.33*G26*0.001</f>
        <v/>
      </c>
      <c r="G26" s="127">
        <f>900*L26</f>
        <v/>
      </c>
      <c r="H26" s="128" t="n">
        <v>67.34</v>
      </c>
      <c r="I26" s="129">
        <f>ROUND(H26/H30,4)</f>
        <v/>
      </c>
      <c r="J26" s="138" t="n"/>
      <c r="K26" s="127">
        <f>I26*J26</f>
        <v/>
      </c>
      <c r="L26" s="127">
        <f>K26/K30</f>
        <v/>
      </c>
      <c r="M26" s="127">
        <f>F26/C26</f>
        <v/>
      </c>
      <c r="N26" s="127" t="inlineStr">
        <is>
          <t>华大-C4-oligo</t>
        </is>
      </c>
      <c r="O26" s="127" t="inlineStr">
        <is>
          <t>广州奥智生物科技有限公司</t>
        </is>
      </c>
      <c r="P26" s="138" t="n"/>
      <c r="Q26" s="127">
        <f>I26*J26</f>
        <v/>
      </c>
      <c r="R26" s="131">
        <f>22*C26/S26</f>
        <v/>
      </c>
      <c r="S26" s="131" t="n">
        <v>450</v>
      </c>
      <c r="T26" s="133" t="n"/>
      <c r="U26" s="133" t="n"/>
      <c r="V26" s="133" t="n"/>
      <c r="W26" s="133" t="n"/>
      <c r="X26" s="133" t="n"/>
    </row>
    <row r="27" ht="30" customHeight="1" s="116">
      <c r="A27" s="127" t="inlineStr">
        <is>
          <t>0807D</t>
        </is>
      </c>
      <c r="B27" s="127" t="inlineStr">
        <is>
          <t>D11</t>
        </is>
      </c>
      <c r="C27" s="138" t="n"/>
      <c r="D27" s="139" t="n"/>
      <c r="E27" s="129">
        <f>IF(ABS(D27-D30)&lt;=100,"正常",IF(D27&gt;D30,"偏大"&amp;INT(D27-D30)&amp;"bp","偏小"&amp;INT(D30-D27)&amp;"bp"))</f>
        <v/>
      </c>
      <c r="F27" s="129">
        <f>D27*0.33*G27*0.001</f>
        <v/>
      </c>
      <c r="G27" s="127">
        <f>900*L27</f>
        <v/>
      </c>
      <c r="H27" s="128" t="n">
        <v>56.68</v>
      </c>
      <c r="I27" s="129">
        <f>ROUND(H27/H30,4)</f>
        <v/>
      </c>
      <c r="J27" s="138" t="n"/>
      <c r="K27" s="127">
        <f>I27*J27</f>
        <v/>
      </c>
      <c r="L27" s="127">
        <f>K27/K30</f>
        <v/>
      </c>
      <c r="M27" s="127">
        <f>F27/C27</f>
        <v/>
      </c>
      <c r="N27" s="127" t="inlineStr">
        <is>
          <t>华大-C4-oligo</t>
        </is>
      </c>
      <c r="O27" s="127" t="inlineStr">
        <is>
          <t>广州奥智生物科技有限公司</t>
        </is>
      </c>
      <c r="P27" s="138" t="n"/>
      <c r="Q27" s="127">
        <f>I27*J27</f>
        <v/>
      </c>
      <c r="R27" s="131">
        <f>22*C27/S27</f>
        <v/>
      </c>
      <c r="S27" s="131" t="n">
        <v>450</v>
      </c>
      <c r="T27" s="133" t="n"/>
      <c r="U27" s="133" t="n"/>
      <c r="V27" s="133" t="n"/>
      <c r="W27" s="133" t="n"/>
      <c r="X27" s="133" t="n"/>
    </row>
    <row r="28" ht="30" customHeight="1" s="116">
      <c r="A28" s="127" t="inlineStr">
        <is>
          <t>0807D</t>
        </is>
      </c>
      <c r="B28" s="127" t="inlineStr">
        <is>
          <t>D12</t>
        </is>
      </c>
      <c r="C28" s="138" t="n"/>
      <c r="D28" s="139" t="n"/>
      <c r="E28" s="129">
        <f>IF(ABS(D28-D30)&lt;=100,"正常",IF(D28&gt;D30,"偏大"&amp;INT(D28-D30)&amp;"bp","偏小"&amp;INT(D30-D28)&amp;"bp"))</f>
        <v/>
      </c>
      <c r="F28" s="129">
        <f>D28*0.33*G28*0.001</f>
        <v/>
      </c>
      <c r="G28" s="127">
        <f>900*L28</f>
        <v/>
      </c>
      <c r="H28" s="128" t="n">
        <v>20.8</v>
      </c>
      <c r="I28" s="129">
        <f>ROUND(H28/H30,4)</f>
        <v/>
      </c>
      <c r="J28" s="138" t="n"/>
      <c r="K28" s="127">
        <f>I28*J28</f>
        <v/>
      </c>
      <c r="L28" s="127">
        <f>K28/K30</f>
        <v/>
      </c>
      <c r="M28" s="127">
        <f>F28/C28</f>
        <v/>
      </c>
      <c r="N28" s="127" t="inlineStr">
        <is>
          <t>华大C4-oligo</t>
        </is>
      </c>
      <c r="O28" s="127" t="inlineStr">
        <is>
          <t>杭州开泰生物技术有限公司</t>
        </is>
      </c>
      <c r="P28" s="138" t="n"/>
      <c r="Q28" s="127">
        <f>I28*J28</f>
        <v/>
      </c>
      <c r="R28" s="131">
        <f>22*C28/S28</f>
        <v/>
      </c>
      <c r="S28" s="131" t="n">
        <v>450</v>
      </c>
      <c r="T28" s="133" t="n"/>
      <c r="U28" s="133" t="n"/>
      <c r="V28" s="133" t="n"/>
      <c r="W28" s="133" t="n"/>
      <c r="X28" s="133" t="n"/>
    </row>
    <row r="29" ht="30" customHeight="1" s="116">
      <c r="A29" s="127" t="inlineStr">
        <is>
          <t>0807D</t>
        </is>
      </c>
      <c r="B29" s="127" t="inlineStr">
        <is>
          <t>D13</t>
        </is>
      </c>
      <c r="C29" s="138" t="n"/>
      <c r="D29" s="139" t="n"/>
      <c r="E29" s="129">
        <f>IF(ABS(D29-D30)&lt;=100,"正常",IF(D29&gt;D30,"偏大"&amp;INT(D29-D30)&amp;"bp","偏小"&amp;INT(D30-D29)&amp;"bp"))</f>
        <v/>
      </c>
      <c r="F29" s="129">
        <f>D29*0.33*G29*0.001</f>
        <v/>
      </c>
      <c r="G29" s="127">
        <f>900*L29</f>
        <v/>
      </c>
      <c r="H29" s="128" t="n">
        <v>26</v>
      </c>
      <c r="I29" s="129">
        <f>ROUND(H29/H30,4)</f>
        <v/>
      </c>
      <c r="J29" s="138" t="n"/>
      <c r="K29" s="127">
        <f>I29*J29</f>
        <v/>
      </c>
      <c r="L29" s="127">
        <f>K29/K30</f>
        <v/>
      </c>
      <c r="M29" s="127">
        <f>F29/C29</f>
        <v/>
      </c>
      <c r="N29" s="127" t="inlineStr">
        <is>
          <t>华大C4-oligo</t>
        </is>
      </c>
      <c r="O29" s="127" t="inlineStr">
        <is>
          <t>武汉瑞兴生物科技有限公司</t>
        </is>
      </c>
      <c r="P29" s="138" t="n"/>
      <c r="Q29" s="127">
        <f>I29*J29</f>
        <v/>
      </c>
      <c r="R29" s="131">
        <f>22*C29/S29</f>
        <v/>
      </c>
      <c r="S29" s="131" t="n">
        <v>300</v>
      </c>
      <c r="T29" s="133" t="n"/>
      <c r="U29" s="133" t="n"/>
      <c r="V29" s="133" t="n"/>
      <c r="W29" s="133" t="n"/>
      <c r="X29" s="133" t="n"/>
    </row>
    <row r="30" ht="30" customHeight="1" s="116">
      <c r="A30" s="133" t="n"/>
      <c r="B30" s="133" t="n"/>
      <c r="C30" s="133" t="n"/>
      <c r="D30" s="134">
        <f>MEDIAN(D17:D29)</f>
        <v/>
      </c>
      <c r="E30" s="140" t="n"/>
      <c r="F30" s="140" t="n"/>
      <c r="G30" s="133" t="n"/>
      <c r="H30" s="134">
        <f>SUM(H17:H29)</f>
        <v/>
      </c>
      <c r="I30" s="140" t="n"/>
      <c r="J30" s="133" t="n"/>
      <c r="K30" s="131">
        <f>SUM(K17:K29)</f>
        <v/>
      </c>
      <c r="L30" s="133" t="n"/>
      <c r="M30" s="131">
        <f>SUM(M17:M29)</f>
        <v/>
      </c>
      <c r="N30" s="133" t="n"/>
      <c r="O30" s="133" t="n"/>
      <c r="P30" s="141">
        <f>96-M30</f>
        <v/>
      </c>
      <c r="Q30" s="133" t="n"/>
      <c r="R30" s="133" t="n"/>
      <c r="S30" s="133" t="n"/>
      <c r="T30" s="133" t="n"/>
      <c r="U30" s="133" t="n"/>
      <c r="V30" s="133" t="n"/>
      <c r="W30" s="133" t="n"/>
      <c r="X30" s="133" t="n"/>
    </row>
    <row r="33717" ht="21.95" customFormat="1" customHeight="1" s="100"/>
  </sheetData>
  <pageMargins left="0.75" right="0.75" top="1" bottom="1" header="0.5" footer="0.5"/>
  <pageSetup orientation="portrait" paperSize="9" scale="2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1" workbookViewId="0">
      <selection activeCell="D5" sqref="D5"/>
    </sheetView>
  </sheetViews>
  <sheetFormatPr baseColWidth="8" defaultColWidth="9" defaultRowHeight="14.25"/>
  <cols>
    <col width="15" bestFit="1" customWidth="1" style="77" min="1" max="1"/>
    <col width="15" bestFit="1" customWidth="1" style="77" min="2" max="2"/>
    <col width="17" customWidth="1" style="77" min="3" max="3"/>
    <col width="12" bestFit="1" customWidth="1" style="77" min="4" max="6"/>
    <col width="12" customWidth="1" style="116" min="5" max="5"/>
    <col width="12" customWidth="1" style="116" min="6" max="6"/>
    <col width="19" bestFit="1" customWidth="1" style="77" min="7" max="7"/>
    <col width="14" bestFit="1" customWidth="1" style="77" min="8" max="8"/>
    <col width="17" bestFit="1" customWidth="1" style="77" min="9" max="9"/>
    <col width="16" bestFit="1" customWidth="1" style="77" min="10" max="10"/>
    <col width="12" bestFit="1" customWidth="1" style="77" min="11" max="14"/>
    <col width="12" customWidth="1" style="116" min="12" max="12"/>
    <col width="12" customWidth="1" style="116" min="13" max="13"/>
    <col width="12" customWidth="1" style="116" min="14" max="14"/>
    <col width="9" customWidth="1" style="77" min="15" max="16384"/>
  </cols>
  <sheetData>
    <row r="1" ht="41.25" customHeight="1" s="116">
      <c r="A1" s="78" t="inlineStr">
        <is>
          <t>FlowCell_ID</t>
        </is>
      </c>
      <c r="B1" s="79" t="inlineStr">
        <is>
          <t>Lane_Number</t>
        </is>
      </c>
      <c r="C1" s="80" t="inlineStr">
        <is>
          <t>单lane产出(M)</t>
        </is>
      </c>
      <c r="D1" s="80" t="inlineStr">
        <is>
          <t>文库总数</t>
        </is>
      </c>
      <c r="E1" s="80" t="inlineStr">
        <is>
          <t>文库类型</t>
        </is>
      </c>
      <c r="F1" s="80" t="inlineStr">
        <is>
          <t>客户单位</t>
        </is>
      </c>
      <c r="G1" s="80" t="inlineStr">
        <is>
          <t>需求数据量（G）</t>
        </is>
      </c>
      <c r="H1" s="81" t="inlineStr">
        <is>
          <t>产出数据量</t>
        </is>
      </c>
      <c r="I1" s="81" t="inlineStr">
        <is>
          <t>欠缺数据量(G)</t>
        </is>
      </c>
      <c r="J1" s="80" t="inlineStr">
        <is>
          <t>数据量补测率</t>
        </is>
      </c>
      <c r="K1" s="80" t="inlineStr">
        <is>
          <t>上机模式</t>
        </is>
      </c>
      <c r="L1" s="82" t="inlineStr">
        <is>
          <t>调整比例</t>
        </is>
      </c>
      <c r="M1" s="80" t="inlineStr">
        <is>
          <t>操作人员</t>
        </is>
      </c>
      <c r="N1" s="83" t="inlineStr">
        <is>
          <t>分析原因</t>
        </is>
      </c>
    </row>
    <row r="2">
      <c r="A2" s="124" t="n"/>
      <c r="B2" s="124" t="inlineStr">
        <is>
          <t>C</t>
        </is>
      </c>
      <c r="C2" s="124" t="n"/>
      <c r="D2" s="142" t="n">
        <v>2</v>
      </c>
      <c r="E2" s="124" t="inlineStr">
        <is>
          <t>华大-C4-转录组</t>
        </is>
      </c>
      <c r="F2" s="124" t="inlineStr">
        <is>
          <t>广州奥智生物科技有限公司</t>
        </is>
      </c>
      <c r="G2" s="143" t="n">
        <v>0.91</v>
      </c>
      <c r="H2" s="143" t="n"/>
      <c r="I2" s="143">
        <f>H2-G2</f>
        <v/>
      </c>
      <c r="J2" s="144">
        <f>I2/G2</f>
        <v/>
      </c>
      <c r="K2" s="124" t="inlineStr">
        <is>
          <t>T7+100</t>
        </is>
      </c>
      <c r="L2" s="125" t="n"/>
      <c r="M2" s="124" t="n"/>
      <c r="N2" s="124" t="n"/>
    </row>
    <row r="3">
      <c r="A3" s="125" t="n"/>
      <c r="B3" s="125" t="n"/>
      <c r="C3" s="124" t="n"/>
      <c r="D3" s="142" t="n">
        <v>4</v>
      </c>
      <c r="E3" s="124" t="inlineStr">
        <is>
          <t>华大C4-cDNA</t>
        </is>
      </c>
      <c r="F3" s="124" t="inlineStr">
        <is>
          <t>武汉瑞兴生物科技有限公司</t>
        </is>
      </c>
      <c r="G3" s="143" t="n">
        <v>26.26</v>
      </c>
      <c r="H3" s="143" t="n"/>
      <c r="I3" s="143">
        <f>H3-G3</f>
        <v/>
      </c>
      <c r="J3" s="144">
        <f>I3/G3</f>
        <v/>
      </c>
      <c r="K3" s="125" t="n"/>
      <c r="L3" s="125" t="n"/>
      <c r="M3" s="124" t="n"/>
      <c r="N3" s="124" t="n"/>
    </row>
    <row r="4">
      <c r="A4" s="125" t="n"/>
      <c r="B4" s="125" t="n"/>
      <c r="C4" s="124" t="n"/>
      <c r="D4" s="142" t="n">
        <v>9</v>
      </c>
      <c r="E4" s="124" t="inlineStr">
        <is>
          <t>华大C4-cDNA</t>
        </is>
      </c>
      <c r="F4" s="124" t="inlineStr">
        <is>
          <t>杭州开泰生物技术有限公司</t>
        </is>
      </c>
      <c r="G4" s="143" t="n">
        <v>117</v>
      </c>
      <c r="H4" s="143" t="n"/>
      <c r="I4" s="143">
        <f>H4-G4</f>
        <v/>
      </c>
      <c r="J4" s="144">
        <f>I4/G4</f>
        <v/>
      </c>
      <c r="K4" s="125" t="n"/>
      <c r="L4" s="125" t="n"/>
      <c r="M4" s="124" t="n"/>
      <c r="N4" s="124" t="n"/>
    </row>
    <row r="5">
      <c r="A5" s="125" t="n"/>
      <c r="B5" s="125" t="n"/>
      <c r="C5" s="124" t="n"/>
      <c r="D5" s="142" t="n">
        <v>1</v>
      </c>
      <c r="E5" s="124" t="inlineStr">
        <is>
          <t>华大c4单细胞cDNA文库</t>
        </is>
      </c>
      <c r="F5" s="124" t="inlineStr">
        <is>
          <t>武汉迈维代谢生物科技股份有限公司</t>
        </is>
      </c>
      <c r="G5" s="143" t="n">
        <v>16.51</v>
      </c>
      <c r="H5" s="143" t="n"/>
      <c r="I5" s="143">
        <f>H5-G5</f>
        <v/>
      </c>
      <c r="J5" s="144">
        <f>I5/G5</f>
        <v/>
      </c>
      <c r="K5" s="125" t="n"/>
      <c r="L5" s="125" t="n"/>
      <c r="M5" s="124" t="n"/>
      <c r="N5" s="124" t="n"/>
    </row>
    <row r="6">
      <c r="A6" s="125" t="n"/>
      <c r="B6" s="125" t="n"/>
      <c r="C6" s="124" t="n"/>
      <c r="D6" s="142" t="n">
        <v>1</v>
      </c>
      <c r="E6" s="124" t="inlineStr">
        <is>
          <t>华大C4-cDNA</t>
        </is>
      </c>
      <c r="F6" s="124" t="inlineStr">
        <is>
          <t>武汉瑞兴生物科技有限公司</t>
        </is>
      </c>
      <c r="G6" s="143" t="n">
        <v>52</v>
      </c>
      <c r="H6" s="143" t="n"/>
      <c r="I6" s="143">
        <f>H6-G6</f>
        <v/>
      </c>
      <c r="J6" s="144">
        <f>I6/G6</f>
        <v/>
      </c>
      <c r="K6" s="125" t="n"/>
      <c r="L6" s="125" t="n"/>
      <c r="M6" s="124" t="n"/>
      <c r="N6" s="124" t="n"/>
    </row>
    <row r="7">
      <c r="A7" s="125" t="n"/>
      <c r="B7" s="125" t="n"/>
      <c r="C7" s="124" t="n"/>
      <c r="D7" s="142" t="n">
        <v>1</v>
      </c>
      <c r="E7" s="124" t="inlineStr">
        <is>
          <t>华大-C4-转录组</t>
        </is>
      </c>
      <c r="F7" s="124" t="inlineStr">
        <is>
          <t>广州奥智生物科技有限公司</t>
        </is>
      </c>
      <c r="G7" s="143" t="n">
        <v>11.96</v>
      </c>
      <c r="H7" s="143" t="n"/>
      <c r="I7" s="143">
        <f>H7-G7</f>
        <v/>
      </c>
      <c r="J7" s="144">
        <f>I7/G7</f>
        <v/>
      </c>
      <c r="K7" s="125" t="n"/>
      <c r="L7" s="125" t="n"/>
      <c r="M7" s="124" t="n"/>
      <c r="N7" s="124" t="n"/>
    </row>
    <row r="8">
      <c r="A8" s="125" t="n"/>
      <c r="B8" s="125" t="n"/>
      <c r="C8" s="124" t="n"/>
      <c r="D8" s="142" t="n">
        <v>1</v>
      </c>
      <c r="E8" s="124" t="inlineStr">
        <is>
          <t>华大C4-cDNA</t>
        </is>
      </c>
      <c r="F8" s="124" t="inlineStr">
        <is>
          <t>武汉瑞兴生物科技有限公司</t>
        </is>
      </c>
      <c r="G8" s="143" t="n">
        <v>22.1</v>
      </c>
      <c r="H8" s="143" t="n"/>
      <c r="I8" s="143">
        <f>H8-G8</f>
        <v/>
      </c>
      <c r="J8" s="144">
        <f>I8/G8</f>
        <v/>
      </c>
      <c r="K8" s="125" t="n"/>
      <c r="L8" s="125" t="n"/>
      <c r="M8" s="124" t="n"/>
      <c r="N8" s="124" t="n"/>
    </row>
    <row r="9">
      <c r="A9" s="125" t="n"/>
      <c r="B9" s="125" t="n"/>
      <c r="C9" s="124" t="n"/>
      <c r="D9" s="142" t="n">
        <v>10</v>
      </c>
      <c r="E9" s="124" t="inlineStr">
        <is>
          <t>华大c4单细胞cDNA文库</t>
        </is>
      </c>
      <c r="F9" s="124" t="inlineStr">
        <is>
          <t>广州承启生物科技有限公司</t>
        </is>
      </c>
      <c r="G9" s="143" t="n">
        <v>585</v>
      </c>
      <c r="H9" s="143" t="n"/>
      <c r="I9" s="143">
        <f>H9-G9</f>
        <v/>
      </c>
      <c r="J9" s="144">
        <f>I9/G9</f>
        <v/>
      </c>
      <c r="K9" s="125" t="n"/>
      <c r="L9" s="125" t="n"/>
      <c r="M9" s="124" t="n"/>
      <c r="N9" s="124" t="n"/>
    </row>
    <row r="10">
      <c r="A10" s="125" t="n"/>
      <c r="B10" s="125" t="n"/>
      <c r="C10" s="124" t="n"/>
      <c r="D10" s="142" t="n">
        <v>10</v>
      </c>
      <c r="E10" s="124" t="inlineStr">
        <is>
          <t>华大c4单细胞cDNA文库</t>
        </is>
      </c>
      <c r="F10" s="124" t="inlineStr">
        <is>
          <t>广州承启生物科技有限公司</t>
        </is>
      </c>
      <c r="G10" s="143" t="n">
        <v>585</v>
      </c>
      <c r="H10" s="143" t="n"/>
      <c r="I10" s="143">
        <f>H10-G10</f>
        <v/>
      </c>
      <c r="J10" s="144">
        <f>I10/G10</f>
        <v/>
      </c>
      <c r="K10" s="125" t="n"/>
      <c r="L10" s="125" t="n"/>
      <c r="M10" s="124" t="n"/>
      <c r="N10" s="124" t="n"/>
    </row>
    <row r="11">
      <c r="A11" s="125" t="n"/>
      <c r="B11" s="125" t="n"/>
      <c r="C11" s="124" t="n"/>
      <c r="D11" s="142" t="n">
        <v>2</v>
      </c>
      <c r="E11" s="124" t="inlineStr">
        <is>
          <t>华大-C4-oligo</t>
        </is>
      </c>
      <c r="F11" s="124" t="inlineStr">
        <is>
          <t>广州奥智生物科技有限公司</t>
        </is>
      </c>
      <c r="G11" s="143" t="n">
        <v>1.43</v>
      </c>
      <c r="H11" s="143" t="n"/>
      <c r="I11" s="143">
        <f>H11-G11</f>
        <v/>
      </c>
      <c r="J11" s="144">
        <f>I11/G11</f>
        <v/>
      </c>
      <c r="K11" s="125" t="n"/>
      <c r="L11" s="125" t="n"/>
      <c r="M11" s="124" t="n"/>
      <c r="N11" s="124" t="n"/>
    </row>
    <row r="12">
      <c r="A12" s="125" t="n"/>
      <c r="B12" s="125" t="n"/>
      <c r="C12" s="124" t="n"/>
      <c r="D12" s="142" t="n">
        <v>12</v>
      </c>
      <c r="E12" s="124" t="inlineStr">
        <is>
          <t>华大-C4-oligo</t>
        </is>
      </c>
      <c r="F12" s="124" t="inlineStr">
        <is>
          <t>广州奥智生物科技有限公司</t>
        </is>
      </c>
      <c r="G12" s="143" t="n">
        <v>56.68</v>
      </c>
      <c r="H12" s="143" t="n"/>
      <c r="I12" s="143">
        <f>H12-G12</f>
        <v/>
      </c>
      <c r="J12" s="144">
        <f>I12/G12</f>
        <v/>
      </c>
      <c r="K12" s="125" t="n"/>
      <c r="L12" s="125" t="n"/>
      <c r="M12" s="124" t="n"/>
      <c r="N12" s="124" t="n"/>
    </row>
    <row r="13">
      <c r="A13" s="125" t="n"/>
      <c r="B13" s="125" t="n"/>
      <c r="C13" s="124" t="n"/>
      <c r="D13" s="142" t="n">
        <v>12</v>
      </c>
      <c r="E13" s="124" t="inlineStr">
        <is>
          <t>华大C4-oligo</t>
        </is>
      </c>
      <c r="F13" s="124" t="inlineStr">
        <is>
          <t>杭州开泰生物技术有限公司</t>
        </is>
      </c>
      <c r="G13" s="143" t="n">
        <v>75.40000000000001</v>
      </c>
      <c r="H13" s="143" t="n"/>
      <c r="I13" s="143">
        <f>H13-G13</f>
        <v/>
      </c>
      <c r="J13" s="144">
        <f>I13/G13</f>
        <v/>
      </c>
      <c r="K13" s="125" t="n"/>
      <c r="L13" s="125" t="n"/>
      <c r="M13" s="124" t="n"/>
      <c r="N13" s="124" t="n"/>
    </row>
    <row r="14">
      <c r="A14" s="125" t="n"/>
      <c r="B14" s="125" t="n"/>
      <c r="C14" s="124" t="n"/>
      <c r="D14" s="142" t="n">
        <v>2</v>
      </c>
      <c r="E14" s="124" t="inlineStr">
        <is>
          <t>华大c4单细胞Oligo文库</t>
        </is>
      </c>
      <c r="F14" s="124" t="inlineStr">
        <is>
          <t>武汉迈维代谢生物科技股份有限公司</t>
        </is>
      </c>
      <c r="G14" s="143" t="n">
        <v>13</v>
      </c>
      <c r="H14" s="143" t="n"/>
      <c r="I14" s="143">
        <f>H14-G14</f>
        <v/>
      </c>
      <c r="J14" s="144">
        <f>I14/G14</f>
        <v/>
      </c>
      <c r="K14" s="125" t="n"/>
      <c r="L14" s="125" t="n"/>
      <c r="M14" s="124" t="n"/>
      <c r="N14" s="124" t="n"/>
    </row>
    <row r="15">
      <c r="A15" s="125" t="n"/>
      <c r="B15" s="124" t="inlineStr">
        <is>
          <t>D</t>
        </is>
      </c>
      <c r="C15" s="124" t="n"/>
      <c r="D15" s="142" t="n">
        <v>1</v>
      </c>
      <c r="E15" s="124" t="inlineStr">
        <is>
          <t>华大C4-cDNA</t>
        </is>
      </c>
      <c r="F15" s="124" t="inlineStr">
        <is>
          <t>中国科学院上海有机化学研究所</t>
        </is>
      </c>
      <c r="G15" s="143" t="n">
        <v>65</v>
      </c>
      <c r="H15" s="143" t="n"/>
      <c r="I15" s="143">
        <f>H15-G15</f>
        <v/>
      </c>
      <c r="J15" s="144">
        <f>I15/G15</f>
        <v/>
      </c>
      <c r="K15" s="125" t="n"/>
      <c r="L15" s="125" t="n"/>
      <c r="M15" s="124" t="n"/>
      <c r="N15" s="124" t="n"/>
    </row>
    <row r="16">
      <c r="A16" s="125" t="n"/>
      <c r="B16" s="125" t="n"/>
      <c r="C16" s="124" t="n"/>
      <c r="D16" s="142" t="n">
        <v>1</v>
      </c>
      <c r="E16" s="124" t="inlineStr">
        <is>
          <t>华大c4单细胞cDNA文库</t>
        </is>
      </c>
      <c r="F16" s="124" t="inlineStr">
        <is>
          <t>武汉迈维代谢生物科技股份有限公司</t>
        </is>
      </c>
      <c r="G16" s="143" t="n">
        <v>25.61</v>
      </c>
      <c r="H16" s="143" t="n"/>
      <c r="I16" s="143">
        <f>H16-G16</f>
        <v/>
      </c>
      <c r="J16" s="144">
        <f>I16/G16</f>
        <v/>
      </c>
      <c r="K16" s="125" t="n"/>
      <c r="L16" s="125" t="n"/>
      <c r="M16" s="124" t="n"/>
      <c r="N16" s="124" t="n"/>
    </row>
    <row r="17">
      <c r="A17" s="125" t="n"/>
      <c r="B17" s="125" t="n"/>
      <c r="C17" s="124" t="n"/>
      <c r="D17" s="142" t="n">
        <v>1</v>
      </c>
      <c r="E17" s="124" t="inlineStr">
        <is>
          <t>华大-C4-转录组</t>
        </is>
      </c>
      <c r="F17" s="124" t="inlineStr">
        <is>
          <t>广州奥智生物科技有限公司</t>
        </is>
      </c>
      <c r="G17" s="143" t="n">
        <v>51.48</v>
      </c>
      <c r="H17" s="143" t="n"/>
      <c r="I17" s="143">
        <f>H17-G17</f>
        <v/>
      </c>
      <c r="J17" s="144">
        <f>I17/G17</f>
        <v/>
      </c>
      <c r="K17" s="125" t="n"/>
      <c r="L17" s="125" t="n"/>
      <c r="M17" s="124" t="n"/>
      <c r="N17" s="124" t="n"/>
    </row>
    <row r="18">
      <c r="A18" s="125" t="n"/>
      <c r="B18" s="125" t="n"/>
      <c r="C18" s="124" t="n"/>
      <c r="D18" s="142" t="n">
        <v>1</v>
      </c>
      <c r="E18" s="124" t="inlineStr">
        <is>
          <t>华大-C4-转录组</t>
        </is>
      </c>
      <c r="F18" s="124" t="inlineStr">
        <is>
          <t>广州奥智生物科技有限公司</t>
        </is>
      </c>
      <c r="G18" s="143" t="n">
        <v>3.25</v>
      </c>
      <c r="H18" s="143" t="n"/>
      <c r="I18" s="143">
        <f>H18-G18</f>
        <v/>
      </c>
      <c r="J18" s="144">
        <f>I18/G18</f>
        <v/>
      </c>
      <c r="K18" s="125" t="n"/>
      <c r="L18" s="125" t="n"/>
      <c r="M18" s="124" t="n"/>
      <c r="N18" s="124" t="n"/>
    </row>
    <row r="19">
      <c r="A19" s="125" t="n"/>
      <c r="B19" s="125" t="n"/>
      <c r="C19" s="124" t="n"/>
      <c r="D19" s="142" t="n">
        <v>1</v>
      </c>
      <c r="E19" s="124" t="inlineStr">
        <is>
          <t>华大C4-cDNA</t>
        </is>
      </c>
      <c r="F19" s="124" t="inlineStr">
        <is>
          <t>武汉瑞兴生物科技有限公司</t>
        </is>
      </c>
      <c r="G19" s="143" t="n">
        <v>52</v>
      </c>
      <c r="H19" s="143" t="n"/>
      <c r="I19" s="143">
        <f>H19-G19</f>
        <v/>
      </c>
      <c r="J19" s="144">
        <f>I19/G19</f>
        <v/>
      </c>
      <c r="K19" s="125" t="n"/>
      <c r="L19" s="125" t="n"/>
      <c r="M19" s="124" t="n"/>
      <c r="N19" s="124" t="n"/>
    </row>
    <row r="20">
      <c r="A20" s="125" t="n"/>
      <c r="B20" s="125" t="n"/>
      <c r="C20" s="124" t="n"/>
      <c r="D20" s="142" t="n">
        <v>1</v>
      </c>
      <c r="E20" s="124" t="inlineStr">
        <is>
          <t>华大C4-cDNA</t>
        </is>
      </c>
      <c r="F20" s="124" t="inlineStr">
        <is>
          <t>武汉瑞兴生物科技有限公司</t>
        </is>
      </c>
      <c r="G20" s="143" t="n">
        <v>52</v>
      </c>
      <c r="H20" s="143" t="n"/>
      <c r="I20" s="143">
        <f>H20-G20</f>
        <v/>
      </c>
      <c r="J20" s="144">
        <f>I20/G20</f>
        <v/>
      </c>
      <c r="K20" s="125" t="n"/>
      <c r="L20" s="125" t="n"/>
      <c r="M20" s="124" t="n"/>
      <c r="N20" s="124" t="n"/>
    </row>
    <row r="21">
      <c r="A21" s="125" t="n"/>
      <c r="B21" s="125" t="n"/>
      <c r="C21" s="124" t="n"/>
      <c r="D21" s="142" t="n">
        <v>1</v>
      </c>
      <c r="E21" s="124" t="inlineStr">
        <is>
          <t>华大-cDNA文库</t>
        </is>
      </c>
      <c r="F21" s="124" t="inlineStr">
        <is>
          <t>广东美格基因科技有限公司</t>
        </is>
      </c>
      <c r="G21" s="143" t="n">
        <v>58.5</v>
      </c>
      <c r="H21" s="143" t="n"/>
      <c r="I21" s="143">
        <f>H21-G21</f>
        <v/>
      </c>
      <c r="J21" s="144">
        <f>I21/G21</f>
        <v/>
      </c>
      <c r="K21" s="125" t="n"/>
      <c r="L21" s="125" t="n"/>
      <c r="M21" s="124" t="n"/>
      <c r="N21" s="124" t="n"/>
    </row>
    <row r="22">
      <c r="A22" s="125" t="n"/>
      <c r="B22" s="125" t="n"/>
      <c r="C22" s="124" t="n"/>
      <c r="D22" s="142" t="n">
        <v>10</v>
      </c>
      <c r="E22" s="124" t="inlineStr">
        <is>
          <t>华大c4单细胞cDNA文库</t>
        </is>
      </c>
      <c r="F22" s="124" t="inlineStr">
        <is>
          <t>广州承启生物科技有限公司</t>
        </is>
      </c>
      <c r="G22" s="143" t="n">
        <v>585</v>
      </c>
      <c r="H22" s="143" t="n"/>
      <c r="I22" s="143">
        <f>H22-G22</f>
        <v/>
      </c>
      <c r="J22" s="144">
        <f>I22/G22</f>
        <v/>
      </c>
      <c r="K22" s="125" t="n"/>
      <c r="L22" s="125" t="n"/>
      <c r="M22" s="124" t="n"/>
      <c r="N22" s="124" t="n"/>
    </row>
    <row r="23" customFormat="1" s="77">
      <c r="A23" s="125" t="n"/>
      <c r="B23" s="125" t="n"/>
      <c r="C23" s="124" t="n"/>
      <c r="D23" s="142" t="n">
        <v>9</v>
      </c>
      <c r="E23" s="124" t="inlineStr">
        <is>
          <t>华大c4单细胞cDNA文库</t>
        </is>
      </c>
      <c r="F23" s="124" t="inlineStr">
        <is>
          <t>广州承启生物科技有限公司</t>
        </is>
      </c>
      <c r="G23" s="143" t="n">
        <v>526.5</v>
      </c>
      <c r="H23" s="143" t="n"/>
      <c r="I23" s="143">
        <f>H23-G23</f>
        <v/>
      </c>
      <c r="J23" s="144">
        <f>I23/G23</f>
        <v/>
      </c>
      <c r="K23" s="125" t="n"/>
      <c r="L23" s="125" t="n"/>
      <c r="M23" s="124" t="n"/>
      <c r="N23" s="124" t="n"/>
    </row>
    <row r="24">
      <c r="A24" s="125" t="n"/>
      <c r="B24" s="125" t="n"/>
      <c r="C24" s="124" t="n"/>
      <c r="D24" s="142" t="n">
        <v>12</v>
      </c>
      <c r="E24" s="124" t="inlineStr">
        <is>
          <t>华大-C4-oligo</t>
        </is>
      </c>
      <c r="F24" s="124" t="inlineStr">
        <is>
          <t>广州奥智生物科技有限公司</t>
        </is>
      </c>
      <c r="G24" s="143" t="n">
        <v>67.34</v>
      </c>
      <c r="H24" s="143" t="n"/>
      <c r="I24" s="143">
        <f>H24-G24</f>
        <v/>
      </c>
      <c r="J24" s="144">
        <f>I24/G24</f>
        <v/>
      </c>
      <c r="K24" s="125" t="n"/>
      <c r="L24" s="125" t="n"/>
      <c r="M24" s="124" t="n"/>
      <c r="N24" s="124" t="n"/>
    </row>
    <row r="25">
      <c r="A25" s="125" t="n"/>
      <c r="B25" s="125" t="n"/>
      <c r="C25" s="124" t="n"/>
      <c r="D25" s="142" t="n">
        <v>12</v>
      </c>
      <c r="E25" s="124" t="inlineStr">
        <is>
          <t>华大-C4-oligo</t>
        </is>
      </c>
      <c r="F25" s="124" t="inlineStr">
        <is>
          <t>广州奥智生物科技有限公司</t>
        </is>
      </c>
      <c r="G25" s="143" t="n">
        <v>56.68</v>
      </c>
      <c r="H25" s="143" t="n"/>
      <c r="I25" s="143">
        <f>H25-G25</f>
        <v/>
      </c>
      <c r="J25" s="144">
        <f>I25/G25</f>
        <v/>
      </c>
      <c r="K25" s="125" t="n"/>
      <c r="L25" s="125" t="n"/>
      <c r="M25" s="124" t="n"/>
      <c r="N25" s="124" t="n"/>
    </row>
    <row r="26">
      <c r="A26" s="125" t="n"/>
      <c r="B26" s="125" t="n"/>
      <c r="C26" s="124" t="n"/>
      <c r="D26" s="142" t="n">
        <v>4</v>
      </c>
      <c r="E26" s="124" t="inlineStr">
        <is>
          <t>华大C4-oligo</t>
        </is>
      </c>
      <c r="F26" s="124" t="inlineStr">
        <is>
          <t>杭州开泰生物技术有限公司</t>
        </is>
      </c>
      <c r="G26" s="143" t="n">
        <v>20.8</v>
      </c>
      <c r="H26" s="143" t="n"/>
      <c r="I26" s="143">
        <f>H26-G26</f>
        <v/>
      </c>
      <c r="J26" s="144">
        <f>I26/G26</f>
        <v/>
      </c>
      <c r="K26" s="125" t="n"/>
      <c r="L26" s="125" t="n"/>
      <c r="M26" s="124" t="n"/>
      <c r="N26" s="124" t="n"/>
    </row>
    <row r="27">
      <c r="A27" s="125" t="n"/>
      <c r="B27" s="125" t="n"/>
      <c r="C27" s="124" t="n"/>
      <c r="D27" s="142" t="n">
        <v>1</v>
      </c>
      <c r="E27" s="124" t="inlineStr">
        <is>
          <t>华大C4-oligo</t>
        </is>
      </c>
      <c r="F27" s="124" t="inlineStr">
        <is>
          <t>武汉瑞兴生物科技有限公司</t>
        </is>
      </c>
      <c r="G27" s="143" t="n">
        <v>26</v>
      </c>
      <c r="H27" s="143" t="n"/>
      <c r="I27" s="143">
        <f>H27-G27</f>
        <v/>
      </c>
      <c r="J27" s="144">
        <f>I27/G27</f>
        <v/>
      </c>
      <c r="K27" s="125" t="n"/>
      <c r="L27" s="125" t="n"/>
      <c r="M27" s="124" t="n"/>
      <c r="N27" s="124" t="n"/>
    </row>
  </sheetData>
  <mergeCells count="4">
    <mergeCell ref="B15:B27"/>
    <mergeCell ref="K2:K27"/>
    <mergeCell ref="A2:A27"/>
    <mergeCell ref="B2:B14"/>
  </mergeCells>
  <conditionalFormatting sqref="I2:I27">
    <cfRule type="cellIs" priority="1" operator="lessThan" dxfId="0">
      <formula>0</formula>
    </cfRule>
  </conditionalFormatting>
  <conditionalFormatting sqref="J2:J27">
    <cfRule type="cellIs" priority="2" operator="lessThan" dxfId="0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P23" sqref="P23"/>
    </sheetView>
  </sheetViews>
  <sheetFormatPr baseColWidth="8" defaultColWidth="9" defaultRowHeight="15.75"/>
  <cols>
    <col width="12" customWidth="1" style="3" min="1" max="1"/>
    <col width="12" customWidth="1" style="4" min="2" max="2"/>
    <col width="19" customWidth="1" style="114" min="3" max="3"/>
    <col width="14" customWidth="1" style="117" min="4" max="4"/>
    <col width="22" customWidth="1" style="117" min="5" max="5"/>
    <col width="22" customWidth="1" style="118" min="6" max="6"/>
    <col width="24" customWidth="1" style="114" min="7" max="7"/>
    <col width="18" customWidth="1" style="114" min="8" max="8"/>
    <col width="24" customWidth="1" style="114" min="9" max="9"/>
    <col width="8" customWidth="1" style="4" min="10" max="10"/>
    <col width="9.375" customWidth="1" style="4" min="11" max="11"/>
    <col width="11.875" customWidth="1" style="7" min="12" max="12"/>
    <col width="12.25" customWidth="1" style="4" min="13" max="13"/>
    <col width="13.75" customWidth="1" style="4" min="14" max="14"/>
    <col width="14.625" customWidth="1" style="4" min="15" max="15"/>
    <col width="12.75" customWidth="1" style="4" min="16" max="16"/>
    <col width="10.875" customWidth="1" style="119" min="17" max="17"/>
    <col width="12.75" customWidth="1" style="4" min="18" max="18"/>
    <col width="9" customWidth="1" style="4" min="19" max="19"/>
    <col width="25.625" customWidth="1" style="4" min="20" max="20"/>
    <col width="12.625" customWidth="1" style="4" min="21" max="21"/>
    <col width="9" customWidth="1" style="4" min="22" max="22"/>
    <col width="9" customWidth="1" style="4" min="23" max="16384"/>
  </cols>
  <sheetData>
    <row r="1" ht="33" customFormat="1" customHeight="1" s="1">
      <c r="A1" s="9" t="inlineStr">
        <is>
          <t>lane编号</t>
        </is>
      </c>
      <c r="B1" s="10" t="inlineStr">
        <is>
          <t>文库编号</t>
        </is>
      </c>
      <c r="C1" s="120" t="inlineStr">
        <is>
          <t>摩尔浓度(nM/L）</t>
        </is>
      </c>
      <c r="D1" s="121" t="inlineStr">
        <is>
          <t>数据量（G)</t>
        </is>
      </c>
      <c r="E1" s="121" t="inlineStr">
        <is>
          <t>文库摩尔质量（nM）</t>
        </is>
      </c>
      <c r="F1" s="122" t="inlineStr">
        <is>
          <t>最终取样体积（ul）</t>
        </is>
      </c>
      <c r="G1" s="120" t="inlineStr">
        <is>
          <t>混合文库摩尔质量总和</t>
        </is>
      </c>
      <c r="H1" s="120" t="inlineStr">
        <is>
          <t>混合文库总体积</t>
        </is>
      </c>
      <c r="I1" s="120" t="inlineStr">
        <is>
          <t>混合文库浓度（nM/L）</t>
        </is>
      </c>
      <c r="J1" s="14" t="inlineStr">
        <is>
          <t>备注</t>
        </is>
      </c>
      <c r="K1" s="123" t="n"/>
      <c r="L1" s="16" t="n"/>
      <c r="Q1" s="119" t="n"/>
      <c r="R1" s="4" t="n"/>
      <c r="S1" s="4" t="n"/>
    </row>
    <row r="34524" customFormat="1" s="114"/>
  </sheetData>
  <printOptions horizontalCentered="1"/>
  <pageMargins left="0.75" right="0.75" top="0.98" bottom="0.98" header="0.51" footer="0.51"/>
  <pageSetup orientation="portrait" paperSize="9" scale="8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2017-11-11T10:31:00Z</dcterms:created>
  <dcterms:modified xsi:type="dcterms:W3CDTF">2026-08-07T06:54:57Z</dcterms:modified>
  <cp:lastModifiedBy>admin</cp:lastModifiedBy>
  <cp:lastPrinted>2022-03-27T07:17:00Z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34C10D63ACC1497AB4A6FD4B689FCEEE_13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